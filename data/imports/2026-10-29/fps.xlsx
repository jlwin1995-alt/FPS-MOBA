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HLTV_Veto!$A$1:$G$239</definedName>
    <definedName function="false" hidden="true" localSheetId="8" name="_xlnm._FilterDatabase" vbProcedure="false">Map_Stats!$A$1:$K$850</definedName>
    <definedName function="false" hidden="true" localSheetId="7" name="_xlnm._FilterDatabase" vbProcedure="false">Players!$A$1:$O$137</definedName>
    <definedName function="false" hidden="true" localSheetId="4" name="_xlnm._FilterDatabase" vbProcedure="false">Projections!$A$1:$AE$261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<sst xmlns="http://schemas.openxmlformats.org/spreadsheetml/2006/main" count="14932" uniqueCount="3510">
  <si>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</si>
  <si>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</si>
  <si>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2026-10-29 · 260 board legs · 19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</si>
  <si>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</si>
  <si>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</si>
  <si>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</si>
  <si>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</si>
  <si>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</si>
  <si>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</si>
  <si>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</si>
  <si>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</si>
  <si>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</si>
  <si>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</si>
  <si>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</si>
  <si>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</si>
  <si>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</si>
  <si>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</si>
  <si>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</si>
  <si>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</si>
  <si>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</si>
  <si>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</si>
  <si>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</si>
  <si>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</si>
  <si>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</si>
  <si>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</si>
  <si>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</si>
  <si>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</si>
  <si>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</si>
  <si>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</si>
  <si>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</si>
  <si>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2026-10-29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</si>
  <si>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</si>
  <si>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FUT vs NEMI   |   08:00 UTC   |   Bo3   |   Win: FUT 72% – NEMI 28%   |   2-0 43% · 2-1 29% · 1-2 14% · 0-2 14%</t>
  </si>
  <si>
    <t xml:space="preserve">FUT Esports (FUT)</t>
  </si>
  <si>
    <t xml:space="preserve">Nemiga (NEMI)</t>
  </si>
  <si>
    <t xml:space="preserve">Rank</t>
  </si>
  <si>
    <t xml:space="preserve">HLTV: #7 · VRS: #8</t>
  </si>
  <si>
    <t xml:space="preserve">HLTV: #21 · VRS: #17</t>
  </si>
  <si>
    <t xml:space="preserve">Last 10 maps (newest first)</t>
  </si>
  <si>
    <t xml:space="preserve">7-3   W W L W W W W L L W</t>
  </si>
  <si>
    <t xml:space="preserve">6-4   W W W W L L L L W W</t>
  </si>
  <si>
    <t xml:space="preserve">Last 10 maps, avg margin</t>
  </si>
  <si>
    <t xml:space="preserve">+2.2</t>
  </si>
  <si>
    <t xml:space="preserve">+1.3</t>
  </si>
  <si>
    <t xml:space="preserve">3 months: maps W-L</t>
  </si>
  <si>
    <t xml:space="preserve">20-12 (62%)</t>
  </si>
  <si>
    <t xml:space="preserve">80-38 (68%)</t>
  </si>
  <si>
    <t xml:space="preserve">Avg margin in wins / losses</t>
  </si>
  <si>
    <t xml:space="preserve">+5.0 / -4.2</t>
  </si>
  <si>
    <t xml:space="preserve">+5.2 / -4.6</t>
  </si>
  <si>
    <t xml:space="preserve">Stomps for / against (8+)</t>
  </si>
  <si>
    <t xml:space="preserve">3 / 1</t>
  </si>
  <si>
    <t xml:space="preserve">18 / 6</t>
  </si>
  <si>
    <t xml:space="preserve">Pistols (3 months)</t>
  </si>
  <si>
    <t xml:space="preserve">not captured</t>
  </si>
  <si>
    <t xml:space="preserve">55.9% (132-104) · R2 conv 82.6% · R2 break 13.5%</t>
  </si>
  <si>
    <t xml:space="preserve">Kill share (last 6 series, all maps)</t>
  </si>
  <si>
    <t xml:space="preserve">6 series · 14 maps · team 70.9 kills/map
dem0n 23.9% (16.9/map)
Krabeni 21.1% (14.9/map)
xfl0ud 18.8% (13.3/map)
dziugss 16.2% (11.5/map)
SunPayus 11.6% (16.4/map)
cmtry 8.5% (12.0/map)</t>
  </si>
  <si>
    <t xml:space="preserve">6 series · 12 maps · team 86.7 kills/map
syph0 22.8% (19.8/map)
KaiR0N- 21.8% (18.9/map)
khaN 19.7% (17.1/map)
Xant3r 18.2% (15.8/map)
robo 17.5% (15.2/map)</t>
  </si>
  <si>
    <t xml:space="preserve">Last 5 series</t>
  </si>
  <si>
    <t xml:space="preserve">2 - 1  FUT vs Vitality
2 - 0  FUT vs Liquid
2 - 0  FUT vs TYLOO
0 - 2  FUT vs Vitality
2 - 0  FUT vs Inner Circle</t>
  </si>
  <si>
    <t xml:space="preserve">0 - 2  The MongolZ vs Nemiga
2 - 0  Nemiga vs The MongolZ
2 - 0  Nemiga vs DENDELE
0 - 2  Nemiga vs Aurora
0 - 2  Nemiga vs BETBOOM</t>
  </si>
  <si>
    <t xml:space="preserve">Recent vetoes (last 5)</t>
  </si>
  <si>
    <t xml:space="preserve">First ban: Inferno×4, Dust2×1   First pick: Mirage×2, Dust2×1
26th of Octo  FUT vs Vitality:  us ban Inferno · opp ban Ancient · us pick Mirage · opp pick Dust2 · opp ban Nuke · us ban Cache · left Anubis
25th of Octo  FUT vs Liquid:  opp ban Ancient · us ban Inferno · opp pick Cache · us pick Dust2 · us ban Anubis · opp ban Nuke · left Mirage
24th of Octo  FUT vs TYLOO:  opp ban Dust2 · us ban Inferno · opp pick Nuke · us pick Ancient · us ban Cache · opp ban Anubis · left Mirage
31st of Augu  FUT vs Vitality:  us ban Inferno · opp ban Ancient · us pick Anubis · opp pick Dust2 · us ban Nuke · opp ban Mirage · left Cache
30th of Augu  FUT vs Inner Circle:  us ban Dust2 · opp ban Ancient · us pick Mirage · opp pick Nuke · us ban Cache · opp ban Inferno · left Anubis</t>
  </si>
  <si>
    <t xml:space="preserve">First ban: Inferno×4, Nuke×1   First pick: Cache×2, Ancient×1
28th of Octo  The MongolZ vs Nemiga:  us ban Inferno · opp ban Anubis · us pick Cache · opp pick Dust2 · opp ban Nuke · us ban Ancient · left Mirage
28th of Octo  Nemiga vs The MongolZ:  us ban Inferno · opp ban Anubis · us pick Cache · opp pick Dust2 · opp ban Nuke · us ban Ancient · left Mirage
27th of Octo  Nemiga vs DENDELE:  opp ban Dust2 · us ban Inferno · opp pick Nuke · us pick Ancient · us ban Anubis · opp ban Cache · left Mirage
26th of Octo  Nemiga vs Aurora:  us ban Inferno · opp ban Ancient · us pick Mirage · opp pick Anubis · opp ban Dust2 · us ban Cache · left Nuke
25th of Octo  Nemiga vs BETBOOM:  us ban Nuke · opp ban Cache · us pick Anubis · opp pick Mirage · opp ban Inferno · us ban Dust2 · left Ancient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</si>
  <si>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</si>
  <si>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</si>
  <si>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</si>
  <si>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</si>
  <si>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</si>
  <si>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</si>
  <si>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</si>
  <si>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</si>
  <si>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</si>
  <si>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</si>
  <si>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</si>
  <si>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</si>
  <si>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</si>
  <si>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</si>
  <si>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</si>
  <si>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</si>
  <si>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Ancient</t>
  </si>
  <si>
    <t xml:space="preserve">23%</t>
  </si>
  <si>
    <t xml:space="preserve">5-3</t>
  </si>
  <si>
    <t xml:space="preserve">+2.6</t>
  </si>
  <si>
    <t xml:space="preserve">53.7%</t>
  </si>
  <si>
    <t xml:space="preserve">58.1%</t>
  </si>
  <si>
    <t xml:space="preserve">9/16</t>
  </si>
  <si>
    <t xml:space="preserve">17-9</t>
  </si>
  <si>
    <t xml:space="preserve">+1.8</t>
  </si>
  <si>
    <t xml:space="preserve">50.3%</t>
  </si>
  <si>
    <t xml:space="preserve">57.2%</t>
  </si>
  <si>
    <t xml:space="preserve">27/52</t>
  </si>
  <si>
    <t xml:space="preserve">6% | 28% | 31% | 29% | 6%</t>
  </si>
  <si>
    <t xml:space="preserve">22.5</t>
  </si>
  <si>
    <t xml:space="preserve">Dust2</t>
  </si>
  <si>
    <t xml:space="preserve">19%</t>
  </si>
  <si>
    <t xml:space="preserve">4-3</t>
  </si>
  <si>
    <t xml:space="preserve">+0.6</t>
  </si>
  <si>
    <t xml:space="preserve">44.7%</t>
  </si>
  <si>
    <t xml:space="preserve">57.6%</t>
  </si>
  <si>
    <t xml:space="preserve">7/14</t>
  </si>
  <si>
    <t xml:space="preserve">13-8</t>
  </si>
  <si>
    <t xml:space="preserve">+1.5</t>
  </si>
  <si>
    <t xml:space="preserve">52.4%</t>
  </si>
  <si>
    <t xml:space="preserve">54.8%</t>
  </si>
  <si>
    <t xml:space="preserve">23/42</t>
  </si>
  <si>
    <t xml:space="preserve">5% | 25% | 30% | 33% | 8%</t>
  </si>
  <si>
    <t xml:space="preserve">Mirage</t>
  </si>
  <si>
    <t xml:space="preserve">16%</t>
  </si>
  <si>
    <t xml:space="preserve">4-1</t>
  </si>
  <si>
    <t xml:space="preserve">+2.0</t>
  </si>
  <si>
    <t xml:space="preserve">66.1%</t>
  </si>
  <si>
    <t xml:space="preserve">42.9%</t>
  </si>
  <si>
    <t xml:space="preserve">7/10</t>
  </si>
  <si>
    <t xml:space="preserve">13-6</t>
  </si>
  <si>
    <t xml:space="preserve">+1.9</t>
  </si>
  <si>
    <t xml:space="preserve">63.1%</t>
  </si>
  <si>
    <t xml:space="preserve">44.8%</t>
  </si>
  <si>
    <t xml:space="preserve">24/38</t>
  </si>
  <si>
    <t xml:space="preserve">6% | 26% | 31% | 30% | 8%</t>
  </si>
  <si>
    <t xml:space="preserve">Anubis</t>
  </si>
  <si>
    <t xml:space="preserve">3-2</t>
  </si>
  <si>
    <t xml:space="preserve">54.0%</t>
  </si>
  <si>
    <t xml:space="preserve">55.2%</t>
  </si>
  <si>
    <t xml:space="preserve">12-5</t>
  </si>
  <si>
    <t xml:space="preserve">51.3%</t>
  </si>
  <si>
    <t xml:space="preserve">21/34</t>
  </si>
  <si>
    <t xml:space="preserve">5% | 26% | 30% | 32% | 7%</t>
  </si>
  <si>
    <t xml:space="preserve">Cache</t>
  </si>
  <si>
    <t xml:space="preserve">2-0</t>
  </si>
  <si>
    <t xml:space="preserve">+5.5</t>
  </si>
  <si>
    <t xml:space="preserve">69.6%</t>
  </si>
  <si>
    <t xml:space="preserve">55.6%</t>
  </si>
  <si>
    <t xml:space="preserve">2/4</t>
  </si>
  <si>
    <t xml:space="preserve">+2.7</t>
  </si>
  <si>
    <t xml:space="preserve">59.8%</t>
  </si>
  <si>
    <t xml:space="preserve">53.0%</t>
  </si>
  <si>
    <t xml:space="preserve">15/34</t>
  </si>
  <si>
    <t xml:space="preserve">Inferno</t>
  </si>
  <si>
    <t xml:space="preserve">1-0</t>
  </si>
  <si>
    <t xml:space="preserve">+6.0</t>
  </si>
  <si>
    <t xml:space="preserve">75.0%</t>
  </si>
  <si>
    <t xml:space="preserve">58.3%</t>
  </si>
  <si>
    <t xml:space="preserve">1/2</t>
  </si>
  <si>
    <t xml:space="preserve">Nuke</t>
  </si>
  <si>
    <t xml:space="preserve">2-3</t>
  </si>
  <si>
    <t xml:space="preserve">-1.6</t>
  </si>
  <si>
    <t xml:space="preserve">45.9%</t>
  </si>
  <si>
    <t xml:space="preserve">46.7%</t>
  </si>
  <si>
    <t xml:space="preserve">6/10</t>
  </si>
  <si>
    <t xml:space="preserve">60.8%</t>
  </si>
  <si>
    <t xml:space="preserve">49.2%</t>
  </si>
  <si>
    <t xml:space="preserve">3% | 20% | 29% | 38% | 10%</t>
  </si>
  <si>
    <t xml:space="preserve">22.3</t>
  </si>
  <si>
    <t xml:space="preserve">CS2 · B8 vs HOTU   |   09:00 UTC   |   Bo3   |   Win: B8 56% – HOTU 44%   |   2-0 29% · 2-1 27% · 1-2 22% · 0-2 22%</t>
  </si>
  <si>
    <t xml:space="preserve">B8 (B8)</t>
  </si>
  <si>
    <t xml:space="preserve">HOTU (HOTU)</t>
  </si>
  <si>
    <t xml:space="preserve">HLTV: #22 · VRS: #24</t>
  </si>
  <si>
    <t xml:space="preserve">HLTV: #43 · VRS: #30</t>
  </si>
  <si>
    <t xml:space="preserve">5-5   W W L W W L L L W L</t>
  </si>
  <si>
    <t xml:space="preserve">-0.2</t>
  </si>
  <si>
    <t xml:space="preserve">+0.5</t>
  </si>
  <si>
    <t xml:space="preserve">29-20 (59%)</t>
  </si>
  <si>
    <t xml:space="preserve">61-35 (64%)</t>
  </si>
  <si>
    <t xml:space="preserve">+5.1 / -4.5</t>
  </si>
  <si>
    <t xml:space="preserve">+6.0 / -5.4</t>
  </si>
  <si>
    <t xml:space="preserve">9 / 2</t>
  </si>
  <si>
    <t xml:space="preserve">19 / 9</t>
  </si>
  <si>
    <t xml:space="preserve">59.4% (114-78) · R2 conv 87.5% · R2 break 7.7%</t>
  </si>
  <si>
    <t xml:space="preserve">6 series · 15 maps · team 68.2 kills/map
esenthial 21.4% (14.6/map)
npl 21.3% (14.5/map)
s1zzi 19.6% (13.4/map)
kensizor 19.6% (13.3/map)
alex666 18.1% (12.3/map)</t>
  </si>
  <si>
    <t xml:space="preserve">6 series · 14 maps · team 70.6 kills/map
n0rb3r7 23.0% (16.2/map)
frontales 22.7% (16.0/map)
mizu 20.0% (14.1/map)
dwushka 18.6% (13.1/map)
kade0 15.7% (11.1/map)</t>
  </si>
  <si>
    <t xml:space="preserve">2 - 1  B8 vs K27
2 - 1  B8 vs Alliance
1 - 2  B8 vs K27
0 - 2  B8 vs fnatic
0 - 2  B8 vs Luminosity</t>
  </si>
  <si>
    <t xml:space="preserve">2 - 0  HOTU vs GamerLegion
2 - 0  HOTU vs Luminosity
0 - 2  HOTU vs fnatic
1 - 2  HOTU vs Astralis
2 - 0  HOTU vs fnatic</t>
  </si>
  <si>
    <t xml:space="preserve">First ban: Anubis×4, Nuke×1   First pick: Mirage×3, Dust2×2
28th of Octo  B8 vs K27:  opp ban Inferno · us ban Anubis · opp pick Nuke · us pick Dust2 · opp ban Ancient · us ban Cache · left Mirage
28th of Octo  B8 vs Alliance:  opp ban Cache · us ban Anubis · opp pick Inferno · us pick Mirage · opp ban Dust2 · us ban Nuke · left Ancient
27th of Octo  B8 vs K27:  opp ban Inferno · us ban Anubis · opp pick Mirage · us pick Dust2 · opp ban Ancient · us ban Cache · left Nuke
2nd of Octob  B8 vs fnatic:  opp ban Nuke · us ban Anubis · opp pick Cache · us pick Mirage · us ban Inferno · opp ban Dust2 · left Ancient
1st of Octob  B8 vs Luminosity:  opp ban Cache · us ban Nuke · opp pick Inferno · us pick Mirage · us ban Dust2 · opp ban Anubis · left Ancient</t>
  </si>
  <si>
    <t xml:space="preserve">First ban: Inferno×4, Anubis×1   First pick: Dust2×4, Mirage×1
28th of Octo  HOTU vs GamerLegion:  opp ban Anubis · us ban Inferno · opp pick Cache · us pick Dust2 · opp ban Mirage · us ban Nuke · left Ancient
27th of Octo  HOTU vs Luminosity:  us ban Anubis · opp ban Cache · us pick Mirage · opp pick Ancient · us ban Nuke · opp ban Dust2 · left Inferno
14th of Octo  HOTU vs fnatic:  opp ban Nuke · us ban Inferno · opp pick Ancient · us pick Dust2 · opp ban Mirage · us ban Anubis · left Cache
14th of Octo  HOTU vs Astralis:  us ban Inferno · opp ban Anubis · us pick Dust2 · opp pick Ancient · us ban Mirage · opp ban Cache · left Nuke
14th of Octo  HOTU vs fnatic:  opp ban Nuke · us ban Inferno · opp pick Ancient · us pick Dust2 · opp ban Mirage · us ban Anubis · left Cache</t>
  </si>
  <si>
    <t xml:space="preserve">26%</t>
  </si>
  <si>
    <t xml:space="preserve">7-3</t>
  </si>
  <si>
    <t xml:space="preserve">+1.2</t>
  </si>
  <si>
    <t xml:space="preserve">56.5%</t>
  </si>
  <si>
    <t xml:space="preserve">48.3%</t>
  </si>
  <si>
    <t xml:space="preserve">8/20</t>
  </si>
  <si>
    <t xml:space="preserve">15-7</t>
  </si>
  <si>
    <t xml:space="preserve">+3.5</t>
  </si>
  <si>
    <t xml:space="preserve">55.3%</t>
  </si>
  <si>
    <t xml:space="preserve">61.2%</t>
  </si>
  <si>
    <t xml:space="preserve">27/44</t>
  </si>
  <si>
    <t xml:space="preserve">21%</t>
  </si>
  <si>
    <t xml:space="preserve">+1.6</t>
  </si>
  <si>
    <t xml:space="preserve">60.0%</t>
  </si>
  <si>
    <t xml:space="preserve">45.8%</t>
  </si>
  <si>
    <t xml:space="preserve">14-7</t>
  </si>
  <si>
    <t xml:space="preserve">62.6%</t>
  </si>
  <si>
    <t xml:space="preserve">47.2%</t>
  </si>
  <si>
    <t xml:space="preserve">19/42</t>
  </si>
  <si>
    <t xml:space="preserve">5% | 24% | 30% | 33% | 8%</t>
  </si>
  <si>
    <t xml:space="preserve">8-7</t>
  </si>
  <si>
    <t xml:space="preserve">+1.4</t>
  </si>
  <si>
    <t xml:space="preserve">51.4%</t>
  </si>
  <si>
    <t xml:space="preserve">21/30</t>
  </si>
  <si>
    <t xml:space="preserve">8-2</t>
  </si>
  <si>
    <t xml:space="preserve">+3.3</t>
  </si>
  <si>
    <t xml:space="preserve">63.6%</t>
  </si>
  <si>
    <t xml:space="preserve">50.5%</t>
  </si>
  <si>
    <t xml:space="preserve">15/20</t>
  </si>
  <si>
    <t xml:space="preserve">6-2</t>
  </si>
  <si>
    <t xml:space="preserve">61.3%</t>
  </si>
  <si>
    <t xml:space="preserve">8-6</t>
  </si>
  <si>
    <t xml:space="preserve">+1.1</t>
  </si>
  <si>
    <t xml:space="preserve">57.4%</t>
  </si>
  <si>
    <t xml:space="preserve">45.7%</t>
  </si>
  <si>
    <t xml:space="preserve">18/28</t>
  </si>
  <si>
    <t xml:space="preserve">8% | 34% | 30% | 23% | 4%</t>
  </si>
  <si>
    <t xml:space="preserve">9-7</t>
  </si>
  <si>
    <t xml:space="preserve">+0.2</t>
  </si>
  <si>
    <t xml:space="preserve">46.6%</t>
  </si>
  <si>
    <t xml:space="preserve">53.5%</t>
  </si>
  <si>
    <t xml:space="preserve">20/32</t>
  </si>
  <si>
    <t xml:space="preserve">6% | 29% | 30% | 29% | 6%</t>
  </si>
  <si>
    <t xml:space="preserve">3-4</t>
  </si>
  <si>
    <t xml:space="preserve">-0.3</t>
  </si>
  <si>
    <t xml:space="preserve">58.8%</t>
  </si>
  <si>
    <t xml:space="preserve">40.0%</t>
  </si>
  <si>
    <t xml:space="preserve">6/14</t>
  </si>
  <si>
    <t xml:space="preserve">0-1</t>
  </si>
  <si>
    <t xml:space="preserve">-6.0</t>
  </si>
  <si>
    <t xml:space="preserve">41.7%</t>
  </si>
  <si>
    <t xml:space="preserve">25.0%</t>
  </si>
  <si>
    <t xml:space="preserve">7% | 31% | 30% | 26% | 5%</t>
  </si>
  <si>
    <t xml:space="preserve">2-2</t>
  </si>
  <si>
    <t xml:space="preserve">-2.2</t>
  </si>
  <si>
    <t xml:space="preserve">47.9%</t>
  </si>
  <si>
    <t xml:space="preserve">38.7%</t>
  </si>
  <si>
    <t xml:space="preserve">2/8</t>
  </si>
  <si>
    <t xml:space="preserve">7-5</t>
  </si>
  <si>
    <t xml:space="preserve">14/24</t>
  </si>
  <si>
    <t xml:space="preserve">4% | 21% | 30% | 36% | 10%</t>
  </si>
  <si>
    <t xml:space="preserve">22.4</t>
  </si>
  <si>
    <t xml:space="preserve">VAL · KBG vs UR   |   09:00 UTC   |   Bo3   |   Win: KBG 57% – UR 43%   |   2-0 32% · 2-1 26% · 1-2 19% · 0-2 23%</t>
  </si>
  <si>
    <t xml:space="preserve">KeepBest Gaming (KBG)</t>
  </si>
  <si>
    <t xml:space="preserve">Unsettled Resentment (UR)</t>
  </si>
  <si>
    <t xml:space="preserve">Rank (vlr)</t>
  </si>
  <si>
    <t xml:space="preserve">Current Rank 13 China · Rating 1510 · Record 4W 5L</t>
  </si>
  <si>
    <t xml:space="preserve">Current Rank 18 China · Rating 1463 · Record 4W 4L</t>
  </si>
  <si>
    <t xml:space="preserve">Last 10 series: maps W-L</t>
  </si>
  <si>
    <t xml:space="preserve">11-9</t>
  </si>
  <si>
    <t xml:space="preserve">8-9</t>
  </si>
  <si>
    <t xml:space="preserve">+3.9 / -4.8</t>
  </si>
  <si>
    <t xml:space="preserve">+6.0 / -4.9</t>
  </si>
  <si>
    <t xml:space="preserve">1 / 1</t>
  </si>
  <si>
    <t xml:space="preserve">Pistols</t>
  </si>
  <si>
    <t xml:space="preserve">not available from vlr summary pages</t>
  </si>
  <si>
    <t xml:space="preserve">Kill share (last 10 series, all maps)</t>
  </si>
  <si>
    <t xml:space="preserve">8 series · 20 maps · team 79.3 kills/map
Ying 20.9% (16.6/map)
Tonk 20.8% (16.5/map)
Akeman 20.5% (16.2/map)
sibeastw0w 20.3% (16.1/map)
Krst1Ng 17.5% (13.8/map)</t>
  </si>
  <si>
    <t xml:space="preserve">7 series · 17 maps · team 74.4 kills/map
Hopedawn 22.5% (16.7/map)
QiuYe 21.4% (15.9/map)
Ninebody 20.7% (15.4/map)
CXIX666 18.8% (13.9/map)
waituu 8.8% (11.1/map)
MarT1n 7.8% (14.1/map)</t>
  </si>
  <si>
    <t xml:space="preserve">2026-10-24  KeepBest Gaming vs Nova Esports  Lotus:7-13:P,Sunset:6-13:P
2026-10-22  KeepBest Gaming vs Wolves Esports  Summit:13-7:P,Ascent:13-8:P
2026-09-13  KeepBest Gaming vs FunPlus Phoenix  Ascent:13-4:P,Abyss:8-13:P,Sunset:13-10:P,Split:11-13:P,Summit:11-13:
2026-09-11  KeepBest Gaming vs Unsettled Resentment  Split:14-12:P,Sunset:13-7:P
2026-09-09  Guangzhou Huadu Bilibili Gaming (Bilibili Gaming) vs KeepBest Gaming  Haven:13-15:P,Ascent:10-13:P</t>
  </si>
  <si>
    <t xml:space="preserve">2026-10-27  Unsettled Resentment vs Victory No Limits Gaming  Summit:17-19:P,Lotus:13-11:P,Abyss:13-10:
2026-10-23  Titan Esports Club vs Unsettled Resentment  Summit:13-6:P,Split:14-12:P
2026-10-21  Unsettled Resentment vs Octagonal Disposition Gaming  Abyss:13-7:P,Split:13-2:P
2026-09-12  Unsettled Resentment vs Any Questions Gaming  Abyss:12-14:P,Lotus:6-13:P,Sunset:6-13:P
2026-09-11  KeepBest Gaming vs Unsettled Resentment  Split:14-12:P,Sunset:13-7:P</t>
  </si>
  <si>
    <t xml:space="preserve">2026-10-24 vs Nova Esports: NOVA ban Ascent; KBG ban Abyss; NOVA pick Lotus; KBG pick Sunset; NOVA ban Summit; KBG ban Haven; Split remains
2026-10-22 vs Wolves Esports: WOL ban Sunset; KBG ban Haven; WOL pick Summit; KBG pick Ascent; WOL ban Abyss; KBG ban Lotus; Split remains
2026-09-13 vs FunPlus Phoenix: KBG ban Lotus; FPX ban Haven; KBG pick Ascent; FPX pick Abyss; KBG pick Sunset; FPX pick Split; Summit remains
2026-09-11 vs Unsettled Resentment: KBG ban Lotus; UR ban Haven; KBG pick Split; UR pick Sunset; KBG ban Summit; UR ban Ascent; Abyss remains
2026-09-09 vs Guangzhou Huadu Bilibili Gaming (Bilibili Gaming): BLG ban Split; KBG ban Lotus; BLG pick Haven; KBG pick Ascent; BLG ban Sunset; KBG ban Summit; Abyss remains</t>
  </si>
  <si>
    <t xml:space="preserve">2026-10-27 vs Victory No Limits Gaming: UR ban Haven; VLG ban Split; UR pick Summit; VLG pick Lotus; UR ban Sunset; VLG ban Ascent; Abyss remains
2026-10-23 vs Titan Esports Club: UR ban Haven; TEC ban Lotus; UR pick Summit; TEC pick Split; UR ban Ascent; TEC ban Sunset; Abyss remains
2026-10-21 vs Octagonal Disposition Gaming: UR ban Haven; ODG ban Summit; UR pick Abyss; ODG pick Split; UR ban Ascent; ODG ban Sunset; Lotus remains
2026-09-12 vs Any Questions Gaming: UR ban Haven; AQ ban Summit; UR pick Abyss; AQ pick Lotus; UR pick Sunset; AQ pick Ascent; Split remains
2026-09-11 vs KeepBest Gaming: KBG ban Lotus; UR ban Haven; KBG pick Split; UR pick Sunset; KBG ban Summit; UR ban Ascent; Abyss remains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</si>
  <si>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</si>
  <si>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</si>
  <si>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</si>
  <si>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</si>
  <si>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</si>
  <si>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</si>
  <si>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Haven</t>
  </si>
  <si>
    <t xml:space="preserve">20%</t>
  </si>
  <si>
    <t xml:space="preserve">71%</t>
  </si>
  <si>
    <t xml:space="preserve">36%</t>
  </si>
  <si>
    <t xml:space="preserve">6% | 30% | 30% | 28% | 6%</t>
  </si>
  <si>
    <t xml:space="preserve">22.1</t>
  </si>
  <si>
    <t xml:space="preserve">Sunset</t>
  </si>
  <si>
    <t xml:space="preserve">14%</t>
  </si>
  <si>
    <t xml:space="preserve">52%</t>
  </si>
  <si>
    <t xml:space="preserve">48%</t>
  </si>
  <si>
    <t xml:space="preserve">37%</t>
  </si>
  <si>
    <t xml:space="preserve">8% | 32% | 30% | 25% | 5%</t>
  </si>
  <si>
    <t xml:space="preserve">22.0</t>
  </si>
  <si>
    <t xml:space="preserve">Abyss</t>
  </si>
  <si>
    <t xml:space="preserve">58%</t>
  </si>
  <si>
    <t xml:space="preserve">11%</t>
  </si>
  <si>
    <t xml:space="preserve">67%</t>
  </si>
  <si>
    <t xml:space="preserve">44%</t>
  </si>
  <si>
    <t xml:space="preserve">5% | 24% | 30% | 34% | 8%</t>
  </si>
  <si>
    <t xml:space="preserve">Ascent</t>
  </si>
  <si>
    <t xml:space="preserve">69%</t>
  </si>
  <si>
    <t xml:space="preserve">40%</t>
  </si>
  <si>
    <t xml:space="preserve">Breeze</t>
  </si>
  <si>
    <t xml:space="preserve">27%</t>
  </si>
  <si>
    <t xml:space="preserve">6% | 27% | 30% | 30% | 7%</t>
  </si>
  <si>
    <t xml:space="preserve">Lotus</t>
  </si>
  <si>
    <t xml:space="preserve">17%</t>
  </si>
  <si>
    <t xml:space="preserve">62%</t>
  </si>
  <si>
    <t xml:space="preserve">50%</t>
  </si>
  <si>
    <t xml:space="preserve">55%</t>
  </si>
  <si>
    <t xml:space="preserve">5% | 25% | 30% | 32% | 8%</t>
  </si>
  <si>
    <t xml:space="preserve">Split</t>
  </si>
  <si>
    <t xml:space="preserve">51%</t>
  </si>
  <si>
    <t xml:space="preserve">7% | 30% | 30% | 28% | 6%</t>
  </si>
  <si>
    <t xml:space="preserve">Summit</t>
  </si>
  <si>
    <t xml:space="preserve">64%</t>
  </si>
  <si>
    <t xml:space="preserve">56%</t>
  </si>
  <si>
    <t xml:space="preserve">CS2 · EF vs BIG   |   11:00 UTC   |   Bo3   |   Win: EF 44% – BIG 56%   |   2-0 21% · 2-1 23% · 1-2 27% · 0-2 29%</t>
  </si>
  <si>
    <t xml:space="preserve">Eternal Fire (EF)</t>
  </si>
  <si>
    <t xml:space="preserve">BIG (BIG)</t>
  </si>
  <si>
    <t xml:space="preserve">HLTV: #30 · VRS: #32</t>
  </si>
  <si>
    <t xml:space="preserve">HLTV: #33 · VRS: #28</t>
  </si>
  <si>
    <t xml:space="preserve">6-4   W L W L L W W W L W</t>
  </si>
  <si>
    <t xml:space="preserve">3-7   L L W W L L L W L L</t>
  </si>
  <si>
    <t xml:space="preserve">+0.7</t>
  </si>
  <si>
    <t xml:space="preserve">-2.3</t>
  </si>
  <si>
    <t xml:space="preserve">62-42 (60%)</t>
  </si>
  <si>
    <t xml:space="preserve">28-25 (53%)</t>
  </si>
  <si>
    <t xml:space="preserve">+5.3 / -4.5</t>
  </si>
  <si>
    <t xml:space="preserve">+5.4 / -5.5</t>
  </si>
  <si>
    <t xml:space="preserve">12 / 6</t>
  </si>
  <si>
    <t xml:space="preserve">7 / 7</t>
  </si>
  <si>
    <t xml:space="preserve">55.3% (115-93) · R2 conv 80.9% · R2 break 16.1%</t>
  </si>
  <si>
    <t xml:space="preserve">6 series · 18 maps · team 85.6 kills/map
jottAAA 21.9% (18.7/map)
Kvem 21.3% (18.3/map)
regali 19.9% (17.1/map)
MisteM 18.8% (16.1/map)
soulfly 18.0% (15.4/map)</t>
  </si>
  <si>
    <t xml:space="preserve">6 series · 14 maps · team 69.1 kills/map
blameF 22.8% (15.7/map)
faveN 21.0% (14.5/map)
gr1ks 20.4% (14.1/map)
JDC 20.2% (13.9/map)
tabseN 15.7% (10.9/map)</t>
  </si>
  <si>
    <t xml:space="preserve">2 - 1  Eternal Fire vs Nemesis
1 - 2  Eternal Fire vs MIBR
2 - 1  Eternal Fire vs SINNERS
2 - 1  Eternal Fire vs JiJieHao
1 - 2  Eternal Fire vs SINNERS</t>
  </si>
  <si>
    <t xml:space="preserve">0 - 2  BIG vs fnatic
2 - 1  BIG vs magic
1 - 2  BIG vs The MongolZ
0 - 2  BIG vs PARIVISION
2 - 0  BIG vs The MongolZ</t>
  </si>
  <si>
    <t xml:space="preserve">First ban: Nuke×4, Mirage×1   First pick: Ancient×2, Cache×2
28th of Octo  Eternal Fire vs Nemesis:  us ban Nuke · opp ban Anubis · us pick Dust2 · opp pick Cache · opp ban Inferno · us ban Mirage · left Ancient
27th of Octo  Eternal Fire vs MIBR:  us ban Nuke · opp ban Dust2 · us pick Ancient · opp pick Mirage · opp ban Cache · us ban Inferno · left Anubis
23rd of Octo  Eternal Fire vs SINNERS:  opp ban Anubis · us ban Nuke · opp pick Mirage · us pick Cache · us ban Inferno · opp ban Dust2 · left Ancient
23rd of Octo  Eternal Fire vs JiJieHao:  us ban Mirage · opp ban Cache · us pick Ancient · opp pick Inferno · opp ban Dust2 · us ban Nuke · left Anubis
22nd of Octo  Eternal Fire vs SINNERS:  opp ban Anubis · us ban Nuke · opp pick Mirage · us pick Cache · us ban Inferno · opp ban Dust2 · left Ancient</t>
  </si>
  <si>
    <t xml:space="preserve">First ban: Dust2×3, Anubis×1   First pick: Cache×4, Inferno×1
28th of Octo  BIG vs fnatic:  opp ban Nuke · us ban Anubis · opp pick Ancient · us pick Inferno · us ban Cache · opp ban Dust2 · left Mirage
27th of Octo  BIG vs magic:  opp ban Nuke · us ban Dust2 · opp pick Ancient · us pick Cache · us ban Anubis · opp ban Inferno · left Mirage
22nd of Octo  BIG vs The MongolZ:  us ban Dust2 · opp ban Anubis · us pick Cache · opp pick Inferno · opp ban Nuke · us ban Ancient · left Mirage
21st of Octo  BIG vs PARIVISION:  us ban Ancient · opp ban Nuke · us pick Cache · opp pick Dust2 · opp ban Anubis · us ban Inferno · left Mirage
20th of Octo  BIG vs The MongolZ:  us ban Dust2 · opp ban Anubis · us pick Cache · opp pick Mirage · opp ban Nuke · us ban Ancient · left Inferno</t>
  </si>
  <si>
    <t xml:space="preserve">24%</t>
  </si>
  <si>
    <t xml:space="preserve">13-9</t>
  </si>
  <si>
    <t xml:space="preserve">57.5%</t>
  </si>
  <si>
    <t xml:space="preserve">48.5%</t>
  </si>
  <si>
    <t xml:space="preserve">25/44</t>
  </si>
  <si>
    <t xml:space="preserve">9-6</t>
  </si>
  <si>
    <t xml:space="preserve">43.8%</t>
  </si>
  <si>
    <t xml:space="preserve">60.4%</t>
  </si>
  <si>
    <t xml:space="preserve">12/30</t>
  </si>
  <si>
    <t xml:space="preserve">7% | 30% | 30% | 27% | 5%</t>
  </si>
  <si>
    <t xml:space="preserve">16-6</t>
  </si>
  <si>
    <t xml:space="preserve">+2.5</t>
  </si>
  <si>
    <t xml:space="preserve">60.2%</t>
  </si>
  <si>
    <t xml:space="preserve">50.2%</t>
  </si>
  <si>
    <t xml:space="preserve">3-6</t>
  </si>
  <si>
    <t xml:space="preserve">-0.7</t>
  </si>
  <si>
    <t xml:space="preserve">42.7%</t>
  </si>
  <si>
    <t xml:space="preserve">54.6%</t>
  </si>
  <si>
    <t xml:space="preserve">11/18</t>
  </si>
  <si>
    <t xml:space="preserve">10% | 38% | 29% | 20% | 3%</t>
  </si>
  <si>
    <t xml:space="preserve">7-11</t>
  </si>
  <si>
    <t xml:space="preserve">-1.3</t>
  </si>
  <si>
    <t xml:space="preserve">48.6%</t>
  </si>
  <si>
    <t xml:space="preserve">45.3%</t>
  </si>
  <si>
    <t xml:space="preserve">18/36</t>
  </si>
  <si>
    <t xml:space="preserve">6-6</t>
  </si>
  <si>
    <t xml:space="preserve">-0.8</t>
  </si>
  <si>
    <t xml:space="preserve">50.0%</t>
  </si>
  <si>
    <t xml:space="preserve">4/24</t>
  </si>
  <si>
    <t xml:space="preserve">5% | 27% | 30% | 30% | 7%</t>
  </si>
  <si>
    <t xml:space="preserve">7-6</t>
  </si>
  <si>
    <t xml:space="preserve">+0.1</t>
  </si>
  <si>
    <t xml:space="preserve">47.0%</t>
  </si>
  <si>
    <t xml:space="preserve">53.2%</t>
  </si>
  <si>
    <t xml:space="preserve">13/26</t>
  </si>
  <si>
    <t xml:space="preserve">13-4</t>
  </si>
  <si>
    <t xml:space="preserve">61.0%</t>
  </si>
  <si>
    <t xml:space="preserve">53.4%</t>
  </si>
  <si>
    <t xml:space="preserve">19/34</t>
  </si>
  <si>
    <t xml:space="preserve">+0.0</t>
  </si>
  <si>
    <t xml:space="preserve">56.2%</t>
  </si>
  <si>
    <t xml:space="preserve">42.1%</t>
  </si>
  <si>
    <t xml:space="preserve">11% | 38% | 29% | 19% | 3%</t>
  </si>
  <si>
    <t xml:space="preserve">+1.7</t>
  </si>
  <si>
    <t xml:space="preserve">54.3%</t>
  </si>
  <si>
    <t xml:space="preserve">54.7%</t>
  </si>
  <si>
    <t xml:space="preserve">15/24</t>
  </si>
  <si>
    <t xml:space="preserve">6-4</t>
  </si>
  <si>
    <t xml:space="preserve">43.7%</t>
  </si>
  <si>
    <t xml:space="preserve">57.0%</t>
  </si>
  <si>
    <t xml:space="preserve">7/20</t>
  </si>
  <si>
    <t xml:space="preserve">8% | 33% | 30% | 24% | 5%</t>
  </si>
  <si>
    <t xml:space="preserve">2-1</t>
  </si>
  <si>
    <t xml:space="preserve">69.4%</t>
  </si>
  <si>
    <t xml:space="preserve">4/6</t>
  </si>
  <si>
    <t xml:space="preserve">5% | 26% | 30% | 31% | 7%</t>
  </si>
  <si>
    <t xml:space="preserve">CS2 · VIT vs NAVI   |   11:00 UTC   |   Bo3   |   Win: VIT 71% – NAVI 29%   |   2-0 40% · 2-1 31% · 1-2 15% · 0-2 13%</t>
  </si>
  <si>
    <t xml:space="preserve">Vitality (VIT)</t>
  </si>
  <si>
    <t xml:space="preserve">Natus Vincere (NAVI)</t>
  </si>
  <si>
    <t xml:space="preserve">HLTV: #2 · VRS: #1</t>
  </si>
  <si>
    <t xml:space="preserve">HLTV: #11 · VRS: #11</t>
  </si>
  <si>
    <t xml:space="preserve">8-2   W W L L W W W W W W</t>
  </si>
  <si>
    <t xml:space="preserve">5-5   W L W L L L L W W W</t>
  </si>
  <si>
    <t xml:space="preserve">+3.9</t>
  </si>
  <si>
    <t xml:space="preserve">+1.0</t>
  </si>
  <si>
    <t xml:space="preserve">45-18 (71%)</t>
  </si>
  <si>
    <t xml:space="preserve">20-22 (48%)</t>
  </si>
  <si>
    <t xml:space="preserve">+6.4 / -4.9</t>
  </si>
  <si>
    <t xml:space="preserve">+5.9 / -5.5</t>
  </si>
  <si>
    <t xml:space="preserve">17 / 3</t>
  </si>
  <si>
    <t xml:space="preserve">7 / 4</t>
  </si>
  <si>
    <t xml:space="preserve">6 series · 15 maps · team 71.6 kills/map
ZywOo 25.8% (18.5/map)
flameZ 20.8% (14.9/map)
ropz 20.7% (14.8/map)
mezii 16.3% (11.7/map)
jL 10.3% (12.3/map)
apEX 6.1% (11.0/map)</t>
  </si>
  <si>
    <t xml:space="preserve">6 series · 14 maps · team 73.2 kills/map
w0nderful 24.3% (17.8/map)
makazze 22.1% (16.2/map)
iM 18.8% (13.8/map)
b1t 18.7% (13.7/map)
Aleksib 16.0% (11.7/map)</t>
  </si>
  <si>
    <t xml:space="preserve">2 - 0  Vitality vs Natus Vincere
1 - 2  Vitality vs FUT
2 - 0  Vitality vs The MongolZ
2 - 0  Vitality vs 9z
3 - 0  Vitality vs MOUZ</t>
  </si>
  <si>
    <t xml:space="preserve">1 - 2  Spirit vs Natus Vincere
2 - 1  Natus Vincere vs Spirit
0 - 2  Natus Vincere vs Vitality
0 - 2  Natus Vincere vs BETBOOM
2 - 0  Natus Vincere vs FURIA</t>
  </si>
  <si>
    <t xml:space="preserve">First ban: Ancient×5   First pick: Cache×3, Dust2×2
27th of Octo  Vitality vs Natus Vincere:  opp ban Cache · us ban Ancient · opp pick Inferno · us pick Dust2 · us ban Anubis · opp ban Nuke · left Mirage
26th of Octo  Vitality vs FUT:  opp ban Inferno · us ban Ancient · opp pick Mirage · us pick Dust2 · us ban Nuke · opp ban Cache · left Anubis
25th of Octo  Vitality vs The MongolZ:  opp ban Anubis · us ban Ancient · opp pick Inferno · us pick Cache · us ban Nuke · opp ban Dust2 · left Mirage
24th of Octo  Vitality vs 9z:  opp ban Anubis · us ban Ancient · opp pick Mirage · us pick Cache · us ban Nuke · opp ban Inferno · left Dust2
11th of Octo  Vitality vs MOUZ:  us ban Ancient · opp ban Anubis · us pick Cache · opp pick Inferno · us pick Dust2 · opp pick Mirage · left Nuke</t>
  </si>
  <si>
    <t xml:space="preserve">First ban: Nuke×2, Cache×1   First pick: Cache×2, Inferno×1
28th of Octo  Spirit vs Natus Vincere:  us ban Nuke · opp ban Inferno · us pick Cache · opp pick Dust2 · opp ban Mirage · us ban Ancient · left Anubis
28th of Octo  Natus Vincere vs Spirit:  us ban Nuke · opp ban Inferno · us pick Cache · opp pick Dust2 · opp ban Mirage · us ban Ancient · left Anubis
27th of Octo  Natus Vincere vs Vitality:  us ban Cache · opp ban Ancient · us pick Inferno · opp pick Dust2 · opp ban Anubis · us ban Nuke · left Mirage
26th of Octo  Natus Vincere vs BETBOOM:  us ban Anubis · opp ban Inferno · us pick Dust2 · opp pick Nuke · opp ban Cache · us ban Ancient · left Mirage
25th of Octo  Natus Vincere vs FURIA:  us ban Mirage · opp ban Anubis · us pick Ancient · opp pick Dust2 · opp ban Cache · us ban Nuke · left Inferno</t>
  </si>
  <si>
    <t xml:space="preserve">13-3</t>
  </si>
  <si>
    <t xml:space="preserve">+4.5</t>
  </si>
  <si>
    <t xml:space="preserve">66.5%</t>
  </si>
  <si>
    <t xml:space="preserve">56.4%</t>
  </si>
  <si>
    <t xml:space="preserve">21/32</t>
  </si>
  <si>
    <t xml:space="preserve">38.3%</t>
  </si>
  <si>
    <t xml:space="preserve">3/10</t>
  </si>
  <si>
    <t xml:space="preserve">14% | 42% | 27% | 15% | 2%</t>
  </si>
  <si>
    <t xml:space="preserve">9-3</t>
  </si>
  <si>
    <t xml:space="preserve">59.1%</t>
  </si>
  <si>
    <t xml:space="preserve">53.3%</t>
  </si>
  <si>
    <t xml:space="preserve">10/24</t>
  </si>
  <si>
    <t xml:space="preserve">2-6</t>
  </si>
  <si>
    <t xml:space="preserve">-3.4</t>
  </si>
  <si>
    <t xml:space="preserve">50.6%</t>
  </si>
  <si>
    <t xml:space="preserve">33.7%</t>
  </si>
  <si>
    <t xml:space="preserve">6/16</t>
  </si>
  <si>
    <t xml:space="preserve">13% | 42% | 27% | 15% | 2%</t>
  </si>
  <si>
    <t xml:space="preserve">18%</t>
  </si>
  <si>
    <t xml:space="preserve">+5.1</t>
  </si>
  <si>
    <t xml:space="preserve">72.2%</t>
  </si>
  <si>
    <t xml:space="preserve">50.7%</t>
  </si>
  <si>
    <t xml:space="preserve">10/16</t>
  </si>
  <si>
    <t xml:space="preserve">4-6</t>
  </si>
  <si>
    <t xml:space="preserve">-0.9</t>
  </si>
  <si>
    <t xml:space="preserve">39.4%</t>
  </si>
  <si>
    <t xml:space="preserve">56.0%</t>
  </si>
  <si>
    <t xml:space="preserve">9/20</t>
  </si>
  <si>
    <t xml:space="preserve">12% | 41% | 28% | 17% | 3%</t>
  </si>
  <si>
    <t xml:space="preserve">22.2</t>
  </si>
  <si>
    <t xml:space="preserve">1-3</t>
  </si>
  <si>
    <t xml:space="preserve">-4.8</t>
  </si>
  <si>
    <t xml:space="preserve">41.9%</t>
  </si>
  <si>
    <t xml:space="preserve">35.4%</t>
  </si>
  <si>
    <t xml:space="preserve">9% | 35% | 30% | 22% | 4%</t>
  </si>
  <si>
    <t xml:space="preserve">55.8%</t>
  </si>
  <si>
    <t xml:space="preserve">43.0%</t>
  </si>
  <si>
    <t xml:space="preserve">3-1</t>
  </si>
  <si>
    <t xml:space="preserve">+3.8</t>
  </si>
  <si>
    <t xml:space="preserve">59.0%</t>
  </si>
  <si>
    <t xml:space="preserve">58.7%</t>
  </si>
  <si>
    <t xml:space="preserve">4/8</t>
  </si>
  <si>
    <t xml:space="preserve">4% | 23% | 30% | 35% | 9%</t>
  </si>
  <si>
    <t xml:space="preserve">9-1</t>
  </si>
  <si>
    <t xml:space="preserve">+5.2</t>
  </si>
  <si>
    <t xml:space="preserve">67.0%</t>
  </si>
  <si>
    <t xml:space="preserve">58.6%</t>
  </si>
  <si>
    <t xml:space="preserve">10/20</t>
  </si>
  <si>
    <t xml:space="preserve">+4.8</t>
  </si>
  <si>
    <t xml:space="preserve">75.5%</t>
  </si>
  <si>
    <t xml:space="preserve">49.0%</t>
  </si>
  <si>
    <t xml:space="preserve">5/10</t>
  </si>
  <si>
    <t xml:space="preserve">62.2%</t>
  </si>
  <si>
    <t xml:space="preserve">38.8%</t>
  </si>
  <si>
    <t xml:space="preserve">9/14</t>
  </si>
  <si>
    <t xml:space="preserve">4-2</t>
  </si>
  <si>
    <t xml:space="preserve">65.3%</t>
  </si>
  <si>
    <t xml:space="preserve">40.7%</t>
  </si>
  <si>
    <t xml:space="preserve">5/12</t>
  </si>
  <si>
    <t xml:space="preserve">6% | 26% | 31% | 30% | 7%</t>
  </si>
  <si>
    <t xml:space="preserve">VAL · TEC vs WSIG   |   11:00 UTC   |   Bo3   |   Win: TEC 62% – WSIG 38%   |   2-0 36% · 2-1 26% · 1-2 18% · 0-2 21%</t>
  </si>
  <si>
    <t xml:space="preserve">Titan Esports Club (TEC)</t>
  </si>
  <si>
    <t xml:space="preserve">WS Invictus Gaming (WSIG)</t>
  </si>
  <si>
    <t xml:space="preserve">Current Rank 12 China · Rating 1512 · Record 35W 55L</t>
  </si>
  <si>
    <t xml:space="preserve">Unranked · Rating N/A · Record N/A</t>
  </si>
  <si>
    <t xml:space="preserve">13-13</t>
  </si>
  <si>
    <t xml:space="preserve">+5.0 / -6.2</t>
  </si>
  <si>
    <t xml:space="preserve">+7.0 / -3.0</t>
  </si>
  <si>
    <t xml:space="preserve">3 / 5</t>
  </si>
  <si>
    <t xml:space="preserve">1 / 0</t>
  </si>
  <si>
    <t xml:space="preserve">10 series · 26 maps · team 73.5 kills/map
ra1ny 22.1% (16.3/map)
Dynamite 21.9% (16.1/map)
Coco 19.0% (14.0/map)
Haodong 18.6% (13.7/map)
lucas 18.5% (13.6/map)</t>
  </si>
  <si>
    <t xml:space="preserve">2 series · 4 maps · team 79.2 kills/map
Ye 23.0% (18.2/map)
Ending 20.2% (16.0/map)
jowa 16.1% (12.8/map)
M1ng929 16.1% (12.8/map)
Apathy 12.9% (10.2/map)
Ugly 11.7% (9.2/map)</t>
  </si>
  <si>
    <t xml:space="preserve">2026-10-24  Titan Esports Club vs Dragon Ranger Gaming  Summit:7-13:P,Ascent:8-13:P
2026-10-23  Titan Esports Club vs Unsettled Resentment  Summit:13-6:P,Split:14-12:P
2026-09-09  Wuxi Titan Esports Club (Titan Esports Club) vs Unsettled Resentment  Split:13-4:P,Lotus:5-13:P,Summit:5-13:
2026-09-04  Wuxi Titan Esports Club (Titan Esports Club) vs TYLOO  Abyss:5-13:P,Split:19-17:P,Summit:13-2:
2026-08-16  Wuxi Titan Esports Club (Titan Esports Club) vs Nova Esports  Summit:11-13:P,Sunset:8-13:P</t>
  </si>
  <si>
    <t xml:space="preserve">2026-10-27  Wolves Esports vs World Sports Invictus Gaming  Lotus:7-13:P,Split:5-13:P
2026-10-21  Any Questions Gaming vs World Sports Invictus Gaming  Lotus:13-9:P,Summit:14-12:P
2026-07-26  World Sports Invictus Gaming vs Unsettled Resentment  
2026-07-25  Any Questions Gaming vs World Sports Invictus Gaming  
2026-07-23  World Sports Invictus Gaming vs Unsettled Resentment  </t>
  </si>
  <si>
    <t xml:space="preserve">2026-10-24 vs Dragon Ranger Gaming: TEC ban Lotus; DRG ban Abyss; TEC pick Summit; DRG pick Ascent; TEC ban Sunset; DRG ban Haven; Split remains
2026-10-23 vs Unsettled Resentment: UR ban Haven; TEC ban Lotus; UR pick Summit; TEC pick Split; UR ban Ascent; TEC ban Sunset; Abyss remains
2026-09-09 vs Unsettled Resentment: TEC ban Sunset; UR ban Haven; TEC pick Split; UR pick Lotus; TEC ban Abyss; UR ban Ascent; Summit remains
2026-09-04 vs TYLOO: TYL ban Haven; TEC ban Sunset; TYL pick Abyss; TEC pick Split; TYL ban Lotus; TEC ban Ascent; Summit remains
2026-08-16 vs Nova Esports: TEC ban Lotus; NOVA ban Haven; TEC pick Summit; NOVA pick Sunset; TEC ban Breeze; NOVA ban Split; Ascent remains</t>
  </si>
  <si>
    <t xml:space="preserve">2026-10-27 vs Wolves Esports: WSIG ban Ascent; WOL ban Abyss; WSIG pick Lotus; WOL pick Split; WSIG ban Haven; WOL ban Sunset; Summit remains
2026-10-21 vs Any Questions Gaming: WSIG ban Haven; AQ ban Split; WSIG pick Lotus; AQ pick Summit; WSIG ban Ascent; AQ ban Abyss; Sunset remains
2026-07-26 vs Unsettled Resentment: 
2026-07-25 vs Any Questions Gaming: 
2026-07-23 vs Unsettled Resentment: </t>
  </si>
  <si>
    <t xml:space="preserve">28%</t>
  </si>
  <si>
    <t xml:space="preserve">30%</t>
  </si>
  <si>
    <t xml:space="preserve">46%</t>
  </si>
  <si>
    <t xml:space="preserve">4% | 21% | 29% | 37% | 10%</t>
  </si>
  <si>
    <t xml:space="preserve">21.9</t>
  </si>
  <si>
    <t xml:space="preserve">75%</t>
  </si>
  <si>
    <t xml:space="preserve">7% | 30% | 30% | 27% | 6%</t>
  </si>
  <si>
    <t xml:space="preserve">25%</t>
  </si>
  <si>
    <t xml:space="preserve">33%</t>
  </si>
  <si>
    <t xml:space="preserve">45%</t>
  </si>
  <si>
    <t xml:space="preserve">57%</t>
  </si>
  <si>
    <t xml:space="preserve">6% | 29% | 30% | 28% | 6%</t>
  </si>
  <si>
    <t xml:space="preserve">6% | 28% | 30% | 29% | 6%</t>
  </si>
  <si>
    <t xml:space="preserve">42%</t>
  </si>
  <si>
    <t xml:space="preserve">0%</t>
  </si>
  <si>
    <t xml:space="preserve">61%</t>
  </si>
  <si>
    <t xml:space="preserve">31%</t>
  </si>
  <si>
    <t xml:space="preserve">8% | 33% | 30% | 25% | 5%</t>
  </si>
  <si>
    <t xml:space="preserve">CS2 · FaZe vs GL   |   12:00 UTC   |   Bo3   |   Win: FaZe 62% – GL 38%   |   2-0 32% · 2-1 29% · 1-2 20% · 0-2 18%</t>
  </si>
  <si>
    <t xml:space="preserve">FaZe (FaZe)</t>
  </si>
  <si>
    <t xml:space="preserve">GamerLegion (GL)</t>
  </si>
  <si>
    <t xml:space="preserve">HLTV: #18 · VRS: #18</t>
  </si>
  <si>
    <t xml:space="preserve">HLTV: #27 · VRS: #39</t>
  </si>
  <si>
    <t xml:space="preserve">7-3   W W W W L L W L W W</t>
  </si>
  <si>
    <t xml:space="preserve">5-5   W W L L W L W L L W</t>
  </si>
  <si>
    <t xml:space="preserve">+2.8</t>
  </si>
  <si>
    <t xml:space="preserve">-0.1</t>
  </si>
  <si>
    <t xml:space="preserve">27-22 (55%)</t>
  </si>
  <si>
    <t xml:space="preserve">28-26 (52%)</t>
  </si>
  <si>
    <t xml:space="preserve">+5.2 / -3.8</t>
  </si>
  <si>
    <t xml:space="preserve">+5.1 / -5.0</t>
  </si>
  <si>
    <t xml:space="preserve">4 / 1</t>
  </si>
  <si>
    <t xml:space="preserve">7 / 5</t>
  </si>
  <si>
    <t xml:space="preserve">6 series · 15 maps · team 73.3 kills/map
JBOEN 22.3% (16.3/map)
frozen 20.9% (15.3/map)
Twistzz 20.2% (14.8/map)
jcobbb 19.2% (14.1/map)
Neityu 17.4% (12.7/map)</t>
  </si>
  <si>
    <t xml:space="preserve">6 series · 15 maps · team 72.0 kills/map
Tauson 20.9% (15.1/map)
hypex 19.6% (14.1/map)
REZ 19.5% (14.1/map)
FL4MUS 18.7% (16.8/map)
Snax 10.6% (14.4/map)
shalfey 7.9% (12.1/map)
Grashog 2.7% (9.7/map) (sub)</t>
  </si>
  <si>
    <t xml:space="preserve">2 - 0  FaZe vs K27
2 - 0  FaZe vs Alliance
0 - 2  FaZe vs BC.Game
2 - 1  FaZe vs HEROIC
2 - 1  FaZe vs Envy</t>
  </si>
  <si>
    <t xml:space="preserve">2 - 0  GamerLegion vs Envy
0 - 2  GamerLegion vs HOTU
2 - 1  GamerLegion vs Envy
1 - 2  GamerLegion vs EYEBALLERS
0 - 2  GamerLegion vs ex-RUSTEC</t>
  </si>
  <si>
    <t xml:space="preserve">First ban: Inferno×5   First pick: Mirage×2, Dust2×1
27th of Octo  FaZe vs K27:  us ban Inferno · opp ban Ancient · us pick Dust2 · opp pick Nuke · us ban Mirage · opp ban Anubis · left Cache
27th of Octo  FaZe vs Alliance:  opp ban Cache · us ban Inferno · opp pick Ancient · us pick Mirage · opp ban Nuke · us ban Anubis · left Dust2
22nd of Octo  FaZe vs BC.Game:  opp ban Anubis · us ban Inferno · opp pick Dust2 · us pick Nuke · us ban Ancient · opp ban Cache · left Mirage
21st of Octo  FaZe vs HEROIC:  us ban Inferno · opp ban Anubis · us pick Mirage · opp pick Ancient · opp ban Cache · us ban Dust2 · left Nuke
21st of Octo  FaZe vs Envy:  us ban Inferno · opp ban Mirage · us pick Ancient · opp pick Dust2 · opp ban Cache · us ban Nuke · left Anubis</t>
  </si>
  <si>
    <t xml:space="preserve">First ban: Anubis×5   First pick: Nuke×2, Cache×1
28th of Octo  GamerLegion vs Envy:  opp ban Mirage · us ban Anubis · opp pick Dust2 · us pick Nuke · opp ban Cache · us ban Inferno · left Ancient
28th of Octo  GamerLegion vs HOTU:  us ban Anubis · opp ban Inferno · us pick Cache · opp pick Dust2 · us ban Mirage · opp ban Nuke · left Ancient
27th of Octo  GamerLegion vs Envy:  opp ban Mirage · us ban Anubis · opp pick Dust2 · us pick Ancient · opp ban Cache · us ban Inferno · left Nuke
17th of Octo  GamerLegion vs EYEBALLERS:  opp ban Cache · us ban Anubis · opp pick Mirage · us pick Nuke · us ban Dust2 · opp ban Ancient · left Inferno
16th of Octo  GamerLegion vs ex-RUSTEC:  opp ban Cache · us ban Anubis · opp pick Dust2 · us pick Inferno · us ban Mirage · opp ban Ancient · left Nuke</t>
  </si>
  <si>
    <t xml:space="preserve">22%</t>
  </si>
  <si>
    <t xml:space="preserve">50.9%</t>
  </si>
  <si>
    <t xml:space="preserve">49.5%</t>
  </si>
  <si>
    <t xml:space="preserve">45.1%</t>
  </si>
  <si>
    <t xml:space="preserve">55.1%</t>
  </si>
  <si>
    <t xml:space="preserve">6% | 29% | 31% | 29% | 6%</t>
  </si>
  <si>
    <t xml:space="preserve">+3.4</t>
  </si>
  <si>
    <t xml:space="preserve">45.4%</t>
  </si>
  <si>
    <t xml:space="preserve">14/20</t>
  </si>
  <si>
    <t xml:space="preserve">7-4</t>
  </si>
  <si>
    <t xml:space="preserve">61.7%</t>
  </si>
  <si>
    <t xml:space="preserve">12/22</t>
  </si>
  <si>
    <t xml:space="preserve">9% | 32% | 31% | 23% | 5%</t>
  </si>
  <si>
    <t xml:space="preserve">47.7%</t>
  </si>
  <si>
    <t xml:space="preserve">6/18</t>
  </si>
  <si>
    <t xml:space="preserve">4-5</t>
  </si>
  <si>
    <t xml:space="preserve">12/18</t>
  </si>
  <si>
    <t xml:space="preserve">4% | 24% | 30% | 33% | 8%</t>
  </si>
  <si>
    <t xml:space="preserve">53.1%</t>
  </si>
  <si>
    <t xml:space="preserve">49.4%</t>
  </si>
  <si>
    <t xml:space="preserve">5/14</t>
  </si>
  <si>
    <t xml:space="preserve">56.8%</t>
  </si>
  <si>
    <t xml:space="preserve">11/20</t>
  </si>
  <si>
    <t xml:space="preserve">5% | 25% | 30% | 32% | 7%</t>
  </si>
  <si>
    <t xml:space="preserve">1-2</t>
  </si>
  <si>
    <t xml:space="preserve">-3.7</t>
  </si>
  <si>
    <t xml:space="preserve">35.5%</t>
  </si>
  <si>
    <t xml:space="preserve">46.2%</t>
  </si>
  <si>
    <t xml:space="preserve">2/6</t>
  </si>
  <si>
    <t xml:space="preserve">+3.2</t>
  </si>
  <si>
    <t xml:space="preserve">61.9%</t>
  </si>
  <si>
    <t xml:space="preserve">7/16</t>
  </si>
  <si>
    <t xml:space="preserve">2-7</t>
  </si>
  <si>
    <t xml:space="preserve">-2.6</t>
  </si>
  <si>
    <t xml:space="preserve">7/18</t>
  </si>
  <si>
    <t xml:space="preserve">12% | 41% | 27% | 17% | 3%</t>
  </si>
  <si>
    <t xml:space="preserve">CS2 · BAR vs BHE   |   13:00 UTC   |   Bo3   |   Win: BAR 62% – BHE 38%   |   2-0 32% · 2-1 29% · 1-2 20% · 0-2 18%</t>
  </si>
  <si>
    <t xml:space="preserve">BARCA (BAR)</t>
  </si>
  <si>
    <t xml:space="preserve">Bounty Hunters Esports (BHE)</t>
  </si>
  <si>
    <t xml:space="preserve">HLTV: #95 · VRS: #90</t>
  </si>
  <si>
    <t xml:space="preserve">HLTV: #77 · VRS: #100</t>
  </si>
  <si>
    <t xml:space="preserve">2-4   L L W L L W</t>
  </si>
  <si>
    <t xml:space="preserve">6-4   L W L W W L L W W W</t>
  </si>
  <si>
    <t xml:space="preserve">2-4 (33%)</t>
  </si>
  <si>
    <t xml:space="preserve">40-37 (52%)</t>
  </si>
  <si>
    <t xml:space="preserve">+9.0 / -5.0</t>
  </si>
  <si>
    <t xml:space="preserve">+5.4 / -6.1</t>
  </si>
  <si>
    <t xml:space="preserve">10 / 11</t>
  </si>
  <si>
    <t xml:space="preserve">48.1% (74-80) · R2 conv 75.7% · R2 break 17.5%</t>
  </si>
  <si>
    <t xml:space="preserve">2 series · 6 maps · team 60.2 kills/map
pancc 23.8% (14.3/map)
Alisson 20.5% (12.3/map)
divine 18.8% (11.3/map)
happ 18.6% (11.2/map)
zmb 18.3% (11.0/map)</t>
  </si>
  <si>
    <t xml:space="preserve">6 series · 13 maps · team 76.9 kills/map
zock 23.1% (17.8/map)
pepe 20.2% (18.4/map)
urban0 19.0% (14.6/map)
KAISER 18.8% (14.5/map)
ponter 15.4% (11.8/map)
JLK 3.5% (8.8/map) (sub)</t>
  </si>
  <si>
    <t xml:space="preserve">1 - 2  BARCA vs Galorys
1 - 2  BARCA vs paiN</t>
  </si>
  <si>
    <t xml:space="preserve">1 - 2  Bounty Hunters vs Galorys
2 - 0  Bounty Hunters vs BORRACHEIROS
0 - 2  Bounty Hunters vs LP
2 - 0  Bounty Hunters vs ALKA
2 - 0  Bounty Hunters vs Procyon</t>
  </si>
  <si>
    <t xml:space="preserve">First ban: Anubis×2   First pick: Inferno×2
21st of Octo  BARCA vs Galorys:  us ban Anubis · opp ban Mirage · us pick Inferno · opp pick Ancient · us ban Nuke · opp ban Cache · left Dust2
21st of Octo  BARCA vs paiN:  us ban Anubis · opp ban Ancient · us pick Inferno · opp pick Dust2 · us ban Nuke · opp ban Cache · left Mirage</t>
  </si>
  <si>
    <t xml:space="preserve">First ban: Inferno×5   First pick: Nuke×3, Cache×1
12th of Octo  Bounty Hunters vs Galorys:  us ban Inferno · opp ban Mirage · us pick Cache · opp pick Ancient · us ban Anubis · opp ban Dust2 · left Nuke
11th of Octo  Bounty Hunters vs BORRACHEIROS:  opp ban Cache · us ban Inferno · opp pick Mirage · us pick Ancient · opp ban Nuke · us ban Anubis · left Dust2
10th of Octo  Bounty Hunters vs LP:  us ban Inferno · opp ban Anubis · us pick Nuke · opp pick Ancient · us ban Dust2 · opp ban Cache · left Mirage
8th of Octob  Bounty Hunters vs ALKA:  opp ban Cache · us ban Inferno · opp pick Dust2 · us pick Nuke · opp ban Mirage · us ban Anubis · left Ancient
7th of Octob  Bounty Hunters vs Procyon:  opp ban Cache · us ban Inferno · opp pick Anubis · us pick Nuke · opp ban Mirage · us ban Dust2 · left Ancient</t>
  </si>
  <si>
    <t xml:space="preserve">-7.0</t>
  </si>
  <si>
    <t xml:space="preserve">33.3%</t>
  </si>
  <si>
    <t xml:space="preserve">28.6%</t>
  </si>
  <si>
    <t xml:space="preserve">0/2</t>
  </si>
  <si>
    <t xml:space="preserve">5-8</t>
  </si>
  <si>
    <t xml:space="preserve">43.3%</t>
  </si>
  <si>
    <t xml:space="preserve">15/26</t>
  </si>
  <si>
    <t xml:space="preserve">-4.0</t>
  </si>
  <si>
    <t xml:space="preserve">+0.4</t>
  </si>
  <si>
    <t xml:space="preserve">52.3%</t>
  </si>
  <si>
    <t xml:space="preserve">15/32</t>
  </si>
  <si>
    <t xml:space="preserve">10-8</t>
  </si>
  <si>
    <t xml:space="preserve">+0.3</t>
  </si>
  <si>
    <t xml:space="preserve">52.6%</t>
  </si>
  <si>
    <t xml:space="preserve">49.3%</t>
  </si>
  <si>
    <t xml:space="preserve">20/36</t>
  </si>
  <si>
    <t xml:space="preserve">51.5%</t>
  </si>
  <si>
    <t xml:space="preserve">0-2</t>
  </si>
  <si>
    <t xml:space="preserve">-4.5</t>
  </si>
  <si>
    <t xml:space="preserve">43.5%</t>
  </si>
  <si>
    <t xml:space="preserve">35.0%</t>
  </si>
  <si>
    <t xml:space="preserve">3/4</t>
  </si>
  <si>
    <t xml:space="preserve">48.1%</t>
  </si>
  <si>
    <t xml:space="preserve">+9.0</t>
  </si>
  <si>
    <t xml:space="preserve">83.3%</t>
  </si>
  <si>
    <t xml:space="preserve">6-8</t>
  </si>
  <si>
    <t xml:space="preserve">-2.5</t>
  </si>
  <si>
    <t xml:space="preserve">35.3%</t>
  </si>
  <si>
    <t xml:space="preserve">8/28</t>
  </si>
  <si>
    <t xml:space="preserve">CS2 · IMP vs QUIN   |   13:00 UTC   |   Bo3   |   Win: IMP 94% – QUIN 6%   |   2-0 78% · 2-1 16% · 1-2 3% · 0-2 4%</t>
  </si>
  <si>
    <t xml:space="preserve">Imperial (IMP)</t>
  </si>
  <si>
    <t xml:space="preserve">QUINTESSENCIA (QUIN)</t>
  </si>
  <si>
    <t xml:space="preserve">HLTV: #50 · VRS: #42</t>
  </si>
  <si>
    <t xml:space="preserve">HLTV: #189 · VRS: #233</t>
  </si>
  <si>
    <t xml:space="preserve">8-2   W W W W W L W W W L</t>
  </si>
  <si>
    <t xml:space="preserve">5-5   L L W W L L L W W W</t>
  </si>
  <si>
    <t xml:space="preserve">+0.8</t>
  </si>
  <si>
    <t xml:space="preserve">64-29 (69%)</t>
  </si>
  <si>
    <t xml:space="preserve">27-20 (57%)</t>
  </si>
  <si>
    <t xml:space="preserve">+5.9 / -4.6</t>
  </si>
  <si>
    <t xml:space="preserve">+5.3 / -5.8</t>
  </si>
  <si>
    <t xml:space="preserve">21 / 4</t>
  </si>
  <si>
    <t xml:space="preserve">5 / 5</t>
  </si>
  <si>
    <t xml:space="preserve">57.5% (107-79) · R2 conv 81.3% · R2 break 20.3%</t>
  </si>
  <si>
    <t xml:space="preserve">6 series · 13 maps · team 77.9 kills/map
VINI 21.4% (16.7/map)
decenty 20.7% (16.2/map)
saadzin 20.1% (15.7/map)
noway 19.2% (14.9/map)
chelo 18.6% (14.5/map)</t>
  </si>
  <si>
    <t xml:space="preserve">6 series · 14 maps · team 70.6 kills/map
prozinszsz 23.9% (16.9/map)
lipshawty 19.9% (14.1/map)
cz1k4 18.5% (13.1/map)
n0page 15.0% (10.6/map)
edv 14.6% (16.0/map)
mello 8.2% (16.2/map) (sub)</t>
  </si>
  <si>
    <t xml:space="preserve">2 - 0  Imperial vs paiN
2 - 0  Imperial vs BESTIA
2 - 1  Imperial vs paiN
2 - 0  Imperial vs ShindeN
0 - 2  Imperial vs BESTIA</t>
  </si>
  <si>
    <t xml:space="preserve">0 - 2  QUINTESSÊNCIA vs BORRACHEIROS
2 - 1  QUINTESSÊNCIA vs LOS NINOS
0 - 2  QUINTESSÊNCIA vs RED Canids Academy
2 - 0  QUINTESSÊNCIA vs DAMAJUANA
2 - 0  QUINTESSÊNCIA vs Martians</t>
  </si>
  <si>
    <t xml:space="preserve">First ban: Ancient×3, Dust2×2   First pick: Mirage×2, Cache×1
25th of Octo  Imperial vs paiN:  opp ban Inferno · us ban Dust2 · opp pick Anubis · us pick Cache · opp ban Mirage · us ban Nuke · left Ancient
24th of Octo  Imperial vs BESTIA:  us ban Ancient · opp ban Anubis · us pick Nuke · opp pick Dust2 · us ban Mirage · opp ban Cache · left Inferno
23rd of Octo  Imperial vs paiN:  us ban Dust2 · opp ban Cache · us pick Inferno · opp pick Anubis · us ban Nuke · opp ban Ancient · left Mirage
22nd of Octo  Imperial vs ShindeN:  opp ban Anubis · us ban Ancient · opp pick Dust2 · us pick Mirage · opp ban Cache · us ban Nuke · left Inferno
22nd of Octo  Imperial vs BESTIA:  opp ban Anubis · us ban Ancient · opp pick Dust2 · us pick Mirage · opp ban Nuke · us ban Cache · left Inferno</t>
  </si>
  <si>
    <t xml:space="preserve">First ban: Nuke×5   First pick: Dust2×3, Mirage×2
23rd of Octo  QUINTESSÊNCIA vs BORRACHEIROS:  opp ban Cache · us ban Nuke · opp pick Anubis · us pick Dust2 · opp ban Mirage · us ban Ancient · left Inferno
20th of Octo  QUINTESSÊNCIA vs LOS NINOS:  opp ban Cache · us ban Nuke · opp pick Ancient · us pick Mirage · opp ban Anubis · us ban Inferno · left Dust2
18th of Octo  QUINTESSÊNCIA vs RED Canids Academy:  us ban Nuke · opp ban Inferno · us pick Dust2 · opp pick Ancient · us ban Anubis · opp ban Cache · left Mirage
16th of Octo  QUINTESSÊNCIA vs DAMAJUANA:  opp ban Dust2 · us ban Nuke · opp pick Anubis · us pick Mirage · opp ban Ancient · us ban Inferno · left Cache
13th of Octo  QUINTESSÊNCIA vs Martians:  us ban Nuke · opp ban Cache · us pick Dust2 · opp pick Ancient · us ban Anubis · opp ban Inferno · left Mirage</t>
  </si>
  <si>
    <t xml:space="preserve">14-6</t>
  </si>
  <si>
    <t xml:space="preserve">64.1%</t>
  </si>
  <si>
    <t xml:space="preserve">19/40</t>
  </si>
  <si>
    <t xml:space="preserve">6-3</t>
  </si>
  <si>
    <t xml:space="preserve">+2.3</t>
  </si>
  <si>
    <t xml:space="preserve">10/18</t>
  </si>
  <si>
    <t xml:space="preserve">6% | 29% | 31% | 28% | 6%</t>
  </si>
  <si>
    <t xml:space="preserve">10-4</t>
  </si>
  <si>
    <t xml:space="preserve">+2.9</t>
  </si>
  <si>
    <t xml:space="preserve">50.4%</t>
  </si>
  <si>
    <t xml:space="preserve">6-5</t>
  </si>
  <si>
    <t xml:space="preserve">10/22</t>
  </si>
  <si>
    <t xml:space="preserve">48.2%</t>
  </si>
  <si>
    <t xml:space="preserve">23/40</t>
  </si>
  <si>
    <t xml:space="preserve">-1.2</t>
  </si>
  <si>
    <t xml:space="preserve">3/8</t>
  </si>
  <si>
    <t xml:space="preserve">10% | 37% | 29% | 20% | 4%</t>
  </si>
  <si>
    <t xml:space="preserve">3-7</t>
  </si>
  <si>
    <t xml:space="preserve">-2.1</t>
  </si>
  <si>
    <t xml:space="preserve">39.8%</t>
  </si>
  <si>
    <t xml:space="preserve">5/20</t>
  </si>
  <si>
    <t xml:space="preserve">9% | 35% | 30% | 23% | 4%</t>
  </si>
  <si>
    <t xml:space="preserve">56.1%</t>
  </si>
  <si>
    <t xml:space="preserve">12/20</t>
  </si>
  <si>
    <t xml:space="preserve">-2.0</t>
  </si>
  <si>
    <t xml:space="preserve">37.5%</t>
  </si>
  <si>
    <t xml:space="preserve">52.9%</t>
  </si>
  <si>
    <t xml:space="preserve">10% | 37% | 29% | 20% | 3%</t>
  </si>
  <si>
    <t xml:space="preserve">60.9%</t>
  </si>
  <si>
    <t xml:space="preserve">8-1</t>
  </si>
  <si>
    <t xml:space="preserve">+2.4</t>
  </si>
  <si>
    <t xml:space="preserve">57.1%</t>
  </si>
  <si>
    <t xml:space="preserve">7% | 32% | 30% | 26% | 5%</t>
  </si>
  <si>
    <t xml:space="preserve">+4.2</t>
  </si>
  <si>
    <t xml:space="preserve">71.2%</t>
  </si>
  <si>
    <t xml:space="preserve">50.8%</t>
  </si>
  <si>
    <t xml:space="preserve">2/2</t>
  </si>
  <si>
    <t xml:space="preserve">12% | 40% | 28% | 18% | 3%</t>
  </si>
  <si>
    <t xml:space="preserve">CS2 [NO MARKET] · 100T vs Arena Pro   |   13:00 UTC   |   Bo3</t>
  </si>
  <si>
    <t xml:space="preserve">100T (100T)</t>
  </si>
  <si>
    <t xml:space="preserve">Arena Pro (Arena Pro)</t>
  </si>
  <si>
    <t xml:space="preserve">HLTV: #35 · VRS: #25</t>
  </si>
  <si>
    <t xml:space="preserve">HLTV: UnrankedVRS: Unranked</t>
  </si>
  <si>
    <t xml:space="preserve">5-5   L L W L L W W W L W</t>
  </si>
  <si>
    <t xml:space="preserve">0-0   </t>
  </si>
  <si>
    <t xml:space="preserve">40-22 (65%)</t>
  </si>
  <si>
    <t xml:space="preserve">0-0 ()</t>
  </si>
  <si>
    <t xml:space="preserve">+6.5 / -6.0</t>
  </si>
  <si>
    <t xml:space="preserve"> / </t>
  </si>
  <si>
    <t xml:space="preserve">12 / 9</t>
  </si>
  <si>
    <t xml:space="preserve">0 / 0</t>
  </si>
  <si>
    <t xml:space="preserve">6 series · 15 maps · team 64.1 kills/map
poiii 23.9% (15.3/map)
device 22.9% (14.7/map)
rain 19.8% (12.7/map)
sirah 17.7% (11.3/map)
Gizmy 15.8% (10.1/map)</t>
  </si>
  <si>
    <t xml:space="preserve">1 - 2  100 Thieves vs HEROIC
0 - 2  100 Thieves vs MIBR
2 - 0  100 Thieves vs Sangal
2 - 1  100 Thieves vs Liquid
2 - 0  100 Thieves vs JiJieHao</t>
  </si>
  <si>
    <t xml:space="preserve">First ban: Cache×2, Inferno×1   First pick: Dust2×4, Mirage×1
17th of Octo  100 Thieves vs HEROIC:  us ban Cache · opp ban Anubis · us pick Dust2 · opp pick Inferno · us ban Nuke · opp ban Mirage · left Ancient
17th of Octo  100 Thieves vs MIBR:  opp ban Dust2 · us ban Inferno · opp pick Nuke · us pick Mirage · opp ban Anubis · us ban Ancient · left Cache
16th of Octo  100 Thieves vs Sangal:  opp ban Inferno · us ban Cache · opp pick Nuke · us pick Dust2 · opp ban Ancient · us ban Anubis · left Mirage
13th of Octo  100 Thieves vs Liquid:  us ban Anubis · opp ban Ancient · us pick Dust2 · opp pick Inferno · us ban Cache · opp ban Nuke · left Mirage
13th of Octo  100 Thieves vs JiJieHao:  opp ban Nuke · us ban Mirage · opp pick Cache · us pick Dust2 · opp ban Ancient · us ban Anubis · left Inferno</t>
  </si>
  <si>
    <t xml:space="preserve">First ban: —   First pick: —
</t>
  </si>
  <si>
    <t xml:space="preserve">13-1</t>
  </si>
  <si>
    <t xml:space="preserve">+5.9</t>
  </si>
  <si>
    <t xml:space="preserve">70.2%</t>
  </si>
  <si>
    <t xml:space="preserve">62.3%</t>
  </si>
  <si>
    <t xml:space="preserve">16/28</t>
  </si>
  <si>
    <t xml:space="preserve">17% | 46% | 24% | 12% | 2%</t>
  </si>
  <si>
    <t xml:space="preserve">21.8</t>
  </si>
  <si>
    <t xml:space="preserve">16/22</t>
  </si>
  <si>
    <t xml:space="preserve">7% | 32% | 30% | 25% | 5%</t>
  </si>
  <si>
    <t xml:space="preserve">66.0%</t>
  </si>
  <si>
    <t xml:space="preserve">43.6%</t>
  </si>
  <si>
    <t xml:space="preserve">42.5%</t>
  </si>
  <si>
    <t xml:space="preserve">59.7%</t>
  </si>
  <si>
    <t xml:space="preserve">7% | 30% | 31% | 28% | 6%</t>
  </si>
  <si>
    <t xml:space="preserve">52.8%</t>
  </si>
  <si>
    <t xml:space="preserve">3/6</t>
  </si>
  <si>
    <t xml:space="preserve">4-4</t>
  </si>
  <si>
    <t xml:space="preserve">-1.0</t>
  </si>
  <si>
    <t xml:space="preserve">51.2%</t>
  </si>
  <si>
    <t xml:space="preserve">5% | 27% | 30% | 31% | 7%</t>
  </si>
  <si>
    <t xml:space="preserve">5-4</t>
  </si>
  <si>
    <t xml:space="preserve">9/18</t>
  </si>
  <si>
    <t xml:space="preserve">CS2 · AST vs ICE   |   13:30 UTC   |   Bo3   |   Win: AST 52% – ICE 48%   |   2-0 27% · 2-1 25% · 1-2 26% · 0-2 22%</t>
  </si>
  <si>
    <t xml:space="preserve">Astralis (AST)</t>
  </si>
  <si>
    <t xml:space="preserve">Inner Circle (ICE)</t>
  </si>
  <si>
    <t xml:space="preserve">HLTV: #17 · VRS: #13</t>
  </si>
  <si>
    <t xml:space="preserve">HLTV: #39 · VRS: #27</t>
  </si>
  <si>
    <t xml:space="preserve">4-6   L L W W L L L L W W</t>
  </si>
  <si>
    <t xml:space="preserve">36-29 (55%)</t>
  </si>
  <si>
    <t xml:space="preserve">20-21 (49%)</t>
  </si>
  <si>
    <t xml:space="preserve">+6.1 / -3.6</t>
  </si>
  <si>
    <t xml:space="preserve">+6.7 / -5.1</t>
  </si>
  <si>
    <t xml:space="preserve">10 / 0</t>
  </si>
  <si>
    <t xml:space="preserve">6 / 5</t>
  </si>
  <si>
    <t xml:space="preserve">6 series · 17 maps · team 75.9 kills/map
ryu 22.5% (17.1/map)
Staehr 21.9% (16.6/map)
phzy 18.7% (14.2/map)
siuhy 13.4% (13.3/map)
cmtry 10.8% (14.0/map)
jabbi 8.8% (16.1/map)
HooXi 3.9% (12.5/map) (sub)</t>
  </si>
  <si>
    <t xml:space="preserve">6 series · 13 maps · team 67.6 kills/map
headtr1ck 22.4% (15.2/map)
cptkurtka023 21.0% (14.2/map)
Dawy 20.7% (14.0/map)
zeRRoFIX 19.5% (13.2/map)
onic 16.4% (11.1/map)</t>
  </si>
  <si>
    <t xml:space="preserve">2 - 1  Astralis vs magic
0 - 2  Astralis vs fnatic
1 - 2  Astralis vs MIBR
2 - 1  Astralis vs HOTU
2 - 0  Astralis vs Sashi</t>
  </si>
  <si>
    <t xml:space="preserve">0 - 2  Inner Circle vs MIBR
2 - 0  Inner Circle vs Nemesis
0 - 2  Inner Circle vs Sangal
0 - 2  Inner Circle vs Ninjas in Pyjamas
2 - 0  Inner Circle vs Sangal</t>
  </si>
  <si>
    <t xml:space="preserve">First ban: Anubis×5   First pick: Cache×2, Ancient×2
28th of Octo  Astralis vs magic:  opp ban Nuke · us ban Anubis · opp pick Dust2 · us pick Cache · us ban Inferno · opp ban Mirage · left Ancient
27th of Octo  Astralis vs fnatic:  opp ban Nuke · us ban Anubis · opp pick Cache · us pick Ancient · us ban Dust2 · opp ban Mirage · left Inferno
16th of Octo  Astralis vs MIBR:  opp ban Dust2 · us ban Anubis · opp pick Inferno · us pick Cache · opp ban Ancient · us ban Nuke · left Mirage
14th of Octo  Astralis vs HOTU:  opp ban Inferno · us ban Anubis · opp pick Dust2 · us pick Ancient · opp ban Mirage · us ban Cache · left Nuke
14th of Octo  Astralis vs Sashi:  opp ban Ancient · us ban Anubis · opp pick Nuke · us pick Mirage · opp ban Cache · us ban Dust2 · left Inferno</t>
  </si>
  <si>
    <t xml:space="preserve">First ban: Inferno×3, Nuke×2   First pick: Dust2×3, Ancient×1
28th of Octo  Inner Circle vs MIBR:  us ban Inferno · opp ban Dust2 · us pick Ancient · opp pick Nuke · opp ban Cache · us ban Anubis · left Mirage
27th of Octo  Inner Circle vs Nemesis:  opp ban Anubis · us ban Inferno · opp pick Nuke · us pick Mirage · us ban Ancient · opp ban Dust2 · left Cache
12th of Octo  Inner Circle vs Sangal:  us ban Nuke · opp ban Ancient · us pick Dust2 · opp pick Cache · us ban Anubis · opp ban Inferno · left Mirage
12th of Octo  Inner Circle vs Ninjas in Pyjamas:  opp ban Anubis · us ban Inferno · opp pick Nuke · us pick Dust2 · opp ban Mirage · us ban Ancient · left Cache
12th of Octo  Inner Circle vs Sangal:  opp ban Ancient · us ban Nuke · opp pick Anubis · us pick Dust2 · opp ban Inferno · us ban Cache · left Mirage</t>
  </si>
  <si>
    <t xml:space="preserve">12-4</t>
  </si>
  <si>
    <t xml:space="preserve">+3.1</t>
  </si>
  <si>
    <t xml:space="preserve">66.2%</t>
  </si>
  <si>
    <t xml:space="preserve">18/32</t>
  </si>
  <si>
    <t xml:space="preserve">39.0%</t>
  </si>
  <si>
    <t xml:space="preserve">8/16</t>
  </si>
  <si>
    <t xml:space="preserve">11% | 38% | 29% | 18% | 3%</t>
  </si>
  <si>
    <t xml:space="preserve">9-4</t>
  </si>
  <si>
    <t xml:space="preserve">56.9%</t>
  </si>
  <si>
    <t xml:space="preserve">62.1%</t>
  </si>
  <si>
    <t xml:space="preserve">45.2%</t>
  </si>
  <si>
    <t xml:space="preserve">6/12</t>
  </si>
  <si>
    <t xml:space="preserve">9% | 36% | 30% | 22% | 4%</t>
  </si>
  <si>
    <t xml:space="preserve">5-5</t>
  </si>
  <si>
    <t xml:space="preserve">44.9%</t>
  </si>
  <si>
    <t xml:space="preserve">39.7%</t>
  </si>
  <si>
    <t xml:space="preserve">9% | 34% | 30% | 23% | 5%</t>
  </si>
  <si>
    <t xml:space="preserve">-5.5</t>
  </si>
  <si>
    <t xml:space="preserve">5.9%</t>
  </si>
  <si>
    <t xml:space="preserve">1/4</t>
  </si>
  <si>
    <t xml:space="preserve">2-4</t>
  </si>
  <si>
    <t xml:space="preserve">44.6%</t>
  </si>
  <si>
    <t xml:space="preserve">8/12</t>
  </si>
  <si>
    <t xml:space="preserve">47.1%</t>
  </si>
  <si>
    <t xml:space="preserve">3/12</t>
  </si>
  <si>
    <t xml:space="preserve">54.5%</t>
  </si>
  <si>
    <t xml:space="preserve">7/12</t>
  </si>
  <si>
    <t xml:space="preserve">6% | 28% | 30% | 30% | 6%</t>
  </si>
  <si>
    <t xml:space="preserve">+3.6</t>
  </si>
  <si>
    <t xml:space="preserve">64.4%</t>
  </si>
  <si>
    <t xml:space="preserve">55.4%</t>
  </si>
  <si>
    <t xml:space="preserve">4% | 23% | 30% | 34% | 8%</t>
  </si>
  <si>
    <t xml:space="preserve">CS2 · MOUZ vs AUR   |   14:00 UTC   |   Bo3   |   Win: MOUZ 62% – AUR 38%   |   2-0 32% · 2-1 29% · 1-2 20% · 0-2 18%</t>
  </si>
  <si>
    <t xml:space="preserve">mouz (MOUZ)</t>
  </si>
  <si>
    <t xml:space="preserve">Aurora (AUR)</t>
  </si>
  <si>
    <t xml:space="preserve">HLTV: #4 · VRS: #2</t>
  </si>
  <si>
    <t xml:space="preserve">HLTV: #5 · VRS: #3</t>
  </si>
  <si>
    <t xml:space="preserve">7-3   W L W W W W W L L W</t>
  </si>
  <si>
    <t xml:space="preserve">43-24 (64%)</t>
  </si>
  <si>
    <t xml:space="preserve">41-25 (62%)</t>
  </si>
  <si>
    <t xml:space="preserve">+5.3 / -5.2</t>
  </si>
  <si>
    <t xml:space="preserve">+5.0 / -5.6</t>
  </si>
  <si>
    <t xml:space="preserve">12 / 4</t>
  </si>
  <si>
    <t xml:space="preserve">6 series · 16 maps · team 73.3 kills/map
PR 21.6% (15.8/map)
xertioN 20.7% (15.2/map)
torzsi 20.2% (14.8/map)
Spinx 20.2% (14.8/map)
xelex 17.3% (12.7/map)</t>
  </si>
  <si>
    <t xml:space="preserve">6 series · 15 maps · team 78.3 kills/map
woxic 23.2% (18.1/map)
Jimpphat 22.5% (17.6/map)
Wicadia 21.0% (16.4/map)
XANTARES 18.1% (14.2/map)
kyxsan 15.2% (11.9/map)</t>
  </si>
  <si>
    <t xml:space="preserve">2 - 1  MOUZ vs Spirit
2 - 0  MOUZ vs The MongolZ
2 - 0  MOUZ vs 9z
1 - 2  MOUZ vs Liquid
0 - 3  MOUZ vs Vitality</t>
  </si>
  <si>
    <t xml:space="preserve">2 - 1  Aurora vs Liquid
2 - 0  Aurora vs Nemiga
2 - 0  Aurora vs G2
1 - 2  Aurora vs The MongolZ
2 - 1  Aurora vs Falcons</t>
  </si>
  <si>
    <t xml:space="preserve">First ban: Anubis×5   First pick: Nuke×3, Ancient×1
27th of Octo  MOUZ vs Spirit:  us ban Anubis · opp ban Inferno · us pick Nuke · opp pick Dust2 · opp ban Cache · us ban Ancient · left Mirage
26th of Octo  MOUZ vs The MongolZ:  us ban Anubis · opp ban Cache · us pick Nuke · opp pick Mirage · opp ban Ancient · us ban Dust2 · left Inferno
25th of Octo  MOUZ vs 9z:  opp ban Inferno · us ban Anubis · opp pick Dust2 · us pick Nuke · us ban Ancient · opp ban Cache · left Mirage
24th of Octo  MOUZ vs Liquid:  us ban Anubis · opp ban Dust2 · us pick Ancient · opp pick Inferno · opp ban Nuke · us ban Cache · left Mirage
11th of Octo  MOUZ vs Vitality:  opp ban Ancient · us ban Anubis · opp pick Cache · us pick Inferno · opp pick Dust2 · us pick Mirage · left Nuke</t>
  </si>
  <si>
    <t xml:space="preserve">First ban: Ancient×5   First pick: Anubis×3, Cache×1
27th of Octo  Aurora vs Liquid:  us ban Ancient · opp ban Dust2 · us pick Anubis · opp pick Inferno · opp ban Nuke · us ban Mirage · left Cache
26th of Octo  Aurora vs Nemiga:  opp ban Inferno · us ban Ancient · opp pick Mirage · us pick Anubis · us ban Dust2 · opp ban Cache · left Nuke
25th of Octo  Aurora vs G2:  us ban Ancient · opp ban Anubis · us pick Cache · opp pick Inferno · opp ban Nuke · us ban Mirage · left Dust2
24th of Octo  Aurora vs The MongolZ:  opp ban Anubis · us ban Ancient · opp pick Inferno · us pick Nuke · us ban Mirage · opp ban Cache · left Dust2
18th of Octo  Aurora vs Falcons:  us ban Ancient · opp ban Cache · us pick Anubis · opp pick Dust2 · us ban Inferno · opp ban Mirage · left Nuke</t>
  </si>
  <si>
    <t xml:space="preserve">+3.0</t>
  </si>
  <si>
    <t xml:space="preserve">64.5%</t>
  </si>
  <si>
    <t xml:space="preserve">9-5</t>
  </si>
  <si>
    <t xml:space="preserve">42.0%</t>
  </si>
  <si>
    <t xml:space="preserve">11/28</t>
  </si>
  <si>
    <t xml:space="preserve">55.7%</t>
  </si>
  <si>
    <t xml:space="preserve">14/28</t>
  </si>
  <si>
    <t xml:space="preserve">59.4%</t>
  </si>
  <si>
    <t xml:space="preserve">49.6%</t>
  </si>
  <si>
    <t xml:space="preserve">7% | 31% | 30% | 27% | 5%</t>
  </si>
  <si>
    <t xml:space="preserve">63.2%</t>
  </si>
  <si>
    <t xml:space="preserve">39.6%</t>
  </si>
  <si>
    <t xml:space="preserve">10/26</t>
  </si>
  <si>
    <t xml:space="preserve">-1.1</t>
  </si>
  <si>
    <t xml:space="preserve">37.4%</t>
  </si>
  <si>
    <t xml:space="preserve">3/16</t>
  </si>
  <si>
    <t xml:space="preserve">7% | 30% | 31% | 26% | 6%</t>
  </si>
  <si>
    <t xml:space="preserve">46.9%</t>
  </si>
  <si>
    <t xml:space="preserve">5/18</t>
  </si>
  <si>
    <t xml:space="preserve">66.7%</t>
  </si>
  <si>
    <t xml:space="preserve">63.8%</t>
  </si>
  <si>
    <t xml:space="preserve">4% | 21% | 29% | 36% | 10%</t>
  </si>
  <si>
    <t xml:space="preserve">37.7%</t>
  </si>
  <si>
    <t xml:space="preserve">14/18</t>
  </si>
  <si>
    <t xml:space="preserve">6% | 27% | 31% | 30% | 7%</t>
  </si>
  <si>
    <t xml:space="preserve">59.3%</t>
  </si>
  <si>
    <t xml:space="preserve">12/24</t>
  </si>
  <si>
    <t xml:space="preserve">CS2 [NO MARKET] · IS vs ZOTIX   |   14:00 UTC   |   Bo1</t>
  </si>
  <si>
    <t xml:space="preserve">IS (IS)</t>
  </si>
  <si>
    <t xml:space="preserve">ZOTIX (ZOTIX)</t>
  </si>
  <si>
    <t xml:space="preserve">HLTV: #59 · VRS: #58</t>
  </si>
  <si>
    <t xml:space="preserve">HLTV: #179 · VRS: #314</t>
  </si>
  <si>
    <t xml:space="preserve">6-4   L L W W L W W L W W</t>
  </si>
  <si>
    <t xml:space="preserve">34-28 (55%)</t>
  </si>
  <si>
    <t xml:space="preserve">7-7 (50%)</t>
  </si>
  <si>
    <t xml:space="preserve">+5.5 / -5.5</t>
  </si>
  <si>
    <t xml:space="preserve">+5.7 / -4.7</t>
  </si>
  <si>
    <t xml:space="preserve">6 / 9</t>
  </si>
  <si>
    <t xml:space="preserve">6 series · 12 maps · team 65.9 kills/map
sausol 22.4% (14.8/map)
mopoz 20.6% (13.6/map)
Ag1l 19.6% (12.9/map)
alex 18.7% (12.3/map)
dav1g 18.7% (12.3/map)</t>
  </si>
  <si>
    <t xml:space="preserve">6 series · 17 maps · team 69.2 kills/map
EsD 22.3% (15.4/map)
shen 21.5% (14.9/map)
byr9 18.7% (12.9/map)
certa1n 17.1% (14.4/map)
flee 16.8% (14.1/map)
ink mate 1.8% (7.0/map) (sub)
munch 1.8% (7.0/map) (sub)</t>
  </si>
  <si>
    <t xml:space="preserve">1 - 2  Iberian Soul vs BASEMENT BOYS
2 - 0  Iberian Soul vs ASTRAL
1 - 2  Iberian Soul vs JiJieHao
13 - 8  Iberian Soul vs Sashi
13 - 5  Iberian Soul vs HYPERSPIRIT</t>
  </si>
  <si>
    <t xml:space="preserve">1 - 2  ZOTIX vs Banger Gang
2 - 1  ZOTIX vs Drama
2 - 1  ZOTIX vs ex-VP.Prodigy
2 - 1  ZOTIX vs B8 Academy
0 - 2  ZOTIX vs Falcons Force</t>
  </si>
  <si>
    <t xml:space="preserve">First ban: Dust2×5   First pick: Nuke×2, Inferno×1
21st of Octo  Iberian Soul vs BASEMENT BOYS:  opp ban Inferno · us ban Dust2 · opp pick Mirage · us pick Nuke · us ban Cache · opp ban Anubis · left Ancient
20th of Octo  Iberian Soul vs ASTRAL:  opp ban Inferno · us ban Dust2 · opp pick Cache · us pick Nuke · us ban Anubis · opp ban Mirage · left Ancient
20th of Octo  Iberian Soul vs JiJieHao:  us ban Dust2 · opp ban Nuke · us pick Inferno · opp pick Mirage · opp ban Anubis · us ban Cache · left Ancient
19th of Octo  Iberian Soul vs Sashi:  opp ban Ancient · opp ban Nuke · us ban Dust2 · us ban Cache · us ban Anubis · opp ban Mirage · left Inferno
19th of Octo  Iberian Soul vs HYPERSPIRIT:  us ban Dust2 · us ban Cache · opp ban Nuke · opp ban Inferno · opp ban Ancient · us ban Anubis · left Mirage</t>
  </si>
  <si>
    <t xml:space="preserve">First ban: Nuke×2, Anubis×1   First pick: Ancient×4, Inferno×1
16th of Sept  ZOTIX vs Banger Gang:  us ban Anubis · opp ban Ancient · us pick Inferno · opp pick Cache · us ban Mirage · opp ban Nuke · left Dust2
14th of Sept  ZOTIX vs Drama:  us ban Mirage · opp ban Anubis · us pick Ancient · opp pick Nuke · us ban Inferno · opp ban Cache · left Dust2
11th of Sept  ZOTIX vs ex-VP.Prodigy:  us ban Nuke · opp ban Inferno · us pick Ancient · opp pick Dust2 · us ban Cache · opp ban Mirage · left Anubis
9th of Septe  ZOTIX vs B8 Academy:  us ban Nuke · opp ban Dust2 · us pick Ancient · opp pick Mirage · us ban Cache · opp ban Anubis · left Inferno
5th of Septe  ZOTIX vs Falcons Force:  us ban Cache · opp ban Dust2 · us pick Ancient · opp pick Inferno · us ban Nuke · opp ban Mirage · left Anubis</t>
  </si>
  <si>
    <t xml:space="preserve">7-8</t>
  </si>
  <si>
    <t xml:space="preserve">48.0%</t>
  </si>
  <si>
    <t xml:space="preserve">15/30</t>
  </si>
  <si>
    <t xml:space="preserve">62.5%</t>
  </si>
  <si>
    <t xml:space="preserve">8-4</t>
  </si>
  <si>
    <t xml:space="preserve">58.2%</t>
  </si>
  <si>
    <t xml:space="preserve">57.9%</t>
  </si>
  <si>
    <t xml:space="preserve">56.7%</t>
  </si>
  <si>
    <t xml:space="preserve">6-7</t>
  </si>
  <si>
    <t xml:space="preserve">46.5%</t>
  </si>
  <si>
    <t xml:space="preserve">+4.0</t>
  </si>
  <si>
    <t xml:space="preserve">61.5%</t>
  </si>
  <si>
    <t xml:space="preserve">80.0%</t>
  </si>
  <si>
    <t xml:space="preserve">-3.1</t>
  </si>
  <si>
    <t xml:space="preserve">36.5%</t>
  </si>
  <si>
    <t xml:space="preserve">34.2%</t>
  </si>
  <si>
    <t xml:space="preserve">51.7%</t>
  </si>
  <si>
    <t xml:space="preserve">63.7%</t>
  </si>
  <si>
    <t xml:space="preserve">CS2 · paiN vs NCP   |   16:30 UTC   |   Bo3   |   Win: paiN 94% – NCP 6%   |   2-0 78% · 2-1 16% · 1-2 3% · 0-2 4%</t>
  </si>
  <si>
    <t xml:space="preserve">paiN Gaming (paiN)</t>
  </si>
  <si>
    <t xml:space="preserve">Não Copulas (NCP)</t>
  </si>
  <si>
    <t xml:space="preserve">HLTV: #40 · VRS: #47</t>
  </si>
  <si>
    <t xml:space="preserve">HLTV: UnrankedVRS: #183</t>
  </si>
  <si>
    <t xml:space="preserve">5-5   L L W L W W W L W L</t>
  </si>
  <si>
    <t xml:space="preserve">24-31 (44%)</t>
  </si>
  <si>
    <t xml:space="preserve">+4.6 / -5.5</t>
  </si>
  <si>
    <t xml:space="preserve">3 / 8</t>
  </si>
  <si>
    <t xml:space="preserve">6 series · 16 maps · team 69.9 kills/map
snow 22.9% (16.0/map)
biguzera 22.7% (15.9/map)
saffee 18.9% (13.2/map)
Rkzinho 18.4% (12.9/map)
Tatu 17.2% (12.0/map)</t>
  </si>
  <si>
    <t xml:space="preserve">3 series · 6 maps · team 55.7 kills/map
wallz1k 23.7% (13.2/map)
Tineu 21.0% (11.7/map)
wastzera 20.4% (11.3/map)
fks 18.6% (10.3/map)
talkzyn 16.5% (9.2/map)</t>
  </si>
  <si>
    <t xml:space="preserve">0 - 2  paiN vs Imperial
2 - 1  paiN vs BESTIA
2 - 0  paiN vs Galorys
1 - 2  paiN vs Imperial
2 - 1  paiN vs Fluxo</t>
  </si>
  <si>
    <t xml:space="preserve">0 - 2  NAOCOPULAS vs ODDIK
2 - 0  NAOCOPULAS vs Four Magic fe
0 - 2  NAOCOPULAS vs ODDIK</t>
  </si>
  <si>
    <t xml:space="preserve">First ban: Inferno×2, Ancient×2   First pick: Anubis×2, Dust2×2
25th of Octo  paiN vs Imperial:  us ban Inferno · opp ban Dust2 · us pick Anubis · opp pick Cache · us ban Mirage · opp ban Nuke · left Ancient
25th of Octo  paiN vs BESTIA:  us ban Ancient · opp ban Anubis · us pick Mirage · opp pick Inferno · us ban Cache · opp ban Nuke · left Dust2
24th of Octo  paiN vs Galorys:  opp ban Mirage · us ban Ancient · opp pick Cache · us pick Dust2 · opp ban Anubis · us ban Inferno · left Nuke
23rd of Octo  paiN vs Imperial:  opp ban Dust2 · us ban Cache · opp pick Inferno · us pick Anubis · opp ban Nuke · us ban Ancient · left Mirage
21st of Octo  paiN vs Fluxo:  opp ban Nuke · us ban Inferno · opp pick Cache · us pick Dust2 · opp ban Mirage · us ban Ancient · left Anubis</t>
  </si>
  <si>
    <t xml:space="preserve">First ban: Nuke×3   First pick: Ancient×2, Dust2×1
4th of Octob  NAOCOPULAS vs ODDIK:  us ban Nuke · opp ban Mirage · us pick Ancient · opp pick Inferno · us ban Train · opp ban Dust2 · left Overpass
4th of Octob  NAOCOPULAS vs Four Magic fe:  opp ban Train · us ban Nuke · opp pick Inferno · us pick Ancient · opp ban Overpass · us ban Dust2 · left Mirage
3rd of Octob  NAOCOPULAS vs ODDIK:  opp ban Mirage · us ban Nuke · opp pick Overpass · us pick Dust2 · opp ban Train · us ban Inferno · left Ancient</t>
  </si>
  <si>
    <t xml:space="preserve">5-6</t>
  </si>
  <si>
    <t xml:space="preserve">36.8%</t>
  </si>
  <si>
    <t xml:space="preserve">9/22</t>
  </si>
  <si>
    <t xml:space="preserve">10-2</t>
  </si>
  <si>
    <t xml:space="preserve">16/24</t>
  </si>
  <si>
    <t xml:space="preserve">9% | 36% | 29% | 21% | 4%</t>
  </si>
  <si>
    <t xml:space="preserve">4% | 24% | 30% | 34% | 8%</t>
  </si>
  <si>
    <t xml:space="preserve">0-9</t>
  </si>
  <si>
    <t xml:space="preserve">-6.6</t>
  </si>
  <si>
    <t xml:space="preserve">36.3%</t>
  </si>
  <si>
    <t xml:space="preserve">32.5%</t>
  </si>
  <si>
    <t xml:space="preserve">2% | 14% | 26% | 43% | 14%</t>
  </si>
  <si>
    <t xml:space="preserve">47.3%</t>
  </si>
  <si>
    <t xml:space="preserve">CS2 · BB vs FURIA   |   17:00 UTC   |   Bo3   |   Win: BB 44% – FURIA 56%   |   2-0 21% · 2-1 23% · 1-2 27% · 0-2 29%</t>
  </si>
  <si>
    <t xml:space="preserve">BB Team (BB)</t>
  </si>
  <si>
    <t xml:space="preserve">Furia (FURIA)</t>
  </si>
  <si>
    <t xml:space="preserve">HLTV: #9 · VRS: #6</t>
  </si>
  <si>
    <t xml:space="preserve">HLTV: #3 · VRS: #4</t>
  </si>
  <si>
    <t xml:space="preserve">7-3   W W W W W W L L L W</t>
  </si>
  <si>
    <t xml:space="preserve">6-4   W W W W L W L L L W</t>
  </si>
  <si>
    <t xml:space="preserve">24-20 (55%)</t>
  </si>
  <si>
    <t xml:space="preserve">47-36 (57%)</t>
  </si>
  <si>
    <t xml:space="preserve">+4.3 / -4.8</t>
  </si>
  <si>
    <t xml:space="preserve">+5.9 / -4.8</t>
  </si>
  <si>
    <t xml:space="preserve">3 / 4</t>
  </si>
  <si>
    <t xml:space="preserve">13 / 8</t>
  </si>
  <si>
    <t xml:space="preserve">58.4% (97-69) · R2 conv 78.4% · R2 break 13.0%</t>
  </si>
  <si>
    <t xml:space="preserve">6 series · 18 maps · team 79.6 kills/map
Magnojez 22.9% (18.2/map)
zorte 22.7% (18.1/map)
S1ren 20.4% (16.2/map)
d1Ledez 18.4% (14.7/map)
Boombl4 15.6% (12.4/map)</t>
  </si>
  <si>
    <t xml:space="preserve">6 series · 13 maps · team 69.2 kills/map
YEKINDAR 23.1% (16.0/map)
molodoy 21.8% (15.1/map)
yuurih 19.9% (13.8/map)
KSCERATO 19.4% (13.4/map)
FalleN 15.8% (10.9/map)</t>
  </si>
  <si>
    <t xml:space="preserve">2 - 0  BETBOOM vs Natus Vincere
2 - 0  BETBOOM vs Nemiga
2 - 1  BETBOOM vs Spirit
2 - 3  BETBOOM vs FURIA
2 - 1  BETBOOM vs Falcons</t>
  </si>
  <si>
    <t xml:space="preserve">0 - 2  Liquid vs FURIA
2 - 0  FURIA vs Liquid
2 - 0  FURIA vs TYLOO
1 - 2  FURIA vs Spirit
0 - 2  FURIA vs Natus Vincere</t>
  </si>
  <si>
    <t xml:space="preserve">First ban: Inferno×3, Cache×1   First pick: Anubis×2, Nuke×1
26th of Octo  BETBOOM vs Natus Vincere:  opp ban Anubis · us ban Inferno · opp pick Dust2 · us pick Nuke · us ban Cache · opp ban Ancient · left Mirage
25th of Octo  BETBOOM vs Nemiga:  opp ban Nuke · us ban Cache · opp pick Anubis · us pick Mirage · us ban Inferno · opp ban Dust2 · left Ancient
24th of Octo  BETBOOM vs Spirit:  us ban Dust2 · opp ban Inferno · us pick Anubis · opp pick Ancient · opp ban Nuke · us ban Cache · left Mirage
18th of Octo  BETBOOM vs FURIA:  opp ban Anubis · us ban Inferno · opp pick Dust2 · us pick Ancient · opp pick Nuke · us pick Mirage · left Cache
17th of Octo  BETBOOM vs Falcons:  us ban Inferno · opp ban Cache · us pick Anubis · opp pick Dust2 · us ban Ancient · opp ban Nuke · left Mirage</t>
  </si>
  <si>
    <t xml:space="preserve">First ban: Anubis×5   First pick: Nuke×3, Mirage×1
28th of Octo  Liquid vs FURIA:  us ban Anubis · opp ban Dust2 · us pick Nuke · opp pick Inferno · opp ban Cache · us ban Ancient · left Mirage
28th of Octo  FURIA vs Liquid:  us ban Anubis · opp ban Dust2 · us pick Nuke · opp pick Inferno · opp ban Cache · us ban Ancient · left Mirage
27th of Octo  FURIA vs TYLOO:  opp ban Dust2 · us ban Anubis · opp pick Inferno · us pick Mirage · us ban Cache · opp ban Nuke · left Ancient
26th of Octo  FURIA vs Spirit:  us ban Anubis · opp ban Inferno · us pick Nuke · opp pick Ancient · opp ban Cache · us ban Dust2 · left Mirage
25th of Octo  FURIA vs Natus Vincere:  opp ban Mirage · us ban Anubis · opp pick Ancient · us pick Dust2 · us ban Cache · opp ban Nuke · left Inferno</t>
  </si>
  <si>
    <t xml:space="preserve">41.5%</t>
  </si>
  <si>
    <t xml:space="preserve">11/24</t>
  </si>
  <si>
    <t xml:space="preserve">10-7</t>
  </si>
  <si>
    <t xml:space="preserve">47.6%</t>
  </si>
  <si>
    <t xml:space="preserve">5% | 23% | 30% | 33% | 9%</t>
  </si>
  <si>
    <t xml:space="preserve">5-2</t>
  </si>
  <si>
    <t xml:space="preserve">63.9%</t>
  </si>
  <si>
    <t xml:space="preserve">40.3%</t>
  </si>
  <si>
    <t xml:space="preserve">8/14</t>
  </si>
  <si>
    <t xml:space="preserve">47.5%</t>
  </si>
  <si>
    <t xml:space="preserve">21/28</t>
  </si>
  <si>
    <t xml:space="preserve">5% | 25% | 31% | 31% | 8%</t>
  </si>
  <si>
    <t xml:space="preserve">3-3</t>
  </si>
  <si>
    <t xml:space="preserve">43.1%</t>
  </si>
  <si>
    <t xml:space="preserve">7-7</t>
  </si>
  <si>
    <t xml:space="preserve">49.1%</t>
  </si>
  <si>
    <t xml:space="preserve">54.1%</t>
  </si>
  <si>
    <t xml:space="preserve">-7.5</t>
  </si>
  <si>
    <t xml:space="preserve">10% | 37% | 29% | 21% | 4%</t>
  </si>
  <si>
    <t xml:space="preserve">-0.5</t>
  </si>
  <si>
    <t xml:space="preserve">51.9%</t>
  </si>
  <si>
    <t xml:space="preserve">5/8</t>
  </si>
  <si>
    <t xml:space="preserve">-1.8</t>
  </si>
  <si>
    <t xml:space="preserve">48.7%</t>
  </si>
  <si>
    <t xml:space="preserve">9-2</t>
  </si>
  <si>
    <t xml:space="preserve">13/22</t>
  </si>
  <si>
    <t xml:space="preserve">3% | 20% | 29% | 37% | 10%</t>
  </si>
  <si>
    <t xml:space="preserve">CS2 · GLS vs PCY   |   19:30 UTC   |   Bo3   |   Win: GLS 76% – PCY 24%</t>
  </si>
  <si>
    <t xml:space="preserve">Galorys (GLS)</t>
  </si>
  <si>
    <t xml:space="preserve">Proycon (PCY)</t>
  </si>
  <si>
    <t xml:space="preserve">HLTV: #68 · VRS: #83</t>
  </si>
  <si>
    <t xml:space="preserve">HLTV: #117 · VRS: #156</t>
  </si>
  <si>
    <t xml:space="preserve">4-6   L L L L W L W W W L</t>
  </si>
  <si>
    <t xml:space="preserve">7-3   L L W W W W W L W W</t>
  </si>
  <si>
    <t xml:space="preserve">67-44 (60%)</t>
  </si>
  <si>
    <t xml:space="preserve">42-27 (61%)</t>
  </si>
  <si>
    <t xml:space="preserve">+5.8 / -4.8</t>
  </si>
  <si>
    <t xml:space="preserve">+6.3 / -5.8</t>
  </si>
  <si>
    <t xml:space="preserve">16 / 7</t>
  </si>
  <si>
    <t xml:space="preserve">17 / 9</t>
  </si>
  <si>
    <t xml:space="preserve">53.2% (118-104) · R2 conv 86.3% · R2 break 22.1%</t>
  </si>
  <si>
    <t xml:space="preserve">50.7% (70-68) · R2 conv 92.9% · R2 break 26.5%</t>
  </si>
  <si>
    <t xml:space="preserve">6 series · 16 maps · team 68.6 kills/map
detr0ittJ 21.5% (14.8/map)
tomate 20.7% (14.2/map)
gbb 20.5% (14.1/map)
destiny 19.7% (13.5/map)
PKL 17.6% (12.1/map)</t>
  </si>
  <si>
    <t xml:space="preserve">6 series · 14 maps · team 66.8 kills/map
lenci 22.1% (14.8/map)
MaxOff 22.0% (14.7/map)
pavv 19.5% (13.0/map)
laser 18.3% (12.2/map)
next 18.1% (12.1/map)</t>
  </si>
  <si>
    <t xml:space="preserve">0 - 2  Galorys vs paiN
0 - 2  Galorys vs BESTIA
2 - 1  Galorys vs Fluxo
2 - 1  Galorys vs BARCA
1 - 2  Galorys vs Fluxo</t>
  </si>
  <si>
    <t xml:space="preserve">1 - 2  Procyon vs MEIA NOITE
2 - 0  Procyon vs your end
2 - 1  Procyon vs LOS NINOS
2 - 0  Procyon vs Hacha
0 - 2  Procyon vs BORRACHEIROS</t>
  </si>
  <si>
    <t xml:space="preserve">First ban: Mirage×5   First pick: Ancient×2, Anubis×2
24th of Octo  Galorys vs paiN:  us ban Mirage · opp ban Ancient · us pick Cache · opp pick Dust2 · us ban Anubis · opp ban Inferno · left Nuke
23rd of Octo  Galorys vs BESTIA:  us ban Mirage · opp ban Anubis · us pick Ancient · opp pick Inferno · us ban Dust2 · opp ban Nuke · left Cache
22nd of Octo  Galorys vs Fluxo:  us ban Mirage · opp ban Ancient · us pick Anubis · opp pick Inferno · us ban Cache · opp ban Nuke · left Dust2
21st of Octo  Galorys vs BARCA:  opp ban Anubis · us ban Mirage · opp pick Inferno · us pick Ancient · opp ban Nuke · us ban Cache · left Dust2
21st of Octo  Galorys vs Fluxo:  us ban Mirage · opp ban Ancient · us pick Anubis · opp pick Inferno · us ban Dust2 · opp ban Nuke · left Cache</t>
  </si>
  <si>
    <t xml:space="preserve">First ban: Cache×5   First pick: Inferno×3, Dust2×1
22nd of Octo  Procyon vs MEIA NOITE:  us ban Cache · opp ban Anubis · us pick Inferno · opp pick Dust2 · us ban Nuke · opp ban Mirage · left Ancient
19th of Octo  Procyon vs your end:  opp ban Nuke · us ban Cache · opp pick Ancient · us pick Dust2 · opp ban Mirage · us ban Anubis · left Inferno
16th of Octo  Procyon vs LOS NINOS:  us ban Cache · opp ban Anubis · us pick Inferno · opp pick Mirage · us ban Ancient · opp ban Nuke · left Dust2
13th of Octo  Procyon vs Hacha:  us ban Cache · opp ban Inferno · us pick Anubis · opp pick Ancient · us ban Dust2 · opp ban Mirage · left Nuke
10th of Octo  Procyon vs BORRACHEIROS:  us ban Cache · opp ban Nuke · us pick Inferno · opp pick Mirage · us ban Ancient · opp ban Anubis · left Dust2</t>
  </si>
  <si>
    <t xml:space="preserve">29-7</t>
  </si>
  <si>
    <t xml:space="preserve">65.8%</t>
  </si>
  <si>
    <t xml:space="preserve">43/72</t>
  </si>
  <si>
    <t xml:space="preserve">12/28</t>
  </si>
  <si>
    <t xml:space="preserve">13% | 41% | 27% | 15% | 3%</t>
  </si>
  <si>
    <t xml:space="preserve">13-11</t>
  </si>
  <si>
    <t xml:space="preserve">54.4%</t>
  </si>
  <si>
    <t xml:space="preserve">51.6%</t>
  </si>
  <si>
    <t xml:space="preserve">25/48</t>
  </si>
  <si>
    <t xml:space="preserve">6-9</t>
  </si>
  <si>
    <t xml:space="preserve">16/30</t>
  </si>
  <si>
    <t xml:space="preserve">4-10</t>
  </si>
  <si>
    <t xml:space="preserve">41.3%</t>
  </si>
  <si>
    <t xml:space="preserve">10/28</t>
  </si>
  <si>
    <t xml:space="preserve">59.5%</t>
  </si>
  <si>
    <t xml:space="preserve">15/38</t>
  </si>
  <si>
    <t xml:space="preserve">3% | 17% | 28% | 40% | 12%</t>
  </si>
  <si>
    <t xml:space="preserve">48.9%</t>
  </si>
  <si>
    <t xml:space="preserve">7-1</t>
  </si>
  <si>
    <t xml:space="preserve">62.4%</t>
  </si>
  <si>
    <t xml:space="preserve">64.6%</t>
  </si>
  <si>
    <t xml:space="preserve">11/16</t>
  </si>
  <si>
    <t xml:space="preserve">56.6%</t>
  </si>
  <si>
    <t xml:space="preserve">44.4%</t>
  </si>
  <si>
    <t xml:space="preserve">11/22</t>
  </si>
  <si>
    <t xml:space="preserve">65.5%</t>
  </si>
  <si>
    <t xml:space="preserve">4% | 22% | 30% | 35% | 9%</t>
  </si>
  <si>
    <t xml:space="preserve">17/24</t>
  </si>
  <si>
    <t xml:space="preserve">58.9%</t>
  </si>
  <si>
    <t xml:space="preserve">46.0%</t>
  </si>
  <si>
    <t xml:space="preserve">9% | 34% | 30% | 23% | 4%</t>
  </si>
  <si>
    <t xml:space="preserve">CS2 · NRG vs Tactical Chaos   |   19:30 UTC   |   Bo3   |   Win: NRG 92% – Tactical Chaos 8%</t>
  </si>
  <si>
    <t xml:space="preserve">NRG Esports (NRG)</t>
  </si>
  <si>
    <t xml:space="preserve">Tactical Chaos (Tactical Chaos)</t>
  </si>
  <si>
    <t xml:space="preserve">HLTV: #31 · VRS: #51</t>
  </si>
  <si>
    <t xml:space="preserve">4-6   L L W W L W L W L L</t>
  </si>
  <si>
    <t xml:space="preserve">28-22 (56%)</t>
  </si>
  <si>
    <t xml:space="preserve">+6.1 / -5.3</t>
  </si>
  <si>
    <t xml:space="preserve">9 / 5</t>
  </si>
  <si>
    <t xml:space="preserve">6 series · 12 maps · team 72.2 kills/map
Grim 21.9% (15.8/map)
Sonic 20.8% (15.0/map)
hallzerk 20.8% (15.0/map)
Jeorge 19.3% (13.9/map)
nitr0 17.2% (12.4/map)</t>
  </si>
  <si>
    <t xml:space="preserve">1 - 2  NRG vs Imperial
2 - 1  NRG vs SportsBetExpert
12 - 16  NRG vs Wildcard
13 - 6  NRG vs Unreal Nightmare
0 - 2  NRG vs Wildcard</t>
  </si>
  <si>
    <t xml:space="preserve">First ban: Anubis×5   First pick: Cache×2, Dust2×1
11th of Octo  NRG vs Imperial:  opp ban Ancient · us ban Anubis · opp pick Inferno · us pick Dust2 · opp ban Cache · us ban Mirage · left Nuke
11th of Octo  NRG vs SportsBetExpert:  opp ban Ancient · us ban Anubis · opp pick Mirage · us pick Cache · opp ban Dust2 · us ban Inferno · left Nuke
10th of Octo  NRG vs Wildcard:  opp ban Ancient · us ban Anubis · opp ban Cache · us ban Inferno · opp ban Dust2 · us ban Nuke · left Mirage
10th of Octo  NRG vs Unreal Nightmare:  opp ban Dust2 · us ban Anubis · opp ban Cache · us ban Ancient · opp ban Mirage · us ban Inferno · left Nuke
26th of Sept  NRG vs Wildcard:  opp ban Ancient · us ban Anubis · opp pick Mirage · us pick Cache · opp ban Nuke · us ban Inferno · left Dust2</t>
  </si>
  <si>
    <t xml:space="preserve">8-5</t>
  </si>
  <si>
    <t xml:space="preserve">17/26</t>
  </si>
  <si>
    <t xml:space="preserve">8/18</t>
  </si>
  <si>
    <t xml:space="preserve">3-5</t>
  </si>
  <si>
    <t xml:space="preserve">58.5%</t>
  </si>
  <si>
    <t xml:space="preserve">54.2%</t>
  </si>
  <si>
    <t xml:space="preserve">8% | 34% | 30% | 24% | 4%</t>
  </si>
  <si>
    <t xml:space="preserve">+2.1</t>
  </si>
  <si>
    <t xml:space="preserve">CS2 · DEN vs Low Cortisol   |   20:00 UTC   |   Bo3   |   Win: DEN 90% – Low Cortisol 10%   |   2-0 71% · 2-1 19% · 1-2 5% · 0-2 5%</t>
  </si>
  <si>
    <t xml:space="preserve">DENDELE CS (DEN)</t>
  </si>
  <si>
    <t xml:space="preserve">Low Cortisol BR (Low Cortisol)</t>
  </si>
  <si>
    <t xml:space="preserve">HLTV: #49 · VRS: #38</t>
  </si>
  <si>
    <t xml:space="preserve">2-8   L L W L W L L L L L</t>
  </si>
  <si>
    <t xml:space="preserve">2-8   L W L L L L L W L L</t>
  </si>
  <si>
    <t xml:space="preserve">-3.9</t>
  </si>
  <si>
    <t xml:space="preserve">30-27 (53%)</t>
  </si>
  <si>
    <t xml:space="preserve">4-8 (33%)</t>
  </si>
  <si>
    <t xml:space="preserve">+6.3 / -4.7</t>
  </si>
  <si>
    <t xml:space="preserve">+5.2 / -5.9</t>
  </si>
  <si>
    <t xml:space="preserve">11 / 3</t>
  </si>
  <si>
    <t xml:space="preserve">1 / 2</t>
  </si>
  <si>
    <t xml:space="preserve">6 series · 15 maps · team 72.9 kills/map
doc 24.2% (17.7/map)
koala 22.0% (16.1/map)
rdnzao 21.2% (15.5/map)
gafolo 16.3% (11.9/map)
maxxkor 16.2% (11.8/map)</t>
  </si>
  <si>
    <t xml:space="preserve">4 series · 10 maps · team 62.6 kills/map
lkz 24.0% (15.0/map)
sakamoto 22.0% (13.8/map)
revoltz 17.7% (11.1/map)
stormzyn 16.9% (10.6/map)
shazn 13.3% (11.9/map)
felps 6.1% (12.7/map) (sub)</t>
  </si>
  <si>
    <t xml:space="preserve">0 - 2  DENDELE vs Nemiga
2 - 1  DENDELE vs G2
0 - 2  DENDELE vs Legacy
0 - 2  DENDELE vs FURIA
2 - 3  DENDELE vs Wildcard</t>
  </si>
  <si>
    <t xml:space="preserve">1 - 2  Low Cortisol BR vs Grêmio
0 - 1  Low Cortisol BR vs Galorys
0 - 1  Low Cortisol BR vs Yawara
0 - 2  Low Cortisol BR vs BESTIA Academy
1 - 2  Low Cortisol BR vs MEIA NOITE</t>
  </si>
  <si>
    <t xml:space="preserve">First ban: Dust2×5   First pick: Nuke×3, Cache×1
27th of Octo  DENDELE vs Nemiga:  us ban Dust2 · opp ban Inferno · us pick Nuke · opp pick Ancient · opp ban Anubis · us ban Cache · left Mirage
26th of Octo  DENDELE vs G2:  us ban Dust2 · opp ban Cache · us pick Nuke · opp pick Ancient · opp ban Mirage · us ban Anubis · left Inferno
25th of Octo  DENDELE vs Legacy:  us ban Dust2 · opp ban Anubis · us pick Cache · opp pick Mirage · opp ban Nuke · us ban Inferno · left Ancient
24th of Octo  DENDELE vs FURIA:  us ban Dust2 · opp ban Anubis · us pick Ancient · opp pick Inferno · opp ban Cache · us ban Mirage · left Nuke
12th of Octo  DENDELE vs Wildcard:  opp ban Ancient · us ban Dust2 · opp pick Mirage · us pick Nuke · opp pick Inferno · us pick Anubis</t>
  </si>
  <si>
    <t xml:space="preserve">First ban: Inferno×2, Cache×1   First pick: Mirage×2, Dust2×1
23rd of Octo  Low Cortisol BR vs Grêmio:  us ban Inferno · opp ban Anubis · us pick Mirage · opp pick Cache · us ban Ancient · opp ban Dust2 · left Nuke
1st of Octob  Low Cortisol BR vs BESTIA Academy:  us ban Inferno · opp ban Anubis · us pick Mirage · opp pick Dust2 · us ban Nuke · opp ban Cache · left Ancient
24th of Sept  Low Cortisol BR vs MEIA NOITE:  opp ban Inferno · us ban Cache · opp pick Ancient · us pick Dust2 · opp ban Mirage · us ban Anubis · left Nuke</t>
  </si>
  <si>
    <t xml:space="preserve">45.5%</t>
  </si>
  <si>
    <t xml:space="preserve">43.9%</t>
  </si>
  <si>
    <t xml:space="preserve">6/24</t>
  </si>
  <si>
    <t xml:space="preserve">-3.0</t>
  </si>
  <si>
    <t xml:space="preserve">30.6%</t>
  </si>
  <si>
    <t xml:space="preserve">7% | 31% | 31% | 26% | 5%</t>
  </si>
  <si>
    <t xml:space="preserve">55.0%</t>
  </si>
  <si>
    <t xml:space="preserve">1-1</t>
  </si>
  <si>
    <t xml:space="preserve">64.7%</t>
  </si>
  <si>
    <t xml:space="preserve">-3.5</t>
  </si>
  <si>
    <t xml:space="preserve">38.9%</t>
  </si>
  <si>
    <t xml:space="preserve">51.1%</t>
  </si>
  <si>
    <t xml:space="preserve">70.0%</t>
  </si>
  <si>
    <t xml:space="preserve">38.0%</t>
  </si>
  <si>
    <t xml:space="preserve">CS2 · TdP vs ALKA   |   23:30 UTC   |   Bo3   |   Win: TdP 72% – ALKA 28%   |   2-0 44% · 2-1 28% · 1-2 13% · 0-2 15%</t>
  </si>
  <si>
    <t xml:space="preserve">Turma do Pagode (TdP)</t>
  </si>
  <si>
    <t xml:space="preserve">ALKA (ALKA)</t>
  </si>
  <si>
    <t xml:space="preserve">HLTV: #92 · VRS: #115</t>
  </si>
  <si>
    <t xml:space="preserve">HLTV: #153 · VRS: #188</t>
  </si>
  <si>
    <t xml:space="preserve">2-8   L W L L L L L L L W</t>
  </si>
  <si>
    <t xml:space="preserve">2-8   L L L L L L W W L L</t>
  </si>
  <si>
    <t xml:space="preserve">-3.2</t>
  </si>
  <si>
    <t xml:space="preserve">41-34 (55%)</t>
  </si>
  <si>
    <t xml:space="preserve">43-38 (53%)</t>
  </si>
  <si>
    <t xml:space="preserve">+5.4 / -4.7</t>
  </si>
  <si>
    <t xml:space="preserve">+5.0 / -5.9</t>
  </si>
  <si>
    <t xml:space="preserve">10 / 6</t>
  </si>
  <si>
    <t xml:space="preserve">6 / 10</t>
  </si>
  <si>
    <t xml:space="preserve">48.0% (72-78) · R2 conv 83.3% · R2 break 23.1%</t>
  </si>
  <si>
    <t xml:space="preserve">47.5% (77-85) · R2 conv 71.4% · R2 break 23.5%</t>
  </si>
  <si>
    <t xml:space="preserve">6 series · 15 maps · team 70.0 kills/map
Tuurtle 20.7% (14.5/map)
naitte 19.7% (13.8/map)
pesadelo 17.0% (14.9/map)
WOOD7 16.9% (11.8/map)
matios 15.0% (14.4/map)
ksloks 7.9% (16.6/map) (sub)
Ceruttera 2.8% (14.5/map) (sub)</t>
  </si>
  <si>
    <t xml:space="preserve">6 series · 13 maps · team 66.7 kills/map
vinaabEAST 21.7% (14.5/map)
proSHOW 21.5% (14.3/map)
cerolzin 20.6% (13.8/map)
puni 18.3% (12.2/map)
bnc 17.9% (11.9/map)</t>
  </si>
  <si>
    <t xml:space="preserve">1 - 2  Turma do Pagode vs ShindeN
0 - 2  Turma do Pagode vs Imperial
0 - 2  Turma do Pagode vs Galorys
0 - 2  Turma do Pagode vs LP
2 - 1  Turma do Pagode vs BORRACHEIROS</t>
  </si>
  <si>
    <t xml:space="preserve">0 - 2  ALKA vs LOS NINOS
0 - 2  ALKA vs MEIA NOITE
0 - 2  ALKA vs Bounty Hunters
2 - 0  ALKA vs BESTIA Academy
1 - 2  ALKA vs ex-Keyd Stars</t>
  </si>
  <si>
    <t xml:space="preserve">First ban: Mirage×2, Cache×2   First pick: Dust2×2, Ancient×2
22nd of Octo  Turma do Pagode vs ShindeN:  opp ban Mirage · us ban Anubis · opp pick Ancient · us pick Dust2 · opp ban Inferno · us ban Cache · left Nuke
22nd of Octo  Turma do Pagode vs Imperial:  us ban Mirage · opp ban Ancient · us pick Anubis · opp pick Cache · us ban Inferno · opp ban Dust2 · left Nuke
9th of Octob  Turma do Pagode vs Galorys:  us ban Cache · opp ban Mirage · us pick Ancient · opp pick Nuke · us ban Inferno · opp ban Anubis · left Dust2
8th of Octob  Turma do Pagode vs LP:  us ban Cache · opp ban Anubis · us pick Ancient · opp pick Mirage · us ban Inferno · opp ban Nuke · left Dust2
7th of Octob  Turma do Pagode vs BORRACHEIROS:  opp ban Cache · us ban Mirage · opp pick Anubis · us pick Dust2 · opp ban Nuke · us ban Inferno · left Ancient</t>
  </si>
  <si>
    <t xml:space="preserve">First ban: Inferno×3, Cache×1   First pick: Dust2×4, Anubis×1
24th of Octo  ALKA vs LOS NINOS:  opp ban Cache · us ban Inferno · opp pick Ancient · us pick Dust2 · opp ban Anubis · us ban Mirage · left Nuke
9th of Octob  ALKA vs MEIA NOITE:  opp ban Anubis · us ban Inferno · opp pick Ancient · us pick Dust2 · opp ban Cache · us ban Mirage · left Nuke
8th of Octob  ALKA vs Bounty Hunters:  us ban Cache · opp ban Inferno · us pick Dust2 · opp pick Nuke · us ban Mirage · opp ban Anubis · left Ancient
7th of Octob  ALKA vs BESTIA Academy:  opp ban Ancient · us ban Inferno · opp pick Nuke · us pick Anubis · opp ban Mirage · us ban Cache · left Dust2
1st of Octob  ALKA vs ex-Keyd Stars:  us ban Anubis · opp ban Cache · us pick Dust2 · opp pick Ancient · us ban Inferno · opp ban Nuke · left Mirage</t>
  </si>
  <si>
    <t xml:space="preserve">18-8</t>
  </si>
  <si>
    <t xml:space="preserve">63.3%</t>
  </si>
  <si>
    <t xml:space="preserve">30/52</t>
  </si>
  <si>
    <t xml:space="preserve">7-13</t>
  </si>
  <si>
    <t xml:space="preserve">-1.9</t>
  </si>
  <si>
    <t xml:space="preserve">13% | 41% | 28% | 16% | 3%</t>
  </si>
  <si>
    <t xml:space="preserve">34%</t>
  </si>
  <si>
    <t xml:space="preserve">9-10</t>
  </si>
  <si>
    <t xml:space="preserve">47.4%</t>
  </si>
  <si>
    <t xml:space="preserve">16/38</t>
  </si>
  <si>
    <t xml:space="preserve">16-9</t>
  </si>
  <si>
    <t xml:space="preserve">53.6%</t>
  </si>
  <si>
    <t xml:space="preserve">23/50</t>
  </si>
  <si>
    <t xml:space="preserve">4% | 22% | 30% | 36% | 9%</t>
  </si>
  <si>
    <t xml:space="preserve">12%</t>
  </si>
  <si>
    <t xml:space="preserve">63.0%</t>
  </si>
  <si>
    <t xml:space="preserve">36.0%</t>
  </si>
  <si>
    <t xml:space="preserve">6% | 27% | 31% | 29% | 7%</t>
  </si>
  <si>
    <t xml:space="preserve">4-7</t>
  </si>
  <si>
    <t xml:space="preserve">8/22</t>
  </si>
  <si>
    <t xml:space="preserve">53.8%</t>
  </si>
  <si>
    <t xml:space="preserve">1/6</t>
  </si>
  <si>
    <t xml:space="preserve">62.7%</t>
  </si>
  <si>
    <t xml:space="preserve">10% | 35% | 30% | 21% | 4%</t>
  </si>
  <si>
    <t xml:space="preserve">37.1%</t>
  </si>
  <si>
    <t xml:space="preserve">10% | 36% | 29% | 21% | 4%</t>
  </si>
  <si>
    <t xml:space="preserve">Board</t>
  </si>
  <si>
    <t xml:space="preserve">Match:</t>
  </si>
  <si>
    <t xml:space="preserve">CS2 · FUT vs NEMI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</si>
  <si>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</si>
  <si>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</si>
  <si>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</si>
  <si>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</si>
  <si>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</si>
  <si>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</si>
  <si>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</si>
  <si>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</si>
  <si>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</si>
  <si>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</si>
  <si>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</si>
  <si>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</si>
  <si>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</si>
  <si>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</si>
  <si>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</si>
  <si>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</si>
  <si>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</si>
  <si>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</si>
  <si>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</si>
  <si>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</si>
  <si>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</si>
  <si>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</si>
  <si>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</si>
  <si>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</si>
  <si>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</si>
  <si>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</si>
  <si>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</si>
  <si>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</si>
  <si>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</si>
  <si>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</si>
  <si>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</si>
  <si>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</si>
  <si>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</si>
  <si>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</si>
  <si>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</si>
  <si>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</si>
  <si>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</si>
  <si>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</si>
  <si>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</si>
  <si>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</si>
  <si>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</si>
  <si>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</si>
  <si>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</si>
  <si>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</si>
  <si>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</si>
  <si>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</si>
  <si>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</si>
  <si>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</si>
  <si>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</si>
  <si>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</si>
  <si>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</si>
  <si>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</si>
  <si>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</si>
  <si>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</si>
  <si>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</si>
  <si>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</si>
  <si>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</si>
  <si>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</si>
  <si>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</si>
  <si>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</si>
  <si>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</si>
  <si>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</si>
  <si>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</si>
  <si>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</si>
  <si>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</si>
  <si>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</si>
  <si>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</si>
  <si>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</si>
  <si>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</si>
  <si>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</si>
  <si>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</si>
  <si>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</si>
  <si>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</si>
  <si>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</si>
  <si>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</si>
  <si>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</si>
  <si>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</si>
  <si>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</si>
  <si>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</si>
  <si>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</si>
  <si>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</si>
  <si>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</si>
  <si>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</si>
  <si>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Thu 03:00</t>
  </si>
  <si>
    <t xml:space="preserve">Ancient 23%</t>
  </si>
  <si>
    <t xml:space="preserve">Dust2 19%</t>
  </si>
  <si>
    <t xml:space="preserve">Mirage 16%</t>
  </si>
  <si>
    <t xml:space="preserve">HLTV veto: played, minus first-bans (no Map Picks)</t>
  </si>
  <si>
    <t xml:space="preserve">FUT</t>
  </si>
  <si>
    <t xml:space="preserve">NEMI</t>
  </si>
  <si>
    <t xml:space="preserve">CS2 · B8 vs HOTU</t>
  </si>
  <si>
    <t xml:space="preserve">Thu 04:00</t>
  </si>
  <si>
    <t xml:space="preserve">Dust2 26%</t>
  </si>
  <si>
    <t xml:space="preserve">Cache 21%</t>
  </si>
  <si>
    <t xml:space="preserve">Mirage 21%</t>
  </si>
  <si>
    <t xml:space="preserve">B8</t>
  </si>
  <si>
    <t xml:space="preserve">HOTU</t>
  </si>
  <si>
    <t xml:space="preserve">CS2 · EF vs BIG</t>
  </si>
  <si>
    <t xml:space="preserve">Thu 06:00</t>
  </si>
  <si>
    <t xml:space="preserve">Cache 24%</t>
  </si>
  <si>
    <t xml:space="preserve">Ancient 20%</t>
  </si>
  <si>
    <t xml:space="preserve">Mirage 19%</t>
  </si>
  <si>
    <t xml:space="preserve">EF</t>
  </si>
  <si>
    <t xml:space="preserve">BIG</t>
  </si>
  <si>
    <t xml:space="preserve">CS2 · VIT vs NAVI</t>
  </si>
  <si>
    <t xml:space="preserve">Dust2 21%</t>
  </si>
  <si>
    <t xml:space="preserve">Mirage 20%</t>
  </si>
  <si>
    <t xml:space="preserve">Inferno 18%</t>
  </si>
  <si>
    <t xml:space="preserve">VIT</t>
  </si>
  <si>
    <t xml:space="preserve">NAVI</t>
  </si>
  <si>
    <t xml:space="preserve">CS2 · FaZe vs GL</t>
  </si>
  <si>
    <t xml:space="preserve">Thu 07:00</t>
  </si>
  <si>
    <t xml:space="preserve">Ancient 22%</t>
  </si>
  <si>
    <t xml:space="preserve">Nuke 21%</t>
  </si>
  <si>
    <t xml:space="preserve">Dust2 18%</t>
  </si>
  <si>
    <t xml:space="preserve">FaZe</t>
  </si>
  <si>
    <t xml:space="preserve">GL</t>
  </si>
  <si>
    <t xml:space="preserve">CS2 · BAR vs BHE</t>
  </si>
  <si>
    <t xml:space="preserve">Thu 08:00</t>
  </si>
  <si>
    <t xml:space="preserve">Mirage 22%</t>
  </si>
  <si>
    <t xml:space="preserve">Cache 20%</t>
  </si>
  <si>
    <t xml:space="preserve">BAR</t>
  </si>
  <si>
    <t xml:space="preserve">BHE</t>
  </si>
  <si>
    <t xml:space="preserve">CS2 · IMP vs QUIN</t>
  </si>
  <si>
    <t xml:space="preserve">Mirage 26%</t>
  </si>
  <si>
    <t xml:space="preserve">Dust2 22%</t>
  </si>
  <si>
    <t xml:space="preserve">Inferno 21%</t>
  </si>
  <si>
    <t xml:space="preserve">IMP</t>
  </si>
  <si>
    <t xml:space="preserve">QUIN</t>
  </si>
  <si>
    <t xml:space="preserve">CS2 [NO MARKET] · 100T vs Arena Pro</t>
  </si>
  <si>
    <t xml:space="preserve">Dust2 23%</t>
  </si>
  <si>
    <t xml:space="preserve">Ancient 18%</t>
  </si>
  <si>
    <t xml:space="preserve">Nuke 16%</t>
  </si>
  <si>
    <t xml:space="preserve">100T</t>
  </si>
  <si>
    <t xml:space="preserve">Arena Pro</t>
  </si>
  <si>
    <t xml:space="preserve">CS2 · AST vs ICE</t>
  </si>
  <si>
    <t xml:space="preserve">Thu 08:30</t>
  </si>
  <si>
    <t xml:space="preserve">Ancient 27%</t>
  </si>
  <si>
    <t xml:space="preserve">Cache 22%</t>
  </si>
  <si>
    <t xml:space="preserve">Nuke 19%</t>
  </si>
  <si>
    <t xml:space="preserve">AST</t>
  </si>
  <si>
    <t xml:space="preserve">ICE</t>
  </si>
  <si>
    <t xml:space="preserve">CS2 · MOUZ vs AUR</t>
  </si>
  <si>
    <t xml:space="preserve">Thu 09:00</t>
  </si>
  <si>
    <t xml:space="preserve">Mirage 27%</t>
  </si>
  <si>
    <t xml:space="preserve">MOUZ</t>
  </si>
  <si>
    <t xml:space="preserve">AUR</t>
  </si>
  <si>
    <t xml:space="preserve">CS2 [NO MARKET] · IS vs ZOTIX</t>
  </si>
  <si>
    <t xml:space="preserve">Ancient 31%</t>
  </si>
  <si>
    <t xml:space="preserve">Inferno 24%</t>
  </si>
  <si>
    <t xml:space="preserve">Mirage 23%</t>
  </si>
  <si>
    <t xml:space="preserve">IS</t>
  </si>
  <si>
    <t xml:space="preserve">ZOTIX</t>
  </si>
  <si>
    <t xml:space="preserve">CS2 · paiN vs NCP</t>
  </si>
  <si>
    <t xml:space="preserve">Thu 11:30</t>
  </si>
  <si>
    <t xml:space="preserve">Cache 19%</t>
  </si>
  <si>
    <t xml:space="preserve">paiN</t>
  </si>
  <si>
    <t xml:space="preserve">NCP</t>
  </si>
  <si>
    <t xml:space="preserve">CS2 · BB vs FURIA</t>
  </si>
  <si>
    <t xml:space="preserve">Thu 12:00</t>
  </si>
  <si>
    <t xml:space="preserve">Mirage 25%</t>
  </si>
  <si>
    <t xml:space="preserve">Nuke 18%</t>
  </si>
  <si>
    <t xml:space="preserve">Ancient 17%</t>
  </si>
  <si>
    <t xml:space="preserve">BB</t>
  </si>
  <si>
    <t xml:space="preserve">FURIA</t>
  </si>
  <si>
    <t xml:space="preserve">CS2 · GLS vs PCY</t>
  </si>
  <si>
    <t xml:space="preserve">Thu 14:30</t>
  </si>
  <si>
    <t xml:space="preserve">Ancient 30%</t>
  </si>
  <si>
    <t xml:space="preserve">Dust2 24%</t>
  </si>
  <si>
    <t xml:space="preserve">Inferno 20%</t>
  </si>
  <si>
    <t xml:space="preserve">GLS</t>
  </si>
  <si>
    <t xml:space="preserve">PCY</t>
  </si>
  <si>
    <t xml:space="preserve">CS2 · NRG vs Tactical Chaos</t>
  </si>
  <si>
    <t xml:space="preserve">Cache 26%</t>
  </si>
  <si>
    <t xml:space="preserve">Mirage 18%</t>
  </si>
  <si>
    <t xml:space="preserve">Inferno 16%</t>
  </si>
  <si>
    <t xml:space="preserve">NRG</t>
  </si>
  <si>
    <t xml:space="preserve">Tactical Chaos</t>
  </si>
  <si>
    <t xml:space="preserve">CS2 · DEN vs Low Cortisol</t>
  </si>
  <si>
    <t xml:space="preserve">Thu 15:00</t>
  </si>
  <si>
    <t xml:space="preserve">DEN</t>
  </si>
  <si>
    <t xml:space="preserve">Low Cortisol</t>
  </si>
  <si>
    <t xml:space="preserve">CS2 · TdP vs ALKA</t>
  </si>
  <si>
    <t xml:space="preserve">Thu 18:30</t>
  </si>
  <si>
    <t xml:space="preserve">Ancient 36%</t>
  </si>
  <si>
    <t xml:space="preserve">Dust2 34%</t>
  </si>
  <si>
    <t xml:space="preserve">Nuke 12%</t>
  </si>
  <si>
    <t xml:space="preserve">TdP</t>
  </si>
  <si>
    <t xml:space="preserve">ALKA</t>
  </si>
  <si>
    <t xml:space="preserve">VAL · KBG vs UR</t>
  </si>
  <si>
    <t xml:space="preserve">VAL</t>
  </si>
  <si>
    <t xml:space="preserve">Haven 20%</t>
  </si>
  <si>
    <t xml:space="preserve">Pearl 15%</t>
  </si>
  <si>
    <t xml:space="preserve">Sunset 14%</t>
  </si>
  <si>
    <t xml:space="preserve">most-played by both rosters (no Map Picks)</t>
  </si>
  <si>
    <t xml:space="preserve">Pearl</t>
  </si>
  <si>
    <t xml:space="preserve">KBG</t>
  </si>
  <si>
    <t xml:space="preserve">UR</t>
  </si>
  <si>
    <t xml:space="preserve">VAL · TEC vs WSIG</t>
  </si>
  <si>
    <t xml:space="preserve">Sunset 28%</t>
  </si>
  <si>
    <t xml:space="preserve">Split 17%</t>
  </si>
  <si>
    <t xml:space="preserve">Bind 14%</t>
  </si>
  <si>
    <t xml:space="preserve">Bind</t>
  </si>
  <si>
    <t xml:space="preserve">TEC</t>
  </si>
  <si>
    <t xml:space="preserve">WSIG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</si>
  <si>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</si>
  <si>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</si>
  <si>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</si>
  <si>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</si>
  <si>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</si>
  <si>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</si>
  <si>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</si>
  <si>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</si>
  <si>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</si>
  <si>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</si>
  <si>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</si>
  <si>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</si>
  <si>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</si>
  <si>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</si>
  <si>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</si>
  <si>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</si>
  <si>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</si>
  <si>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</si>
  <si>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</si>
  <si>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</si>
  <si>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</si>
  <si>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</si>
  <si>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</si>
  <si>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device</t>
  </si>
  <si>
    <t xml:space="preserve">Maps 1-2 HS</t>
  </si>
  <si>
    <t xml:space="preserve">-</t>
  </si>
  <si>
    <t xml:space="preserve">yoqtwbv6uc6leni|CS2 [NO MARKET] · 100T vs Arena Pro</t>
  </si>
  <si>
    <t xml:space="preserve">H12</t>
  </si>
  <si>
    <t xml:space="preserve">Maps 1-2 Kills</t>
  </si>
  <si>
    <t xml:space="preserve">K12</t>
  </si>
  <si>
    <t xml:space="preserve">Gizmy</t>
  </si>
  <si>
    <t xml:space="preserve">acphdzip9ah477u|CS2 [NO MARKET] · 100T vs Arena Pro</t>
  </si>
  <si>
    <t xml:space="preserve">poiii</t>
  </si>
  <si>
    <t xml:space="preserve">irrertmif0zjlof|CS2 [NO MARKET] · 100T vs Arena Pro</t>
  </si>
  <si>
    <t xml:space="preserve">rain</t>
  </si>
  <si>
    <t xml:space="preserve">cy7qneakzvjx5w7|CS2 [NO MARKET] · 100T vs Arena Pro</t>
  </si>
  <si>
    <t xml:space="preserve">sirah</t>
  </si>
  <si>
    <t xml:space="preserve">v1kk02jq1q269h8|CS2 [NO MARKET] · 100T vs Arena Pro</t>
  </si>
  <si>
    <t xml:space="preserve">Ag1l</t>
  </si>
  <si>
    <t xml:space="preserve">Map 1 HS</t>
  </si>
  <si>
    <t xml:space="preserve">wdrf4z5snuwpkf2|CS2 [NO MARKET] · IS vs ZOTIX</t>
  </si>
  <si>
    <t xml:space="preserve">H1</t>
  </si>
  <si>
    <t xml:space="preserve">Map 1 Kills</t>
  </si>
  <si>
    <t xml:space="preserve">K1</t>
  </si>
  <si>
    <t xml:space="preserve">alex</t>
  </si>
  <si>
    <t xml:space="preserve">phl4oe3cm0dori9|CS2 [NO MARKET] · IS vs ZOTIX</t>
  </si>
  <si>
    <t xml:space="preserve">dav1g</t>
  </si>
  <si>
    <t xml:space="preserve">fcuzodaqfntg95o|CS2 [NO MARKET] · IS vs ZOTIX</t>
  </si>
  <si>
    <t xml:space="preserve">mopoz</t>
  </si>
  <si>
    <t xml:space="preserve">8y2vu0o81k1ojys|CS2 [NO MARKET] · IS vs ZOTIX</t>
  </si>
  <si>
    <t xml:space="preserve">sausol</t>
  </si>
  <si>
    <t xml:space="preserve">ltwiotm7m8sg32v|CS2 [NO MARKET] · IS vs ZOTIX</t>
  </si>
  <si>
    <t xml:space="preserve">phzy</t>
  </si>
  <si>
    <t xml:space="preserve">u4e5uoowjf17ffu|CS2 · AST vs ICE</t>
  </si>
  <si>
    <t xml:space="preserve">Ryu</t>
  </si>
  <si>
    <t xml:space="preserve">0%/0/1</t>
  </si>
  <si>
    <t xml:space="preserve">bfampq2da0guhkz|CS2 · AST vs ICE</t>
  </si>
  <si>
    <t xml:space="preserve">siuhy</t>
  </si>
  <si>
    <t xml:space="preserve">100%/1/1</t>
  </si>
  <si>
    <t xml:space="preserve">gffaqp23gkmuw6v|CS2 · AST vs ICE</t>
  </si>
  <si>
    <t xml:space="preserve">Staehr</t>
  </si>
  <si>
    <t xml:space="preserve">t0obepfwbzppr9o|CS2 · AST vs ICE</t>
  </si>
  <si>
    <t xml:space="preserve">cptkurtka023</t>
  </si>
  <si>
    <t xml:space="preserve">bbn5jcnsvynk6lh|CS2 · AST vs ICE</t>
  </si>
  <si>
    <t xml:space="preserve">Dawy</t>
  </si>
  <si>
    <t xml:space="preserve">junaikigf57r8s5|CS2 · AST vs ICE</t>
  </si>
  <si>
    <t xml:space="preserve">headtr1ck</t>
  </si>
  <si>
    <t xml:space="preserve">60%/3/5</t>
  </si>
  <si>
    <t xml:space="preserve">yggfnst4in1cx36|CS2 · AST vs ICE</t>
  </si>
  <si>
    <t xml:space="preserve">onic</t>
  </si>
  <si>
    <t xml:space="preserve">fh0bagimw7zhv73|CS2 · AST vs ICE</t>
  </si>
  <si>
    <t xml:space="preserve">zeRRoFIX</t>
  </si>
  <si>
    <t xml:space="preserve">laaa0e0li15jo3i|CS2 · AST vs ICE</t>
  </si>
  <si>
    <t xml:space="preserve">alex666</t>
  </si>
  <si>
    <t xml:space="preserve">0%/0/2</t>
  </si>
  <si>
    <t xml:space="preserve">7jc1txydq5ljh91|CS2 · B8 vs HOTU</t>
  </si>
  <si>
    <t xml:space="preserve">100%/2/2</t>
  </si>
  <si>
    <t xml:space="preserve">esenthial</t>
  </si>
  <si>
    <t xml:space="preserve">50%/1/2</t>
  </si>
  <si>
    <t xml:space="preserve">fcyn95tult4vqqc|CS2 · B8 vs HOTU</t>
  </si>
  <si>
    <t xml:space="preserve">kensizor</t>
  </si>
  <si>
    <t xml:space="preserve">xb618esex95xxil|CS2 · B8 vs HOTU</t>
  </si>
  <si>
    <t xml:space="preserve">npl</t>
  </si>
  <si>
    <t xml:space="preserve">j5opzoggo0850rg|CS2 · B8 vs HOTU</t>
  </si>
  <si>
    <t xml:space="preserve">s1zzi</t>
  </si>
  <si>
    <t xml:space="preserve">4uq92vrggozx07g|CS2 · B8 vs HOTU</t>
  </si>
  <si>
    <t xml:space="preserve">Dwushka</t>
  </si>
  <si>
    <t xml:space="preserve">ji1haqzonozp10h|CS2 · B8 vs HOTU</t>
  </si>
  <si>
    <t xml:space="preserve">frontales</t>
  </si>
  <si>
    <t xml:space="preserve">jznoz5axpwbs6p9|CS2 · B8 vs HOTU</t>
  </si>
  <si>
    <t xml:space="preserve">kade0</t>
  </si>
  <si>
    <t xml:space="preserve">xs4swsc9sjw6f0h|CS2 · B8 vs HOTU</t>
  </si>
  <si>
    <t xml:space="preserve">mizu</t>
  </si>
  <si>
    <t xml:space="preserve">r15gfw1oxe4qlej|CS2 · B8 vs HOTU</t>
  </si>
  <si>
    <t xml:space="preserve">n0rb3r7</t>
  </si>
  <si>
    <t xml:space="preserve">25%/1/4</t>
  </si>
  <si>
    <t xml:space="preserve">50lzcgm17r170cw|CS2 · B8 vs HOTU</t>
  </si>
  <si>
    <t xml:space="preserve">50%/2/4</t>
  </si>
  <si>
    <t xml:space="preserve">Alisson </t>
  </si>
  <si>
    <t xml:space="preserve">56%/5/9</t>
  </si>
  <si>
    <t xml:space="preserve">elja8hf3dep1m4s|CS2 · BAR vs BHE</t>
  </si>
  <si>
    <t xml:space="preserve">44%/4/9</t>
  </si>
  <si>
    <t xml:space="preserve">Divine</t>
  </si>
  <si>
    <t xml:space="preserve">25%/2/8</t>
  </si>
  <si>
    <t xml:space="preserve">8zk5wx3xrdrsxpo|CS2 · BAR vs BHE</t>
  </si>
  <si>
    <t xml:space="preserve">happ</t>
  </si>
  <si>
    <t xml:space="preserve">22%/2/9</t>
  </si>
  <si>
    <t xml:space="preserve">njwuhcdlh1yj0a2|CS2 · BAR vs BHE</t>
  </si>
  <si>
    <t xml:space="preserve">33%/3/9</t>
  </si>
  <si>
    <t xml:space="preserve">pancc</t>
  </si>
  <si>
    <t xml:space="preserve">39%/5/13</t>
  </si>
  <si>
    <t xml:space="preserve">qotjq9z9vy9ol0x|CS2 · BAR vs BHE</t>
  </si>
  <si>
    <t xml:space="preserve">31%/4/13</t>
  </si>
  <si>
    <t xml:space="preserve">zmb</t>
  </si>
  <si>
    <t xml:space="preserve">50%/8/16</t>
  </si>
  <si>
    <t xml:space="preserve">oqhiiivtedh8uei|CS2 · BAR vs BHE</t>
  </si>
  <si>
    <t xml:space="preserve">56%/9/16</t>
  </si>
  <si>
    <t xml:space="preserve">pepe</t>
  </si>
  <si>
    <t xml:space="preserve">avwkdg09z636hor|CS2 · BAR vs BHE</t>
  </si>
  <si>
    <t xml:space="preserve">ponter</t>
  </si>
  <si>
    <t xml:space="preserve">m3k16jwnnsz4izp|CS2 · BAR vs BHE</t>
  </si>
  <si>
    <t xml:space="preserve">urban0</t>
  </si>
  <si>
    <t xml:space="preserve">vld1f2dc8t9aesb|CS2 · BAR vs BHE</t>
  </si>
  <si>
    <t xml:space="preserve">zock</t>
  </si>
  <si>
    <t xml:space="preserve">3hdlfqpxj65raop|CS2 · BAR vs BHE</t>
  </si>
  <si>
    <t xml:space="preserve">Boombl4</t>
  </si>
  <si>
    <t xml:space="preserve">75r40osa6cjt3o0|CS2 · BB vs FURIA</t>
  </si>
  <si>
    <t xml:space="preserve">20%/1/5</t>
  </si>
  <si>
    <t xml:space="preserve">d1Ledez</t>
  </si>
  <si>
    <t xml:space="preserve">83%/5/6</t>
  </si>
  <si>
    <t xml:space="preserve">kgpnwz42wxtq29r|CS2 · BB vs FURIA</t>
  </si>
  <si>
    <t xml:space="preserve">67%/4/6</t>
  </si>
  <si>
    <t xml:space="preserve">Magnojez</t>
  </si>
  <si>
    <t xml:space="preserve">80%/4/5</t>
  </si>
  <si>
    <t xml:space="preserve">w2jejpg0j9hthoo|CS2 · BB vs FURIA</t>
  </si>
  <si>
    <t xml:space="preserve">40%/2/5</t>
  </si>
  <si>
    <t xml:space="preserve">s1ren</t>
  </si>
  <si>
    <t xml:space="preserve">bn3mlvy0cst11z3|CS2 · BB vs FURIA</t>
  </si>
  <si>
    <t xml:space="preserve">zorte</t>
  </si>
  <si>
    <t xml:space="preserve">c4m3zncm4mxvzoh|CS2 · BB vs FURIA</t>
  </si>
  <si>
    <t xml:space="preserve">FalleN</t>
  </si>
  <si>
    <t xml:space="preserve">upsdzrueyrfmr1m|CS2 · BB vs FURIA</t>
  </si>
  <si>
    <t xml:space="preserve">KSCERATO</t>
  </si>
  <si>
    <t xml:space="preserve">xlunjfskczbvxwn|CS2 · BB vs FURIA</t>
  </si>
  <si>
    <t xml:space="preserve">molodoy</t>
  </si>
  <si>
    <t xml:space="preserve">75%/3/4</t>
  </si>
  <si>
    <t xml:space="preserve">g1czin1kua6nls5|CS2 · BB vs FURIA</t>
  </si>
  <si>
    <t xml:space="preserve">YEKINDAR</t>
  </si>
  <si>
    <t xml:space="preserve">vl5i6xbqmsocy69|CS2 · BB vs FURIA</t>
  </si>
  <si>
    <t xml:space="preserve">yuurih</t>
  </si>
  <si>
    <t xml:space="preserve">npowbduexyegr6i|CS2 · BB vs FURIA</t>
  </si>
  <si>
    <t xml:space="preserve">doc</t>
  </si>
  <si>
    <t xml:space="preserve">oilrc57yb4vi4v4|CS2 · DEN vs Low Cortisol</t>
  </si>
  <si>
    <t xml:space="preserve">Gafolo</t>
  </si>
  <si>
    <t xml:space="preserve">xq939tnpy5hluwa|CS2 · DEN vs Low Cortisol</t>
  </si>
  <si>
    <t xml:space="preserve">koala</t>
  </si>
  <si>
    <t xml:space="preserve">at2vo8jmt9hrk3m|CS2 · DEN vs Low Cortisol</t>
  </si>
  <si>
    <t xml:space="preserve">maxxkor</t>
  </si>
  <si>
    <t xml:space="preserve">sir58v1hxyyne29|CS2 · DEN vs Low Cortisol</t>
  </si>
  <si>
    <t xml:space="preserve">rdnzao</t>
  </si>
  <si>
    <t xml:space="preserve">a0u1qo22a3z9rh8|CS2 · DEN vs Low Cortisol</t>
  </si>
  <si>
    <t xml:space="preserve">blameF</t>
  </si>
  <si>
    <t xml:space="preserve">8trkhn8eds1uu4p|CS2 · EF vs BIG</t>
  </si>
  <si>
    <t xml:space="preserve">faveN</t>
  </si>
  <si>
    <t xml:space="preserve">8aq8zm8lnarakek|CS2 · EF vs BIG</t>
  </si>
  <si>
    <t xml:space="preserve">gr1ks</t>
  </si>
  <si>
    <t xml:space="preserve">3m04868n6ftaamy|CS2 · EF vs BIG</t>
  </si>
  <si>
    <t xml:space="preserve">JDC</t>
  </si>
  <si>
    <t xml:space="preserve">cbsjkz3yqg99r06|CS2 · EF vs BIG</t>
  </si>
  <si>
    <t xml:space="preserve">tabseN</t>
  </si>
  <si>
    <t xml:space="preserve">ji96h9ot97jiwq9|CS2 · EF vs BIG</t>
  </si>
  <si>
    <t xml:space="preserve">jottAAA</t>
  </si>
  <si>
    <t xml:space="preserve">33%/1/3</t>
  </si>
  <si>
    <t xml:space="preserve">rfuts2r0t85cd95|CS2 · EF vs BIG</t>
  </si>
  <si>
    <t xml:space="preserve">0%/0/3</t>
  </si>
  <si>
    <t xml:space="preserve">Kvem</t>
  </si>
  <si>
    <t xml:space="preserve">t2lttsuygcwlbxl|CS2 · EF vs BIG</t>
  </si>
  <si>
    <t xml:space="preserve">0%/0/4</t>
  </si>
  <si>
    <t xml:space="preserve">MisteM</t>
  </si>
  <si>
    <t xml:space="preserve">mp3vrg2adugpxjt|CS2 · EF vs BIG</t>
  </si>
  <si>
    <t xml:space="preserve">regali</t>
  </si>
  <si>
    <t xml:space="preserve">v15ff2btfwe796g|CS2 · EF vs BIG</t>
  </si>
  <si>
    <t xml:space="preserve">Soulfly</t>
  </si>
  <si>
    <t xml:space="preserve">agwfljw0nydsug9|CS2 · EF vs BIG</t>
  </si>
  <si>
    <t xml:space="preserve">Dem0N</t>
  </si>
  <si>
    <t xml:space="preserve">w5k5az5ca72wkvb|CS2 · FUT vs NEMI</t>
  </si>
  <si>
    <t xml:space="preserve">dziugss</t>
  </si>
  <si>
    <t xml:space="preserve">jf6rt002svd50mx|CS2 · FUT vs NEMI</t>
  </si>
  <si>
    <t xml:space="preserve">Krabeni</t>
  </si>
  <si>
    <t xml:space="preserve">rhz6c2hq5wcant1|CS2 · FUT vs NEMI</t>
  </si>
  <si>
    <t xml:space="preserve">SunPayus</t>
  </si>
  <si>
    <t xml:space="preserve">xwyhvw38gardzpx|CS2 · FUT vs NEMI</t>
  </si>
  <si>
    <t xml:space="preserve">100%/4/4</t>
  </si>
  <si>
    <t xml:space="preserve">xfl0ud</t>
  </si>
  <si>
    <t xml:space="preserve">100%/9/9</t>
  </si>
  <si>
    <t xml:space="preserve">lj8zw2mudcbj35u|CS2 · FUT vs NEMI</t>
  </si>
  <si>
    <t xml:space="preserve">KaiR0N</t>
  </si>
  <si>
    <t xml:space="preserve">fhr6sqp0a6355ky|CS2 · FUT vs NEMI</t>
  </si>
  <si>
    <t xml:space="preserve">khaN</t>
  </si>
  <si>
    <t xml:space="preserve">sj7nkpqagh6m88h|CS2 · FUT vs NEMI</t>
  </si>
  <si>
    <t xml:space="preserve">robo</t>
  </si>
  <si>
    <t xml:space="preserve">100%/3/3</t>
  </si>
  <si>
    <t xml:space="preserve">ewe4j1nrqwzs0q7|CS2 · FUT vs NEMI</t>
  </si>
  <si>
    <t xml:space="preserve">syph0</t>
  </si>
  <si>
    <t xml:space="preserve">67%/2/3</t>
  </si>
  <si>
    <t xml:space="preserve">f00llyg1ocypenv|CS2 · FUT vs NEMI</t>
  </si>
  <si>
    <t xml:space="preserve">Xant3r</t>
  </si>
  <si>
    <t xml:space="preserve">jc1nf38p0b44dfy|CS2 · FUT vs NEMI</t>
  </si>
  <si>
    <t xml:space="preserve">frozen</t>
  </si>
  <si>
    <t xml:space="preserve">w36zabyloy9xbbl|CS2 · FaZe vs GL</t>
  </si>
  <si>
    <t xml:space="preserve">JBOEN</t>
  </si>
  <si>
    <t xml:space="preserve">3i7rtlh9c02jvmx|CS2 · FaZe vs GL</t>
  </si>
  <si>
    <t xml:space="preserve">Jcobbb</t>
  </si>
  <si>
    <t xml:space="preserve">vdo0jykqczuyswb|CS2 · FaZe vs GL</t>
  </si>
  <si>
    <t xml:space="preserve">Neityu</t>
  </si>
  <si>
    <t xml:space="preserve">42o4a4l388ybjjn|CS2 · FaZe vs GL</t>
  </si>
  <si>
    <t xml:space="preserve">Twistzz</t>
  </si>
  <si>
    <t xml:space="preserve">fyrdqmky6zw6rl0|CS2 · FaZe vs GL</t>
  </si>
  <si>
    <t xml:space="preserve">FL4MUS</t>
  </si>
  <si>
    <t xml:space="preserve">cuos9kbfem9flgg|CS2 · FaZe vs GL</t>
  </si>
  <si>
    <t xml:space="preserve">Hypex</t>
  </si>
  <si>
    <t xml:space="preserve">9ewlsq1d531bbzm|CS2 · FaZe vs GL</t>
  </si>
  <si>
    <t xml:space="preserve">REZ</t>
  </si>
  <si>
    <t xml:space="preserve">wt4hradl1cp0pr9|CS2 · FaZe vs GL</t>
  </si>
  <si>
    <t xml:space="preserve">Tauson</t>
  </si>
  <si>
    <t xml:space="preserve">b8ta8wsdzmggqly|CS2 · FaZe vs GL</t>
  </si>
  <si>
    <t xml:space="preserve">destiny</t>
  </si>
  <si>
    <t xml:space="preserve">sw5tkvujsl89icm|CS2 · GLS vs PCY</t>
  </si>
  <si>
    <t xml:space="preserve">detr0ittJ</t>
  </si>
  <si>
    <t xml:space="preserve">e44aeypbtlo8ywj|CS2 · GLS vs PCY</t>
  </si>
  <si>
    <t xml:space="preserve">gbb</t>
  </si>
  <si>
    <t xml:space="preserve">xm025o9k2to8y1j|CS2 · GLS vs PCY</t>
  </si>
  <si>
    <t xml:space="preserve">0%/0/5</t>
  </si>
  <si>
    <t xml:space="preserve">PKL</t>
  </si>
  <si>
    <t xml:space="preserve">5u9kxbc1judur85|CS2 · GLS vs PCY</t>
  </si>
  <si>
    <t xml:space="preserve">tomate</t>
  </si>
  <si>
    <t xml:space="preserve">r7wsfbp8t29ubnd|CS2 · GLS vs PCY</t>
  </si>
  <si>
    <t xml:space="preserve">lenci</t>
  </si>
  <si>
    <t xml:space="preserve">29%/2/7</t>
  </si>
  <si>
    <t xml:space="preserve">rj8kw5flhgyw41h|CS2 · GLS vs PCY</t>
  </si>
  <si>
    <t xml:space="preserve">14%/1/7</t>
  </si>
  <si>
    <t xml:space="preserve">MaxOff</t>
  </si>
  <si>
    <t xml:space="preserve">x1v63r81qmuu0h4|CS2 · GLS vs PCY</t>
  </si>
  <si>
    <t xml:space="preserve">next</t>
  </si>
  <si>
    <t xml:space="preserve">r07w0yuctuwh8t3|CS2 · GLS vs PCY</t>
  </si>
  <si>
    <t xml:space="preserve">pavv</t>
  </si>
  <si>
    <t xml:space="preserve">42hme0a34vl8ydg|CS2 · GLS vs PCY</t>
  </si>
  <si>
    <t xml:space="preserve">decenty</t>
  </si>
  <si>
    <t xml:space="preserve">zskm3i3mjaiolhs|CS2 · IMP vs QUIN</t>
  </si>
  <si>
    <t xml:space="preserve">saadzin</t>
  </si>
  <si>
    <t xml:space="preserve">247nk4skqmst67l|CS2 · IMP vs QUIN</t>
  </si>
  <si>
    <t xml:space="preserve">Jimpphat</t>
  </si>
  <si>
    <t xml:space="preserve">66ajrvmetqiufsf|CS2 · MOUZ vs AUR</t>
  </si>
  <si>
    <t xml:space="preserve">kyxsan</t>
  </si>
  <si>
    <t xml:space="preserve">57%/8/14</t>
  </si>
  <si>
    <t xml:space="preserve">gzghvr1quamb0xn|CS2 · MOUZ vs AUR</t>
  </si>
  <si>
    <t xml:space="preserve">71%/10/14</t>
  </si>
  <si>
    <t xml:space="preserve">Wicadia</t>
  </si>
  <si>
    <t xml:space="preserve">9clq2dpvqugkf0i|CS2 · MOUZ vs AUR</t>
  </si>
  <si>
    <t xml:space="preserve">woxic</t>
  </si>
  <si>
    <t xml:space="preserve">lpkyyhtoofj8ova|CS2 · MOUZ vs AUR</t>
  </si>
  <si>
    <t xml:space="preserve">67%/6/9</t>
  </si>
  <si>
    <t xml:space="preserve">XANTARES</t>
  </si>
  <si>
    <t xml:space="preserve">zauqna21klkp1rt|CS2 · MOUZ vs AUR</t>
  </si>
  <si>
    <t xml:space="preserve">PR</t>
  </si>
  <si>
    <t xml:space="preserve">pddkiy5mogisq4i|CS2 · MOUZ vs AUR</t>
  </si>
  <si>
    <t xml:space="preserve">Spinx</t>
  </si>
  <si>
    <t xml:space="preserve">qlzigrqycoim5ix|CS2 · MOUZ vs AUR</t>
  </si>
  <si>
    <t xml:space="preserve">torzsi</t>
  </si>
  <si>
    <t xml:space="preserve">jk73jbuxys7dhxb|CS2 · MOUZ vs AUR</t>
  </si>
  <si>
    <t xml:space="preserve">xelex</t>
  </si>
  <si>
    <t xml:space="preserve">zs2lsmobreb35xn|CS2 · MOUZ vs AUR</t>
  </si>
  <si>
    <t xml:space="preserve">xertioN</t>
  </si>
  <si>
    <t xml:space="preserve">ih00nznuepxs9r3|CS2 · MOUZ vs AUR</t>
  </si>
  <si>
    <t xml:space="preserve">Grim</t>
  </si>
  <si>
    <t xml:space="preserve">rfqj6u4cb2993gu|CS2 · NRG vs Tactical Chaos</t>
  </si>
  <si>
    <t xml:space="preserve">hallzerk</t>
  </si>
  <si>
    <t xml:space="preserve">mprhmt5nqri2sa5|CS2 · NRG vs Tactical Chaos</t>
  </si>
  <si>
    <t xml:space="preserve">Jeorge</t>
  </si>
  <si>
    <t xml:space="preserve">hdv5agzi5iecire|CS2 · NRG vs Tactical Chaos</t>
  </si>
  <si>
    <t xml:space="preserve">nitr0</t>
  </si>
  <si>
    <t xml:space="preserve">237c8v92obxm2e9|CS2 · NRG vs Tactical Chaos</t>
  </si>
  <si>
    <t xml:space="preserve">Sonic</t>
  </si>
  <si>
    <t xml:space="preserve">f23gfr3wlpk01nz|CS2 · NRG vs Tactical Chaos</t>
  </si>
  <si>
    <t xml:space="preserve">bnc</t>
  </si>
  <si>
    <t xml:space="preserve">ociqtxrjuk45u59|CS2 · TdP vs ALKA</t>
  </si>
  <si>
    <t xml:space="preserve">cerolzin</t>
  </si>
  <si>
    <t xml:space="preserve">x8upaam3ujpx331|CS2 · TdP vs ALKA</t>
  </si>
  <si>
    <t xml:space="preserve">proSHOW</t>
  </si>
  <si>
    <t xml:space="preserve">7ehti0cn8n4gylc|CS2 · TdP vs ALKA</t>
  </si>
  <si>
    <t xml:space="preserve">puni</t>
  </si>
  <si>
    <t xml:space="preserve">6nc5vmzm030q26g|CS2 · TdP vs ALKA</t>
  </si>
  <si>
    <t xml:space="preserve">vinaabEAST</t>
  </si>
  <si>
    <t xml:space="preserve">ayxk4sbko48l7n5|CS2 · TdP vs ALKA</t>
  </si>
  <si>
    <t xml:space="preserve">matios</t>
  </si>
  <si>
    <t xml:space="preserve">u9w9fgcak41kfr9|CS2 · TdP vs ALKA</t>
  </si>
  <si>
    <t xml:space="preserve">naitte</t>
  </si>
  <si>
    <t xml:space="preserve">z76txvqnu9utr9a|CS2 · TdP vs ALKA</t>
  </si>
  <si>
    <t xml:space="preserve">pesadelo</t>
  </si>
  <si>
    <t xml:space="preserve">9w6j2f9myaeeuie|CS2 · TdP vs ALKA</t>
  </si>
  <si>
    <t xml:space="preserve">Tuurtle</t>
  </si>
  <si>
    <t xml:space="preserve">qsyrug527ihd0m5|CS2 · TdP vs ALKA</t>
  </si>
  <si>
    <t xml:space="preserve">WOOD7</t>
  </si>
  <si>
    <t xml:space="preserve">46l8s320mbib9t5|CS2 · TdP vs ALKA</t>
  </si>
  <si>
    <t xml:space="preserve">Aleksib</t>
  </si>
  <si>
    <t xml:space="preserve">509x6s2e70l3hhg|CS2 · VIT vs NAVI</t>
  </si>
  <si>
    <t xml:space="preserve">b1t</t>
  </si>
  <si>
    <t xml:space="preserve">2y1yay7td9d3pb6|CS2 · VIT vs NAVI</t>
  </si>
  <si>
    <t xml:space="preserve">iM</t>
  </si>
  <si>
    <t xml:space="preserve">6fnysfxfr7gofjk|CS2 · VIT vs NAVI</t>
  </si>
  <si>
    <t xml:space="preserve">makazze</t>
  </si>
  <si>
    <t xml:space="preserve">57%/4/7</t>
  </si>
  <si>
    <t xml:space="preserve">6oi74s8csyxqh63|CS2 · VIT vs NAVI</t>
  </si>
  <si>
    <t xml:space="preserve">43%/3/7</t>
  </si>
  <si>
    <t xml:space="preserve">w0nderful</t>
  </si>
  <si>
    <t xml:space="preserve">78%/7/9</t>
  </si>
  <si>
    <t xml:space="preserve">9wdj3z2kekttkk3|CS2 · VIT vs NAVI</t>
  </si>
  <si>
    <t xml:space="preserve">flameZ</t>
  </si>
  <si>
    <t xml:space="preserve">uiy2ot3l9f0c2i9|CS2 · VIT vs NAVI</t>
  </si>
  <si>
    <t xml:space="preserve">jL</t>
  </si>
  <si>
    <t xml:space="preserve">frzabcozzj3obrl|CS2 · VIT vs NAVI</t>
  </si>
  <si>
    <t xml:space="preserve">mezii</t>
  </si>
  <si>
    <t xml:space="preserve">w4swyv4mqy1ob42|CS2 · VIT vs NAVI</t>
  </si>
  <si>
    <t xml:space="preserve">ropz</t>
  </si>
  <si>
    <t xml:space="preserve">jbs33yc6r5ra8l4|CS2 · VIT vs NAVI</t>
  </si>
  <si>
    <t xml:space="preserve">43%/6/14</t>
  </si>
  <si>
    <t xml:space="preserve">ZywOo</t>
  </si>
  <si>
    <t xml:space="preserve">89%/8/9</t>
  </si>
  <si>
    <t xml:space="preserve">6vanqemhsqez4mc|CS2 · VIT vs NAVI</t>
  </si>
  <si>
    <t xml:space="preserve">biguzera</t>
  </si>
  <si>
    <t xml:space="preserve">3cunzce5pb15xlw|CS2 · paiN vs NCP</t>
  </si>
  <si>
    <t xml:space="preserve">Rkzinho</t>
  </si>
  <si>
    <t xml:space="preserve">1p3p5e3dcd3rbvt|CS2 · paiN vs NCP</t>
  </si>
  <si>
    <t xml:space="preserve">saffee</t>
  </si>
  <si>
    <t xml:space="preserve">d1hn3as545n029p|CS2 · paiN vs NCP</t>
  </si>
  <si>
    <t xml:space="preserve">Tatu</t>
  </si>
  <si>
    <t xml:space="preserve">tkkenn22b7r5gfa|CS2 · paiN vs NCP</t>
  </si>
  <si>
    <t xml:space="preserve">Akeman</t>
  </si>
  <si>
    <t xml:space="preserve">uuenaj2yjxssq46|VAL · KBG vs UR</t>
  </si>
  <si>
    <t xml:space="preserve">sibeastw0w</t>
  </si>
  <si>
    <t xml:space="preserve">16vwmlbwgx0jdz4|VAL · KBG vs UR</t>
  </si>
  <si>
    <t xml:space="preserve">CXIX666</t>
  </si>
  <si>
    <t xml:space="preserve">fl4ta9g39ylnp3t|VAL · KBG vs UR</t>
  </si>
  <si>
    <t xml:space="preserve">Haodong</t>
  </si>
  <si>
    <t xml:space="preserve">7bx7bre77fcpsbi|VAL · TEC vs WSIG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</si>
  <si>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</si>
  <si>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</si>
  <si>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</si>
  <si>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</si>
  <si>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</si>
  <si>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</si>
  <si>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</si>
  <si>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</si>
  <si>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</si>
  <si>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</si>
  <si>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</si>
  <si>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</si>
  <si>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</si>
  <si>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</si>
  <si>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</si>
  <si>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</si>
  <si>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</si>
  <si>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</si>
  <si>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</si>
  <si>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</si>
  <si>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</si>
  <si>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</si>
  <si>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</si>
  <si>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</si>
  <si>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</si>
  <si>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</si>
  <si>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</si>
  <si>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</si>
  <si>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</si>
  <si>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</si>
  <si>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</si>
  <si>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</si>
  <si>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</si>
  <si>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</si>
  <si>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</si>
  <si>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</si>
  <si>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</si>
  <si>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</si>
  <si>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</si>
  <si>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</si>
  <si>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</si>
  <si>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</si>
  <si>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</si>
  <si>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</si>
  <si>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</si>
  <si>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</si>
  <si>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</si>
  <si>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</si>
  <si>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</si>
  <si>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</si>
  <si>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</si>
  <si>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</si>
  <si>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yoqtwbv6uc6leni</t>
  </si>
  <si>
    <t xml:space="preserve">acphdzip9ah477u</t>
  </si>
  <si>
    <t xml:space="preserve">irrertmif0zjlof</t>
  </si>
  <si>
    <t xml:space="preserve">cy7qneakzvjx5w7</t>
  </si>
  <si>
    <t xml:space="preserve">v1kk02jq1q269h8</t>
  </si>
  <si>
    <t xml:space="preserve">wdrf4z5snuwpkf2</t>
  </si>
  <si>
    <t xml:space="preserve">phl4oe3cm0dori9</t>
  </si>
  <si>
    <t xml:space="preserve">fcuzodaqfntg95o</t>
  </si>
  <si>
    <t xml:space="preserve">8y2vu0o81k1ojys</t>
  </si>
  <si>
    <t xml:space="preserve">ltwiotm7m8sg32v</t>
  </si>
  <si>
    <t xml:space="preserve">u4e5uoowjf17ffu</t>
  </si>
  <si>
    <t xml:space="preserve">bfampq2da0guhkz</t>
  </si>
  <si>
    <t xml:space="preserve">gffaqp23gkmuw6v</t>
  </si>
  <si>
    <t xml:space="preserve">t0obepfwbzppr9o</t>
  </si>
  <si>
    <t xml:space="preserve">bbn5jcnsvynk6lh</t>
  </si>
  <si>
    <t xml:space="preserve">junaikigf57r8s5</t>
  </si>
  <si>
    <t xml:space="preserve">yggfnst4in1cx36</t>
  </si>
  <si>
    <t xml:space="preserve">fh0bagimw7zhv73</t>
  </si>
  <si>
    <t xml:space="preserve">laaa0e0li15jo3i</t>
  </si>
  <si>
    <t xml:space="preserve">7jc1txydq5ljh91</t>
  </si>
  <si>
    <t xml:space="preserve">fcyn95tult4vqqc</t>
  </si>
  <si>
    <t xml:space="preserve">xb618esex95xxil</t>
  </si>
  <si>
    <t xml:space="preserve">j5opzoggo0850rg</t>
  </si>
  <si>
    <t xml:space="preserve">4uq92vrggozx07g</t>
  </si>
  <si>
    <t xml:space="preserve">ji1haqzonozp10h</t>
  </si>
  <si>
    <t xml:space="preserve">jznoz5axpwbs6p9</t>
  </si>
  <si>
    <t xml:space="preserve">xs4swsc9sjw6f0h</t>
  </si>
  <si>
    <t xml:space="preserve">r15gfw1oxe4qlej</t>
  </si>
  <si>
    <t xml:space="preserve">50lzcgm17r170cw</t>
  </si>
  <si>
    <t xml:space="preserve">elja8hf3dep1m4s</t>
  </si>
  <si>
    <t xml:space="preserve">8zk5wx3xrdrsxpo</t>
  </si>
  <si>
    <t xml:space="preserve">njwuhcdlh1yj0a2</t>
  </si>
  <si>
    <t xml:space="preserve">qotjq9z9vy9ol0x</t>
  </si>
  <si>
    <t xml:space="preserve">oqhiiivtedh8uei</t>
  </si>
  <si>
    <t xml:space="preserve">avwkdg09z636hor</t>
  </si>
  <si>
    <t xml:space="preserve">m3k16jwnnsz4izp</t>
  </si>
  <si>
    <t xml:space="preserve">vld1f2dc8t9aesb</t>
  </si>
  <si>
    <t xml:space="preserve">3hdlfqpxj65raop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</si>
  <si>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</si>
  <si>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</si>
  <si>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</si>
  <si>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</si>
  <si>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</si>
  <si>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</si>
  <si>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</si>
  <si>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</si>
  <si>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</si>
  <si>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</si>
  <si>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oilrc57yb4vi4v4</t>
  </si>
  <si>
    <t xml:space="preserve">xq939tnpy5hluwa</t>
  </si>
  <si>
    <t xml:space="preserve">at2vo8jmt9hrk3m</t>
  </si>
  <si>
    <t xml:space="preserve">sir58v1hxyyne29</t>
  </si>
  <si>
    <t xml:space="preserve">a0u1qo22a3z9rh8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</si>
  <si>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</si>
  <si>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</si>
  <si>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</si>
  <si>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</si>
  <si>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</si>
  <si>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</si>
  <si>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</si>
  <si>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</si>
  <si>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</si>
  <si>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</si>
  <si>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w5k5az5ca72wkvb</t>
  </si>
  <si>
    <t xml:space="preserve">jf6rt002svd50mx</t>
  </si>
  <si>
    <t xml:space="preserve">rhz6c2hq5wcant1</t>
  </si>
  <si>
    <t xml:space="preserve">xwyhvw38gardzpx</t>
  </si>
  <si>
    <t xml:space="preserve">lj8zw2mudcbj35u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</si>
  <si>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</si>
  <si>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</si>
  <si>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</si>
  <si>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</si>
  <si>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</si>
  <si>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w36zabyloy9xbbl</t>
  </si>
  <si>
    <t xml:space="preserve">3i7rtlh9c02jvmx</t>
  </si>
  <si>
    <t xml:space="preserve">vdo0jykqczuyswb</t>
  </si>
  <si>
    <t xml:space="preserve">42o4a4l388ybjjn</t>
  </si>
  <si>
    <t xml:space="preserve">fyrdqmky6zw6rl0</t>
  </si>
  <si>
    <t xml:space="preserve">cuos9kbfem9flgg</t>
  </si>
  <si>
    <t xml:space="preserve">9ewlsq1d531bbzm</t>
  </si>
  <si>
    <t xml:space="preserve">wt4hradl1cp0pr9</t>
  </si>
  <si>
    <t xml:space="preserve">b8ta8wsdzmggqly</t>
  </si>
  <si>
    <t xml:space="preserve">sw5tkvujsl89icm</t>
  </si>
  <si>
    <t xml:space="preserve">e44aeypbtlo8ywj</t>
  </si>
  <si>
    <t xml:space="preserve">xm025o9k2to8y1j</t>
  </si>
  <si>
    <t xml:space="preserve">5u9kxbc1judur85</t>
  </si>
  <si>
    <t xml:space="preserve">r7wsfbp8t29ubnd</t>
  </si>
  <si>
    <t xml:space="preserve">rj8kw5flhgyw41h</t>
  </si>
  <si>
    <t xml:space="preserve">x1v63r81qmuu0h4</t>
  </si>
  <si>
    <t xml:space="preserve">r07w0yuctuwh8t3</t>
  </si>
  <si>
    <t xml:space="preserve">42hme0a34vl8ydg</t>
  </si>
  <si>
    <t xml:space="preserve">zskm3i3mjaiolhs</t>
  </si>
  <si>
    <t xml:space="preserve">247nk4skqmst67l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</si>
  <si>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</si>
  <si>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</si>
  <si>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</si>
  <si>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</si>
  <si>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</si>
  <si>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</si>
  <si>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</si>
  <si>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</si>
  <si>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</si>
  <si>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</si>
  <si>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rfqj6u4cb2993gu</t>
  </si>
  <si>
    <t xml:space="preserve">mprhmt5nqri2sa5</t>
  </si>
  <si>
    <t xml:space="preserve">hdv5agzi5iecire</t>
  </si>
  <si>
    <t xml:space="preserve">237c8v92obxm2e9</t>
  </si>
  <si>
    <t xml:space="preserve">f23gfr3wlpk01nz</t>
  </si>
  <si>
    <t xml:space="preserve">ociqtxrjuk45u59</t>
  </si>
  <si>
    <t xml:space="preserve">x8upaam3ujpx331</t>
  </si>
  <si>
    <t xml:space="preserve">7ehti0cn8n4gylc</t>
  </si>
  <si>
    <t xml:space="preserve">6nc5vmzm030q26g</t>
  </si>
  <si>
    <t xml:space="preserve">ayxk4sbko48l7n5</t>
  </si>
  <si>
    <t xml:space="preserve">u9w9fgcak41kfr9</t>
  </si>
  <si>
    <t xml:space="preserve">z76txvqnu9utr9a</t>
  </si>
  <si>
    <t xml:space="preserve">9w6j2f9myaeeuie</t>
  </si>
  <si>
    <t xml:space="preserve">qsyrug527ihd0m5</t>
  </si>
  <si>
    <t xml:space="preserve">46l8s320mbib9t5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</si>
  <si>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</si>
  <si>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</si>
  <si>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</si>
  <si>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</si>
  <si>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</si>
  <si>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</si>
  <si>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</si>
  <si>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</si>
  <si>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</si>
  <si>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</si>
  <si>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3cunzce5pb15xlw</t>
  </si>
  <si>
    <t xml:space="preserve">1p3p5e3dcd3rbvt</t>
  </si>
  <si>
    <t xml:space="preserve">d1hn3as545n029p</t>
  </si>
  <si>
    <t xml:space="preserve">tkkenn22b7r5gfa</t>
  </si>
  <si>
    <t xml:space="preserve">uuenaj2yjxssq46</t>
  </si>
  <si>
    <t xml:space="preserve">16vwmlbwgx0jdz4</t>
  </si>
  <si>
    <t xml:space="preserve">fl4ta9g39ylnp3t</t>
  </si>
  <si>
    <t xml:space="preserve">7bx7bre77fcpsbi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</si>
  <si>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</si>
  <si>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</si>
  <si>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</si>
  <si>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</si>
  <si>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</si>
  <si>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</si>
  <si>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</si>
  <si>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</si>
  <si>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</si>
  <si>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</si>
  <si>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</si>
  <si>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</si>
  <si>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</si>
  <si>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</si>
  <si>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</si>
  <si>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</si>
  <si>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</si>
  <si>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</si>
  <si>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</si>
  <si>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</si>
  <si>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</si>
  <si>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</si>
  <si>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</si>
  <si>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</si>
  <si>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</si>
  <si>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</si>
  <si>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</si>
  <si>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</si>
  <si>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</si>
  <si>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</si>
  <si>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</si>
  <si>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</si>
  <si>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</si>
  <si>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</si>
  <si>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</si>
  <si>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2026-10-29</t>
  </si>
  <si>
    <t xml:space="preserve">BUILT_UTC</t>
  </si>
  <si>
    <t xml:space="preserve">2026-10-29 05:19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</si>
  <si>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</si>
  <si>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</si>
  <si>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</si>
  <si>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</si>
  <si>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</si>
  <si>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</si>
  <si>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</si>
  <si>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</si>
  <si>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</si>
  <si>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</si>
  <si>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</si>
  <si>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</si>
  <si>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</si>
  <si>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100T vs Arena Pro</t>
  </si>
  <si>
    <t xml:space="preserve">OK</t>
  </si>
  <si>
    <t xml:space="preserve">https://www.pickfinder.app/players/cs2/yoqtwbv6uc6leni</t>
  </si>
  <si>
    <t xml:space="preserve">https://www.pickfinder.app/players/cs2/acphdzip9ah477u</t>
  </si>
  <si>
    <t xml:space="preserve">https://www.pickfinder.app/players/cs2/irrertmif0zjlof</t>
  </si>
  <si>
    <t xml:space="preserve">https://www.pickfinder.app/players/cs2/cy7qneakzvjx5w7</t>
  </si>
  <si>
    <t xml:space="preserve">https://www.pickfinder.app/players/cs2/v1kk02jq1q269h8</t>
  </si>
  <si>
    <t xml:space="preserve">ALKA vs TdP</t>
  </si>
  <si>
    <t xml:space="preserve">https://www.pickfinder.app/players/cs2/ociqtxrjuk45u59</t>
  </si>
  <si>
    <t xml:space="preserve">https://www.pickfinder.app/players/cs2/x8upaam3ujpx331</t>
  </si>
  <si>
    <t xml:space="preserve">https://www.pickfinder.app/players/cs2/7ehti0cn8n4gylc</t>
  </si>
  <si>
    <t xml:space="preserve">https://www.pickfinder.app/players/cs2/6nc5vmzm030q26g</t>
  </si>
  <si>
    <t xml:space="preserve">https://www.pickfinder.app/players/cs2/ayxk4sbko48l7n5</t>
  </si>
  <si>
    <t xml:space="preserve">AST vs ICE</t>
  </si>
  <si>
    <t xml:space="preserve">https://www.pickfinder.app/players/cs2/u4e5uoowjf17ffu</t>
  </si>
  <si>
    <t xml:space="preserve">https://www.pickfinder.app/players/cs2/bfampq2da0guhkz</t>
  </si>
  <si>
    <t xml:space="preserve">https://www.pickfinder.app/players/cs2/gffaqp23gkmuw6v</t>
  </si>
  <si>
    <t xml:space="preserve">https://www.pickfinder.app/players/cs2/t0obepfwbzppr9o</t>
  </si>
  <si>
    <t xml:space="preserve">AUR vs MOUZ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</si>
  <si>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</si>
  <si>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</si>
  <si>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</si>
  <si>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</si>
  <si>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</si>
  <si>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B8 vs HOTU</t>
  </si>
  <si>
    <t xml:space="preserve">https://www.pickfinder.app/players/cs2/7jc1txydq5ljh91</t>
  </si>
  <si>
    <t xml:space="preserve">https://www.pickfinder.app/players/cs2/fcyn95tult4vqqc</t>
  </si>
  <si>
    <t xml:space="preserve">https://www.pickfinder.app/players/cs2/xb618esex95xxil</t>
  </si>
  <si>
    <t xml:space="preserve">https://www.pickfinder.app/players/cs2/j5opzoggo0850rg</t>
  </si>
  <si>
    <t xml:space="preserve">https://www.pickfinder.app/players/cs2/4uq92vrggozx07g</t>
  </si>
  <si>
    <t xml:space="preserve">BAR vs BHE</t>
  </si>
  <si>
    <t xml:space="preserve">https://www.pickfinder.app/players/cs2/elja8hf3dep1m4s</t>
  </si>
  <si>
    <t xml:space="preserve">https://www.pickfinder.app/players/cs2/8zk5wx3xrdrsxpo</t>
  </si>
  <si>
    <t xml:space="preserve">https://www.pickfinder.app/players/cs2/njwuhcdlh1yj0a2</t>
  </si>
  <si>
    <t xml:space="preserve">https://www.pickfinder.app/players/cs2/qotjq9z9vy9ol0x</t>
  </si>
  <si>
    <t xml:space="preserve">https://www.pickfinder.app/players/cs2/oqhiiivtedh8uei</t>
  </si>
  <si>
    <t xml:space="preserve">BB vs FURIA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</si>
  <si>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</si>
  <si>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</si>
  <si>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</si>
  <si>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</si>
  <si>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</si>
  <si>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BHE vs BAR</t>
  </si>
  <si>
    <t xml:space="preserve">https://www.pickfinder.app/players/cs2/avwkdg09z636hor</t>
  </si>
  <si>
    <t xml:space="preserve">https://www.pickfinder.app/players/cs2/m3k16jwnnsz4izp</t>
  </si>
  <si>
    <t xml:space="preserve">https://www.pickfinder.app/players/cs2/vld1f2dc8t9aesb</t>
  </si>
  <si>
    <t xml:space="preserve">https://www.pickfinder.app/players/cs2/3hdlfqpxj65raop</t>
  </si>
  <si>
    <t xml:space="preserve">BIG vs EF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</si>
  <si>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</si>
  <si>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</si>
  <si>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</si>
  <si>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</si>
  <si>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</si>
  <si>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DEN vs Low Cortisol</t>
  </si>
  <si>
    <t xml:space="preserve">https://www.pickfinder.app/players/cs2/oilrc57yb4vi4v4</t>
  </si>
  <si>
    <t xml:space="preserve">https://www.pickfinder.app/players/cs2/xq939tnpy5hluwa</t>
  </si>
  <si>
    <t xml:space="preserve">https://www.pickfinder.app/players/cs2/at2vo8jmt9hrk3m</t>
  </si>
  <si>
    <t xml:space="preserve">https://www.pickfinder.app/players/cs2/sir58v1hxyyne29</t>
  </si>
  <si>
    <t xml:space="preserve">https://www.pickfinder.app/players/cs2/a0u1qo22a3z9rh8</t>
  </si>
  <si>
    <t xml:space="preserve">EF vs BIG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</si>
  <si>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</si>
  <si>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</si>
  <si>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</si>
  <si>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</si>
  <si>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</si>
  <si>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FURIA vs BB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</si>
  <si>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</si>
  <si>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</si>
  <si>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</si>
  <si>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</si>
  <si>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</si>
  <si>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FUT vs NEMI</t>
  </si>
  <si>
    <t xml:space="preserve">https://www.pickfinder.app/players/cs2/w5k5az5ca72wkvb</t>
  </si>
  <si>
    <t xml:space="preserve">https://www.pickfinder.app/players/cs2/jf6rt002svd50mx</t>
  </si>
  <si>
    <t xml:space="preserve">https://www.pickfinder.app/players/cs2/rhz6c2hq5wcant1</t>
  </si>
  <si>
    <t xml:space="preserve">https://www.pickfinder.app/players/cs2/xwyhvw38gardzpx</t>
  </si>
  <si>
    <t xml:space="preserve">https://www.pickfinder.app/players/cs2/lj8zw2mudcbj35u</t>
  </si>
  <si>
    <t xml:space="preserve">FaZe vs GL</t>
  </si>
  <si>
    <t xml:space="preserve">https://www.pickfinder.app/players/cs2/w36zabyloy9xbbl</t>
  </si>
  <si>
    <t xml:space="preserve">https://www.pickfinder.app/players/cs2/3i7rtlh9c02jvmx</t>
  </si>
  <si>
    <t xml:space="preserve">https://www.pickfinder.app/players/cs2/vdo0jykqczuyswb</t>
  </si>
  <si>
    <t xml:space="preserve">https://www.pickfinder.app/players/cs2/42o4a4l388ybjjn</t>
  </si>
  <si>
    <t xml:space="preserve">https://www.pickfinder.app/players/cs2/fyrdqmky6zw6rl0</t>
  </si>
  <si>
    <t xml:space="preserve">GL vs FaZe</t>
  </si>
  <si>
    <t xml:space="preserve">https://www.pickfinder.app/players/cs2/cuos9kbfem9flgg</t>
  </si>
  <si>
    <t xml:space="preserve">https://www.pickfinder.app/players/cs2/9ewlsq1d531bbzm</t>
  </si>
  <si>
    <t xml:space="preserve">https://www.pickfinder.app/players/cs2/wt4hradl1cp0pr9</t>
  </si>
  <si>
    <t xml:space="preserve">https://www.pickfinder.app/players/cs2/b8ta8wsdzmggqly</t>
  </si>
  <si>
    <t xml:space="preserve">GLS vs PCY</t>
  </si>
  <si>
    <t xml:space="preserve">https://www.pickfinder.app/players/cs2/sw5tkvujsl89icm</t>
  </si>
  <si>
    <t xml:space="preserve">https://www.pickfinder.app/players/cs2/e44aeypbtlo8ywj</t>
  </si>
  <si>
    <t xml:space="preserve">https://www.pickfinder.app/players/cs2/xm025o9k2to8y1j</t>
  </si>
  <si>
    <t xml:space="preserve">https://www.pickfinder.app/players/cs2/5u9kxbc1judur85</t>
  </si>
  <si>
    <t xml:space="preserve">https://www.pickfinder.app/players/cs2/r7wsfbp8t29ubnd</t>
  </si>
  <si>
    <t xml:space="preserve">HOTU vs B8</t>
  </si>
  <si>
    <t xml:space="preserve">https://www.pickfinder.app/players/cs2/ji1haqzonozp10h</t>
  </si>
  <si>
    <t xml:space="preserve">https://www.pickfinder.app/players/cs2/jznoz5axpwbs6p9</t>
  </si>
  <si>
    <t xml:space="preserve">https://www.pickfinder.app/players/cs2/xs4swsc9sjw6f0h</t>
  </si>
  <si>
    <t xml:space="preserve">https://www.pickfinder.app/players/cs2/r15gfw1oxe4qlej</t>
  </si>
  <si>
    <t xml:space="preserve">https://www.pickfinder.app/players/cs2/50lzcgm17r170cw</t>
  </si>
  <si>
    <t xml:space="preserve">ICE vs AST</t>
  </si>
  <si>
    <t xml:space="preserve">https://www.pickfinder.app/players/cs2/bbn5jcnsvynk6lh</t>
  </si>
  <si>
    <t xml:space="preserve">https://www.pickfinder.app/players/cs2/junaikigf57r8s5</t>
  </si>
  <si>
    <t xml:space="preserve">https://www.pickfinder.app/players/cs2/yggfnst4in1cx36</t>
  </si>
  <si>
    <t xml:space="preserve">https://www.pickfinder.app/players/cs2/fh0bagimw7zhv73</t>
  </si>
  <si>
    <t xml:space="preserve">https://www.pickfinder.app/players/cs2/laaa0e0li15jo3i</t>
  </si>
  <si>
    <t xml:space="preserve">IMP vs QUIN</t>
  </si>
  <si>
    <t xml:space="preserve">https://www.pickfinder.app/players/cs2/zskm3i3mjaiolhs</t>
  </si>
  <si>
    <t xml:space="preserve">https://www.pickfinder.app/players/cs2/247nk4skqmst67l</t>
  </si>
  <si>
    <t xml:space="preserve">IS vs ZOTIX</t>
  </si>
  <si>
    <t xml:space="preserve">https://www.pickfinder.app/players/cs2/wdrf4z5snuwpkf2</t>
  </si>
  <si>
    <t xml:space="preserve">https://www.pickfinder.app/players/cs2/phl4oe3cm0dori9</t>
  </si>
  <si>
    <t xml:space="preserve">https://www.pickfinder.app/players/cs2/fcuzodaqfntg95o</t>
  </si>
  <si>
    <t xml:space="preserve">https://www.pickfinder.app/players/cs2/8y2vu0o81k1ojys</t>
  </si>
  <si>
    <t xml:space="preserve">https://www.pickfinder.app/players/cs2/ltwiotm7m8sg32v</t>
  </si>
  <si>
    <t xml:space="preserve">MOUZ vs AUR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</si>
  <si>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</si>
  <si>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</si>
  <si>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</si>
  <si>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</si>
  <si>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</si>
  <si>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NAVI vs VIT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</si>
  <si>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</si>
  <si>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</si>
  <si>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</si>
  <si>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</si>
  <si>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</si>
  <si>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NEMI vs FUT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</si>
  <si>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</si>
  <si>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</si>
  <si>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</si>
  <si>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</si>
  <si>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</si>
  <si>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NRG vs Tactical Chaos</t>
  </si>
  <si>
    <t xml:space="preserve">https://www.pickfinder.app/players/cs2/rfqj6u4cb2993gu</t>
  </si>
  <si>
    <t xml:space="preserve">https://www.pickfinder.app/players/cs2/mprhmt5nqri2sa5</t>
  </si>
  <si>
    <t xml:space="preserve">https://www.pickfinder.app/players/cs2/hdv5agzi5iecire</t>
  </si>
  <si>
    <t xml:space="preserve">https://www.pickfinder.app/players/cs2/237c8v92obxm2e9</t>
  </si>
  <si>
    <t xml:space="preserve">https://www.pickfinder.app/players/cs2/f23gfr3wlpk01nz</t>
  </si>
  <si>
    <t xml:space="preserve">PCY vs GLS</t>
  </si>
  <si>
    <t xml:space="preserve">https://www.pickfinder.app/players/cs2/rj8kw5flhgyw41h</t>
  </si>
  <si>
    <t xml:space="preserve">https://www.pickfinder.app/players/cs2/x1v63r81qmuu0h4</t>
  </si>
  <si>
    <t xml:space="preserve">https://www.pickfinder.app/players/cs2/r07w0yuctuwh8t3</t>
  </si>
  <si>
    <t xml:space="preserve">https://www.pickfinder.app/players/cs2/42hme0a34vl8ydg</t>
  </si>
  <si>
    <t xml:space="preserve">TdP vs ALKA</t>
  </si>
  <si>
    <t xml:space="preserve">https://www.pickfinder.app/players/cs2/u9w9fgcak41kfr9</t>
  </si>
  <si>
    <t xml:space="preserve">https://www.pickfinder.app/players/cs2/z76txvqnu9utr9a</t>
  </si>
  <si>
    <t xml:space="preserve">https://www.pickfinder.app/players/cs2/9w6j2f9myaeeuie</t>
  </si>
  <si>
    <t xml:space="preserve">https://www.pickfinder.app/players/cs2/qsyrug527ihd0m5</t>
  </si>
  <si>
    <t xml:space="preserve">https://www.pickfinder.app/players/cs2/46l8s320mbib9t5</t>
  </si>
  <si>
    <t xml:space="preserve">VIT vs NAVI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</si>
  <si>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</si>
  <si>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</si>
  <si>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</si>
  <si>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</si>
  <si>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</si>
  <si>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paiN vs NCP</t>
  </si>
  <si>
    <t xml:space="preserve">https://www.pickfinder.app/players/cs2/3cunzce5pb15xlw</t>
  </si>
  <si>
    <t xml:space="preserve">https://www.pickfinder.app/players/cs2/1p3p5e3dcd3rbvt</t>
  </si>
  <si>
    <t xml:space="preserve">https://www.pickfinder.app/players/cs2/d1hn3as545n029p</t>
  </si>
  <si>
    <t xml:space="preserve">https://www.pickfinder.app/players/cs2/tkkenn22b7r5gfa</t>
  </si>
  <si>
    <t xml:space="preserve">KBG vs UR</t>
  </si>
  <si>
    <t xml:space="preserve">https://www.pickfinder.app/players/val/uuenaj2yjxssq46</t>
  </si>
  <si>
    <t xml:space="preserve">https://www.pickfinder.app/players/val/16vwmlbwgx0jdz4</t>
  </si>
  <si>
    <t xml:space="preserve">TEC vs WSIG</t>
  </si>
  <si>
    <t xml:space="preserve">https://www.pickfinder.app/players/val/7bx7bre77fcpsbi</t>
  </si>
  <si>
    <t xml:space="preserve">UR vs KBG</t>
  </si>
  <si>
    <t xml:space="preserve">https://www.pickfinder.app/players/val/fl4ta9g39ylnp3t</t>
  </si>
  <si>
    <t xml:space="preserve">Maps (n)</t>
  </si>
  <si>
    <t xml:space="preserve">Kills/map</t>
  </si>
  <si>
    <t xml:space="preserve">KPR (PF)</t>
  </si>
  <si>
    <t xml:space="preserve">KPR used</t>
  </si>
  <si>
    <t xml:space="preserve">wdrf4z5snuwpkf2|Nuke</t>
  </si>
  <si>
    <t xml:space="preserve">wdrf4z5snuwpkf2|Mirage</t>
  </si>
  <si>
    <t xml:space="preserve">wdrf4z5snuwpkf2|Inferno</t>
  </si>
  <si>
    <t xml:space="preserve">wdrf4z5snuwpkf2|Ancient</t>
  </si>
  <si>
    <t xml:space="preserve">wdrf4z5snuwpkf2|Cache</t>
  </si>
  <si>
    <t xml:space="preserve">wdrf4z5snuwpkf2|Anubis</t>
  </si>
  <si>
    <t xml:space="preserve">509x6s2e70l3hhg|Mirage</t>
  </si>
  <si>
    <t xml:space="preserve">509x6s2e70l3hhg|Inferno</t>
  </si>
  <si>
    <t xml:space="preserve">509x6s2e70l3hhg|Nuke</t>
  </si>
  <si>
    <t xml:space="preserve">509x6s2e70l3hhg|Dust2</t>
  </si>
  <si>
    <t xml:space="preserve">509x6s2e70l3hhg|Cache</t>
  </si>
  <si>
    <t xml:space="preserve">509x6s2e70l3hhg|Anubis</t>
  </si>
  <si>
    <t xml:space="preserve">509x6s2e70l3hhg|Ancient</t>
  </si>
  <si>
    <t xml:space="preserve">phl4oe3cm0dori9|Nuke</t>
  </si>
  <si>
    <t xml:space="preserve">phl4oe3cm0dori9|Mirage</t>
  </si>
  <si>
    <t xml:space="preserve">phl4oe3cm0dori9|Inferno</t>
  </si>
  <si>
    <t xml:space="preserve">phl4oe3cm0dori9|Cache</t>
  </si>
  <si>
    <t xml:space="preserve">phl4oe3cm0dori9|Ancient</t>
  </si>
  <si>
    <t xml:space="preserve">phl4oe3cm0dori9|Anubis</t>
  </si>
  <si>
    <t xml:space="preserve">7jc1txydq5ljh91|Mirage</t>
  </si>
  <si>
    <t xml:space="preserve">7jc1txydq5ljh91|Dust2</t>
  </si>
  <si>
    <t xml:space="preserve">7jc1txydq5ljh91|Ancient</t>
  </si>
  <si>
    <t xml:space="preserve">7jc1txydq5ljh91|Inferno</t>
  </si>
  <si>
    <t xml:space="preserve">7jc1txydq5ljh91|Cache</t>
  </si>
  <si>
    <t xml:space="preserve">7jc1txydq5ljh91|Nuke</t>
  </si>
  <si>
    <t xml:space="preserve">elja8hf3dep1m4s|Ancient</t>
  </si>
  <si>
    <t xml:space="preserve">elja8hf3dep1m4s|Dust2</t>
  </si>
  <si>
    <t xml:space="preserve">elja8hf3dep1m4s|Mirage</t>
  </si>
  <si>
    <t xml:space="preserve">elja8hf3dep1m4s|Inferno</t>
  </si>
  <si>
    <t xml:space="preserve">elja8hf3dep1m4s|Nuke</t>
  </si>
  <si>
    <t xml:space="preserve">elja8hf3dep1m4s|Cache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</si>
  <si>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</si>
  <si>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</si>
  <si>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</si>
  <si>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</si>
  <si>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2y1yay7td9d3pb6|Dust2</t>
  </si>
  <si>
    <t xml:space="preserve">2y1yay7td9d3pb6|Anubis</t>
  </si>
  <si>
    <t xml:space="preserve">2y1yay7td9d3pb6|Ancient</t>
  </si>
  <si>
    <t xml:space="preserve">3cunzce5pb15xlw|Dust2</t>
  </si>
  <si>
    <t xml:space="preserve">3cunzce5pb15xlw|Anubis</t>
  </si>
  <si>
    <t xml:space="preserve">3cunzce5pb15xlw|Mirage</t>
  </si>
  <si>
    <t xml:space="preserve">3cunzce5pb15xlw|Cache</t>
  </si>
  <si>
    <t xml:space="preserve">3cunzce5pb15xlw|Inferno</t>
  </si>
  <si>
    <t xml:space="preserve">3cunzce5pb15xlw|Nuke</t>
  </si>
  <si>
    <t xml:space="preserve">8trkhn8eds1uu4p|Cache</t>
  </si>
  <si>
    <t xml:space="preserve">8trkhn8eds1uu4p|Mirage</t>
  </si>
  <si>
    <t xml:space="preserve">8trkhn8eds1uu4p|Ancient</t>
  </si>
  <si>
    <t xml:space="preserve">8trkhn8eds1uu4p|Inferno</t>
  </si>
  <si>
    <t xml:space="preserve">8trkhn8eds1uu4p|Dust2</t>
  </si>
  <si>
    <t xml:space="preserve">8trkhn8eds1uu4p|Nuke</t>
  </si>
  <si>
    <t xml:space="preserve">ociqtxrjuk45u59|Dust2</t>
  </si>
  <si>
    <t xml:space="preserve">ociqtxrjuk45u59|Ancient</t>
  </si>
  <si>
    <t xml:space="preserve">ociqtxrjuk45u59|Nuke</t>
  </si>
  <si>
    <t xml:space="preserve">ociqtxrjuk45u59|Mirage</t>
  </si>
  <si>
    <t xml:space="preserve">ociqtxrjuk45u59|Inferno</t>
  </si>
  <si>
    <t xml:space="preserve">ociqtxrjuk45u59|Cache</t>
  </si>
  <si>
    <t xml:space="preserve">ociqtxrjuk45u59|Anubis</t>
  </si>
  <si>
    <t xml:space="preserve">75r40osa6cjt3o0|Mirage</t>
  </si>
  <si>
    <t xml:space="preserve">75r40osa6cjt3o0|Anubis</t>
  </si>
  <si>
    <t xml:space="preserve">75r40osa6cjt3o0|Ancient</t>
  </si>
  <si>
    <t xml:space="preserve">75r40osa6cjt3o0|Dust2</t>
  </si>
  <si>
    <t xml:space="preserve">75r40osa6cjt3o0|Nuke</t>
  </si>
  <si>
    <t xml:space="preserve">75r40osa6cjt3o0|Cache</t>
  </si>
  <si>
    <t xml:space="preserve">x8upaam3ujpx331|Dust2</t>
  </si>
  <si>
    <t xml:space="preserve">x8upaam3ujpx331|Ancient</t>
  </si>
  <si>
    <t xml:space="preserve">x8upaam3ujpx331|Nuke</t>
  </si>
  <si>
    <t xml:space="preserve">x8upaam3ujpx331|Mirage</t>
  </si>
  <si>
    <t xml:space="preserve">x8upaam3ujpx331|Inferno</t>
  </si>
  <si>
    <t xml:space="preserve">x8upaam3ujpx331|Cache</t>
  </si>
  <si>
    <t xml:space="preserve">x8upaam3ujpx331|Anubis</t>
  </si>
  <si>
    <t xml:space="preserve">bbn5jcnsvynk6lh|Dust2</t>
  </si>
  <si>
    <t xml:space="preserve">bbn5jcnsvynk6lh|Nuke</t>
  </si>
  <si>
    <t xml:space="preserve">bbn5jcnsvynk6lh|Mirage</t>
  </si>
  <si>
    <t xml:space="preserve">bbn5jcnsvynk6lh|Cache</t>
  </si>
  <si>
    <t xml:space="preserve">bbn5jcnsvynk6lh|Ancient</t>
  </si>
  <si>
    <t xml:space="preserve">bbn5jcnsvynk6lh|Anubis</t>
  </si>
  <si>
    <t xml:space="preserve">kgpnwz42wxtq29r|Mirage</t>
  </si>
  <si>
    <t xml:space="preserve">kgpnwz42wxtq29r|Anubis</t>
  </si>
  <si>
    <t xml:space="preserve">kgpnwz42wxtq29r|Ancient</t>
  </si>
  <si>
    <t xml:space="preserve">kgpnwz42wxtq29r|Dust2</t>
  </si>
  <si>
    <t xml:space="preserve">kgpnwz42wxtq29r|Nuke</t>
  </si>
  <si>
    <t xml:space="preserve">kgpnwz42wxtq29r|Cache</t>
  </si>
  <si>
    <t xml:space="preserve">fcuzodaqfntg95o|Nuke</t>
  </si>
  <si>
    <t xml:space="preserve">fcuzodaqfntg95o|Mirage</t>
  </si>
  <si>
    <t xml:space="preserve">fcuzodaqfntg95o|Inferno</t>
  </si>
  <si>
    <t xml:space="preserve">fcuzodaqfntg95o|Cache</t>
  </si>
  <si>
    <t xml:space="preserve">fcuzodaqfntg95o|Ancient</t>
  </si>
  <si>
    <t xml:space="preserve">fcuzodaqfntg95o|Anubis</t>
  </si>
  <si>
    <t xml:space="preserve">junaikigf57r8s5|Nuke</t>
  </si>
  <si>
    <t xml:space="preserve">junaikigf57r8s5|Dust2</t>
  </si>
  <si>
    <t xml:space="preserve">junaikigf57r8s5|Mirage</t>
  </si>
  <si>
    <t xml:space="preserve">junaikigf57r8s5|Cache</t>
  </si>
  <si>
    <t xml:space="preserve">junaikigf57r8s5|Ancient</t>
  </si>
  <si>
    <t xml:space="preserve">junaikigf57r8s5|Anubis</t>
  </si>
  <si>
    <t xml:space="preserve">zskm3i3mjaiolhs|Mirage</t>
  </si>
  <si>
    <t xml:space="preserve">zskm3i3mjaiolhs|Nuke</t>
  </si>
  <si>
    <t xml:space="preserve">zskm3i3mjaiolhs|Dust2</t>
  </si>
  <si>
    <t xml:space="preserve">zskm3i3mjaiolhs|Cache</t>
  </si>
  <si>
    <t xml:space="preserve">zskm3i3mjaiolhs|Anubis</t>
  </si>
  <si>
    <t xml:space="preserve">zskm3i3mjaiolhs|Inferno</t>
  </si>
  <si>
    <t xml:space="preserve">w5k5az5ca72wkvb|Ancient</t>
  </si>
  <si>
    <t xml:space="preserve">w5k5az5ca72wkvb|Dust2</t>
  </si>
  <si>
    <t xml:space="preserve">w5k5az5ca72wkvb|Mirage</t>
  </si>
  <si>
    <t xml:space="preserve">w5k5az5ca72wkvb|Nuke</t>
  </si>
  <si>
    <t xml:space="preserve">w5k5az5ca72wkvb|Anubis</t>
  </si>
  <si>
    <t xml:space="preserve">w5k5az5ca72wkvb|Cache</t>
  </si>
  <si>
    <t xml:space="preserve">sw5tkvujsl89icm|Ancient</t>
  </si>
  <si>
    <t xml:space="preserve">sw5tkvujsl89icm|Dust2</t>
  </si>
  <si>
    <t xml:space="preserve">sw5tkvujsl89icm|Inferno</t>
  </si>
  <si>
    <t xml:space="preserve">sw5tkvujsl89icm|Anubis</t>
  </si>
  <si>
    <t xml:space="preserve">sw5tkvujsl89icm|Nuke</t>
  </si>
  <si>
    <t xml:space="preserve">sw5tkvujsl89icm|Cache</t>
  </si>
  <si>
    <t xml:space="preserve">e44aeypbtlo8ywj|Ancient</t>
  </si>
  <si>
    <t xml:space="preserve">e44aeypbtlo8ywj|Dust2</t>
  </si>
  <si>
    <t xml:space="preserve">e44aeypbtlo8ywj|Inferno</t>
  </si>
  <si>
    <t xml:space="preserve">e44aeypbtlo8ywj|Anubis</t>
  </si>
  <si>
    <t xml:space="preserve">e44aeypbtlo8ywj|Nuke</t>
  </si>
  <si>
    <t xml:space="preserve">e44aeypbtlo8ywj|Cache</t>
  </si>
  <si>
    <t xml:space="preserve">yoqtwbv6uc6leni|Dust2</t>
  </si>
  <si>
    <t xml:space="preserve">yoqtwbv6uc6leni|Ancient</t>
  </si>
  <si>
    <t xml:space="preserve">yoqtwbv6uc6leni|Mirage</t>
  </si>
  <si>
    <t xml:space="preserve">yoqtwbv6uc6leni|Inferno</t>
  </si>
  <si>
    <t xml:space="preserve">yoqtwbv6uc6leni|Nuke</t>
  </si>
  <si>
    <t xml:space="preserve">yoqtwbv6uc6leni|Anubis</t>
  </si>
  <si>
    <t xml:space="preserve">yoqtwbv6uc6leni|Cache</t>
  </si>
  <si>
    <t xml:space="preserve">8zk5wx3xrdrsxpo|Ancient</t>
  </si>
  <si>
    <t xml:space="preserve">8zk5wx3xrdrsxpo|Dust2</t>
  </si>
  <si>
    <t xml:space="preserve">8zk5wx3xrdrsxpo|Mirage</t>
  </si>
  <si>
    <t xml:space="preserve">8zk5wx3xrdrsxpo|Inferno</t>
  </si>
  <si>
    <t xml:space="preserve">8zk5wx3xrdrsxpo|Nuke</t>
  </si>
  <si>
    <t xml:space="preserve">8zk5wx3xrdrsxpo|Cache</t>
  </si>
  <si>
    <t xml:space="preserve">oilrc57yb4vi4v4|Mirage</t>
  </si>
  <si>
    <t xml:space="preserve">oilrc57yb4vi4v4|Inferno</t>
  </si>
  <si>
    <t xml:space="preserve">oilrc57yb4vi4v4|Ancient</t>
  </si>
  <si>
    <t xml:space="preserve">oilrc57yb4vi4v4|Nuke</t>
  </si>
  <si>
    <t xml:space="preserve">oilrc57yb4vi4v4|Cache</t>
  </si>
  <si>
    <t xml:space="preserve">oilrc57yb4vi4v4|Anubis</t>
  </si>
  <si>
    <t xml:space="preserve">ji1haqzonozp10h|Dust2</t>
  </si>
  <si>
    <t xml:space="preserve">ji1haqzonozp10h|Anubis</t>
  </si>
  <si>
    <t xml:space="preserve">ji1haqzonozp10h|Cache</t>
  </si>
  <si>
    <t xml:space="preserve">ji1haqzonozp10h|Ancient</t>
  </si>
  <si>
    <t xml:space="preserve">ji1haqzonozp10h|Mirage</t>
  </si>
  <si>
    <t xml:space="preserve">ji1haqzonozp10h|Nuke</t>
  </si>
  <si>
    <t xml:space="preserve">jf6rt002svd50mx|Ancient</t>
  </si>
  <si>
    <t xml:space="preserve">jf6rt002svd50mx|Dust2</t>
  </si>
  <si>
    <t xml:space="preserve">jf6rt002svd50mx|Mirage</t>
  </si>
  <si>
    <t xml:space="preserve">jf6rt002svd50mx|Anubis</t>
  </si>
  <si>
    <t xml:space="preserve">jf6rt002svd50mx|Nuke</t>
  </si>
  <si>
    <t xml:space="preserve">jf6rt002svd50mx|Cache</t>
  </si>
  <si>
    <t xml:space="preserve">fcyn95tult4vqqc|Mirage</t>
  </si>
  <si>
    <t xml:space="preserve">fcyn95tult4vqqc|Dust2</t>
  </si>
  <si>
    <t xml:space="preserve">fcyn95tult4vqqc|Ancient</t>
  </si>
  <si>
    <t xml:space="preserve">fcyn95tult4vqqc|Inferno</t>
  </si>
  <si>
    <t xml:space="preserve">fcyn95tult4vqqc|Cache</t>
  </si>
  <si>
    <t xml:space="preserve">fcyn95tult4vqqc|Nuke</t>
  </si>
  <si>
    <t xml:space="preserve">upsdzrueyrfmr1m|Mirage</t>
  </si>
  <si>
    <t xml:space="preserve">upsdzrueyrfmr1m|Inferno</t>
  </si>
  <si>
    <t xml:space="preserve">upsdzrueyrfmr1m|Nuke</t>
  </si>
  <si>
    <t xml:space="preserve">upsdzrueyrfmr1m|Ancient</t>
  </si>
  <si>
    <t xml:space="preserve">upsdzrueyrfmr1m|Dust2</t>
  </si>
  <si>
    <t xml:space="preserve">upsdzrueyrfmr1m|Cache</t>
  </si>
  <si>
    <t xml:space="preserve">8aq8zm8lnarakek|Cache</t>
  </si>
  <si>
    <t xml:space="preserve">8aq8zm8lnarakek|Mirage</t>
  </si>
  <si>
    <t xml:space="preserve">8aq8zm8lnarakek|Ancient</t>
  </si>
  <si>
    <t xml:space="preserve">8aq8zm8lnarakek|Inferno</t>
  </si>
  <si>
    <t xml:space="preserve">8aq8zm8lnarakek|Dust2</t>
  </si>
  <si>
    <t xml:space="preserve">8aq8zm8lnarakek|Nuke</t>
  </si>
  <si>
    <t xml:space="preserve">cuos9kbfem9flgg|Ancient</t>
  </si>
  <si>
    <t xml:space="preserve">cuos9kbfem9flgg|Cache</t>
  </si>
  <si>
    <t xml:space="preserve">cuos9kbfem9flgg|Dust2</t>
  </si>
  <si>
    <t xml:space="preserve">cuos9kbfem9flgg|Mirage</t>
  </si>
  <si>
    <t xml:space="preserve">cuos9kbfem9flgg|Nuke</t>
  </si>
  <si>
    <t xml:space="preserve">cuos9kbfem9flgg|Inferno</t>
  </si>
  <si>
    <t xml:space="preserve">uiy2ot3l9f0c2i9|Mirage</t>
  </si>
  <si>
    <t xml:space="preserve">uiy2ot3l9f0c2i9|Dust2</t>
  </si>
  <si>
    <t xml:space="preserve">uiy2ot3l9f0c2i9|Cache</t>
  </si>
  <si>
    <t xml:space="preserve">uiy2ot3l9f0c2i9|Anubis</t>
  </si>
  <si>
    <t xml:space="preserve">uiy2ot3l9f0c2i9|Inferno</t>
  </si>
  <si>
    <t xml:space="preserve">uiy2ot3l9f0c2i9|Nuke</t>
  </si>
  <si>
    <t xml:space="preserve">jznoz5axpwbs6p9|Dust2</t>
  </si>
  <si>
    <t xml:space="preserve">jznoz5axpwbs6p9|Anubis</t>
  </si>
  <si>
    <t xml:space="preserve">jznoz5axpwbs6p9|Cache</t>
  </si>
  <si>
    <t xml:space="preserve">jznoz5axpwbs6p9|Ancient</t>
  </si>
  <si>
    <t xml:space="preserve">jznoz5axpwbs6p9|Mirage</t>
  </si>
  <si>
    <t xml:space="preserve">jznoz5axpwbs6p9|Nuke</t>
  </si>
  <si>
    <t xml:space="preserve">w36zabyloy9xbbl|Ancient</t>
  </si>
  <si>
    <t xml:space="preserve">w36zabyloy9xbbl|Nuke</t>
  </si>
  <si>
    <t xml:space="preserve">w36zabyloy9xbbl|Dust2</t>
  </si>
  <si>
    <t xml:space="preserve">w36zabyloy9xbbl|Mirage</t>
  </si>
  <si>
    <t xml:space="preserve">w36zabyloy9xbbl|Anubis</t>
  </si>
  <si>
    <t xml:space="preserve">w36zabyloy9xbbl|Cache</t>
  </si>
  <si>
    <t xml:space="preserve">xq939tnpy5hluwa|Mirage</t>
  </si>
  <si>
    <t xml:space="preserve">xq939tnpy5hluwa|Inferno</t>
  </si>
  <si>
    <t xml:space="preserve">xq939tnpy5hluwa|Cache</t>
  </si>
  <si>
    <t xml:space="preserve">xq939tnpy5hluwa|Ancient</t>
  </si>
  <si>
    <t xml:space="preserve">xq939tnpy5hluwa|Nuke</t>
  </si>
  <si>
    <t xml:space="preserve">xq939tnpy5hluwa|Anubis</t>
  </si>
  <si>
    <t xml:space="preserve">xm025o9k2to8y1j|Ancient</t>
  </si>
  <si>
    <t xml:space="preserve">xm025o9k2to8y1j|Dust2</t>
  </si>
  <si>
    <t xml:space="preserve">xm025o9k2to8y1j|Inferno</t>
  </si>
  <si>
    <t xml:space="preserve">xm025o9k2to8y1j|Nuke</t>
  </si>
  <si>
    <t xml:space="preserve">xm025o9k2to8y1j|Anubis</t>
  </si>
  <si>
    <t xml:space="preserve">xm025o9k2to8y1j|Cache</t>
  </si>
  <si>
    <t xml:space="preserve">acphdzip9ah477u|Dust2</t>
  </si>
  <si>
    <t xml:space="preserve">acphdzip9ah477u|Ancient</t>
  </si>
  <si>
    <t xml:space="preserve">acphdzip9ah477u|Inferno</t>
  </si>
  <si>
    <t xml:space="preserve">acphdzip9ah477u|Mirage</t>
  </si>
  <si>
    <t xml:space="preserve">acphdzip9ah477u|Cache</t>
  </si>
  <si>
    <t xml:space="preserve">acphdzip9ah477u|Anubis</t>
  </si>
  <si>
    <t xml:space="preserve">acphdzip9ah477u|Nuke</t>
  </si>
  <si>
    <t xml:space="preserve">3m04868n6ftaamy|Cache</t>
  </si>
  <si>
    <t xml:space="preserve">3m04868n6ftaamy|Mirage</t>
  </si>
  <si>
    <t xml:space="preserve">3m04868n6ftaamy|Ancient</t>
  </si>
  <si>
    <t xml:space="preserve">3m04868n6ftaamy|Inferno</t>
  </si>
  <si>
    <t xml:space="preserve">3m04868n6ftaamy|Dust2</t>
  </si>
  <si>
    <t xml:space="preserve">3m04868n6ftaamy|Nuke</t>
  </si>
  <si>
    <t xml:space="preserve">rfqj6u4cb2993gu|Cache</t>
  </si>
  <si>
    <t xml:space="preserve">rfqj6u4cb2993gu|Mirage</t>
  </si>
  <si>
    <t xml:space="preserve">rfqj6u4cb2993gu|Nuke</t>
  </si>
  <si>
    <t xml:space="preserve">rfqj6u4cb2993gu|Inferno</t>
  </si>
  <si>
    <t xml:space="preserve">rfqj6u4cb2993gu|Dust2</t>
  </si>
  <si>
    <t xml:space="preserve">rfqj6u4cb2993gu|Ancient</t>
  </si>
  <si>
    <t xml:space="preserve">mprhmt5nqri2sa5|Cache</t>
  </si>
  <si>
    <t xml:space="preserve">mprhmt5nqri2sa5|Mirage</t>
  </si>
  <si>
    <t xml:space="preserve">mprhmt5nqri2sa5|Nuke</t>
  </si>
  <si>
    <t xml:space="preserve">mprhmt5nqri2sa5|Inferno</t>
  </si>
  <si>
    <t xml:space="preserve">mprhmt5nqri2sa5|Dust2</t>
  </si>
  <si>
    <t xml:space="preserve">mprhmt5nqri2sa5|Ancient</t>
  </si>
  <si>
    <t xml:space="preserve">njwuhcdlh1yj0a2|Ancient</t>
  </si>
  <si>
    <t xml:space="preserve">njwuhcdlh1yj0a2|Dust2</t>
  </si>
  <si>
    <t xml:space="preserve">njwuhcdlh1yj0a2|Inferno</t>
  </si>
  <si>
    <t xml:space="preserve">njwuhcdlh1yj0a2|Mirage</t>
  </si>
  <si>
    <t xml:space="preserve">njwuhcdlh1yj0a2|Nuke</t>
  </si>
  <si>
    <t xml:space="preserve">njwuhcdlh1yj0a2|Cache</t>
  </si>
  <si>
    <t xml:space="preserve">yggfnst4in1cx36|Nuke</t>
  </si>
  <si>
    <t xml:space="preserve">yggfnst4in1cx36|Dust2</t>
  </si>
  <si>
    <t xml:space="preserve">yggfnst4in1cx36|Mirage</t>
  </si>
  <si>
    <t xml:space="preserve">yggfnst4in1cx36|Cache</t>
  </si>
  <si>
    <t xml:space="preserve">yggfnst4in1cx36|Anubis</t>
  </si>
  <si>
    <t xml:space="preserve">yggfnst4in1cx36|Ancient</t>
  </si>
  <si>
    <t xml:space="preserve">9ewlsq1d531bbzm|Ancient</t>
  </si>
  <si>
    <t xml:space="preserve">9ewlsq1d531bbzm|Cache</t>
  </si>
  <si>
    <t xml:space="preserve">9ewlsq1d531bbzm|Dust2</t>
  </si>
  <si>
    <t xml:space="preserve">9ewlsq1d531bbzm|Nuke</t>
  </si>
  <si>
    <t xml:space="preserve">9ewlsq1d531bbzm|Mirage</t>
  </si>
  <si>
    <t xml:space="preserve">9ewlsq1d531bbzm|Inferno</t>
  </si>
  <si>
    <t xml:space="preserve">6fnysfxfr7gofjk|Inferno</t>
  </si>
  <si>
    <t xml:space="preserve">6fnysfxfr7gofjk|Mirage</t>
  </si>
  <si>
    <t xml:space="preserve">6fnysfxfr7gofjk|Nuke</t>
  </si>
  <si>
    <t xml:space="preserve">6fnysfxfr7gofjk|Cache</t>
  </si>
  <si>
    <t xml:space="preserve">6fnysfxfr7gofjk|Dust2</t>
  </si>
  <si>
    <t xml:space="preserve">6fnysfxfr7gofjk|Anubis</t>
  </si>
  <si>
    <t xml:space="preserve">6fnysfxfr7gofjk|Ancient</t>
  </si>
  <si>
    <t xml:space="preserve">3i7rtlh9c02jvmx|Ancient</t>
  </si>
  <si>
    <t xml:space="preserve">3i7rtlh9c02jvmx|Nuke</t>
  </si>
  <si>
    <t xml:space="preserve">3i7rtlh9c02jvmx|Dust2</t>
  </si>
  <si>
    <t xml:space="preserve">3i7rtlh9c02jvmx|Mirage</t>
  </si>
  <si>
    <t xml:space="preserve">3i7rtlh9c02jvmx|Anubis</t>
  </si>
  <si>
    <t xml:space="preserve">3i7rtlh9c02jvmx|Cache</t>
  </si>
  <si>
    <t xml:space="preserve">vdo0jykqczuyswb|Ancient</t>
  </si>
  <si>
    <t xml:space="preserve">vdo0jykqczuyswb|Nuke</t>
  </si>
  <si>
    <t xml:space="preserve">vdo0jykqczuyswb|Dust2</t>
  </si>
  <si>
    <t xml:space="preserve">vdo0jykqczuyswb|Mirage</t>
  </si>
  <si>
    <t xml:space="preserve">vdo0jykqczuyswb|Anubis</t>
  </si>
  <si>
    <t xml:space="preserve">vdo0jykqczuyswb|Cache</t>
  </si>
  <si>
    <t xml:space="preserve">cbsjkz3yqg99r06|Cache</t>
  </si>
  <si>
    <t xml:space="preserve">cbsjkz3yqg99r06|Mirage</t>
  </si>
  <si>
    <t xml:space="preserve">cbsjkz3yqg99r06|Ancient</t>
  </si>
  <si>
    <t xml:space="preserve">cbsjkz3yqg99r06|Inferno</t>
  </si>
  <si>
    <t xml:space="preserve">cbsjkz3yqg99r06|Dust2</t>
  </si>
  <si>
    <t xml:space="preserve">cbsjkz3yqg99r06|Nuke</t>
  </si>
  <si>
    <t xml:space="preserve">hdv5agzi5iecire|Cache</t>
  </si>
  <si>
    <t xml:space="preserve">hdv5agzi5iecire|Mirage</t>
  </si>
  <si>
    <t xml:space="preserve">hdv5agzi5iecire|Nuke</t>
  </si>
  <si>
    <t xml:space="preserve">hdv5agzi5iecire|Inferno</t>
  </si>
  <si>
    <t xml:space="preserve">hdv5agzi5iecire|Dust2</t>
  </si>
  <si>
    <t xml:space="preserve">hdv5agzi5iecire|Ancient</t>
  </si>
  <si>
    <t xml:space="preserve">66ajrvmetqiufsf|Anubis</t>
  </si>
  <si>
    <t xml:space="preserve">66ajrvmetqiufsf|Dust2</t>
  </si>
  <si>
    <t xml:space="preserve">66ajrvmetqiufsf|Inferno</t>
  </si>
  <si>
    <t xml:space="preserve">66ajrvmetqiufsf|Mirage</t>
  </si>
  <si>
    <t xml:space="preserve">66ajrvmetqiufsf|Cache</t>
  </si>
  <si>
    <t xml:space="preserve">66ajrvmetqiufsf|Nuke</t>
  </si>
  <si>
    <t xml:space="preserve">frzabcozzj3obrl|Dust2</t>
  </si>
  <si>
    <t xml:space="preserve">frzabcozzj3obrl|Mirage</t>
  </si>
  <si>
    <t xml:space="preserve">frzabcozzj3obrl|Nuke</t>
  </si>
  <si>
    <t xml:space="preserve">frzabcozzj3obrl|Cache</t>
  </si>
  <si>
    <t xml:space="preserve">frzabcozzj3obrl|Overpass</t>
  </si>
  <si>
    <t xml:space="preserve">frzabcozzj3obrl|Inferno</t>
  </si>
  <si>
    <t xml:space="preserve">frzabcozzj3obrl|Anubis</t>
  </si>
  <si>
    <t xml:space="preserve">frzabcozzj3obrl|Ancient</t>
  </si>
  <si>
    <t xml:space="preserve">rfuts2r0t85cd95|Ancient</t>
  </si>
  <si>
    <t xml:space="preserve">rfuts2r0t85cd95|Cache</t>
  </si>
  <si>
    <t xml:space="preserve">rfuts2r0t85cd95|Mirage</t>
  </si>
  <si>
    <t xml:space="preserve">rfuts2r0t85cd95|Dust2</t>
  </si>
  <si>
    <t xml:space="preserve">rfuts2r0t85cd95|Anubis</t>
  </si>
  <si>
    <t xml:space="preserve">rfuts2r0t85cd95|Inferno</t>
  </si>
  <si>
    <t xml:space="preserve">xs4swsc9sjw6f0h|Dust2</t>
  </si>
  <si>
    <t xml:space="preserve">xs4swsc9sjw6f0h|Anubis</t>
  </si>
  <si>
    <t xml:space="preserve">xs4swsc9sjw6f0h|Cache</t>
  </si>
  <si>
    <t xml:space="preserve">xs4swsc9sjw6f0h|Ancient</t>
  </si>
  <si>
    <t xml:space="preserve">xs4swsc9sjw6f0h|Mirage</t>
  </si>
  <si>
    <t xml:space="preserve">xs4swsc9sjw6f0h|Nuke</t>
  </si>
  <si>
    <t xml:space="preserve">fhr6sqp0a6355ky|Dust2</t>
  </si>
  <si>
    <t xml:space="preserve">fhr6sqp0a6355ky|Mirage</t>
  </si>
  <si>
    <t xml:space="preserve">fhr6sqp0a6355ky|Cache</t>
  </si>
  <si>
    <t xml:space="preserve">fhr6sqp0a6355ky|Ancient</t>
  </si>
  <si>
    <t xml:space="preserve">fhr6sqp0a6355ky|Nuke</t>
  </si>
  <si>
    <t xml:space="preserve">fhr6sqp0a6355ky|Anubis</t>
  </si>
  <si>
    <t xml:space="preserve">xb618esex95xxil|Mirage</t>
  </si>
  <si>
    <t xml:space="preserve">xb618esex95xxil|Ancient</t>
  </si>
  <si>
    <t xml:space="preserve">xb618esex95xxil|Dust2</t>
  </si>
  <si>
    <t xml:space="preserve">xb618esex95xxil|Inferno</t>
  </si>
  <si>
    <t xml:space="preserve">xb618esex95xxil|Cache</t>
  </si>
  <si>
    <t xml:space="preserve">xb618esex95xxil|Nuke</t>
  </si>
  <si>
    <t xml:space="preserve">sj7nkpqagh6m88h|Dust2</t>
  </si>
  <si>
    <t xml:space="preserve">sj7nkpqagh6m88h|Cache</t>
  </si>
  <si>
    <t xml:space="preserve">sj7nkpqagh6m88h|Mirage</t>
  </si>
  <si>
    <t xml:space="preserve">sj7nkpqagh6m88h|Ancient</t>
  </si>
  <si>
    <t xml:space="preserve">sj7nkpqagh6m88h|Anubis</t>
  </si>
  <si>
    <t xml:space="preserve">sj7nkpqagh6m88h|Nuke</t>
  </si>
  <si>
    <t xml:space="preserve">at2vo8jmt9hrk3m|Inferno</t>
  </si>
  <si>
    <t xml:space="preserve">at2vo8jmt9hrk3m|Mirage</t>
  </si>
  <si>
    <t xml:space="preserve">at2vo8jmt9hrk3m|Ancient</t>
  </si>
  <si>
    <t xml:space="preserve">at2vo8jmt9hrk3m|Nuke</t>
  </si>
  <si>
    <t xml:space="preserve">at2vo8jmt9hrk3m|Cache</t>
  </si>
  <si>
    <t xml:space="preserve">at2vo8jmt9hrk3m|Anubis</t>
  </si>
  <si>
    <t xml:space="preserve">rhz6c2hq5wcant1|Ancient</t>
  </si>
  <si>
    <t xml:space="preserve">rhz6c2hq5wcant1|Dust2</t>
  </si>
  <si>
    <t xml:space="preserve">rhz6c2hq5wcant1|Mirage</t>
  </si>
  <si>
    <t xml:space="preserve">rhz6c2hq5wcant1|Anubis</t>
  </si>
  <si>
    <t xml:space="preserve">rhz6c2hq5wcant1|Nuke</t>
  </si>
  <si>
    <t xml:space="preserve">rhz6c2hq5wcant1|Cache</t>
  </si>
  <si>
    <t xml:space="preserve">xlunjfskczbvxwn|Mirage</t>
  </si>
  <si>
    <t xml:space="preserve">xlunjfskczbvxwn|Inferno</t>
  </si>
  <si>
    <t xml:space="preserve">xlunjfskczbvxwn|Ancient</t>
  </si>
  <si>
    <t xml:space="preserve">xlunjfskczbvxwn|Nuke</t>
  </si>
  <si>
    <t xml:space="preserve">xlunjfskczbvxwn|Dust2</t>
  </si>
  <si>
    <t xml:space="preserve">xlunjfskczbvxwn|Cache</t>
  </si>
  <si>
    <t xml:space="preserve">t2lttsuygcwlbxl|Cache</t>
  </si>
  <si>
    <t xml:space="preserve">t2lttsuygcwlbxl|Ancient</t>
  </si>
  <si>
    <t xml:space="preserve">t2lttsuygcwlbxl|Dust2</t>
  </si>
  <si>
    <t xml:space="preserve">t2lttsuygcwlbxl|Mirage</t>
  </si>
  <si>
    <t xml:space="preserve">t2lttsuygcwlbxl|Anubis</t>
  </si>
  <si>
    <t xml:space="preserve">t2lttsuygcwlbxl|Inferno</t>
  </si>
  <si>
    <t xml:space="preserve">gzghvr1quamb0xn|Anubis</t>
  </si>
  <si>
    <t xml:space="preserve">gzghvr1quamb0xn|Dust2</t>
  </si>
  <si>
    <t xml:space="preserve">gzghvr1quamb0xn|Mirage</t>
  </si>
  <si>
    <t xml:space="preserve">gzghvr1quamb0xn|Inferno</t>
  </si>
  <si>
    <t xml:space="preserve">gzghvr1quamb0xn|Cache</t>
  </si>
  <si>
    <t xml:space="preserve">gzghvr1quamb0xn|Nuke</t>
  </si>
  <si>
    <t xml:space="preserve">rj8kw5flhgyw41h|Inferno</t>
  </si>
  <si>
    <t xml:space="preserve">rj8kw5flhgyw41h|Dust2</t>
  </si>
  <si>
    <t xml:space="preserve">rj8kw5flhgyw41h|Ancient</t>
  </si>
  <si>
    <t xml:space="preserve">rj8kw5flhgyw41h|Anubis</t>
  </si>
  <si>
    <t xml:space="preserve">rj8kw5flhgyw41h|Nuke</t>
  </si>
  <si>
    <t xml:space="preserve">rj8kw5flhgyw41h|Mirage</t>
  </si>
  <si>
    <t xml:space="preserve">w2jejpg0j9hthoo|Mirage</t>
  </si>
  <si>
    <t xml:space="preserve">w2jejpg0j9hthoo|Anubis</t>
  </si>
  <si>
    <t xml:space="preserve">w2jejpg0j9hthoo|Ancient</t>
  </si>
  <si>
    <t xml:space="preserve">w2jejpg0j9hthoo|Dust2</t>
  </si>
  <si>
    <t xml:space="preserve">w2jejpg0j9hthoo|Nuke</t>
  </si>
  <si>
    <t xml:space="preserve">w2jejpg0j9hthoo|Cache</t>
  </si>
  <si>
    <t xml:space="preserve">6oi74s8csyxqh63|Mirage</t>
  </si>
  <si>
    <t xml:space="preserve">6oi74s8csyxqh63|Inferno</t>
  </si>
  <si>
    <t xml:space="preserve">6oi74s8csyxqh63|Nuke</t>
  </si>
  <si>
    <t xml:space="preserve">6oi74s8csyxqh63|Cache</t>
  </si>
  <si>
    <t xml:space="preserve">6oi74s8csyxqh63|Dust2</t>
  </si>
  <si>
    <t xml:space="preserve">6oi74s8csyxqh63|Anubis</t>
  </si>
  <si>
    <t xml:space="preserve">6oi74s8csyxqh63|Ancient</t>
  </si>
  <si>
    <t xml:space="preserve">u9w9fgcak41kfr9|Ancient</t>
  </si>
  <si>
    <t xml:space="preserve">u9w9fgcak41kfr9|Anubis</t>
  </si>
  <si>
    <t xml:space="preserve">u9w9fgcak41kfr9|Dust2</t>
  </si>
  <si>
    <t xml:space="preserve">u9w9fgcak41kfr9|Mirage</t>
  </si>
  <si>
    <t xml:space="preserve">u9w9fgcak41kfr9|Nuke</t>
  </si>
  <si>
    <t xml:space="preserve">u9w9fgcak41kfr9|Cache</t>
  </si>
  <si>
    <t xml:space="preserve">u9w9fgcak41kfr9|Inferno</t>
  </si>
  <si>
    <t xml:space="preserve">x1v63r81qmuu0h4|Inferno</t>
  </si>
  <si>
    <t xml:space="preserve">x1v63r81qmuu0h4|Dust2</t>
  </si>
  <si>
    <t xml:space="preserve">x1v63r81qmuu0h4|Ancient</t>
  </si>
  <si>
    <t xml:space="preserve">x1v63r81qmuu0h4|Anubis</t>
  </si>
  <si>
    <t xml:space="preserve">x1v63r81qmuu0h4|Nuke</t>
  </si>
  <si>
    <t xml:space="preserve">x1v63r81qmuu0h4|Mirage</t>
  </si>
  <si>
    <t xml:space="preserve">sir58v1hxyyne29|Mirage</t>
  </si>
  <si>
    <t xml:space="preserve">sir58v1hxyyne29|Inferno</t>
  </si>
  <si>
    <t xml:space="preserve">sir58v1hxyyne29|Ancient</t>
  </si>
  <si>
    <t xml:space="preserve">sir58v1hxyyne29|Nuke</t>
  </si>
  <si>
    <t xml:space="preserve">sir58v1hxyyne29|Cache</t>
  </si>
  <si>
    <t xml:space="preserve">sir58v1hxyyne29|Anubis</t>
  </si>
  <si>
    <t xml:space="preserve">w4swyv4mqy1ob42|Mirage</t>
  </si>
  <si>
    <t xml:space="preserve">w4swyv4mqy1ob42|Dust2</t>
  </si>
  <si>
    <t xml:space="preserve">w4swyv4mqy1ob42|Anubis</t>
  </si>
  <si>
    <t xml:space="preserve">w4swyv4mqy1ob42|Cache</t>
  </si>
  <si>
    <t xml:space="preserve">w4swyv4mqy1ob42|Inferno</t>
  </si>
  <si>
    <t xml:space="preserve">w4swyv4mqy1ob42|Nuke</t>
  </si>
  <si>
    <t xml:space="preserve">mp3vrg2adugpxjt|Cache</t>
  </si>
  <si>
    <t xml:space="preserve">mp3vrg2adugpxjt|Ancient</t>
  </si>
  <si>
    <t xml:space="preserve">mp3vrg2adugpxjt|Dust2</t>
  </si>
  <si>
    <t xml:space="preserve">mp3vrg2adugpxjt|Mirage</t>
  </si>
  <si>
    <t xml:space="preserve">mp3vrg2adugpxjt|Anubis</t>
  </si>
  <si>
    <t xml:space="preserve">mp3vrg2adugpxjt|Inferno</t>
  </si>
  <si>
    <t xml:space="preserve">r15gfw1oxe4qlej|Dust2</t>
  </si>
  <si>
    <t xml:space="preserve">r15gfw1oxe4qlej|Anubis</t>
  </si>
  <si>
    <t xml:space="preserve">r15gfw1oxe4qlej|Cache</t>
  </si>
  <si>
    <t xml:space="preserve">r15gfw1oxe4qlej|Ancient</t>
  </si>
  <si>
    <t xml:space="preserve">r15gfw1oxe4qlej|Mirage</t>
  </si>
  <si>
    <t xml:space="preserve">r15gfw1oxe4qlej|Nuke</t>
  </si>
  <si>
    <t xml:space="preserve">g1czin1kua6nls5|Mirage</t>
  </si>
  <si>
    <t xml:space="preserve">g1czin1kua6nls5|Inferno</t>
  </si>
  <si>
    <t xml:space="preserve">g1czin1kua6nls5|Ancient</t>
  </si>
  <si>
    <t xml:space="preserve">g1czin1kua6nls5|Nuke</t>
  </si>
  <si>
    <t xml:space="preserve">g1czin1kua6nls5|Dust2</t>
  </si>
  <si>
    <t xml:space="preserve">g1czin1kua6nls5|Cache</t>
  </si>
  <si>
    <t xml:space="preserve">8y2vu0o81k1ojys|Nuke</t>
  </si>
  <si>
    <t xml:space="preserve">8y2vu0o81k1ojys|Mirage</t>
  </si>
  <si>
    <t xml:space="preserve">8y2vu0o81k1ojys|Inferno</t>
  </si>
  <si>
    <t xml:space="preserve">8y2vu0o81k1ojys|Cache</t>
  </si>
  <si>
    <t xml:space="preserve">8y2vu0o81k1ojys|Ancient</t>
  </si>
  <si>
    <t xml:space="preserve">8y2vu0o81k1ojys|Anubis</t>
  </si>
  <si>
    <t xml:space="preserve">50lzcgm17r170cw|Dust2</t>
  </si>
  <si>
    <t xml:space="preserve">50lzcgm17r170cw|Anubis</t>
  </si>
  <si>
    <t xml:space="preserve">50lzcgm17r170cw|Cache</t>
  </si>
  <si>
    <t xml:space="preserve">50lzcgm17r170cw|Ancient</t>
  </si>
  <si>
    <t xml:space="preserve">50lzcgm17r170cw|Mirage</t>
  </si>
  <si>
    <t xml:space="preserve">50lzcgm17r170cw|Nuke</t>
  </si>
  <si>
    <t xml:space="preserve">z76txvqnu9utr9a|Ancient</t>
  </si>
  <si>
    <t xml:space="preserve">z76txvqnu9utr9a|Anubis</t>
  </si>
  <si>
    <t xml:space="preserve">z76txvqnu9utr9a|Dust2</t>
  </si>
  <si>
    <t xml:space="preserve">z76txvqnu9utr9a|Nuke</t>
  </si>
  <si>
    <t xml:space="preserve">z76txvqnu9utr9a|Mirage</t>
  </si>
  <si>
    <t xml:space="preserve">z76txvqnu9utr9a|Cache</t>
  </si>
  <si>
    <t xml:space="preserve">z76txvqnu9utr9a|Inferno</t>
  </si>
  <si>
    <t xml:space="preserve">42o4a4l388ybjjn|Ancient</t>
  </si>
  <si>
    <t xml:space="preserve">42o4a4l388ybjjn|Nuke</t>
  </si>
  <si>
    <t xml:space="preserve">42o4a4l388ybjjn|Dust2</t>
  </si>
  <si>
    <t xml:space="preserve">42o4a4l388ybjjn|Mirage</t>
  </si>
  <si>
    <t xml:space="preserve">42o4a4l388ybjjn|Anubis</t>
  </si>
  <si>
    <t xml:space="preserve">42o4a4l388ybjjn|Cache</t>
  </si>
  <si>
    <t xml:space="preserve">r07w0yuctuwh8t3|Inferno</t>
  </si>
  <si>
    <t xml:space="preserve">r07w0yuctuwh8t3|Dust2</t>
  </si>
  <si>
    <t xml:space="preserve">r07w0yuctuwh8t3|Ancient</t>
  </si>
  <si>
    <t xml:space="preserve">r07w0yuctuwh8t3|Anubis</t>
  </si>
  <si>
    <t xml:space="preserve">r07w0yuctuwh8t3|Nuke</t>
  </si>
  <si>
    <t xml:space="preserve">r07w0yuctuwh8t3|Mirage</t>
  </si>
  <si>
    <t xml:space="preserve">237c8v92obxm2e9|Cache</t>
  </si>
  <si>
    <t xml:space="preserve">237c8v92obxm2e9|Mirage</t>
  </si>
  <si>
    <t xml:space="preserve">237c8v92obxm2e9|Nuke</t>
  </si>
  <si>
    <t xml:space="preserve">237c8v92obxm2e9|Inferno</t>
  </si>
  <si>
    <t xml:space="preserve">237c8v92obxm2e9|Dust2</t>
  </si>
  <si>
    <t xml:space="preserve">237c8v92obxm2e9|Ancient</t>
  </si>
  <si>
    <t xml:space="preserve">j5opzoggo0850rg|Mirage</t>
  </si>
  <si>
    <t xml:space="preserve">j5opzoggo0850rg|Dust2</t>
  </si>
  <si>
    <t xml:space="preserve">j5opzoggo0850rg|Ancient</t>
  </si>
  <si>
    <t xml:space="preserve">j5opzoggo0850rg|Inferno</t>
  </si>
  <si>
    <t xml:space="preserve">j5opzoggo0850rg|Cache</t>
  </si>
  <si>
    <t xml:space="preserve">j5opzoggo0850rg|Nuke</t>
  </si>
  <si>
    <t xml:space="preserve">fh0bagimw7zhv73|Nuke</t>
  </si>
  <si>
    <t xml:space="preserve">fh0bagimw7zhv73|Dust2</t>
  </si>
  <si>
    <t xml:space="preserve">fh0bagimw7zhv73|Mirage</t>
  </si>
  <si>
    <t xml:space="preserve">fh0bagimw7zhv73|Cache</t>
  </si>
  <si>
    <t xml:space="preserve">fh0bagimw7zhv73|Anubis</t>
  </si>
  <si>
    <t xml:space="preserve">fh0bagimw7zhv73|Ancient</t>
  </si>
  <si>
    <t xml:space="preserve">qotjq9z9vy9ol0x|Ancient</t>
  </si>
  <si>
    <t xml:space="preserve">qotjq9z9vy9ol0x|Anubis</t>
  </si>
  <si>
    <t xml:space="preserve">qotjq9z9vy9ol0x|Dust2</t>
  </si>
  <si>
    <t xml:space="preserve">qotjq9z9vy9ol0x|Inferno</t>
  </si>
  <si>
    <t xml:space="preserve">qotjq9z9vy9ol0x|Mirage</t>
  </si>
  <si>
    <t xml:space="preserve">qotjq9z9vy9ol0x|Nuke</t>
  </si>
  <si>
    <t xml:space="preserve">qotjq9z9vy9ol0x|Cache</t>
  </si>
  <si>
    <t xml:space="preserve">42hme0a34vl8ydg|Inferno</t>
  </si>
  <si>
    <t xml:space="preserve">42hme0a34vl8ydg|Dust2</t>
  </si>
  <si>
    <t xml:space="preserve">42hme0a34vl8ydg|Ancient</t>
  </si>
  <si>
    <t xml:space="preserve">42hme0a34vl8ydg|Anubis</t>
  </si>
  <si>
    <t xml:space="preserve">42hme0a34vl8ydg|Nuke</t>
  </si>
  <si>
    <t xml:space="preserve">42hme0a34vl8ydg|Mirage</t>
  </si>
  <si>
    <t xml:space="preserve">avwkdg09z636hor|Nuke</t>
  </si>
  <si>
    <t xml:space="preserve">avwkdg09z636hor|Ancient</t>
  </si>
  <si>
    <t xml:space="preserve">avwkdg09z636hor|Mirage</t>
  </si>
  <si>
    <t xml:space="preserve">avwkdg09z636hor|Cache</t>
  </si>
  <si>
    <t xml:space="preserve">avwkdg09z636hor|Dust2</t>
  </si>
  <si>
    <t xml:space="preserve">avwkdg09z636hor|Anubis</t>
  </si>
  <si>
    <t xml:space="preserve">9w6j2f9myaeeuie|Nuke</t>
  </si>
  <si>
    <t xml:space="preserve">9w6j2f9myaeeuie|Ancient</t>
  </si>
  <si>
    <t xml:space="preserve">9w6j2f9myaeeuie|Mirage</t>
  </si>
  <si>
    <t xml:space="preserve">9w6j2f9myaeeuie|Dust2</t>
  </si>
  <si>
    <t xml:space="preserve">9w6j2f9myaeeuie|Anubis</t>
  </si>
  <si>
    <t xml:space="preserve">9w6j2f9myaeeuie|Cache</t>
  </si>
  <si>
    <t xml:space="preserve">u4e5uoowjf17ffu|Cache</t>
  </si>
  <si>
    <t xml:space="preserve">u4e5uoowjf17ffu|Ancient</t>
  </si>
  <si>
    <t xml:space="preserve">u4e5uoowjf17ffu|Nuke</t>
  </si>
  <si>
    <t xml:space="preserve">u4e5uoowjf17ffu|Mirage</t>
  </si>
  <si>
    <t xml:space="preserve">u4e5uoowjf17ffu|Inferno</t>
  </si>
  <si>
    <t xml:space="preserve">u4e5uoowjf17ffu|Dust2</t>
  </si>
  <si>
    <t xml:space="preserve">u4e5uoowjf17ffu|Anubis</t>
  </si>
  <si>
    <t xml:space="preserve">5u9kxbc1judur85|Ancient</t>
  </si>
  <si>
    <t xml:space="preserve">5u9kxbc1judur85|Dust2</t>
  </si>
  <si>
    <t xml:space="preserve">5u9kxbc1judur85|Inferno</t>
  </si>
  <si>
    <t xml:space="preserve">5u9kxbc1judur85|Anubis</t>
  </si>
  <si>
    <t xml:space="preserve">5u9kxbc1judur85|Nuke</t>
  </si>
  <si>
    <t xml:space="preserve">5u9kxbc1judur85|Cache</t>
  </si>
  <si>
    <t xml:space="preserve">irrertmif0zjlof|Dust2</t>
  </si>
  <si>
    <t xml:space="preserve">irrertmif0zjlof|Ancient</t>
  </si>
  <si>
    <t xml:space="preserve">irrertmif0zjlof|Mirage</t>
  </si>
  <si>
    <t xml:space="preserve">irrertmif0zjlof|Inferno</t>
  </si>
  <si>
    <t xml:space="preserve">irrertmif0zjlof|Anubis</t>
  </si>
  <si>
    <t xml:space="preserve">irrertmif0zjlof|Cache</t>
  </si>
  <si>
    <t xml:space="preserve">irrertmif0zjlof|Nuke</t>
  </si>
  <si>
    <t xml:space="preserve">m3k16jwnnsz4izp|Ancient</t>
  </si>
  <si>
    <t xml:space="preserve">m3k16jwnnsz4izp|Nuke</t>
  </si>
  <si>
    <t xml:space="preserve">m3k16jwnnsz4izp|Mirage</t>
  </si>
  <si>
    <t xml:space="preserve">m3k16jwnnsz4izp|Dust2</t>
  </si>
  <si>
    <t xml:space="preserve">m3k16jwnnsz4izp|Cache</t>
  </si>
  <si>
    <t xml:space="preserve">m3k16jwnnsz4izp|Anubis</t>
  </si>
  <si>
    <t xml:space="preserve">pddkiy5mogisq4i|Mirage</t>
  </si>
  <si>
    <t xml:space="preserve">pddkiy5mogisq4i|Dust2</t>
  </si>
  <si>
    <t xml:space="preserve">pddkiy5mogisq4i|Nuke</t>
  </si>
  <si>
    <t xml:space="preserve">pddkiy5mogisq4i|Cache</t>
  </si>
  <si>
    <t xml:space="preserve">pddkiy5mogisq4i|Inferno</t>
  </si>
  <si>
    <t xml:space="preserve">pddkiy5mogisq4i|Ancient</t>
  </si>
  <si>
    <t xml:space="preserve">7ehti0cn8n4gylc|Dust2</t>
  </si>
  <si>
    <t xml:space="preserve">7ehti0cn8n4gylc|Ancient</t>
  </si>
  <si>
    <t xml:space="preserve">7ehti0cn8n4gylc|Nuke</t>
  </si>
  <si>
    <t xml:space="preserve">7ehti0cn8n4gylc|Mirage</t>
  </si>
  <si>
    <t xml:space="preserve">7ehti0cn8n4gylc|Inferno</t>
  </si>
  <si>
    <t xml:space="preserve">7ehti0cn8n4gylc|Cache</t>
  </si>
  <si>
    <t xml:space="preserve">7ehti0cn8n4gylc|Anubis</t>
  </si>
  <si>
    <t xml:space="preserve">6nc5vmzm030q26g|Dust2</t>
  </si>
  <si>
    <t xml:space="preserve">6nc5vmzm030q26g|Ancient</t>
  </si>
  <si>
    <t xml:space="preserve">6nc5vmzm030q26g|Nuke</t>
  </si>
  <si>
    <t xml:space="preserve">6nc5vmzm030q26g|Mirage</t>
  </si>
  <si>
    <t xml:space="preserve">6nc5vmzm030q26g|Inferno</t>
  </si>
  <si>
    <t xml:space="preserve">6nc5vmzm030q26g|Anubis</t>
  </si>
  <si>
    <t xml:space="preserve">6nc5vmzm030q26g|Cache</t>
  </si>
  <si>
    <t xml:space="preserve">cy7qneakzvjx5w7|Dust2</t>
  </si>
  <si>
    <t xml:space="preserve">cy7qneakzvjx5w7|Ancient</t>
  </si>
  <si>
    <t xml:space="preserve">cy7qneakzvjx5w7|Inferno</t>
  </si>
  <si>
    <t xml:space="preserve">cy7qneakzvjx5w7|Mirage</t>
  </si>
  <si>
    <t xml:space="preserve">cy7qneakzvjx5w7|Cache</t>
  </si>
  <si>
    <t xml:space="preserve">cy7qneakzvjx5w7|Anubis</t>
  </si>
  <si>
    <t xml:space="preserve">cy7qneakzvjx5w7|Nuke</t>
  </si>
  <si>
    <t xml:space="preserve">a0u1qo22a3z9rh8|Mirage</t>
  </si>
  <si>
    <t xml:space="preserve">a0u1qo22a3z9rh8|Inferno</t>
  </si>
  <si>
    <t xml:space="preserve">a0u1qo22a3z9rh8|Cache</t>
  </si>
  <si>
    <t xml:space="preserve">a0u1qo22a3z9rh8|Nuke</t>
  </si>
  <si>
    <t xml:space="preserve">a0u1qo22a3z9rh8|Ancient</t>
  </si>
  <si>
    <t xml:space="preserve">a0u1qo22a3z9rh8|Anubis</t>
  </si>
  <si>
    <t xml:space="preserve">v15ff2btfwe796g|Ancient</t>
  </si>
  <si>
    <t xml:space="preserve">v15ff2btfwe796g|Cache</t>
  </si>
  <si>
    <t xml:space="preserve">v15ff2btfwe796g|Dust2</t>
  </si>
  <si>
    <t xml:space="preserve">v15ff2btfwe796g|Mirage</t>
  </si>
  <si>
    <t xml:space="preserve">v15ff2btfwe796g|Anubis</t>
  </si>
  <si>
    <t xml:space="preserve">v15ff2btfwe796g|Inferno</t>
  </si>
  <si>
    <t xml:space="preserve">wt4hradl1cp0pr9|Ancient</t>
  </si>
  <si>
    <t xml:space="preserve">wt4hradl1cp0pr9|Cache</t>
  </si>
  <si>
    <t xml:space="preserve">wt4hradl1cp0pr9|Dust2</t>
  </si>
  <si>
    <t xml:space="preserve">wt4hradl1cp0pr9|Mirage</t>
  </si>
  <si>
    <t xml:space="preserve">wt4hradl1cp0pr9|Nuke</t>
  </si>
  <si>
    <t xml:space="preserve">wt4hradl1cp0pr9|Inferno</t>
  </si>
  <si>
    <t xml:space="preserve">1p3p5e3dcd3rbvt|Dust2</t>
  </si>
  <si>
    <t xml:space="preserve">1p3p5e3dcd3rbvt|Anubis</t>
  </si>
  <si>
    <t xml:space="preserve">1p3p5e3dcd3rbvt|Mirage</t>
  </si>
  <si>
    <t xml:space="preserve">1p3p5e3dcd3rbvt|Cache</t>
  </si>
  <si>
    <t xml:space="preserve">1p3p5e3dcd3rbvt|Inferno</t>
  </si>
  <si>
    <t xml:space="preserve">1p3p5e3dcd3rbvt|Nuke</t>
  </si>
  <si>
    <t xml:space="preserve">ewe4j1nrqwzs0q7|Cache</t>
  </si>
  <si>
    <t xml:space="preserve">ewe4j1nrqwzs0q7|Dust2</t>
  </si>
  <si>
    <t xml:space="preserve">ewe4j1nrqwzs0q7|Mirage</t>
  </si>
  <si>
    <t xml:space="preserve">ewe4j1nrqwzs0q7|Ancient</t>
  </si>
  <si>
    <t xml:space="preserve">ewe4j1nrqwzs0q7|Nuke</t>
  </si>
  <si>
    <t xml:space="preserve">ewe4j1nrqwzs0q7|Anubis</t>
  </si>
  <si>
    <t xml:space="preserve">jbs33yc6r5ra8l4|Mirage</t>
  </si>
  <si>
    <t xml:space="preserve">jbs33yc6r5ra8l4|Dust2</t>
  </si>
  <si>
    <t xml:space="preserve">jbs33yc6r5ra8l4|Anubis</t>
  </si>
  <si>
    <t xml:space="preserve">jbs33yc6r5ra8l4|Cache</t>
  </si>
  <si>
    <t xml:space="preserve">jbs33yc6r5ra8l4|Inferno</t>
  </si>
  <si>
    <t xml:space="preserve">jbs33yc6r5ra8l4|Nuke</t>
  </si>
  <si>
    <t xml:space="preserve">bfampq2da0guhkz|Cache</t>
  </si>
  <si>
    <t xml:space="preserve">bfampq2da0guhkz|Ancient</t>
  </si>
  <si>
    <t xml:space="preserve">bfampq2da0guhkz|Nuke</t>
  </si>
  <si>
    <t xml:space="preserve">bfampq2da0guhkz|Mirage</t>
  </si>
  <si>
    <t xml:space="preserve">bfampq2da0guhkz|Inferno</t>
  </si>
  <si>
    <t xml:space="preserve">bfampq2da0guhkz|Dust2</t>
  </si>
  <si>
    <t xml:space="preserve">bfampq2da0guhkz|Anubis</t>
  </si>
  <si>
    <t xml:space="preserve">bn3mlvy0cst11z3|Mirage</t>
  </si>
  <si>
    <t xml:space="preserve">bn3mlvy0cst11z3|Anubis</t>
  </si>
  <si>
    <t xml:space="preserve">bn3mlvy0cst11z3|Ancient</t>
  </si>
  <si>
    <t xml:space="preserve">bn3mlvy0cst11z3|Dust2</t>
  </si>
  <si>
    <t xml:space="preserve">bn3mlvy0cst11z3|Nuke</t>
  </si>
  <si>
    <t xml:space="preserve">bn3mlvy0cst11z3|Cache</t>
  </si>
  <si>
    <t xml:space="preserve">4uq92vrggozx07g|Mirage</t>
  </si>
  <si>
    <t xml:space="preserve">4uq92vrggozx07g|Ancient</t>
  </si>
  <si>
    <t xml:space="preserve">4uq92vrggozx07g|Dust2</t>
  </si>
  <si>
    <t xml:space="preserve">4uq92vrggozx07g|Inferno</t>
  </si>
  <si>
    <t xml:space="preserve">4uq92vrggozx07g|Cache</t>
  </si>
  <si>
    <t xml:space="preserve">4uq92vrggozx07g|Nuke</t>
  </si>
  <si>
    <t xml:space="preserve">247nk4skqmst67l|Mirage</t>
  </si>
  <si>
    <t xml:space="preserve">247nk4skqmst67l|Nuke</t>
  </si>
  <si>
    <t xml:space="preserve">247nk4skqmst67l|Dust2</t>
  </si>
  <si>
    <t xml:space="preserve">247nk4skqmst67l|Cache</t>
  </si>
  <si>
    <t xml:space="preserve">247nk4skqmst67l|Anubis</t>
  </si>
  <si>
    <t xml:space="preserve">247nk4skqmst67l|Inferno</t>
  </si>
  <si>
    <t xml:space="preserve">d1hn3as545n029p|Dust2</t>
  </si>
  <si>
    <t xml:space="preserve">d1hn3as545n029p|Mirage</t>
  </si>
  <si>
    <t xml:space="preserve">d1hn3as545n029p|Anubis</t>
  </si>
  <si>
    <t xml:space="preserve">d1hn3as545n029p|Cache</t>
  </si>
  <si>
    <t xml:space="preserve">d1hn3as545n029p|Inferno</t>
  </si>
  <si>
    <t xml:space="preserve">d1hn3as545n029p|Nuke</t>
  </si>
  <si>
    <t xml:space="preserve">ltwiotm7m8sg32v|Nuke</t>
  </si>
  <si>
    <t xml:space="preserve">ltwiotm7m8sg32v|Mirage</t>
  </si>
  <si>
    <t xml:space="preserve">ltwiotm7m8sg32v|Inferno</t>
  </si>
  <si>
    <t xml:space="preserve">ltwiotm7m8sg32v|Cache</t>
  </si>
  <si>
    <t xml:space="preserve">ltwiotm7m8sg32v|Ancient</t>
  </si>
  <si>
    <t xml:space="preserve">ltwiotm7m8sg32v|Anubis</t>
  </si>
  <si>
    <t xml:space="preserve">v1kk02jq1q269h8|Dust2</t>
  </si>
  <si>
    <t xml:space="preserve">v1kk02jq1q269h8|Ancient</t>
  </si>
  <si>
    <t xml:space="preserve">v1kk02jq1q269h8|Inferno</t>
  </si>
  <si>
    <t xml:space="preserve">v1kk02jq1q269h8|Mirage</t>
  </si>
  <si>
    <t xml:space="preserve">v1kk02jq1q269h8|Cache</t>
  </si>
  <si>
    <t xml:space="preserve">v1kk02jq1q269h8|Nuke</t>
  </si>
  <si>
    <t xml:space="preserve">v1kk02jq1q269h8|Anubis</t>
  </si>
  <si>
    <t xml:space="preserve">gffaqp23gkmuw6v|Nuke</t>
  </si>
  <si>
    <t xml:space="preserve">gffaqp23gkmuw6v|Dust2</t>
  </si>
  <si>
    <t xml:space="preserve">gffaqp23gkmuw6v|Inferno</t>
  </si>
  <si>
    <t xml:space="preserve">gffaqp23gkmuw6v|Mirage</t>
  </si>
  <si>
    <t xml:space="preserve">gffaqp23gkmuw6v|Ancient</t>
  </si>
  <si>
    <t xml:space="preserve">gffaqp23gkmuw6v|Cache</t>
  </si>
  <si>
    <t xml:space="preserve">gffaqp23gkmuw6v|Anubis</t>
  </si>
  <si>
    <t xml:space="preserve">f23gfr3wlpk01nz|Cache</t>
  </si>
  <si>
    <t xml:space="preserve">f23gfr3wlpk01nz|Mirage</t>
  </si>
  <si>
    <t xml:space="preserve">f23gfr3wlpk01nz|Nuke</t>
  </si>
  <si>
    <t xml:space="preserve">f23gfr3wlpk01nz|Inferno</t>
  </si>
  <si>
    <t xml:space="preserve">f23gfr3wlpk01nz|Dust2</t>
  </si>
  <si>
    <t xml:space="preserve">f23gfr3wlpk01nz|Ancient</t>
  </si>
  <si>
    <t xml:space="preserve">agwfljw0nydsug9|Cache</t>
  </si>
  <si>
    <t xml:space="preserve">agwfljw0nydsug9|Ancient</t>
  </si>
  <si>
    <t xml:space="preserve">agwfljw0nydsug9|Mirage</t>
  </si>
  <si>
    <t xml:space="preserve">agwfljw0nydsug9|Dust2</t>
  </si>
  <si>
    <t xml:space="preserve">agwfljw0nydsug9|Anubis</t>
  </si>
  <si>
    <t xml:space="preserve">agwfljw0nydsug9|Inferno</t>
  </si>
  <si>
    <t xml:space="preserve">qlzigrqycoim5ix|Mirage</t>
  </si>
  <si>
    <t xml:space="preserve">qlzigrqycoim5ix|Dust2</t>
  </si>
  <si>
    <t xml:space="preserve">qlzigrqycoim5ix|Nuke</t>
  </si>
  <si>
    <t xml:space="preserve">qlzigrqycoim5ix|Cache</t>
  </si>
  <si>
    <t xml:space="preserve">qlzigrqycoim5ix|Inferno</t>
  </si>
  <si>
    <t xml:space="preserve">qlzigrqycoim5ix|Ancient</t>
  </si>
  <si>
    <t xml:space="preserve">t0obepfwbzppr9o|Cache</t>
  </si>
  <si>
    <t xml:space="preserve">t0obepfwbzppr9o|Ancient</t>
  </si>
  <si>
    <t xml:space="preserve">t0obepfwbzppr9o|Nuke</t>
  </si>
  <si>
    <t xml:space="preserve">t0obepfwbzppr9o|Mirage</t>
  </si>
  <si>
    <t xml:space="preserve">t0obepfwbzppr9o|Inferno</t>
  </si>
  <si>
    <t xml:space="preserve">t0obepfwbzppr9o|Dust2</t>
  </si>
  <si>
    <t xml:space="preserve">t0obepfwbzppr9o|Anubis</t>
  </si>
  <si>
    <t xml:space="preserve">xwyhvw38gardzpx|Dust2</t>
  </si>
  <si>
    <t xml:space="preserve">xwyhvw38gardzpx|Mirage</t>
  </si>
  <si>
    <t xml:space="preserve">xwyhvw38gardzpx|Ancient</t>
  </si>
  <si>
    <t xml:space="preserve">xwyhvw38gardzpx|Overpass</t>
  </si>
  <si>
    <t xml:space="preserve">xwyhvw38gardzpx|Inferno</t>
  </si>
  <si>
    <t xml:space="preserve">xwyhvw38gardzpx|Anubis</t>
  </si>
  <si>
    <t xml:space="preserve">xwyhvw38gardzpx|Cache</t>
  </si>
  <si>
    <t xml:space="preserve">xwyhvw38gardzpx|Nuke</t>
  </si>
  <si>
    <t xml:space="preserve">f00llyg1ocypenv|Cache</t>
  </si>
  <si>
    <t xml:space="preserve">f00llyg1ocypenv|Dust2</t>
  </si>
  <si>
    <t xml:space="preserve">f00llyg1ocypenv|Mirage</t>
  </si>
  <si>
    <t xml:space="preserve">f00llyg1ocypenv|Ancient</t>
  </si>
  <si>
    <t xml:space="preserve">f00llyg1ocypenv|Nuke</t>
  </si>
  <si>
    <t xml:space="preserve">f00llyg1ocypenv|Anubis</t>
  </si>
  <si>
    <t xml:space="preserve">ji96h9ot97jiwq9|Cache</t>
  </si>
  <si>
    <t xml:space="preserve">ji96h9ot97jiwq9|Mirage</t>
  </si>
  <si>
    <t xml:space="preserve">ji96h9ot97jiwq9|Ancient</t>
  </si>
  <si>
    <t xml:space="preserve">ji96h9ot97jiwq9|Inferno</t>
  </si>
  <si>
    <t xml:space="preserve">ji96h9ot97jiwq9|Dust2</t>
  </si>
  <si>
    <t xml:space="preserve">ji96h9ot97jiwq9|Nuke</t>
  </si>
  <si>
    <t xml:space="preserve">tkkenn22b7r5gfa|Dust2</t>
  </si>
  <si>
    <t xml:space="preserve">tkkenn22b7r5gfa|Anubis</t>
  </si>
  <si>
    <t xml:space="preserve">tkkenn22b7r5gfa|Mirage</t>
  </si>
  <si>
    <t xml:space="preserve">tkkenn22b7r5gfa|Cache</t>
  </si>
  <si>
    <t xml:space="preserve">tkkenn22b7r5gfa|Inferno</t>
  </si>
  <si>
    <t xml:space="preserve">tkkenn22b7r5gfa|Nuke</t>
  </si>
  <si>
    <t xml:space="preserve">b8ta8wsdzmggqly|Ancient</t>
  </si>
  <si>
    <t xml:space="preserve">b8ta8wsdzmggqly|Cache</t>
  </si>
  <si>
    <t xml:space="preserve">b8ta8wsdzmggqly|Dust2</t>
  </si>
  <si>
    <t xml:space="preserve">b8ta8wsdzmggqly|Nuke</t>
  </si>
  <si>
    <t xml:space="preserve">b8ta8wsdzmggqly|Mirage</t>
  </si>
  <si>
    <t xml:space="preserve">b8ta8wsdzmggqly|Inferno</t>
  </si>
  <si>
    <t xml:space="preserve">r7wsfbp8t29ubnd|Ancient</t>
  </si>
  <si>
    <t xml:space="preserve">r7wsfbp8t29ubnd|Dust2</t>
  </si>
  <si>
    <t xml:space="preserve">r7wsfbp8t29ubnd|Inferno</t>
  </si>
  <si>
    <t xml:space="preserve">r7wsfbp8t29ubnd|Anubis</t>
  </si>
  <si>
    <t xml:space="preserve">r7wsfbp8t29ubnd|Nuke</t>
  </si>
  <si>
    <t xml:space="preserve">r7wsfbp8t29ubnd|Cache</t>
  </si>
  <si>
    <t xml:space="preserve">jk73jbuxys7dhxb|Mirage</t>
  </si>
  <si>
    <t xml:space="preserve">jk73jbuxys7dhxb|Dust2</t>
  </si>
  <si>
    <t xml:space="preserve">jk73jbuxys7dhxb|Nuke</t>
  </si>
  <si>
    <t xml:space="preserve">jk73jbuxys7dhxb|Cache</t>
  </si>
  <si>
    <t xml:space="preserve">jk73jbuxys7dhxb|Inferno</t>
  </si>
  <si>
    <t xml:space="preserve">jk73jbuxys7dhxb|Ancient</t>
  </si>
  <si>
    <t xml:space="preserve">qsyrug527ihd0m5|Ancient</t>
  </si>
  <si>
    <t xml:space="preserve">qsyrug527ihd0m5|Anubis</t>
  </si>
  <si>
    <t xml:space="preserve">qsyrug527ihd0m5|Dust2</t>
  </si>
  <si>
    <t xml:space="preserve">qsyrug527ihd0m5|Nuke</t>
  </si>
  <si>
    <t xml:space="preserve">qsyrug527ihd0m5|Cache</t>
  </si>
  <si>
    <t xml:space="preserve">qsyrug527ihd0m5|Mirage</t>
  </si>
  <si>
    <t xml:space="preserve">qsyrug527ihd0m5|Inferno</t>
  </si>
  <si>
    <t xml:space="preserve">fyrdqmky6zw6rl0|Ancient</t>
  </si>
  <si>
    <t xml:space="preserve">fyrdqmky6zw6rl0|Nuke</t>
  </si>
  <si>
    <t xml:space="preserve">fyrdqmky6zw6rl0|Dust2</t>
  </si>
  <si>
    <t xml:space="preserve">fyrdqmky6zw6rl0|Mirage</t>
  </si>
  <si>
    <t xml:space="preserve">fyrdqmky6zw6rl0|Cache</t>
  </si>
  <si>
    <t xml:space="preserve">fyrdqmky6zw6rl0|Anubis</t>
  </si>
  <si>
    <t xml:space="preserve">vld1f2dc8t9aesb|Nuke</t>
  </si>
  <si>
    <t xml:space="preserve">vld1f2dc8t9aesb|Ancient</t>
  </si>
  <si>
    <t xml:space="preserve">vld1f2dc8t9aesb|Mirage</t>
  </si>
  <si>
    <t xml:space="preserve">vld1f2dc8t9aesb|Dust2</t>
  </si>
  <si>
    <t xml:space="preserve">vld1f2dc8t9aesb|Cache</t>
  </si>
  <si>
    <t xml:space="preserve">vld1f2dc8t9aesb|Anubis</t>
  </si>
  <si>
    <t xml:space="preserve">ayxk4sbko48l7n5|Dust2</t>
  </si>
  <si>
    <t xml:space="preserve">ayxk4sbko48l7n5|Ancient</t>
  </si>
  <si>
    <t xml:space="preserve">ayxk4sbko48l7n5|Nuke</t>
  </si>
  <si>
    <t xml:space="preserve">ayxk4sbko48l7n5|Mirage</t>
  </si>
  <si>
    <t xml:space="preserve">ayxk4sbko48l7n5|Inferno</t>
  </si>
  <si>
    <t xml:space="preserve">ayxk4sbko48l7n5|Anubis</t>
  </si>
  <si>
    <t xml:space="preserve">ayxk4sbko48l7n5|Cache</t>
  </si>
  <si>
    <t xml:space="preserve">9wdj3z2kekttkk3|Inferno</t>
  </si>
  <si>
    <t xml:space="preserve">9wdj3z2kekttkk3|Mirage</t>
  </si>
  <si>
    <t xml:space="preserve">9wdj3z2kekttkk3|Nuke</t>
  </si>
  <si>
    <t xml:space="preserve">9wdj3z2kekttkk3|Cache</t>
  </si>
  <si>
    <t xml:space="preserve">9wdj3z2kekttkk3|Dust2</t>
  </si>
  <si>
    <t xml:space="preserve">9wdj3z2kekttkk3|Anubis</t>
  </si>
  <si>
    <t xml:space="preserve">9wdj3z2kekttkk3|Ancient</t>
  </si>
  <si>
    <t xml:space="preserve">9clq2dpvqugkf0i|Anubis</t>
  </si>
  <si>
    <t xml:space="preserve">9clq2dpvqugkf0i|Dust2</t>
  </si>
  <si>
    <t xml:space="preserve">9clq2dpvqugkf0i|Mirage</t>
  </si>
  <si>
    <t xml:space="preserve">9clq2dpvqugkf0i|Inferno</t>
  </si>
  <si>
    <t xml:space="preserve">9clq2dpvqugkf0i|Cache</t>
  </si>
  <si>
    <t xml:space="preserve">9clq2dpvqugkf0i|Nuke</t>
  </si>
  <si>
    <t xml:space="preserve">46l8s320mbib9t5|Ancient</t>
  </si>
  <si>
    <t xml:space="preserve">46l8s320mbib9t5|Anubis</t>
  </si>
  <si>
    <t xml:space="preserve">46l8s320mbib9t5|Dust2</t>
  </si>
  <si>
    <t xml:space="preserve">46l8s320mbib9t5|Nuke</t>
  </si>
  <si>
    <t xml:space="preserve">46l8s320mbib9t5|Mirage</t>
  </si>
  <si>
    <t xml:space="preserve">46l8s320mbib9t5|Cache</t>
  </si>
  <si>
    <t xml:space="preserve">46l8s320mbib9t5|Inferno</t>
  </si>
  <si>
    <t xml:space="preserve">lpkyyhtoofj8ova|Anubis</t>
  </si>
  <si>
    <t xml:space="preserve">lpkyyhtoofj8ova|Dust2</t>
  </si>
  <si>
    <t xml:space="preserve">lpkyyhtoofj8ova|Inferno</t>
  </si>
  <si>
    <t xml:space="preserve">lpkyyhtoofj8ova|Mirage</t>
  </si>
  <si>
    <t xml:space="preserve">lpkyyhtoofj8ova|Cache</t>
  </si>
  <si>
    <t xml:space="preserve">lpkyyhtoofj8ova|Nuke</t>
  </si>
  <si>
    <t xml:space="preserve">jc1nf38p0b44dfy|Cache</t>
  </si>
  <si>
    <t xml:space="preserve">jc1nf38p0b44dfy|Dust2</t>
  </si>
  <si>
    <t xml:space="preserve">jc1nf38p0b44dfy|Mirage</t>
  </si>
  <si>
    <t xml:space="preserve">jc1nf38p0b44dfy|Ancient</t>
  </si>
  <si>
    <t xml:space="preserve">jc1nf38p0b44dfy|Nuke</t>
  </si>
  <si>
    <t xml:space="preserve">jc1nf38p0b44dfy|Anubis</t>
  </si>
  <si>
    <t xml:space="preserve">zauqna21klkp1rt|Anubis</t>
  </si>
  <si>
    <t xml:space="preserve">zauqna21klkp1rt|Dust2</t>
  </si>
  <si>
    <t xml:space="preserve">zauqna21klkp1rt|Inferno</t>
  </si>
  <si>
    <t xml:space="preserve">zauqna21klkp1rt|Mirage</t>
  </si>
  <si>
    <t xml:space="preserve">zauqna21klkp1rt|Cache</t>
  </si>
  <si>
    <t xml:space="preserve">zauqna21klkp1rt|Nuke</t>
  </si>
  <si>
    <t xml:space="preserve">zs2lsmobreb35xn|Mirage</t>
  </si>
  <si>
    <t xml:space="preserve">zs2lsmobreb35xn|Dust2</t>
  </si>
  <si>
    <t xml:space="preserve">zs2lsmobreb35xn|Nuke</t>
  </si>
  <si>
    <t xml:space="preserve">zs2lsmobreb35xn|Cache</t>
  </si>
  <si>
    <t xml:space="preserve">zs2lsmobreb35xn|Inferno</t>
  </si>
  <si>
    <t xml:space="preserve">zs2lsmobreb35xn|Ancient</t>
  </si>
  <si>
    <t xml:space="preserve">ih00nznuepxs9r3|Mirage</t>
  </si>
  <si>
    <t xml:space="preserve">ih00nznuepxs9r3|Dust2</t>
  </si>
  <si>
    <t xml:space="preserve">ih00nznuepxs9r3|Nuke</t>
  </si>
  <si>
    <t xml:space="preserve">ih00nznuepxs9r3|Cache</t>
  </si>
  <si>
    <t xml:space="preserve">ih00nznuepxs9r3|Inferno</t>
  </si>
  <si>
    <t xml:space="preserve">ih00nznuepxs9r3|Ancient</t>
  </si>
  <si>
    <t xml:space="preserve">lj8zw2mudcbj35u|Ancient</t>
  </si>
  <si>
    <t xml:space="preserve">lj8zw2mudcbj35u|Dust2</t>
  </si>
  <si>
    <t xml:space="preserve">lj8zw2mudcbj35u|Mirage</t>
  </si>
  <si>
    <t xml:space="preserve">lj8zw2mudcbj35u|Nuke</t>
  </si>
  <si>
    <t xml:space="preserve">lj8zw2mudcbj35u|Anubis</t>
  </si>
  <si>
    <t xml:space="preserve">lj8zw2mudcbj35u|Cache</t>
  </si>
  <si>
    <t xml:space="preserve">vl5i6xbqmsocy69|Mirage</t>
  </si>
  <si>
    <t xml:space="preserve">vl5i6xbqmsocy69|Inferno</t>
  </si>
  <si>
    <t xml:space="preserve">vl5i6xbqmsocy69|Nuke</t>
  </si>
  <si>
    <t xml:space="preserve">vl5i6xbqmsocy69|Ancient</t>
  </si>
  <si>
    <t xml:space="preserve">vl5i6xbqmsocy69|Dust2</t>
  </si>
  <si>
    <t xml:space="preserve">vl5i6xbqmsocy69|Cache</t>
  </si>
  <si>
    <t xml:space="preserve">npowbduexyegr6i|Mirage</t>
  </si>
  <si>
    <t xml:space="preserve">npowbduexyegr6i|Inferno</t>
  </si>
  <si>
    <t xml:space="preserve">npowbduexyegr6i|Ancient</t>
  </si>
  <si>
    <t xml:space="preserve">npowbduexyegr6i|Nuke</t>
  </si>
  <si>
    <t xml:space="preserve">npowbduexyegr6i|Dust2</t>
  </si>
  <si>
    <t xml:space="preserve">npowbduexyegr6i|Cache</t>
  </si>
  <si>
    <t xml:space="preserve">laaa0e0li15jo3i|Dust2</t>
  </si>
  <si>
    <t xml:space="preserve">laaa0e0li15jo3i|Nuke</t>
  </si>
  <si>
    <t xml:space="preserve">laaa0e0li15jo3i|Mirage</t>
  </si>
  <si>
    <t xml:space="preserve">laaa0e0li15jo3i|Cache</t>
  </si>
  <si>
    <t xml:space="preserve">laaa0e0li15jo3i|Anubis</t>
  </si>
  <si>
    <t xml:space="preserve">laaa0e0li15jo3i|Ancient</t>
  </si>
  <si>
    <t xml:space="preserve">oqhiiivtedh8uei|Ancient</t>
  </si>
  <si>
    <t xml:space="preserve">oqhiiivtedh8uei|Dust2</t>
  </si>
  <si>
    <t xml:space="preserve">oqhiiivtedh8uei|Inferno</t>
  </si>
  <si>
    <t xml:space="preserve">oqhiiivtedh8uei|Mirage</t>
  </si>
  <si>
    <t xml:space="preserve">oqhiiivtedh8uei|Nuke</t>
  </si>
  <si>
    <t xml:space="preserve">oqhiiivtedh8uei|Cache</t>
  </si>
  <si>
    <t xml:space="preserve">3hdlfqpxj65raop|Ancient</t>
  </si>
  <si>
    <t xml:space="preserve">3hdlfqpxj65raop|Nuke</t>
  </si>
  <si>
    <t xml:space="preserve">3hdlfqpxj65raop|Mirage</t>
  </si>
  <si>
    <t xml:space="preserve">3hdlfqpxj65raop|Dust2</t>
  </si>
  <si>
    <t xml:space="preserve">3hdlfqpxj65raop|Cache</t>
  </si>
  <si>
    <t xml:space="preserve">3hdlfqpxj65raop|Anubis</t>
  </si>
  <si>
    <t xml:space="preserve">c4m3zncm4mxvzoh|Mirage</t>
  </si>
  <si>
    <t xml:space="preserve">c4m3zncm4mxvzoh|Anubis</t>
  </si>
  <si>
    <t xml:space="preserve">c4m3zncm4mxvzoh|Ancient</t>
  </si>
  <si>
    <t xml:space="preserve">c4m3zncm4mxvzoh|Dust2</t>
  </si>
  <si>
    <t xml:space="preserve">c4m3zncm4mxvzoh|Nuke</t>
  </si>
  <si>
    <t xml:space="preserve">c4m3zncm4mxvzoh|Cache</t>
  </si>
  <si>
    <t xml:space="preserve">6vanqemhsqez4mc|Dust2</t>
  </si>
  <si>
    <t xml:space="preserve">6vanqemhsqez4mc|Mirage</t>
  </si>
  <si>
    <t xml:space="preserve">6vanqemhsqez4mc|Cache</t>
  </si>
  <si>
    <t xml:space="preserve">6vanqemhsqez4mc|Anubis</t>
  </si>
  <si>
    <t xml:space="preserve">6vanqemhsqez4mc|Inferno</t>
  </si>
  <si>
    <t xml:space="preserve">6vanqemhsqez4mc|Nuke</t>
  </si>
  <si>
    <t xml:space="preserve">uuenaj2yjxssq46|Lotus</t>
  </si>
  <si>
    <t xml:space="preserve">uuenaj2yjxssq46|Sunset</t>
  </si>
  <si>
    <t xml:space="preserve">uuenaj2yjxssq46|Abyss</t>
  </si>
  <si>
    <t xml:space="preserve">fl4ta9g39ylnp3t|Haven</t>
  </si>
  <si>
    <t xml:space="preserve">fl4ta9g39ylnp3t|Pearl</t>
  </si>
  <si>
    <t xml:space="preserve">fl4ta9g39ylnp3t|Ascent</t>
  </si>
  <si>
    <t xml:space="preserve">fl4ta9g39ylnp3t|Lotus</t>
  </si>
  <si>
    <t xml:space="preserve">fl4ta9g39ylnp3t|Abyss</t>
  </si>
  <si>
    <t xml:space="preserve">fl4ta9g39ylnp3t|Fracture</t>
  </si>
  <si>
    <t xml:space="preserve">fl4ta9g39ylnp3t|Bind</t>
  </si>
  <si>
    <t xml:space="preserve">fl4ta9g39ylnp3t|Icebox</t>
  </si>
  <si>
    <t xml:space="preserve">fl4ta9g39ylnp3t|Sunset</t>
  </si>
  <si>
    <t xml:space="preserve">fl4ta9g39ylnp3t|Split</t>
  </si>
  <si>
    <t xml:space="preserve">7bx7bre77fcpsbi|Sunset</t>
  </si>
  <si>
    <t xml:space="preserve">7bx7bre77fcpsbi|Split</t>
  </si>
  <si>
    <t xml:space="preserve">7bx7bre77fcpsbi|Bind</t>
  </si>
  <si>
    <t xml:space="preserve">7bx7bre77fcpsbi|Haven</t>
  </si>
  <si>
    <t xml:space="preserve">7bx7bre77fcpsbi|Icebox</t>
  </si>
  <si>
    <t xml:space="preserve">7bx7bre77fcpsbi|Lotus</t>
  </si>
  <si>
    <t xml:space="preserve">7bx7bre77fcpsbi|Breeze</t>
  </si>
  <si>
    <t xml:space="preserve">16vwmlbwgx0jdz4|Sunset</t>
  </si>
  <si>
    <t xml:space="preserve">16vwmlbwgx0jdz4|Split</t>
  </si>
  <si>
    <t xml:space="preserve">16vwmlbwgx0jdz4|Haven</t>
  </si>
  <si>
    <t xml:space="preserve">16vwmlbwgx0jdz4|Pearl</t>
  </si>
  <si>
    <t xml:space="preserve">16vwmlbwgx0jdz4|Bind</t>
  </si>
  <si>
    <t xml:space="preserve">16vwmlbwgx0jdz4|Ascent</t>
  </si>
  <si>
    <t xml:space="preserve">16vwmlbwgx0jdz4|Corrode</t>
  </si>
  <si>
    <t xml:space="preserve">16vwmlbwgx0jdz4|Abyss</t>
  </si>
  <si>
    <t xml:space="preserve">16vwmlbwgx0jdz4|Icebox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</si>
  <si>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</si>
  <si>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</si>
  <si>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</si>
  <si>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</si>
  <si>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</si>
  <si>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</si>
  <si>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</si>
  <si>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dem0n</t>
  </si>
  <si>
    <t xml:space="preserve">kair0n-</t>
  </si>
  <si>
    <t xml:space="preserve">khan</t>
  </si>
  <si>
    <t xml:space="preserve">krabeni</t>
  </si>
  <si>
    <t xml:space="preserve">sunpayus</t>
  </si>
  <si>
    <t xml:space="preserve">xant3r</t>
  </si>
  <si>
    <t xml:space="preserve">aleksib</t>
  </si>
  <si>
    <t xml:space="preserve">flamez</t>
  </si>
  <si>
    <t xml:space="preserve">im</t>
  </si>
  <si>
    <t xml:space="preserve">jl</t>
  </si>
  <si>
    <t xml:space="preserve">zywoo</t>
  </si>
  <si>
    <t xml:space="preserve">chelo</t>
  </si>
  <si>
    <t xml:space="preserve">cz1k4</t>
  </si>
  <si>
    <t xml:space="preserve">edv</t>
  </si>
  <si>
    <t xml:space="preserve">luffykcs</t>
  </si>
  <si>
    <t xml:space="preserve">noway</t>
  </si>
  <si>
    <t xml:space="preserve">prozinszsz</t>
  </si>
  <si>
    <t xml:space="preserve">vini</t>
  </si>
  <si>
    <t xml:space="preserve">jimpphat</t>
  </si>
  <si>
    <t xml:space="preserve">pr</t>
  </si>
  <si>
    <t xml:space="preserve">spinx</t>
  </si>
  <si>
    <t xml:space="preserve">wicadia</t>
  </si>
  <si>
    <t xml:space="preserve">xantares</t>
  </si>
  <si>
    <t xml:space="preserve">xertion</t>
  </si>
  <si>
    <t xml:space="preserve">boombl4</t>
  </si>
  <si>
    <t xml:space="preserve">d1ledez</t>
  </si>
  <si>
    <t xml:space="preserve">fallen</t>
  </si>
  <si>
    <t xml:space="preserve">kscerato</t>
  </si>
  <si>
    <t xml:space="preserve">magnojez</t>
  </si>
  <si>
    <t xml:space="preserve">yekindar</t>
  </si>
  <si>
    <t xml:space="preserve">gafolo</t>
  </si>
  <si>
    <t xml:space="preserve">lkz</t>
  </si>
  <si>
    <t xml:space="preserve">revoltz</t>
  </si>
  <si>
    <t xml:space="preserve">sakamoto</t>
  </si>
  <si>
    <t xml:space="preserve">shazn</t>
  </si>
  <si>
    <t xml:space="preserve">stormzyn</t>
  </si>
  <si>
    <t xml:space="preserve">proshow</t>
  </si>
  <si>
    <t xml:space="preserve">tuurtle</t>
  </si>
  <si>
    <t xml:space="preserve">vinaabeast</t>
  </si>
  <si>
    <t xml:space="preserve">wood7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</si>
  <si>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</si>
  <si>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</si>
  <si>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</si>
  <si>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</si>
  <si>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</si>
  <si>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</si>
  <si>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</si>
  <si>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</si>
  <si>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</si>
  <si>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</si>
  <si>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</si>
  <si>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</si>
  <si>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</si>
  <si>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</si>
  <si>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</si>
  <si>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</si>
  <si>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FUT vs NEMI|A</t>
  </si>
  <si>
    <t xml:space="preserve">A</t>
  </si>
  <si>
    <t xml:space="preserve">CS2 · FUT vs NEMI|B</t>
  </si>
  <si>
    <t xml:space="preserve">B</t>
  </si>
  <si>
    <t xml:space="preserve">Nemiga</t>
  </si>
  <si>
    <t xml:space="preserve">CS2 · B8 vs HOTU|A</t>
  </si>
  <si>
    <t xml:space="preserve">CS2 · B8 vs HOTU|B</t>
  </si>
  <si>
    <t xml:space="preserve">CS2 · EF vs BIG|A</t>
  </si>
  <si>
    <t xml:space="preserve">Eternal Fire</t>
  </si>
  <si>
    <t xml:space="preserve">CS2 · EF vs BIG|B</t>
  </si>
  <si>
    <t xml:space="preserve">CS2 · VIT vs NAVI|A</t>
  </si>
  <si>
    <t xml:space="preserve">Vitality</t>
  </si>
  <si>
    <t xml:space="preserve">CS2 · VIT vs NAVI|B</t>
  </si>
  <si>
    <t xml:space="preserve">Natus Vincere</t>
  </si>
  <si>
    <t xml:space="preserve">CS2 · FaZe vs GL|A</t>
  </si>
  <si>
    <t xml:space="preserve">CS2 · FaZe vs GL|B</t>
  </si>
  <si>
    <t xml:space="preserve">GamerLegion</t>
  </si>
  <si>
    <t xml:space="preserve">CS2 · BAR vs BHE|A</t>
  </si>
  <si>
    <t xml:space="preserve">BARCA</t>
  </si>
  <si>
    <t xml:space="preserve">CS2 · BAR vs BHE|B</t>
  </si>
  <si>
    <t xml:space="preserve">Bounty Hunters</t>
  </si>
  <si>
    <t xml:space="preserve">CS2 · IMP vs QUIN|A</t>
  </si>
  <si>
    <t xml:space="preserve">Imperial</t>
  </si>
  <si>
    <t xml:space="preserve">CS2 · IMP vs QUIN|B</t>
  </si>
  <si>
    <t xml:space="preserve">QUINTESSÊNCIA</t>
  </si>
  <si>
    <t xml:space="preserve">CS2 [NO MARKET] · 100T vs Arena Pro|A</t>
  </si>
  <si>
    <t xml:space="preserve">100 Thieves</t>
  </si>
  <si>
    <t xml:space="preserve">CS2 [NO MARKET] · 100T vs Arena Pro|B</t>
  </si>
  <si>
    <t xml:space="preserve">CS2 · AST vs ICE|A</t>
  </si>
  <si>
    <t xml:space="preserve">Astralis</t>
  </si>
  <si>
    <t xml:space="preserve">CS2 · AST vs ICE|B</t>
  </si>
  <si>
    <t xml:space="preserve">Inner Circle</t>
  </si>
  <si>
    <t xml:space="preserve">CS2 · MOUZ vs AUR|A</t>
  </si>
  <si>
    <t xml:space="preserve">CS2 · MOUZ vs AUR|B</t>
  </si>
  <si>
    <t xml:space="preserve">Aurora</t>
  </si>
  <si>
    <t xml:space="preserve">CS2 [NO MARKET] · IS vs ZOTIX|A</t>
  </si>
  <si>
    <t xml:space="preserve">Iberian Soul</t>
  </si>
  <si>
    <t xml:space="preserve">CS2 [NO MARKET] · IS vs ZOTIX|B</t>
  </si>
  <si>
    <t xml:space="preserve">CS2 · paiN vs NCP|A</t>
  </si>
  <si>
    <t xml:space="preserve">CS2 · paiN vs NCP|B</t>
  </si>
  <si>
    <t xml:space="preserve">NAOCOPULAS</t>
  </si>
  <si>
    <t xml:space="preserve">CS2 · BB vs FURIA|A</t>
  </si>
  <si>
    <t xml:space="preserve">BETBOOM</t>
  </si>
  <si>
    <t xml:space="preserve">CS2 · BB vs FURIA|B</t>
  </si>
  <si>
    <t xml:space="preserve">CS2 · GLS vs PCY|A</t>
  </si>
  <si>
    <t xml:space="preserve">Galorys</t>
  </si>
  <si>
    <t xml:space="preserve">CS2 · GLS vs PCY|B</t>
  </si>
  <si>
    <t xml:space="preserve">Procyon</t>
  </si>
  <si>
    <t xml:space="preserve">CS2 · NRG vs Tactical Chaos|A</t>
  </si>
  <si>
    <t xml:space="preserve">CS2 · NRG vs Tactical Chaos|B</t>
  </si>
  <si>
    <t xml:space="preserve">CS2 · DEN vs Low Cortisol|A</t>
  </si>
  <si>
    <t xml:space="preserve">DENDELE</t>
  </si>
  <si>
    <t xml:space="preserve">CS2 · DEN vs Low Cortisol|B</t>
  </si>
  <si>
    <t xml:space="preserve">Low Cortisol BR</t>
  </si>
  <si>
    <t xml:space="preserve">CS2 · TdP vs ALKA|A</t>
  </si>
  <si>
    <t xml:space="preserve">Turma do Pagode</t>
  </si>
  <si>
    <t xml:space="preserve">CS2 · TdP vs ALKA|B</t>
  </si>
  <si>
    <t xml:space="preserve">Key (match|side|map|stat)</t>
  </si>
  <si>
    <t xml:space="preserve">CS2 · FUT vs NEMI|A|ALL|lw</t>
  </si>
  <si>
    <t xml:space="preserve">CS2 · FUT vs NEMI|A|ALL|wl</t>
  </si>
  <si>
    <t xml:space="preserve">CS2 · FUT vs NEMI|A|Cache|lw</t>
  </si>
  <si>
    <t xml:space="preserve">CS2 · FUT vs NEMI|A|Dust2|lw</t>
  </si>
  <si>
    <t xml:space="preserve">CS2 · FUT vs NEMI|A|Dust2|wl</t>
  </si>
  <si>
    <t xml:space="preserve">CS2 · FUT vs NEMI|A|Mirage|lw</t>
  </si>
  <si>
    <t xml:space="preserve">CS2 · FUT vs NEMI|A|Mirage|wl</t>
  </si>
  <si>
    <t xml:space="preserve">CS2 · FUT vs NEMI|A|Nuke|lw</t>
  </si>
  <si>
    <t xml:space="preserve">CS2 · FUT vs NEMI|A|Nuke|wl</t>
  </si>
  <si>
    <t xml:space="preserve">CS2 · FUT vs NEMI|A|Ancient|lw</t>
  </si>
  <si>
    <t xml:space="preserve">CS2 · FUT vs NEMI|A|Ancient|wl</t>
  </si>
  <si>
    <t xml:space="preserve">CS2 · FUT vs NEMI|A|Anubis|lw</t>
  </si>
  <si>
    <t xml:space="preserve">CS2 · FUT vs NEMI|A|Anubis|wl</t>
  </si>
  <si>
    <t xml:space="preserve">CS2 · FUT vs NEMI|B|ALL|lw</t>
  </si>
  <si>
    <t xml:space="preserve">CS2 · FUT vs NEMI|B|ALL|wl</t>
  </si>
  <si>
    <t xml:space="preserve">CS2 · FUT vs NEMI|B|Cache|lw</t>
  </si>
  <si>
    <t xml:space="preserve">CS2 · FUT vs NEMI|B|Cache|wl</t>
  </si>
  <si>
    <t xml:space="preserve">CS2 · FUT vs NEMI|B|Dust2|lw</t>
  </si>
  <si>
    <t xml:space="preserve">CS2 · FUT vs NEMI|B|Dust2|wl</t>
  </si>
  <si>
    <t xml:space="preserve">CS2 · FUT vs NEMI|B|Mirage|lw</t>
  </si>
  <si>
    <t xml:space="preserve">CS2 · FUT vs NEMI|B|Mirage|wl</t>
  </si>
  <si>
    <t xml:space="preserve">CS2 · FUT vs NEMI|B|Inferno|lw</t>
  </si>
  <si>
    <t xml:space="preserve">CS2 · FUT vs NEMI|B|Nuke|lw</t>
  </si>
  <si>
    <t xml:space="preserve">CS2 · FUT vs NEMI|B|Nuke|wl</t>
  </si>
  <si>
    <t xml:space="preserve">CS2 · FUT vs NEMI|B|Ancient|lw</t>
  </si>
  <si>
    <t xml:space="preserve">CS2 · FUT vs NEMI|B|Ancient|wl</t>
  </si>
  <si>
    <t xml:space="preserve">CS2 · FUT vs NEMI|B|Anubis|lw</t>
  </si>
  <si>
    <t xml:space="preserve">CS2 · FUT vs NEMI|B|Anubis|wl</t>
  </si>
  <si>
    <t xml:space="preserve">CS2 · B8 vs HOTU|A|ALL|lw</t>
  </si>
  <si>
    <t xml:space="preserve">CS2 · B8 vs HOTU|A|ALL|wl</t>
  </si>
  <si>
    <t xml:space="preserve">CS2 · B8 vs HOTU|A|Cache|lw</t>
  </si>
  <si>
    <t xml:space="preserve">CS2 · B8 vs HOTU|A|Cache|wl</t>
  </si>
  <si>
    <t xml:space="preserve">CS2 · B8 vs HOTU|A|Dust2|lw</t>
  </si>
  <si>
    <t xml:space="preserve">CS2 · B8 vs HOTU|A|Dust2|wl</t>
  </si>
  <si>
    <t xml:space="preserve">CS2 · B8 vs HOTU|A|Mirage|lw</t>
  </si>
  <si>
    <t xml:space="preserve">CS2 · B8 vs HOTU|A|Mirage|wl</t>
  </si>
  <si>
    <t xml:space="preserve">CS2 · B8 vs HOTU|A|Inferno|lw</t>
  </si>
  <si>
    <t xml:space="preserve">CS2 · B8 vs HOTU|A|Inferno|wl</t>
  </si>
  <si>
    <t xml:space="preserve">CS2 · B8 vs HOTU|A|Nuke|lw</t>
  </si>
  <si>
    <t xml:space="preserve">CS2 · B8 vs HOTU|A|Nuke|wl</t>
  </si>
  <si>
    <t xml:space="preserve">CS2 · B8 vs HOTU|A|Ancient|lw</t>
  </si>
  <si>
    <t xml:space="preserve">CS2 · B8 vs HOTU|A|Ancient|wl</t>
  </si>
  <si>
    <t xml:space="preserve">CS2 · B8 vs HOTU|B|ALL|lw</t>
  </si>
  <si>
    <t xml:space="preserve">CS2 · B8 vs HOTU|B|ALL|wl</t>
  </si>
  <si>
    <t xml:space="preserve">CS2 · B8 vs HOTU|B|Cache|lw</t>
  </si>
  <si>
    <t xml:space="preserve">CS2 · B8 vs HOTU|B|Cache|wl</t>
  </si>
  <si>
    <t xml:space="preserve">CS2 · B8 vs HOTU|B|Dust2|lw</t>
  </si>
  <si>
    <t xml:space="preserve">CS2 · B8 vs HOTU|B|Dust2|wl</t>
  </si>
  <si>
    <t xml:space="preserve">CS2 · B8 vs HOTU|B|Mirage|lw</t>
  </si>
  <si>
    <t xml:space="preserve">CS2 · B8 vs HOTU|B|Mirage|wl</t>
  </si>
  <si>
    <t xml:space="preserve">CS2 · B8 vs HOTU|B|Inferno|wl</t>
  </si>
  <si>
    <t xml:space="preserve">CS2 · B8 vs HOTU|B|Nuke|lw</t>
  </si>
  <si>
    <t xml:space="preserve">CS2 · B8 vs HOTU|B|Nuke|wl</t>
  </si>
  <si>
    <t xml:space="preserve">CS2 · B8 vs HOTU|B|Ancient|lw</t>
  </si>
  <si>
    <t xml:space="preserve">CS2 · B8 vs HOTU|B|Ancient|wl</t>
  </si>
  <si>
    <t xml:space="preserve">CS2 · B8 vs HOTU|B|Anubis|lw</t>
  </si>
  <si>
    <t xml:space="preserve">CS2 · B8 vs HOTU|B|Anubis|wl</t>
  </si>
  <si>
    <t xml:space="preserve">CS2 · EF vs BIG|A|ALL|lw</t>
  </si>
  <si>
    <t xml:space="preserve">CS2 · EF vs BIG|A|ALL|wl</t>
  </si>
  <si>
    <t xml:space="preserve">CS2 · EF vs BIG|A|Cache|lw</t>
  </si>
  <si>
    <t xml:space="preserve">CS2 · EF vs BIG|A|Cache|wl</t>
  </si>
  <si>
    <t xml:space="preserve">CS2 · EF vs BIG|A|Dust2|lw</t>
  </si>
  <si>
    <t xml:space="preserve">CS2 · EF vs BIG|A|Dust2|wl</t>
  </si>
  <si>
    <t xml:space="preserve">CS2 · EF vs BIG|A|Mirage|lw</t>
  </si>
  <si>
    <t xml:space="preserve">CS2 · EF vs BIG|A|Mirage|wl</t>
  </si>
  <si>
    <t xml:space="preserve">CS2 · EF vs BIG|A|Inferno|lw</t>
  </si>
  <si>
    <t xml:space="preserve">CS2 · EF vs BIG|A|Inferno|wl</t>
  </si>
  <si>
    <t xml:space="preserve">CS2 · EF vs BIG|A|Ancient|lw</t>
  </si>
  <si>
    <t xml:space="preserve">CS2 · EF vs BIG|A|Ancient|wl</t>
  </si>
  <si>
    <t xml:space="preserve">CS2 · EF vs BIG|A|Anubis|lw</t>
  </si>
  <si>
    <t xml:space="preserve">CS2 · EF vs BIG|A|Anubis|wl</t>
  </si>
  <si>
    <t xml:space="preserve">CS2 · EF vs BIG|B|ALL|lw</t>
  </si>
  <si>
    <t xml:space="preserve">CS2 · EF vs BIG|B|ALL|wl</t>
  </si>
  <si>
    <t xml:space="preserve">CS2 · EF vs BIG|B|Cache|lw</t>
  </si>
  <si>
    <t xml:space="preserve">CS2 · EF vs BIG|B|Cache|wl</t>
  </si>
  <si>
    <t xml:space="preserve">CS2 · EF vs BIG|B|Dust2|lw</t>
  </si>
  <si>
    <t xml:space="preserve">CS2 · EF vs BIG|B|Dust2|wl</t>
  </si>
  <si>
    <t xml:space="preserve">CS2 · EF vs BIG|B|Mirage|lw</t>
  </si>
  <si>
    <t xml:space="preserve">CS2 · EF vs BIG|B|Mirage|wl</t>
  </si>
  <si>
    <t xml:space="preserve">CS2 · EF vs BIG|B|Inferno|lw</t>
  </si>
  <si>
    <t xml:space="preserve">CS2 · EF vs BIG|B|Inferno|wl</t>
  </si>
  <si>
    <t xml:space="preserve">CS2 · EF vs BIG|B|Nuke|lw</t>
  </si>
  <si>
    <t xml:space="preserve">CS2 · EF vs BIG|B|Nuke|wl</t>
  </si>
  <si>
    <t xml:space="preserve">CS2 · EF vs BIG|B|Ancient|lw</t>
  </si>
  <si>
    <t xml:space="preserve">CS2 · EF vs BIG|B|Ancient|wl</t>
  </si>
  <si>
    <t xml:space="preserve">CS2 · VIT vs NAVI|A|ALL|lw</t>
  </si>
  <si>
    <t xml:space="preserve">CS2 · VIT vs NAVI|A|ALL|wl</t>
  </si>
  <si>
    <t xml:space="preserve">CS2 · VIT vs NAVI|A|Cache|lw</t>
  </si>
  <si>
    <t xml:space="preserve">CS2 · VIT vs NAVI|A|Cache|wl</t>
  </si>
  <si>
    <t xml:space="preserve">CS2 · VIT vs NAVI|A|Dust2|lw</t>
  </si>
  <si>
    <t xml:space="preserve">CS2 · VIT vs NAVI|A|Dust2|wl</t>
  </si>
  <si>
    <t xml:space="preserve">CS2 · VIT vs NAVI|A|Mirage|lw</t>
  </si>
  <si>
    <t xml:space="preserve">CS2 · VIT vs NAVI|A|Mirage|wl</t>
  </si>
  <si>
    <t xml:space="preserve">CS2 · VIT vs NAVI|A|Inferno|lw</t>
  </si>
  <si>
    <t xml:space="preserve">CS2 · VIT vs NAVI|A|Inferno|wl</t>
  </si>
  <si>
    <t xml:space="preserve">CS2 · VIT vs NAVI|A|Nuke|lw</t>
  </si>
  <si>
    <t xml:space="preserve">CS2 · VIT vs NAVI|A|Nuke|wl</t>
  </si>
  <si>
    <t xml:space="preserve">CS2 · VIT vs NAVI|A|Anubis|lw</t>
  </si>
  <si>
    <t xml:space="preserve">CS2 · VIT vs NAVI|A|Anubis|wl</t>
  </si>
  <si>
    <t xml:space="preserve">CS2 · VIT vs NAVI|B|ALL|lw</t>
  </si>
  <si>
    <t xml:space="preserve">CS2 · VIT vs NAVI|B|ALL|wl</t>
  </si>
  <si>
    <t xml:space="preserve">CS2 · VIT vs NAVI|B|Cache|lw</t>
  </si>
  <si>
    <t xml:space="preserve">CS2 · VIT vs NAVI|B|Cache|wl</t>
  </si>
  <si>
    <t xml:space="preserve">CS2 · VIT vs NAVI|B|Dust2|lw</t>
  </si>
  <si>
    <t xml:space="preserve">CS2 · VIT vs NAVI|B|Dust2|wl</t>
  </si>
  <si>
    <t xml:space="preserve">CS2 · VIT vs NAVI|B|Mirage|lw</t>
  </si>
  <si>
    <t xml:space="preserve">CS2 · VIT vs NAVI|B|Mirage|wl</t>
  </si>
  <si>
    <t xml:space="preserve">CS2 · VIT vs NAVI|B|Inferno|lw</t>
  </si>
  <si>
    <t xml:space="preserve">CS2 · VIT vs NAVI|B|Inferno|wl</t>
  </si>
  <si>
    <t xml:space="preserve">CS2 · VIT vs NAVI|B|Nuke|lw</t>
  </si>
  <si>
    <t xml:space="preserve">CS2 · VIT vs NAVI|B|Nuke|wl</t>
  </si>
  <si>
    <t xml:space="preserve">CS2 · VIT vs NAVI|B|Ancient|lw</t>
  </si>
  <si>
    <t xml:space="preserve">CS2 · VIT vs NAVI|B|Ancient|wl</t>
  </si>
  <si>
    <t xml:space="preserve">CS2 · VIT vs NAVI|B|Anubis|lw</t>
  </si>
  <si>
    <t xml:space="preserve">CS2 · VIT vs NAVI|B|Anubis|wl</t>
  </si>
  <si>
    <t xml:space="preserve">CS2 · FaZe vs GL|A|ALL|lw</t>
  </si>
  <si>
    <t xml:space="preserve">CS2 · FaZe vs GL|A|ALL|wl</t>
  </si>
  <si>
    <t xml:space="preserve">CS2 · FaZe vs GL|A|Cache|lw</t>
  </si>
  <si>
    <t xml:space="preserve">CS2 · FaZe vs GL|A|Cache|wl</t>
  </si>
  <si>
    <t xml:space="preserve">CS2 · FaZe vs GL|A|Dust2|lw</t>
  </si>
  <si>
    <t xml:space="preserve">CS2 · FaZe vs GL|A|Dust2|wl</t>
  </si>
  <si>
    <t xml:space="preserve">CS2 · FaZe vs GL|A|Mirage|lw</t>
  </si>
  <si>
    <t xml:space="preserve">CS2 · FaZe vs GL|A|Mirage|wl</t>
  </si>
  <si>
    <t xml:space="preserve">CS2 · FaZe vs GL|A|Nuke|lw</t>
  </si>
  <si>
    <t xml:space="preserve">CS2 · FaZe vs GL|A|Nuke|wl</t>
  </si>
  <si>
    <t xml:space="preserve">CS2 · FaZe vs GL|A|Ancient|lw</t>
  </si>
  <si>
    <t xml:space="preserve">CS2 · FaZe vs GL|A|Ancient|wl</t>
  </si>
  <si>
    <t xml:space="preserve">CS2 · FaZe vs GL|A|Anubis|lw</t>
  </si>
  <si>
    <t xml:space="preserve">CS2 · FaZe vs GL|A|Anubis|wl</t>
  </si>
  <si>
    <t xml:space="preserve">CS2 · FaZe vs GL|B|ALL|lw</t>
  </si>
  <si>
    <t xml:space="preserve">CS2 · FaZe vs GL|B|ALL|wl</t>
  </si>
  <si>
    <t xml:space="preserve">CS2 · FaZe vs GL|B|Cache|lw</t>
  </si>
  <si>
    <t xml:space="preserve">CS2 · FaZe vs GL|B|Cache|wl</t>
  </si>
  <si>
    <t xml:space="preserve">CS2 · FaZe vs GL|B|Dust2|lw</t>
  </si>
  <si>
    <t xml:space="preserve">CS2 · FaZe vs GL|B|Dust2|wl</t>
  </si>
  <si>
    <t xml:space="preserve">CS2 · FaZe vs GL|B|Mirage|lw</t>
  </si>
  <si>
    <t xml:space="preserve">CS2 · FaZe vs GL|B|Mirage|wl</t>
  </si>
  <si>
    <t xml:space="preserve">CS2 · FaZe vs GL|B|Inferno|lw</t>
  </si>
  <si>
    <t xml:space="preserve">CS2 · FaZe vs GL|B|Inferno|wl</t>
  </si>
  <si>
    <t xml:space="preserve">CS2 · FaZe vs GL|B|Nuke|lw</t>
  </si>
  <si>
    <t xml:space="preserve">CS2 · FaZe vs GL|B|Nuke|wl</t>
  </si>
  <si>
    <t xml:space="preserve">CS2 · FaZe vs GL|B|Ancient|lw</t>
  </si>
  <si>
    <t xml:space="preserve">CS2 · FaZe vs GL|B|Ancient|wl</t>
  </si>
  <si>
    <t xml:space="preserve">CS2 · BAR vs BHE|A|ALL|lw</t>
  </si>
  <si>
    <t xml:space="preserve">CS2 · BAR vs BHE|A|ALL|wl</t>
  </si>
  <si>
    <t xml:space="preserve">CS2 · BAR vs BHE|A|Cache|lw</t>
  </si>
  <si>
    <t xml:space="preserve">CS2 · BAR vs BHE|A|Cache|wl</t>
  </si>
  <si>
    <t xml:space="preserve">CS2 · BAR vs BHE|A|Dust2|lw</t>
  </si>
  <si>
    <t xml:space="preserve">CS2 · BAR vs BHE|A|Dust2|wl</t>
  </si>
  <si>
    <t xml:space="preserve">CS2 · BAR vs BHE|A|Mirage|lw</t>
  </si>
  <si>
    <t xml:space="preserve">CS2 · BAR vs BHE|A|Mirage|wl</t>
  </si>
  <si>
    <t xml:space="preserve">CS2 · BAR vs BHE|A|Inferno|lw</t>
  </si>
  <si>
    <t xml:space="preserve">CS2 · BAR vs BHE|A|Inferno|wl</t>
  </si>
  <si>
    <t xml:space="preserve">CS2 · BAR vs BHE|A|Nuke|lw</t>
  </si>
  <si>
    <t xml:space="preserve">CS2 · BAR vs BHE|A|Nuke|wl</t>
  </si>
  <si>
    <t xml:space="preserve">CS2 · BAR vs BHE|A|Ancient|lw</t>
  </si>
  <si>
    <t xml:space="preserve">CS2 · BAR vs BHE|A|Ancient|wl</t>
  </si>
  <si>
    <t xml:space="preserve">CS2 · BAR vs BHE|B|ALL|lw</t>
  </si>
  <si>
    <t xml:space="preserve">CS2 · BAR vs BHE|B|ALL|wl</t>
  </si>
  <si>
    <t xml:space="preserve">CS2 · BAR vs BHE|B|Cache|lw</t>
  </si>
  <si>
    <t xml:space="preserve">CS2 · BAR vs BHE|B|Cache|wl</t>
  </si>
  <si>
    <t xml:space="preserve">CS2 · BAR vs BHE|B|Dust2|lw</t>
  </si>
  <si>
    <t xml:space="preserve">CS2 · BAR vs BHE|B|Dust2|wl</t>
  </si>
  <si>
    <t xml:space="preserve">CS2 · BAR vs BHE|B|Mirage|lw</t>
  </si>
  <si>
    <t xml:space="preserve">CS2 · BAR vs BHE|B|Mirage|wl</t>
  </si>
  <si>
    <t xml:space="preserve">CS2 · BAR vs BHE|B|Nuke|lw</t>
  </si>
  <si>
    <t xml:space="preserve">CS2 · BAR vs BHE|B|Nuke|wl</t>
  </si>
  <si>
    <t xml:space="preserve">CS2 · BAR vs BHE|B|Ancient|lw</t>
  </si>
  <si>
    <t xml:space="preserve">CS2 · BAR vs BHE|B|Ancient|wl</t>
  </si>
  <si>
    <t xml:space="preserve">CS2 · BAR vs BHE|B|Anubis|lw</t>
  </si>
  <si>
    <t xml:space="preserve">CS2 · BAR vs BHE|B|Anubis|wl</t>
  </si>
  <si>
    <t xml:space="preserve">CS2 · IMP vs QUIN|A|ALL|lw</t>
  </si>
  <si>
    <t xml:space="preserve">CS2 · IMP vs QUIN|A|ALL|wl</t>
  </si>
  <si>
    <t xml:space="preserve">CS2 · IMP vs QUIN|A|Cache|lw</t>
  </si>
  <si>
    <t xml:space="preserve">CS2 · IMP vs QUIN|A|Cache|wl</t>
  </si>
  <si>
    <t xml:space="preserve">CS2 · IMP vs QUIN|A|Dust2|lw</t>
  </si>
  <si>
    <t xml:space="preserve">CS2 · IMP vs QUIN|A|Dust2|wl</t>
  </si>
  <si>
    <t xml:space="preserve">CS2 · IMP vs QUIN|A|Mirage|lw</t>
  </si>
  <si>
    <t xml:space="preserve">CS2 · IMP vs QUIN|A|Mirage|wl</t>
  </si>
  <si>
    <t xml:space="preserve">CS2 · IMP vs QUIN|A|Inferno|lw</t>
  </si>
  <si>
    <t xml:space="preserve">CS2 · IMP vs QUIN|A|Inferno|wl</t>
  </si>
  <si>
    <t xml:space="preserve">CS2 · IMP vs QUIN|A|Nuke|lw</t>
  </si>
  <si>
    <t xml:space="preserve">CS2 · IMP vs QUIN|A|Nuke|wl</t>
  </si>
  <si>
    <t xml:space="preserve">CS2 · IMP vs QUIN|A|Anubis|lw</t>
  </si>
  <si>
    <t xml:space="preserve">CS2 · IMP vs QUIN|A|Anubis|wl</t>
  </si>
  <si>
    <t xml:space="preserve">CS2 · IMP vs QUIN|B|ALL|lw</t>
  </si>
  <si>
    <t xml:space="preserve">CS2 · IMP vs QUIN|B|ALL|wl</t>
  </si>
  <si>
    <t xml:space="preserve">CS2 · IMP vs QUIN|B|Cache|lw</t>
  </si>
  <si>
    <t xml:space="preserve">CS2 · IMP vs QUIN|B|Cache|wl</t>
  </si>
  <si>
    <t xml:space="preserve">CS2 · IMP vs QUIN|B|Dust2|lw</t>
  </si>
  <si>
    <t xml:space="preserve">CS2 · IMP vs QUIN|B|Dust2|wl</t>
  </si>
  <si>
    <t xml:space="preserve">CS2 · IMP vs QUIN|B|Mirage|lw</t>
  </si>
  <si>
    <t xml:space="preserve">CS2 · IMP vs QUIN|B|Mirage|wl</t>
  </si>
  <si>
    <t xml:space="preserve">CS2 · IMP vs QUIN|B|Inferno|lw</t>
  </si>
  <si>
    <t xml:space="preserve">CS2 · IMP vs QUIN|B|Inferno|wl</t>
  </si>
  <si>
    <t xml:space="preserve">CS2 · IMP vs QUIN|B|Nuke|lw</t>
  </si>
  <si>
    <t xml:space="preserve">CS2 · IMP vs QUIN|B|Ancient|lw</t>
  </si>
  <si>
    <t xml:space="preserve">CS2 · IMP vs QUIN|B|Ancient|wl</t>
  </si>
  <si>
    <t xml:space="preserve">CS2 · IMP vs QUIN|B|Anubis|lw</t>
  </si>
  <si>
    <t xml:space="preserve">CS2 · IMP vs QUIN|B|Anubis|wl</t>
  </si>
  <si>
    <t xml:space="preserve">CS2 [NO MARKET] · 100T vs Arena Pro|A|ALL|lw</t>
  </si>
  <si>
    <t xml:space="preserve">CS2 [NO MARKET] · 100T vs Arena Pro|A|ALL|wl</t>
  </si>
  <si>
    <t xml:space="preserve">CS2 [NO MARKET] · 100T vs Arena Pro|A|Cache|lw</t>
  </si>
  <si>
    <t xml:space="preserve">CS2 [NO MARKET] · 100T vs Arena Pro|A|Cache|wl</t>
  </si>
  <si>
    <t xml:space="preserve">CS2 [NO MARKET] · 100T vs Arena Pro|A|Dust2|lw</t>
  </si>
  <si>
    <t xml:space="preserve">CS2 [NO MARKET] · 100T vs Arena Pro|A|Dust2|wl</t>
  </si>
  <si>
    <t xml:space="preserve">CS2 [NO MARKET] · 100T vs Arena Pro|A|Mirage|lw</t>
  </si>
  <si>
    <t xml:space="preserve">CS2 [NO MARKET] · 100T vs Arena Pro|A|Mirage|wl</t>
  </si>
  <si>
    <t xml:space="preserve">CS2 [NO MARKET] · 100T vs Arena Pro|A|Inferno|lw</t>
  </si>
  <si>
    <t xml:space="preserve">CS2 [NO MARKET] · 100T vs Arena Pro|A|Inferno|wl</t>
  </si>
  <si>
    <t xml:space="preserve">CS2 [NO MARKET] · 100T vs Arena Pro|A|Nuke|lw</t>
  </si>
  <si>
    <t xml:space="preserve">CS2 [NO MARKET] · 100T vs Arena Pro|A|Nuke|wl</t>
  </si>
  <si>
    <t xml:space="preserve">CS2 [NO MARKET] · 100T vs Arena Pro|A|Ancient|lw</t>
  </si>
  <si>
    <t xml:space="preserve">CS2 [NO MARKET] · 100T vs Arena Pro|A|Ancient|wl</t>
  </si>
  <si>
    <t xml:space="preserve">CS2 [NO MARKET] · 100T vs Arena Pro|A|Anubis|lw</t>
  </si>
  <si>
    <t xml:space="preserve">CS2 [NO MARKET] · 100T vs Arena Pro|A|Anubis|wl</t>
  </si>
  <si>
    <t xml:space="preserve">CS2 · AST vs ICE|A|ALL|lw</t>
  </si>
  <si>
    <t xml:space="preserve">CS2 · AST vs ICE|A|ALL|wl</t>
  </si>
  <si>
    <t xml:space="preserve">CS2 · AST vs ICE|A|Cache|lw</t>
  </si>
  <si>
    <t xml:space="preserve">CS2 · AST vs ICE|A|Cache|wl</t>
  </si>
  <si>
    <t xml:space="preserve">CS2 · AST vs ICE|A|Dust2|lw</t>
  </si>
  <si>
    <t xml:space="preserve">CS2 · AST vs ICE|A|Dust2|wl</t>
  </si>
  <si>
    <t xml:space="preserve">CS2 · AST vs ICE|A|Mirage|lw</t>
  </si>
  <si>
    <t xml:space="preserve">CS2 · AST vs ICE|A|Mirage|wl</t>
  </si>
  <si>
    <t xml:space="preserve">CS2 · AST vs ICE|A|Inferno|lw</t>
  </si>
  <si>
    <t xml:space="preserve">CS2 · AST vs ICE|A|Inferno|wl</t>
  </si>
  <si>
    <t xml:space="preserve">CS2 · AST vs ICE|A|Nuke|lw</t>
  </si>
  <si>
    <t xml:space="preserve">CS2 · AST vs ICE|A|Nuke|wl</t>
  </si>
  <si>
    <t xml:space="preserve">CS2 · AST vs ICE|A|Ancient|lw</t>
  </si>
  <si>
    <t xml:space="preserve">CS2 · AST vs ICE|A|Ancient|wl</t>
  </si>
  <si>
    <t xml:space="preserve">CS2 · AST vs ICE|A|Anubis|wl</t>
  </si>
  <si>
    <t xml:space="preserve">CS2 · AST vs ICE|B|ALL|lw</t>
  </si>
  <si>
    <t xml:space="preserve">CS2 · AST vs ICE|B|ALL|wl</t>
  </si>
  <si>
    <t xml:space="preserve">CS2 · AST vs ICE|B|Cache|lw</t>
  </si>
  <si>
    <t xml:space="preserve">CS2 · AST vs ICE|B|Cache|wl</t>
  </si>
  <si>
    <t xml:space="preserve">CS2 · AST vs ICE|B|Dust2|lw</t>
  </si>
  <si>
    <t xml:space="preserve">CS2 · AST vs ICE|B|Dust2|wl</t>
  </si>
  <si>
    <t xml:space="preserve">CS2 · AST vs ICE|B|Mirage|lw</t>
  </si>
  <si>
    <t xml:space="preserve">CS2 · AST vs ICE|B|Mirage|wl</t>
  </si>
  <si>
    <t xml:space="preserve">CS2 · AST vs ICE|B|Nuke|lw</t>
  </si>
  <si>
    <t xml:space="preserve">CS2 · AST vs ICE|B|Nuke|wl</t>
  </si>
  <si>
    <t xml:space="preserve">CS2 · AST vs ICE|B|Ancient|lw</t>
  </si>
  <si>
    <t xml:space="preserve">CS2 · AST vs ICE|B|Ancient|wl</t>
  </si>
  <si>
    <t xml:space="preserve">CS2 · AST vs ICE|B|Anubis|lw</t>
  </si>
  <si>
    <t xml:space="preserve">CS2 · AST vs ICE|B|Anubis|wl</t>
  </si>
  <si>
    <t xml:space="preserve">CS2 · MOUZ vs AUR|A|ALL|lw</t>
  </si>
  <si>
    <t xml:space="preserve">CS2 · MOUZ vs AUR|A|ALL|wl</t>
  </si>
  <si>
    <t xml:space="preserve">CS2 · MOUZ vs AUR|A|Cache|lw</t>
  </si>
  <si>
    <t xml:space="preserve">CS2 · MOUZ vs AUR|A|Cache|wl</t>
  </si>
  <si>
    <t xml:space="preserve">CS2 · MOUZ vs AUR|A|Dust2|lw</t>
  </si>
  <si>
    <t xml:space="preserve">CS2 · MOUZ vs AUR|A|Dust2|wl</t>
  </si>
  <si>
    <t xml:space="preserve">CS2 · MOUZ vs AUR|A|Mirage|lw</t>
  </si>
  <si>
    <t xml:space="preserve">CS2 · MOUZ vs AUR|A|Mirage|wl</t>
  </si>
  <si>
    <t xml:space="preserve">CS2 · MOUZ vs AUR|A|Inferno|lw</t>
  </si>
  <si>
    <t xml:space="preserve">CS2 · MOUZ vs AUR|A|Inferno|wl</t>
  </si>
  <si>
    <t xml:space="preserve">CS2 · MOUZ vs AUR|A|Nuke|lw</t>
  </si>
  <si>
    <t xml:space="preserve">CS2 · MOUZ vs AUR|A|Nuke|wl</t>
  </si>
  <si>
    <t xml:space="preserve">CS2 · MOUZ vs AUR|A|Ancient|lw</t>
  </si>
  <si>
    <t xml:space="preserve">CS2 · MOUZ vs AUR|A|Ancient|wl</t>
  </si>
  <si>
    <t xml:space="preserve">CS2 · MOUZ vs AUR|B|ALL|lw</t>
  </si>
  <si>
    <t xml:space="preserve">CS2 · MOUZ vs AUR|B|ALL|wl</t>
  </si>
  <si>
    <t xml:space="preserve">CS2 · MOUZ vs AUR|B|Cache|lw</t>
  </si>
  <si>
    <t xml:space="preserve">CS2 · MOUZ vs AUR|B|Cache|wl</t>
  </si>
  <si>
    <t xml:space="preserve">CS2 · MOUZ vs AUR|B|Dust2|lw</t>
  </si>
  <si>
    <t xml:space="preserve">CS2 · MOUZ vs AUR|B|Dust2|wl</t>
  </si>
  <si>
    <t xml:space="preserve">CS2 · MOUZ vs AUR|B|Mirage|lw</t>
  </si>
  <si>
    <t xml:space="preserve">CS2 · MOUZ vs AUR|B|Mirage|wl</t>
  </si>
  <si>
    <t xml:space="preserve">CS2 · MOUZ vs AUR|B|Inferno|lw</t>
  </si>
  <si>
    <t xml:space="preserve">CS2 · MOUZ vs AUR|B|Inferno|wl</t>
  </si>
  <si>
    <t xml:space="preserve">CS2 · MOUZ vs AUR|B|Nuke|lw</t>
  </si>
  <si>
    <t xml:space="preserve">CS2 · MOUZ vs AUR|B|Nuke|wl</t>
  </si>
  <si>
    <t xml:space="preserve">CS2 · MOUZ vs AUR|B|Ancient|wl</t>
  </si>
  <si>
    <t xml:space="preserve">CS2 · MOUZ vs AUR|B|Anubis|lw</t>
  </si>
  <si>
    <t xml:space="preserve">CS2 · MOUZ vs AUR|B|Anubis|wl</t>
  </si>
  <si>
    <t xml:space="preserve">CS2 [NO MARKET] · IS vs ZOTIX|A|ALL|lw</t>
  </si>
  <si>
    <t xml:space="preserve">CS2 [NO MARKET] · IS vs ZOTIX|A|ALL|wl</t>
  </si>
  <si>
    <t xml:space="preserve">CS2 [NO MARKET] · IS vs ZOTIX|A|Cache|lw</t>
  </si>
  <si>
    <t xml:space="preserve">CS2 [NO MARKET] · IS vs ZOTIX|A|Cache|wl</t>
  </si>
  <si>
    <t xml:space="preserve">CS2 [NO MARKET] · IS vs ZOTIX|A|Mirage|lw</t>
  </si>
  <si>
    <t xml:space="preserve">CS2 [NO MARKET] · IS vs ZOTIX|A|Mirage|wl</t>
  </si>
  <si>
    <t xml:space="preserve">CS2 [NO MARKET] · IS vs ZOTIX|A|Inferno|lw</t>
  </si>
  <si>
    <t xml:space="preserve">CS2 [NO MARKET] · IS vs ZOTIX|A|Inferno|wl</t>
  </si>
  <si>
    <t xml:space="preserve">CS2 [NO MARKET] · IS vs ZOTIX|A|Nuke|lw</t>
  </si>
  <si>
    <t xml:space="preserve">CS2 [NO MARKET] · IS vs ZOTIX|A|Nuke|wl</t>
  </si>
  <si>
    <t xml:space="preserve">CS2 [NO MARKET] · IS vs ZOTIX|A|Ancient|lw</t>
  </si>
  <si>
    <t xml:space="preserve">CS2 [NO MARKET] · IS vs ZOTIX|A|Ancient|wl</t>
  </si>
  <si>
    <t xml:space="preserve">CS2 [NO MARKET] · IS vs ZOTIX|A|Anubis|lw</t>
  </si>
  <si>
    <t xml:space="preserve">CS2 [NO MARKET] · IS vs ZOTIX|A|Anubis|wl</t>
  </si>
  <si>
    <t xml:space="preserve">CS2 [NO MARKET] · IS vs ZOTIX|B|ALL|lw</t>
  </si>
  <si>
    <t xml:space="preserve">CS2 [NO MARKET] · IS vs ZOTIX|B|ALL|wl</t>
  </si>
  <si>
    <t xml:space="preserve">CS2 [NO MARKET] · IS vs ZOTIX|B|Cache|wl</t>
  </si>
  <si>
    <t xml:space="preserve">CS2 [NO MARKET] · IS vs ZOTIX|B|Dust2|lw</t>
  </si>
  <si>
    <t xml:space="preserve">CS2 [NO MARKET] · IS vs ZOTIX|B|Dust2|wl</t>
  </si>
  <si>
    <t xml:space="preserve">CS2 [NO MARKET] · IS vs ZOTIX|B|Mirage|wl</t>
  </si>
  <si>
    <t xml:space="preserve">CS2 [NO MARKET] · IS vs ZOTIX|B|Inferno|lw</t>
  </si>
  <si>
    <t xml:space="preserve">CS2 [NO MARKET] · IS vs ZOTIX|B|Inferno|wl</t>
  </si>
  <si>
    <t xml:space="preserve">CS2 [NO MARKET] · IS vs ZOTIX|B|Nuke|wl</t>
  </si>
  <si>
    <t xml:space="preserve">CS2 [NO MARKET] · IS vs ZOTIX|B|Ancient|lw</t>
  </si>
  <si>
    <t xml:space="preserve">CS2 [NO MARKET] · IS vs ZOTIX|B|Ancient|wl</t>
  </si>
  <si>
    <t xml:space="preserve">CS2 [NO MARKET] · IS vs ZOTIX|B|Anubis|lw</t>
  </si>
  <si>
    <t xml:space="preserve">CS2 · paiN vs NCP|A|ALL|lw</t>
  </si>
  <si>
    <t xml:space="preserve">CS2 · paiN vs NCP|A|ALL|wl</t>
  </si>
  <si>
    <t xml:space="preserve">CS2 · paiN vs NCP|A|Cache|lw</t>
  </si>
  <si>
    <t xml:space="preserve">CS2 · paiN vs NCP|A|Cache|wl</t>
  </si>
  <si>
    <t xml:space="preserve">CS2 · paiN vs NCP|A|Dust2|lw</t>
  </si>
  <si>
    <t xml:space="preserve">CS2 · paiN vs NCP|A|Dust2|wl</t>
  </si>
  <si>
    <t xml:space="preserve">CS2 · paiN vs NCP|A|Mirage|lw</t>
  </si>
  <si>
    <t xml:space="preserve">CS2 · paiN vs NCP|A|Mirage|wl</t>
  </si>
  <si>
    <t xml:space="preserve">CS2 · paiN vs NCP|A|Inferno|wl</t>
  </si>
  <si>
    <t xml:space="preserve">CS2 · paiN vs NCP|A|Nuke|lw</t>
  </si>
  <si>
    <t xml:space="preserve">CS2 · paiN vs NCP|A|Nuke|wl</t>
  </si>
  <si>
    <t xml:space="preserve">CS2 · paiN vs NCP|A|Anubis|lw</t>
  </si>
  <si>
    <t xml:space="preserve">CS2 · paiN vs NCP|A|Anubis|wl</t>
  </si>
  <si>
    <t xml:space="preserve">CS2 · paiN vs NCP|B|ALL|lw</t>
  </si>
  <si>
    <t xml:space="preserve">CS2 · paiN vs NCP|B|ALL|wl</t>
  </si>
  <si>
    <t xml:space="preserve">CS2 · paiN vs NCP|B|Cache|lw</t>
  </si>
  <si>
    <t xml:space="preserve">CS2 · paiN vs NCP|B|Cache|wl</t>
  </si>
  <si>
    <t xml:space="preserve">CS2 · paiN vs NCP|B|Dust2|lw</t>
  </si>
  <si>
    <t xml:space="preserve">CS2 · paiN vs NCP|B|Dust2|wl</t>
  </si>
  <si>
    <t xml:space="preserve">CS2 · paiN vs NCP|B|Mirage|lw</t>
  </si>
  <si>
    <t xml:space="preserve">CS2 · paiN vs NCP|B|Mirage|wl</t>
  </si>
  <si>
    <t xml:space="preserve">CS2 · paiN vs NCP|B|Nuke|lw</t>
  </si>
  <si>
    <t xml:space="preserve">CS2 · paiN vs NCP|B|Ancient|lw</t>
  </si>
  <si>
    <t xml:space="preserve">CS2 · paiN vs NCP|B|Ancient|wl</t>
  </si>
  <si>
    <t xml:space="preserve">CS2 · paiN vs NCP|B|Anubis|lw</t>
  </si>
  <si>
    <t xml:space="preserve">CS2 · paiN vs NCP|B|Anubis|wl</t>
  </si>
  <si>
    <t xml:space="preserve">CS2 · BB vs FURIA|A|ALL|lw</t>
  </si>
  <si>
    <t xml:space="preserve">CS2 · BB vs FURIA|A|ALL|wl</t>
  </si>
  <si>
    <t xml:space="preserve">CS2 · BB vs FURIA|A|Cache|lw</t>
  </si>
  <si>
    <t xml:space="preserve">CS2 · BB vs FURIA|A|Cache|wl</t>
  </si>
  <si>
    <t xml:space="preserve">CS2 · BB vs FURIA|A|Dust2|lw</t>
  </si>
  <si>
    <t xml:space="preserve">CS2 · BB vs FURIA|A|Dust2|wl</t>
  </si>
  <si>
    <t xml:space="preserve">CS2 · BB vs FURIA|A|Mirage|lw</t>
  </si>
  <si>
    <t xml:space="preserve">CS2 · BB vs FURIA|A|Mirage|wl</t>
  </si>
  <si>
    <t xml:space="preserve">CS2 · BB vs FURIA|A|Nuke|lw</t>
  </si>
  <si>
    <t xml:space="preserve">CS2 · BB vs FURIA|A|Nuke|wl</t>
  </si>
  <si>
    <t xml:space="preserve">CS2 · BB vs FURIA|A|Ancient|lw</t>
  </si>
  <si>
    <t xml:space="preserve">CS2 · BB vs FURIA|A|Ancient|wl</t>
  </si>
  <si>
    <t xml:space="preserve">CS2 · BB vs FURIA|A|Anubis|lw</t>
  </si>
  <si>
    <t xml:space="preserve">CS2 · BB vs FURIA|A|Anubis|wl</t>
  </si>
  <si>
    <t xml:space="preserve">CS2 · BB vs FURIA|B|ALL|lw</t>
  </si>
  <si>
    <t xml:space="preserve">CS2 · BB vs FURIA|B|ALL|wl</t>
  </si>
  <si>
    <t xml:space="preserve">CS2 · BB vs FURIA|B|Cache|lw</t>
  </si>
  <si>
    <t xml:space="preserve">CS2 · BB vs FURIA|B|Cache|wl</t>
  </si>
  <si>
    <t xml:space="preserve">CS2 · BB vs FURIA|B|Dust2|lw</t>
  </si>
  <si>
    <t xml:space="preserve">CS2 · BB vs FURIA|B|Dust2|wl</t>
  </si>
  <si>
    <t xml:space="preserve">CS2 · BB vs FURIA|B|Mirage|lw</t>
  </si>
  <si>
    <t xml:space="preserve">CS2 · BB vs FURIA|B|Mirage|wl</t>
  </si>
  <si>
    <t xml:space="preserve">CS2 · BB vs FURIA|B|Inferno|lw</t>
  </si>
  <si>
    <t xml:space="preserve">CS2 · BB vs FURIA|B|Inferno|wl</t>
  </si>
  <si>
    <t xml:space="preserve">CS2 · BB vs FURIA|B|Nuke|lw</t>
  </si>
  <si>
    <t xml:space="preserve">CS2 · BB vs FURIA|B|Nuke|wl</t>
  </si>
  <si>
    <t xml:space="preserve">CS2 · BB vs FURIA|B|Ancient|lw</t>
  </si>
  <si>
    <t xml:space="preserve">CS2 · BB vs FURIA|B|Ancient|wl</t>
  </si>
  <si>
    <t xml:space="preserve">CS2 · BB vs FURIA|B|Anubis|wl</t>
  </si>
  <si>
    <t xml:space="preserve">CS2 · GLS vs PCY|A|ALL|lw</t>
  </si>
  <si>
    <t xml:space="preserve">CS2 · GLS vs PCY|A|ALL|wl</t>
  </si>
  <si>
    <t xml:space="preserve">CS2 · GLS vs PCY|A|Cache|lw</t>
  </si>
  <si>
    <t xml:space="preserve">CS2 · GLS vs PCY|A|Cache|wl</t>
  </si>
  <si>
    <t xml:space="preserve">CS2 · GLS vs PCY|A|Dust2|lw</t>
  </si>
  <si>
    <t xml:space="preserve">CS2 · GLS vs PCY|A|Dust2|wl</t>
  </si>
  <si>
    <t xml:space="preserve">CS2 · GLS vs PCY|A|Inferno|lw</t>
  </si>
  <si>
    <t xml:space="preserve">CS2 · GLS vs PCY|A|Inferno|wl</t>
  </si>
  <si>
    <t xml:space="preserve">CS2 · GLS vs PCY|A|Nuke|lw</t>
  </si>
  <si>
    <t xml:space="preserve">CS2 · GLS vs PCY|A|Nuke|wl</t>
  </si>
  <si>
    <t xml:space="preserve">CS2 · GLS vs PCY|A|Ancient|lw</t>
  </si>
  <si>
    <t xml:space="preserve">CS2 · GLS vs PCY|A|Ancient|wl</t>
  </si>
  <si>
    <t xml:space="preserve">CS2 · GLS vs PCY|A|Anubis|lw</t>
  </si>
  <si>
    <t xml:space="preserve">CS2 · GLS vs PCY|A|Anubis|wl</t>
  </si>
  <si>
    <t xml:space="preserve">CS2 · GLS vs PCY|B|ALL|lw</t>
  </si>
  <si>
    <t xml:space="preserve">CS2 · GLS vs PCY|B|ALL|wl</t>
  </si>
  <si>
    <t xml:space="preserve">CS2 · GLS vs PCY|B|Dust2|lw</t>
  </si>
  <si>
    <t xml:space="preserve">CS2 · GLS vs PCY|B|Dust2|wl</t>
  </si>
  <si>
    <t xml:space="preserve">CS2 · GLS vs PCY|B|Mirage|lw</t>
  </si>
  <si>
    <t xml:space="preserve">CS2 · GLS vs PCY|B|Mirage|wl</t>
  </si>
  <si>
    <t xml:space="preserve">CS2 · GLS vs PCY|B|Inferno|lw</t>
  </si>
  <si>
    <t xml:space="preserve">CS2 · GLS vs PCY|B|Inferno|wl</t>
  </si>
  <si>
    <t xml:space="preserve">CS2 · GLS vs PCY|B|Nuke|lw</t>
  </si>
  <si>
    <t xml:space="preserve">CS2 · GLS vs PCY|B|Nuke|wl</t>
  </si>
  <si>
    <t xml:space="preserve">CS2 · GLS vs PCY|B|Ancient|lw</t>
  </si>
  <si>
    <t xml:space="preserve">CS2 · GLS vs PCY|B|Ancient|wl</t>
  </si>
  <si>
    <t xml:space="preserve">CS2 · GLS vs PCY|B|Anubis|lw</t>
  </si>
  <si>
    <t xml:space="preserve">CS2 · GLS vs PCY|B|Anubis|wl</t>
  </si>
  <si>
    <t xml:space="preserve">CS2 · NRG vs Tactical Chaos|A|ALL|lw</t>
  </si>
  <si>
    <t xml:space="preserve">CS2 · NRG vs Tactical Chaos|A|ALL|wl</t>
  </si>
  <si>
    <t xml:space="preserve">CS2 · NRG vs Tactical Chaos|A|Cache|lw</t>
  </si>
  <si>
    <t xml:space="preserve">CS2 · NRG vs Tactical Chaos|A|Cache|wl</t>
  </si>
  <si>
    <t xml:space="preserve">CS2 · NRG vs Tactical Chaos|A|Dust2|lw</t>
  </si>
  <si>
    <t xml:space="preserve">CS2 · NRG vs Tactical Chaos|A|Dust2|wl</t>
  </si>
  <si>
    <t xml:space="preserve">CS2 · NRG vs Tactical Chaos|A|Mirage|lw</t>
  </si>
  <si>
    <t xml:space="preserve">CS2 · NRG vs Tactical Chaos|A|Mirage|wl</t>
  </si>
  <si>
    <t xml:space="preserve">CS2 · NRG vs Tactical Chaos|A|Inferno|lw</t>
  </si>
  <si>
    <t xml:space="preserve">CS2 · NRG vs Tactical Chaos|A|Inferno|wl</t>
  </si>
  <si>
    <t xml:space="preserve">CS2 · NRG vs Tactical Chaos|A|Nuke|lw</t>
  </si>
  <si>
    <t xml:space="preserve">CS2 · NRG vs Tactical Chaos|A|Nuke|wl</t>
  </si>
  <si>
    <t xml:space="preserve">CS2 · NRG vs Tactical Chaos|A|Ancient|lw</t>
  </si>
  <si>
    <t xml:space="preserve">CS2 · NRG vs Tactical Chaos|A|Ancient|wl</t>
  </si>
  <si>
    <t xml:space="preserve">CS2 · DEN vs Low Cortisol|A|ALL|lw</t>
  </si>
  <si>
    <t xml:space="preserve">CS2 · DEN vs Low Cortisol|A|ALL|wl</t>
  </si>
  <si>
    <t xml:space="preserve">CS2 · DEN vs Low Cortisol|A|Cache|lw</t>
  </si>
  <si>
    <t xml:space="preserve">CS2 · DEN vs Low Cortisol|A|Cache|wl</t>
  </si>
  <si>
    <t xml:space="preserve">CS2 · DEN vs Low Cortisol|A|Mirage|lw</t>
  </si>
  <si>
    <t xml:space="preserve">CS2 · DEN vs Low Cortisol|A|Mirage|wl</t>
  </si>
  <si>
    <t xml:space="preserve">CS2 · DEN vs Low Cortisol|A|Inferno|lw</t>
  </si>
  <si>
    <t xml:space="preserve">CS2 · DEN vs Low Cortisol|A|Inferno|wl</t>
  </si>
  <si>
    <t xml:space="preserve">CS2 · DEN vs Low Cortisol|A|Nuke|lw</t>
  </si>
  <si>
    <t xml:space="preserve">CS2 · DEN vs Low Cortisol|A|Nuke|wl</t>
  </si>
  <si>
    <t xml:space="preserve">CS2 · DEN vs Low Cortisol|A|Ancient|lw</t>
  </si>
  <si>
    <t xml:space="preserve">CS2 · DEN vs Low Cortisol|A|Ancient|wl</t>
  </si>
  <si>
    <t xml:space="preserve">CS2 · DEN vs Low Cortisol|A|Anubis|lw</t>
  </si>
  <si>
    <t xml:space="preserve">CS2 · DEN vs Low Cortisol|A|Anubis|wl</t>
  </si>
  <si>
    <t xml:space="preserve">CS2 · TdP vs ALKA|A|ALL|lw</t>
  </si>
  <si>
    <t xml:space="preserve">CS2 · TdP vs ALKA|A|ALL|wl</t>
  </si>
  <si>
    <t xml:space="preserve">CS2 · TdP vs ALKA|A|Cache|lw</t>
  </si>
  <si>
    <t xml:space="preserve">CS2 · TdP vs ALKA|A|Cache|wl</t>
  </si>
  <si>
    <t xml:space="preserve">CS2 · TdP vs ALKA|A|Dust2|lw</t>
  </si>
  <si>
    <t xml:space="preserve">CS2 · TdP vs ALKA|A|Dust2|wl</t>
  </si>
  <si>
    <t xml:space="preserve">CS2 · TdP vs ALKA|A|Mirage|lw</t>
  </si>
  <si>
    <t xml:space="preserve">CS2 · TdP vs ALKA|A|Mirage|wl</t>
  </si>
  <si>
    <t xml:space="preserve">CS2 · TdP vs ALKA|A|Inferno|lw</t>
  </si>
  <si>
    <t xml:space="preserve">CS2 · TdP vs ALKA|A|Inferno|wl</t>
  </si>
  <si>
    <t xml:space="preserve">CS2 · TdP vs ALKA|A|Nuke|lw</t>
  </si>
  <si>
    <t xml:space="preserve">CS2 · TdP vs ALKA|A|Nuke|wl</t>
  </si>
  <si>
    <t xml:space="preserve">CS2 · TdP vs ALKA|A|Ancient|lw</t>
  </si>
  <si>
    <t xml:space="preserve">CS2 · TdP vs ALKA|A|Ancient|wl</t>
  </si>
  <si>
    <t xml:space="preserve">CS2 · TdP vs ALKA|A|Anubis|lw</t>
  </si>
  <si>
    <t xml:space="preserve">CS2 · TdP vs ALKA|A|Anubis|wl</t>
  </si>
  <si>
    <t xml:space="preserve">CS2 · TdP vs ALKA|B|ALL|lw</t>
  </si>
  <si>
    <t xml:space="preserve">CS2 · TdP vs ALKA|B|ALL|wl</t>
  </si>
  <si>
    <t xml:space="preserve">CS2 · TdP vs ALKA|B|Cache|lw</t>
  </si>
  <si>
    <t xml:space="preserve">CS2 · TdP vs ALKA|B|Cache|wl</t>
  </si>
  <si>
    <t xml:space="preserve">CS2 · TdP vs ALKA|B|Dust2|lw</t>
  </si>
  <si>
    <t xml:space="preserve">CS2 · TdP vs ALKA|B|Dust2|wl</t>
  </si>
  <si>
    <t xml:space="preserve">CS2 · TdP vs ALKA|B|Mirage|lw</t>
  </si>
  <si>
    <t xml:space="preserve">CS2 · TdP vs ALKA|B|Mirage|wl</t>
  </si>
  <si>
    <t xml:space="preserve">CS2 · TdP vs ALKA|B|Inferno|lw</t>
  </si>
  <si>
    <t xml:space="preserve">CS2 · TdP vs ALKA|B|Inferno|wl</t>
  </si>
  <si>
    <t xml:space="preserve">CS2 · TdP vs ALKA|B|Nuke|lw</t>
  </si>
  <si>
    <t xml:space="preserve">CS2 · TdP vs ALKA|B|Nuke|wl</t>
  </si>
  <si>
    <t xml:space="preserve">CS2 · TdP vs ALKA|B|Ancient|lw</t>
  </si>
  <si>
    <t xml:space="preserve">CS2 · TdP vs ALKA|B|Ancient|wl</t>
  </si>
  <si>
    <t xml:space="preserve">CS2 · TdP vs ALKA|B|Anubis|lw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</si>
  <si>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</si>
  <si>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</si>
  <si>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</si>
  <si>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</si>
  <si>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</si>
  <si>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</si>
  <si>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</si>
  <si>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</si>
  <si>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</si>
  <si>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Ancient</t>
  </si>
  <si>
    <t xml:space="preserve">21.5 / 21.5</t>
  </si>
  <si>
    <t xml:space="preserve">21.5</t>
  </si>
  <si>
    <t xml:space="preserve">Ancient / Cache</t>
  </si>
  <si>
    <t xml:space="preserve">Dust2 / Cache</t>
  </si>
  <si>
    <t xml:space="preserve">Mirage / Ancient</t>
  </si>
  <si>
    <t xml:space="preserve">21.5 / 21.4</t>
  </si>
  <si>
    <t xml:space="preserve">Mirage / Nuke</t>
  </si>
  <si>
    <t xml:space="preserve">21.4 / 21.5</t>
  </si>
  <si>
    <t xml:space="preserve">Cache / Mirage</t>
  </si>
  <si>
    <t xml:space="preserve">19.3 / 19.3</t>
  </si>
  <si>
    <t xml:space="preserve">Cache / Ancient</t>
  </si>
  <si>
    <t xml:space="preserve">Ancient / Dust2</t>
  </si>
  <si>
    <t xml:space="preserve">21.3 / 21.1</t>
  </si>
  <si>
    <t xml:space="preserve">Ancient / Nuke</t>
  </si>
  <si>
    <t xml:space="preserve">21.4 / 21.4</t>
  </si>
  <si>
    <t xml:space="preserve">Mirage / Dust2</t>
  </si>
  <si>
    <t xml:space="preserve">18.6 / 18.6</t>
  </si>
  <si>
    <t xml:space="preserve">20.8 / 20.8</t>
  </si>
  <si>
    <t xml:space="preserve">Dust2 / Mirage</t>
  </si>
  <si>
    <t xml:space="preserve">21.4 / 21.1</t>
  </si>
  <si>
    <t xml:space="preserve">18.5 / 18.5</t>
  </si>
  <si>
    <t xml:space="preserve">Haven / Pearl</t>
  </si>
  <si>
    <t xml:space="preserve">Sunset / Split</t>
  </si>
  <si>
    <t xml:space="preserve">21.3 / 21.2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</si>
  <si>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</si>
  <si>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</si>
  <si>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</si>
  <si>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</si>
  <si>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136 / 136 pass</t>
  </si>
  <si>
    <t xml:space="preserve">Board players with NO stats page read</t>
  </si>
  <si>
    <t xml:space="preserve">Matches resolved to Thunderpick</t>
  </si>
  <si>
    <t xml:space="preserve">17 / 17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</si>
  <si>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</si>
  <si>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</si>
  <si>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</si>
  <si>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</si>
  <si>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</si>
  <si>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</si>
  <si>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</si>
  <si>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</si>
  <si>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</si>
  <si>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</si>
  <si>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</si>
  <si>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</si>
  <si>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</si>
  <si>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100T vs Arena Pro: no Thunderpick market - no P(win), no HLTV adjustment, Config default rounds</t>
  </si>
  <si>
    <t xml:space="preserve">CS2 [NO MARKET] · IS vs ZOTIX: no Thunderpick market - no P(win), no HLTV adjustment, Config default rounds</t>
  </si>
  <si>
    <t xml:space="preserve">MAP PICKS FALLBACK CS2 · TdP vs ALKA -&gt; Ancient, Dust2, Nuke</t>
  </si>
  <si>
    <t xml:space="preserve">MAP PICKS FALLBACK CS2 · AST vs ICE -&gt; Ancient, Cache, Nuke</t>
  </si>
  <si>
    <t xml:space="preserve">MAP PICKS FALLBACK CS2 · MOUZ vs AUR -&gt; Mirage, Dust2, Nuke</t>
  </si>
  <si>
    <t xml:space="preserve">MAP PICKS FALLBACK CS2 · B8 vs HOTU -&gt; Dust2, Cache, Mirage</t>
  </si>
  <si>
    <t xml:space="preserve">MAP PICKS FALLBACK CS2 · BAR vs BHE -&gt; Mirage, Ancient, Cache</t>
  </si>
  <si>
    <t xml:space="preserve">MAP PICKS FALLBACK CS2 · BB vs FURIA -&gt; Mirage, Nuke, Ancient</t>
  </si>
  <si>
    <t xml:space="preserve">MAP PICKS FALLBACK CS2 · EF vs BIG -&gt; Cache, Ancient, Mirage</t>
  </si>
  <si>
    <t xml:space="preserve">MAP PICKS FALLBACK CS2 · DEN vs Low Cortisol -&gt; Cache, Mirage, Ancient</t>
  </si>
  <si>
    <t xml:space="preserve">MAP PICKS FALLBACK CS2 · FUT vs NEMI -&gt; Ancient, Dust2, Mirage</t>
  </si>
  <si>
    <t xml:space="preserve">MAP PICKS FALLBACK CS2 · FaZe vs GL -&gt; Ancient, Nuke, Dust2</t>
  </si>
  <si>
    <t xml:space="preserve">MAP PICKS FALLBACK CS2 · GLS vs PCY -&gt; Ancient, Dust2, Inferno</t>
  </si>
  <si>
    <t xml:space="preserve">MAP PICKS FALLBACK CS2 · IMP vs QUIN -&gt; Mirage, Dust2, Inferno</t>
  </si>
  <si>
    <t xml:space="preserve">MAP PICKS FALLBACK CS2 · VIT vs NAVI -&gt; Dust2, Mirage, Inferno</t>
  </si>
  <si>
    <t xml:space="preserve">MAP PICKS FALLBACK CS2 · paiN vs NCP -&gt; Mirage, Dust2, Cache</t>
  </si>
  <si>
    <t xml:space="preserve">MAP PICKS FALLBACK CS2 · NRG vs Tactical Chaos -&gt; Cache, Mirage, Inferno</t>
  </si>
  <si>
    <t xml:space="preserve">MAP PICKS FALLBACK CS2 [NO MARKET] · 100T vs Arena Pro -&gt; Dust2, Ancient, Nuke</t>
  </si>
  <si>
    <t xml:space="preserve">MAP PICKS FALLBACK CS2 [NO MARKET] · IS vs ZOTIX -&gt; Ancient, Inferno, Mirage</t>
  </si>
  <si>
    <t xml:space="preserve">MAP PICKS FALLBACK VAL · KBG vs UR -&gt; Haven, Pearl, Sunset</t>
  </si>
  <si>
    <t xml:space="preserve">MAP PICKS FALLBACK VAL · TEC vs WSIG -&gt; Sunset, Split, Bind</t>
  </si>
  <si>
    <t xml:space="preserve">NO TP ROUNDS LADDER CS2 · GLS vs PCY (Config default used)</t>
  </si>
  <si>
    <t xml:space="preserve">NO TP ROUNDS LADDER CS2 · NRG vs Tactical Chaos (Config default used)</t>
  </si>
  <si>
    <t xml:space="preserve">NO TP ROUNDS LADDER CS2 [NO MARKET] · 100T vs Arena Pro (Config default used)</t>
  </si>
  <si>
    <t xml:space="preserve">NO TP ROUNDS LADDER CS2 [NO MARKET] · IS vs ZOTIX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</si>
</sst>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E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8EBE2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4F1EC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5EAE0"/>
          <bgColor rgb="FF000000"/>
        </patternFill>
      </fill>
    </dxf>
    <dxf>
      <fill>
        <patternFill patternType="solid">
          <fgColor rgb="FFD8EBE3"/>
          <bgColor rgb="FF000000"/>
        </patternFill>
      </fill>
    </dxf>
    <dxf>
      <fill>
        <patternFill patternType="solid">
          <fgColor rgb="FFD9ECE3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EFB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8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26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7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21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94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5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  <c r="I19" s="0" t="n">
        <v>19</v>
      </c>
      <c r="J19" s="0" t="s">
        <v>115</v>
      </c>
      <c r="K19" s="0" t="s">
        <v>116</v>
      </c>
      <c r="L19" s="0" t="s">
        <v>117</v>
      </c>
      <c r="M19" s="0" t="s">
        <v>118</v>
      </c>
      <c r="N19" s="0" t="s">
        <v>119</v>
      </c>
      <c r="O19" s="0" t="s">
        <v>120</v>
      </c>
      <c r="P19" s="0" t="s">
        <v>94</v>
      </c>
    </row>
    <row r="20" customFormat="false" ht="15" hidden="false" customHeight="false" outlineLevel="0" collapsed="false">
      <c r="A20" s="0" t="s">
        <v>121</v>
      </c>
      <c r="C20" s="0" t="n">
        <v>5</v>
      </c>
      <c r="D20" s="0" t="s">
        <v>122</v>
      </c>
      <c r="E20" s="0" t="s">
        <v>111</v>
      </c>
      <c r="F20" s="0" t="s">
        <v>123</v>
      </c>
      <c r="G20" s="0" t="s">
        <v>124</v>
      </c>
      <c r="H20" s="0" t="s">
        <v>114</v>
      </c>
      <c r="I20" s="0" t="n">
        <v>17</v>
      </c>
      <c r="J20" s="0" t="s">
        <v>125</v>
      </c>
      <c r="K20" s="0" t="s">
        <v>42</v>
      </c>
      <c r="L20" s="0" t="s">
        <v>86</v>
      </c>
      <c r="M20" s="0" t="s">
        <v>126</v>
      </c>
      <c r="N20" s="0" t="s">
        <v>127</v>
      </c>
      <c r="O20" s="0" t="s">
        <v>128</v>
      </c>
      <c r="P20" s="0" t="s">
        <v>94</v>
      </c>
    </row>
    <row r="21" customFormat="false" ht="15" hidden="false" customHeight="false" outlineLevel="0" collapsed="false">
      <c r="A21" s="0" t="s">
        <v>129</v>
      </c>
      <c r="C21" s="0" t="n">
        <v>2</v>
      </c>
      <c r="D21" s="0" t="s">
        <v>130</v>
      </c>
      <c r="E21" s="0" t="s">
        <v>131</v>
      </c>
      <c r="F21" s="0" t="s">
        <v>132</v>
      </c>
      <c r="G21" s="0" t="s">
        <v>133</v>
      </c>
      <c r="H21" s="0" t="s">
        <v>134</v>
      </c>
      <c r="I21" s="0" t="n">
        <v>17</v>
      </c>
      <c r="J21" s="0" t="s">
        <v>125</v>
      </c>
      <c r="K21" s="0" t="s">
        <v>135</v>
      </c>
      <c r="L21" s="0" t="s">
        <v>136</v>
      </c>
      <c r="M21" s="0" t="s">
        <v>137</v>
      </c>
      <c r="N21" s="0" t="s">
        <v>138</v>
      </c>
      <c r="O21" s="0" t="s">
        <v>107</v>
      </c>
      <c r="P21" s="0" t="s">
        <v>94</v>
      </c>
    </row>
    <row r="22" customFormat="false" ht="15" hidden="false" customHeight="false" outlineLevel="0" collapsed="false">
      <c r="A22" s="0" t="s">
        <v>139</v>
      </c>
      <c r="C22" s="0" t="n">
        <v>0</v>
      </c>
      <c r="I22" s="0" t="n">
        <v>1</v>
      </c>
      <c r="J22" s="0" t="s">
        <v>140</v>
      </c>
      <c r="K22" s="0" t="s">
        <v>141</v>
      </c>
      <c r="L22" s="0" t="s">
        <v>142</v>
      </c>
      <c r="M22" s="0" t="s">
        <v>143</v>
      </c>
      <c r="N22" s="0" t="s">
        <v>144</v>
      </c>
      <c r="O22" s="0" t="s">
        <v>128</v>
      </c>
      <c r="P22" s="0" t="s">
        <v>94</v>
      </c>
    </row>
    <row r="23" customFormat="false" ht="15" hidden="false" customHeight="false" outlineLevel="0" collapsed="false">
      <c r="A23" s="0" t="s">
        <v>145</v>
      </c>
      <c r="C23" s="0" t="n">
        <v>5</v>
      </c>
      <c r="D23" s="0" t="s">
        <v>146</v>
      </c>
      <c r="E23" s="0" t="s">
        <v>147</v>
      </c>
      <c r="F23" s="0" t="s">
        <v>148</v>
      </c>
      <c r="G23" s="0" t="s">
        <v>149</v>
      </c>
      <c r="H23" s="0" t="s">
        <v>150</v>
      </c>
      <c r="I23" s="0" t="n">
        <v>17</v>
      </c>
      <c r="J23" s="0" t="s">
        <v>125</v>
      </c>
      <c r="K23" s="0" t="s">
        <v>42</v>
      </c>
      <c r="L23" s="0" t="s">
        <v>151</v>
      </c>
      <c r="M23" s="0" t="s">
        <v>152</v>
      </c>
      <c r="N23" s="0" t="s">
        <v>127</v>
      </c>
      <c r="O23" s="0" t="s">
        <v>153</v>
      </c>
      <c r="P23" s="0" t="s">
        <v>154</v>
      </c>
    </row>
    <row r="25" customFormat="false" ht="15" hidden="false" customHeight="false" outlineLevel="0" collapsed="false">
      <c r="A25" s="6" t="s">
        <v>155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156</v>
      </c>
      <c r="C26" s="3" t="s">
        <v>157</v>
      </c>
    </row>
    <row r="27" customFormat="false" ht="15" hidden="false" customHeight="false" outlineLevel="0" collapsed="false">
      <c r="A27" s="3" t="s">
        <v>35</v>
      </c>
      <c r="B27" s="4" t="s">
        <v>158</v>
      </c>
      <c r="C27" s="4" t="s">
        <v>159</v>
      </c>
    </row>
    <row r="28" customFormat="false" ht="15" hidden="false" customHeight="false" outlineLevel="0" collapsed="false">
      <c r="A28" s="3" t="s">
        <v>38</v>
      </c>
      <c r="B28" s="4" t="s">
        <v>160</v>
      </c>
      <c r="C28" s="4" t="s">
        <v>40</v>
      </c>
    </row>
    <row r="29" customFormat="false" ht="15" hidden="false" customHeight="false" outlineLevel="0" collapsed="false">
      <c r="A29" s="3" t="s">
        <v>41</v>
      </c>
      <c r="B29" s="4" t="s">
        <v>161</v>
      </c>
      <c r="C29" s="4" t="s">
        <v>162</v>
      </c>
    </row>
    <row r="30" customFormat="false" ht="15" hidden="false" customHeight="false" outlineLevel="0" collapsed="false">
      <c r="A30" s="3" t="s">
        <v>44</v>
      </c>
      <c r="B30" s="4" t="s">
        <v>163</v>
      </c>
      <c r="C30" s="4" t="s">
        <v>164</v>
      </c>
    </row>
    <row r="31" customFormat="false" ht="15" hidden="false" customHeight="false" outlineLevel="0" collapsed="false">
      <c r="A31" s="3" t="s">
        <v>47</v>
      </c>
      <c r="B31" s="4" t="s">
        <v>165</v>
      </c>
      <c r="C31" s="4" t="s">
        <v>166</v>
      </c>
    </row>
    <row r="32" customFormat="false" ht="15" hidden="false" customHeight="false" outlineLevel="0" collapsed="false">
      <c r="A32" s="3" t="s">
        <v>50</v>
      </c>
      <c r="B32" s="4" t="s">
        <v>167</v>
      </c>
      <c r="C32" s="4" t="s">
        <v>168</v>
      </c>
    </row>
    <row r="33" customFormat="false" ht="15" hidden="false" customHeight="false" outlineLevel="0" collapsed="false">
      <c r="A33" s="3" t="s">
        <v>53</v>
      </c>
      <c r="B33" s="4" t="s">
        <v>54</v>
      </c>
      <c r="C33" s="4" t="s">
        <v>169</v>
      </c>
    </row>
    <row r="34" customFormat="false" ht="105" hidden="false" customHeight="true" outlineLevel="0" collapsed="false">
      <c r="A34" s="3" t="s">
        <v>56</v>
      </c>
      <c r="B34" s="4" t="s">
        <v>170</v>
      </c>
      <c r="C34" s="4" t="s">
        <v>171</v>
      </c>
    </row>
    <row r="35" customFormat="false" ht="68.65" hidden="false" customHeight="false" outlineLevel="0" collapsed="false">
      <c r="A35" s="3" t="s">
        <v>59</v>
      </c>
      <c r="B35" s="4" t="s">
        <v>172</v>
      </c>
      <c r="C35" s="4" t="s">
        <v>173</v>
      </c>
    </row>
    <row r="36" customFormat="false" ht="150" hidden="false" customHeight="true" outlineLevel="0" collapsed="false">
      <c r="A36" s="3" t="s">
        <v>62</v>
      </c>
      <c r="B36" s="4" t="s">
        <v>174</v>
      </c>
      <c r="C36" s="4" t="s">
        <v>175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  <c r="H37" s="7" t="s">
        <v>72</v>
      </c>
      <c r="I37" s="7" t="s">
        <v>73</v>
      </c>
      <c r="J37" s="7" t="s">
        <v>74</v>
      </c>
      <c r="K37" s="7" t="s">
        <v>75</v>
      </c>
      <c r="L37" s="7" t="s">
        <v>76</v>
      </c>
      <c r="M37" s="7" t="s">
        <v>77</v>
      </c>
      <c r="N37" s="7" t="s">
        <v>78</v>
      </c>
      <c r="O37" s="7" t="s">
        <v>79</v>
      </c>
      <c r="P37" s="7" t="s">
        <v>80</v>
      </c>
    </row>
    <row r="38" customFormat="false" ht="15" hidden="false" customHeight="false" outlineLevel="0" collapsed="false">
      <c r="A38" s="0" t="s">
        <v>95</v>
      </c>
      <c r="B38" s="0" t="s">
        <v>176</v>
      </c>
      <c r="C38" s="0" t="n">
        <v>10</v>
      </c>
      <c r="D38" s="0" t="s">
        <v>177</v>
      </c>
      <c r="E38" s="0" t="s">
        <v>178</v>
      </c>
      <c r="F38" s="0" t="s">
        <v>179</v>
      </c>
      <c r="G38" s="0" t="s">
        <v>180</v>
      </c>
      <c r="H38" s="0" t="s">
        <v>181</v>
      </c>
      <c r="I38" s="0" t="n">
        <v>22</v>
      </c>
      <c r="J38" s="0" t="s">
        <v>182</v>
      </c>
      <c r="K38" s="0" t="s">
        <v>183</v>
      </c>
      <c r="L38" s="0" t="s">
        <v>184</v>
      </c>
      <c r="M38" s="0" t="s">
        <v>185</v>
      </c>
      <c r="N38" s="0" t="s">
        <v>186</v>
      </c>
      <c r="O38" s="0" t="s">
        <v>153</v>
      </c>
      <c r="P38" s="0" t="s">
        <v>154</v>
      </c>
    </row>
    <row r="39" customFormat="false" ht="15" hidden="false" customHeight="false" outlineLevel="0" collapsed="false">
      <c r="A39" s="0" t="s">
        <v>129</v>
      </c>
      <c r="B39" s="0" t="s">
        <v>187</v>
      </c>
      <c r="C39" s="0" t="n">
        <v>5</v>
      </c>
      <c r="D39" s="0" t="s">
        <v>122</v>
      </c>
      <c r="E39" s="0" t="s">
        <v>188</v>
      </c>
      <c r="F39" s="0" t="s">
        <v>189</v>
      </c>
      <c r="G39" s="0" t="s">
        <v>190</v>
      </c>
      <c r="H39" s="0" t="s">
        <v>150</v>
      </c>
      <c r="I39" s="0" t="n">
        <v>21</v>
      </c>
      <c r="J39" s="0" t="s">
        <v>191</v>
      </c>
      <c r="K39" s="0" t="s">
        <v>111</v>
      </c>
      <c r="L39" s="0" t="s">
        <v>192</v>
      </c>
      <c r="M39" s="0" t="s">
        <v>193</v>
      </c>
      <c r="N39" s="0" t="s">
        <v>194</v>
      </c>
      <c r="O39" s="0" t="s">
        <v>195</v>
      </c>
      <c r="P39" s="0" t="s">
        <v>94</v>
      </c>
    </row>
    <row r="40" customFormat="false" ht="15" hidden="false" customHeight="false" outlineLevel="0" collapsed="false">
      <c r="A40" s="0" t="s">
        <v>108</v>
      </c>
      <c r="B40" s="0" t="s">
        <v>187</v>
      </c>
      <c r="C40" s="0" t="n">
        <v>15</v>
      </c>
      <c r="D40" s="0" t="s">
        <v>196</v>
      </c>
      <c r="E40" s="0" t="s">
        <v>197</v>
      </c>
      <c r="F40" s="0" t="s">
        <v>133</v>
      </c>
      <c r="G40" s="0" t="s">
        <v>198</v>
      </c>
      <c r="H40" s="0" t="s">
        <v>199</v>
      </c>
      <c r="I40" s="0" t="n">
        <v>10</v>
      </c>
      <c r="J40" s="0" t="s">
        <v>200</v>
      </c>
      <c r="K40" s="0" t="s">
        <v>201</v>
      </c>
      <c r="L40" s="0" t="s">
        <v>202</v>
      </c>
      <c r="M40" s="0" t="s">
        <v>203</v>
      </c>
      <c r="N40" s="0" t="s">
        <v>204</v>
      </c>
      <c r="O40" s="0" t="s">
        <v>128</v>
      </c>
      <c r="P40" s="0" t="s">
        <v>94</v>
      </c>
    </row>
    <row r="41" customFormat="false" ht="15" hidden="false" customHeight="false" outlineLevel="0" collapsed="false">
      <c r="A41" s="0" t="s">
        <v>81</v>
      </c>
      <c r="C41" s="0" t="n">
        <v>8</v>
      </c>
      <c r="D41" s="0" t="s">
        <v>205</v>
      </c>
      <c r="E41" s="0" t="s">
        <v>183</v>
      </c>
      <c r="F41" s="0" t="s">
        <v>206</v>
      </c>
      <c r="G41" s="0" t="s">
        <v>123</v>
      </c>
      <c r="H41" s="0" t="s">
        <v>87</v>
      </c>
      <c r="I41" s="0" t="n">
        <v>14</v>
      </c>
      <c r="J41" s="0" t="s">
        <v>207</v>
      </c>
      <c r="K41" s="0" t="s">
        <v>208</v>
      </c>
      <c r="L41" s="0" t="s">
        <v>209</v>
      </c>
      <c r="M41" s="0" t="s">
        <v>210</v>
      </c>
      <c r="N41" s="0" t="s">
        <v>211</v>
      </c>
      <c r="O41" s="0" t="s">
        <v>212</v>
      </c>
      <c r="P41" s="0" t="s">
        <v>94</v>
      </c>
    </row>
    <row r="42" customFormat="false" ht="15" hidden="false" customHeight="false" outlineLevel="0" collapsed="false">
      <c r="A42" s="0" t="s">
        <v>121</v>
      </c>
      <c r="C42" s="0" t="n">
        <v>0</v>
      </c>
      <c r="I42" s="0" t="n">
        <v>16</v>
      </c>
      <c r="J42" s="0" t="s">
        <v>213</v>
      </c>
      <c r="K42" s="0" t="s">
        <v>214</v>
      </c>
      <c r="L42" s="0" t="s">
        <v>215</v>
      </c>
      <c r="M42" s="0" t="s">
        <v>216</v>
      </c>
      <c r="N42" s="0" t="s">
        <v>217</v>
      </c>
      <c r="O42" s="0" t="s">
        <v>218</v>
      </c>
      <c r="P42" s="0" t="s">
        <v>94</v>
      </c>
    </row>
    <row r="43" customFormat="false" ht="15" hidden="false" customHeight="false" outlineLevel="0" collapsed="false">
      <c r="A43" s="0" t="s">
        <v>139</v>
      </c>
      <c r="C43" s="0" t="n">
        <v>7</v>
      </c>
      <c r="D43" s="0" t="s">
        <v>219</v>
      </c>
      <c r="E43" s="0" t="s">
        <v>220</v>
      </c>
      <c r="F43" s="0" t="s">
        <v>221</v>
      </c>
      <c r="G43" s="0" t="s">
        <v>222</v>
      </c>
      <c r="H43" s="0" t="s">
        <v>223</v>
      </c>
      <c r="I43" s="0" t="n">
        <v>1</v>
      </c>
      <c r="J43" s="0" t="s">
        <v>224</v>
      </c>
      <c r="K43" s="0" t="s">
        <v>225</v>
      </c>
      <c r="L43" s="0" t="s">
        <v>226</v>
      </c>
      <c r="M43" s="0" t="s">
        <v>227</v>
      </c>
      <c r="N43" s="0" t="s">
        <v>144</v>
      </c>
      <c r="O43" s="0" t="s">
        <v>228</v>
      </c>
      <c r="P43" s="0" t="s">
        <v>94</v>
      </c>
    </row>
    <row r="44" customFormat="false" ht="15" hidden="false" customHeight="false" outlineLevel="0" collapsed="false">
      <c r="A44" s="0" t="s">
        <v>145</v>
      </c>
      <c r="C44" s="0" t="n">
        <v>4</v>
      </c>
      <c r="D44" s="0" t="s">
        <v>229</v>
      </c>
      <c r="E44" s="0" t="s">
        <v>230</v>
      </c>
      <c r="F44" s="0" t="s">
        <v>231</v>
      </c>
      <c r="G44" s="0" t="s">
        <v>232</v>
      </c>
      <c r="H44" s="0" t="s">
        <v>233</v>
      </c>
      <c r="I44" s="0" t="n">
        <v>12</v>
      </c>
      <c r="J44" s="0" t="s">
        <v>234</v>
      </c>
      <c r="K44" s="0" t="s">
        <v>178</v>
      </c>
      <c r="L44" s="0" t="s">
        <v>151</v>
      </c>
      <c r="M44" s="0" t="s">
        <v>210</v>
      </c>
      <c r="N44" s="0" t="s">
        <v>235</v>
      </c>
      <c r="O44" s="0" t="s">
        <v>236</v>
      </c>
      <c r="P44" s="0" t="s">
        <v>237</v>
      </c>
    </row>
    <row r="46" customFormat="false" ht="15" hidden="false" customHeight="false" outlineLevel="0" collapsed="false">
      <c r="A46" s="6" t="s">
        <v>238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239</v>
      </c>
      <c r="C47" s="3" t="s">
        <v>240</v>
      </c>
    </row>
    <row r="48" customFormat="false" ht="15" hidden="false" customHeight="false" outlineLevel="0" collapsed="false">
      <c r="A48" s="3" t="s">
        <v>241</v>
      </c>
      <c r="B48" s="4" t="s">
        <v>242</v>
      </c>
      <c r="C48" s="4" t="s">
        <v>243</v>
      </c>
    </row>
    <row r="49" customFormat="false" ht="15" hidden="false" customHeight="false" outlineLevel="0" collapsed="false">
      <c r="A49" s="3" t="s">
        <v>244</v>
      </c>
      <c r="B49" s="4" t="s">
        <v>245</v>
      </c>
      <c r="C49" s="4" t="s">
        <v>246</v>
      </c>
    </row>
    <row r="50" customFormat="false" ht="15" hidden="false" customHeight="false" outlineLevel="0" collapsed="false">
      <c r="A50" s="3" t="s">
        <v>47</v>
      </c>
      <c r="B50" s="4" t="s">
        <v>247</v>
      </c>
      <c r="C50" s="4" t="s">
        <v>248</v>
      </c>
    </row>
    <row r="51" customFormat="false" ht="15" hidden="false" customHeight="false" outlineLevel="0" collapsed="false">
      <c r="A51" s="3" t="s">
        <v>50</v>
      </c>
      <c r="B51" s="4" t="s">
        <v>249</v>
      </c>
      <c r="C51" s="4" t="s">
        <v>51</v>
      </c>
    </row>
    <row r="52" customFormat="false" ht="15" hidden="false" customHeight="false" outlineLevel="0" collapsed="false">
      <c r="A52" s="3" t="s">
        <v>250</v>
      </c>
      <c r="B52" s="4" t="s">
        <v>251</v>
      </c>
      <c r="C52" s="4" t="s">
        <v>251</v>
      </c>
    </row>
    <row r="53" customFormat="false" ht="105" hidden="false" customHeight="true" outlineLevel="0" collapsed="false">
      <c r="A53" s="3" t="s">
        <v>252</v>
      </c>
      <c r="B53" s="4" t="s">
        <v>253</v>
      </c>
      <c r="C53" s="4" t="s">
        <v>254</v>
      </c>
    </row>
    <row r="54" customFormat="false" ht="75" hidden="false" customHeight="true" outlineLevel="0" collapsed="false">
      <c r="A54" s="3" t="s">
        <v>59</v>
      </c>
      <c r="B54" s="4" t="s">
        <v>255</v>
      </c>
      <c r="C54" s="4" t="s">
        <v>256</v>
      </c>
    </row>
    <row r="55" customFormat="false" ht="120" hidden="false" customHeight="true" outlineLevel="0" collapsed="false">
      <c r="A55" s="3" t="s">
        <v>62</v>
      </c>
      <c r="B55" s="4" t="s">
        <v>257</v>
      </c>
      <c r="C55" s="4" t="s">
        <v>258</v>
      </c>
    </row>
    <row r="56" customFormat="false" ht="15" hidden="false" customHeight="false" outlineLevel="0" collapsed="false">
      <c r="A56" s="7" t="s">
        <v>65</v>
      </c>
      <c r="B56" s="7" t="s">
        <v>66</v>
      </c>
      <c r="C56" s="7" t="s">
        <v>259</v>
      </c>
      <c r="D56" s="7" t="s">
        <v>260</v>
      </c>
      <c r="E56" s="7" t="s">
        <v>261</v>
      </c>
      <c r="F56" s="7"/>
      <c r="G56" s="7"/>
      <c r="H56" s="7"/>
      <c r="I56" s="7" t="s">
        <v>262</v>
      </c>
      <c r="J56" s="7" t="s">
        <v>263</v>
      </c>
      <c r="K56" s="7" t="s">
        <v>264</v>
      </c>
      <c r="L56" s="7"/>
      <c r="M56" s="7"/>
      <c r="N56" s="7"/>
      <c r="O56" s="7" t="s">
        <v>79</v>
      </c>
      <c r="P56" s="7" t="s">
        <v>80</v>
      </c>
    </row>
    <row r="57" customFormat="false" ht="15" hidden="false" customHeight="false" outlineLevel="0" collapsed="false">
      <c r="A57" s="0" t="s">
        <v>265</v>
      </c>
      <c r="B57" s="0" t="s">
        <v>266</v>
      </c>
      <c r="C57" s="0" t="n">
        <v>1</v>
      </c>
      <c r="D57" s="0" t="s">
        <v>267</v>
      </c>
      <c r="E57" s="0" t="s">
        <v>268</v>
      </c>
      <c r="I57" s="0" t="n">
        <v>0</v>
      </c>
      <c r="O57" s="0" t="s">
        <v>269</v>
      </c>
      <c r="P57" s="0" t="s">
        <v>270</v>
      </c>
    </row>
    <row r="58" customFormat="false" ht="15" hidden="false" customHeight="false" outlineLevel="0" collapsed="false">
      <c r="A58" s="0" t="s">
        <v>271</v>
      </c>
      <c r="B58" s="0" t="s">
        <v>272</v>
      </c>
      <c r="C58" s="0" t="n">
        <v>5</v>
      </c>
      <c r="D58" s="0" t="s">
        <v>273</v>
      </c>
      <c r="E58" s="0" t="s">
        <v>274</v>
      </c>
      <c r="I58" s="0" t="n">
        <v>3</v>
      </c>
      <c r="J58" s="0" t="s">
        <v>274</v>
      </c>
      <c r="K58" s="0" t="s">
        <v>275</v>
      </c>
      <c r="O58" s="0" t="s">
        <v>276</v>
      </c>
      <c r="P58" s="0" t="s">
        <v>277</v>
      </c>
    </row>
    <row r="59" customFormat="false" ht="15" hidden="false" customHeight="false" outlineLevel="0" collapsed="false">
      <c r="A59" s="0" t="s">
        <v>278</v>
      </c>
      <c r="C59" s="0" t="n">
        <v>1</v>
      </c>
      <c r="D59" s="0" t="s">
        <v>279</v>
      </c>
      <c r="E59" s="0" t="s">
        <v>280</v>
      </c>
      <c r="I59" s="0" t="n">
        <v>3</v>
      </c>
      <c r="J59" s="0" t="s">
        <v>281</v>
      </c>
      <c r="K59" s="0" t="s">
        <v>282</v>
      </c>
      <c r="O59" s="0" t="s">
        <v>283</v>
      </c>
      <c r="P59" s="0" t="s">
        <v>277</v>
      </c>
    </row>
    <row r="60" customFormat="false" ht="15" hidden="false" customHeight="false" outlineLevel="0" collapsed="false">
      <c r="A60" s="0" t="s">
        <v>284</v>
      </c>
      <c r="C60" s="0" t="n">
        <v>5</v>
      </c>
      <c r="D60" s="0" t="s">
        <v>285</v>
      </c>
      <c r="E60" s="0" t="s">
        <v>286</v>
      </c>
      <c r="I60" s="0" t="n">
        <v>0</v>
      </c>
      <c r="O60" s="0" t="s">
        <v>228</v>
      </c>
      <c r="P60" s="0" t="s">
        <v>277</v>
      </c>
    </row>
    <row r="61" customFormat="false" ht="15" hidden="false" customHeight="false" outlineLevel="0" collapsed="false">
      <c r="A61" s="0" t="s">
        <v>287</v>
      </c>
      <c r="C61" s="0" t="n">
        <v>1</v>
      </c>
      <c r="D61" s="0" t="s">
        <v>288</v>
      </c>
      <c r="E61" s="0" t="s">
        <v>279</v>
      </c>
      <c r="I61" s="0" t="n">
        <v>0</v>
      </c>
      <c r="O61" s="0" t="s">
        <v>289</v>
      </c>
      <c r="P61" s="0" t="s">
        <v>270</v>
      </c>
    </row>
    <row r="62" customFormat="false" ht="15" hidden="false" customHeight="false" outlineLevel="0" collapsed="false">
      <c r="A62" s="0" t="s">
        <v>290</v>
      </c>
      <c r="C62" s="0" t="n">
        <v>1</v>
      </c>
      <c r="D62" s="0" t="s">
        <v>291</v>
      </c>
      <c r="E62" s="0" t="s">
        <v>292</v>
      </c>
      <c r="I62" s="0" t="n">
        <v>3</v>
      </c>
      <c r="J62" s="0" t="s">
        <v>293</v>
      </c>
      <c r="K62" s="0" t="s">
        <v>294</v>
      </c>
      <c r="O62" s="0" t="s">
        <v>295</v>
      </c>
      <c r="P62" s="0" t="s">
        <v>277</v>
      </c>
    </row>
    <row r="63" customFormat="false" ht="15" hidden="false" customHeight="false" outlineLevel="0" collapsed="false">
      <c r="A63" s="0" t="s">
        <v>296</v>
      </c>
      <c r="C63" s="0" t="n">
        <v>3</v>
      </c>
      <c r="D63" s="0" t="s">
        <v>297</v>
      </c>
      <c r="E63" s="0" t="s">
        <v>297</v>
      </c>
      <c r="I63" s="0" t="n">
        <v>4</v>
      </c>
      <c r="J63" s="0" t="s">
        <v>286</v>
      </c>
      <c r="K63" s="0" t="s">
        <v>292</v>
      </c>
      <c r="O63" s="0" t="s">
        <v>298</v>
      </c>
      <c r="P63" s="0" t="s">
        <v>270</v>
      </c>
    </row>
    <row r="64" customFormat="false" ht="15" hidden="false" customHeight="false" outlineLevel="0" collapsed="false">
      <c r="A64" s="0" t="s">
        <v>299</v>
      </c>
      <c r="C64" s="0" t="n">
        <v>3</v>
      </c>
      <c r="D64" s="0" t="s">
        <v>300</v>
      </c>
      <c r="E64" s="0" t="s">
        <v>275</v>
      </c>
      <c r="I64" s="0" t="n">
        <v>4</v>
      </c>
      <c r="J64" s="0" t="s">
        <v>293</v>
      </c>
      <c r="K64" s="0" t="s">
        <v>301</v>
      </c>
      <c r="O64" s="0" t="s">
        <v>289</v>
      </c>
      <c r="P64" s="0" t="s">
        <v>270</v>
      </c>
    </row>
    <row r="66" customFormat="false" ht="15" hidden="false" customHeight="false" outlineLevel="0" collapsed="false">
      <c r="A66" s="6" t="s">
        <v>302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5" hidden="false" customHeight="false" outlineLevel="0" collapsed="false">
      <c r="A67" s="3"/>
      <c r="B67" s="3" t="s">
        <v>303</v>
      </c>
      <c r="C67" s="3" t="s">
        <v>304</v>
      </c>
    </row>
    <row r="68" customFormat="false" ht="15" hidden="false" customHeight="false" outlineLevel="0" collapsed="false">
      <c r="A68" s="3" t="s">
        <v>35</v>
      </c>
      <c r="B68" s="4" t="s">
        <v>305</v>
      </c>
      <c r="C68" s="4" t="s">
        <v>306</v>
      </c>
    </row>
    <row r="69" customFormat="false" ht="15" hidden="false" customHeight="false" outlineLevel="0" collapsed="false">
      <c r="A69" s="3" t="s">
        <v>38</v>
      </c>
      <c r="B69" s="4" t="s">
        <v>307</v>
      </c>
      <c r="C69" s="4" t="s">
        <v>308</v>
      </c>
    </row>
    <row r="70" customFormat="false" ht="15" hidden="false" customHeight="false" outlineLevel="0" collapsed="false">
      <c r="A70" s="3" t="s">
        <v>41</v>
      </c>
      <c r="B70" s="4" t="s">
        <v>309</v>
      </c>
      <c r="C70" s="4" t="s">
        <v>310</v>
      </c>
    </row>
    <row r="71" customFormat="false" ht="15" hidden="false" customHeight="false" outlineLevel="0" collapsed="false">
      <c r="A71" s="3" t="s">
        <v>44</v>
      </c>
      <c r="B71" s="4" t="s">
        <v>311</v>
      </c>
      <c r="C71" s="4" t="s">
        <v>312</v>
      </c>
    </row>
    <row r="72" customFormat="false" ht="15" hidden="false" customHeight="false" outlineLevel="0" collapsed="false">
      <c r="A72" s="3" t="s">
        <v>47</v>
      </c>
      <c r="B72" s="4" t="s">
        <v>313</v>
      </c>
      <c r="C72" s="4" t="s">
        <v>314</v>
      </c>
    </row>
    <row r="73" customFormat="false" ht="15" hidden="false" customHeight="false" outlineLevel="0" collapsed="false">
      <c r="A73" s="3" t="s">
        <v>50</v>
      </c>
      <c r="B73" s="4" t="s">
        <v>315</v>
      </c>
      <c r="C73" s="4" t="s">
        <v>316</v>
      </c>
    </row>
    <row r="74" customFormat="false" ht="15" hidden="false" customHeight="false" outlineLevel="0" collapsed="false">
      <c r="A74" s="3" t="s">
        <v>53</v>
      </c>
      <c r="B74" s="4" t="s">
        <v>317</v>
      </c>
      <c r="C74" s="4" t="s">
        <v>54</v>
      </c>
    </row>
    <row r="75" customFormat="false" ht="105" hidden="false" customHeight="true" outlineLevel="0" collapsed="false">
      <c r="A75" s="3" t="s">
        <v>56</v>
      </c>
      <c r="B75" s="4" t="s">
        <v>318</v>
      </c>
      <c r="C75" s="4" t="s">
        <v>319</v>
      </c>
    </row>
    <row r="76" customFormat="false" ht="68.65" hidden="false" customHeight="false" outlineLevel="0" collapsed="false">
      <c r="A76" s="3" t="s">
        <v>59</v>
      </c>
      <c r="B76" s="4" t="s">
        <v>320</v>
      </c>
      <c r="C76" s="4" t="s">
        <v>321</v>
      </c>
    </row>
    <row r="77" customFormat="false" ht="150" hidden="false" customHeight="true" outlineLevel="0" collapsed="false">
      <c r="A77" s="3" t="s">
        <v>62</v>
      </c>
      <c r="B77" s="4" t="s">
        <v>322</v>
      </c>
      <c r="C77" s="4" t="s">
        <v>323</v>
      </c>
    </row>
    <row r="78" customFormat="false" ht="15" hidden="false" customHeight="false" outlineLevel="0" collapsed="false">
      <c r="A78" s="7" t="s">
        <v>65</v>
      </c>
      <c r="B78" s="7" t="s">
        <v>66</v>
      </c>
      <c r="C78" s="7" t="s">
        <v>67</v>
      </c>
      <c r="D78" s="7" t="s">
        <v>68</v>
      </c>
      <c r="E78" s="7" t="s">
        <v>69</v>
      </c>
      <c r="F78" s="7" t="s">
        <v>70</v>
      </c>
      <c r="G78" s="7" t="s">
        <v>71</v>
      </c>
      <c r="H78" s="7" t="s">
        <v>72</v>
      </c>
      <c r="I78" s="7" t="s">
        <v>73</v>
      </c>
      <c r="J78" s="7" t="s">
        <v>74</v>
      </c>
      <c r="K78" s="7" t="s">
        <v>75</v>
      </c>
      <c r="L78" s="7" t="s">
        <v>76</v>
      </c>
      <c r="M78" s="7" t="s">
        <v>77</v>
      </c>
      <c r="N78" s="7" t="s">
        <v>78</v>
      </c>
      <c r="O78" s="7" t="s">
        <v>79</v>
      </c>
      <c r="P78" s="7" t="s">
        <v>80</v>
      </c>
    </row>
    <row r="79" customFormat="false" ht="15" hidden="false" customHeight="false" outlineLevel="0" collapsed="false">
      <c r="A79" s="0" t="s">
        <v>129</v>
      </c>
      <c r="B79" s="0" t="s">
        <v>324</v>
      </c>
      <c r="C79" s="0" t="n">
        <v>22</v>
      </c>
      <c r="D79" s="0" t="s">
        <v>325</v>
      </c>
      <c r="E79" s="0" t="s">
        <v>197</v>
      </c>
      <c r="F79" s="0" t="s">
        <v>326</v>
      </c>
      <c r="G79" s="0" t="s">
        <v>327</v>
      </c>
      <c r="H79" s="0" t="s">
        <v>328</v>
      </c>
      <c r="I79" s="0" t="n">
        <v>15</v>
      </c>
      <c r="J79" s="0" t="s">
        <v>329</v>
      </c>
      <c r="K79" s="0" t="s">
        <v>208</v>
      </c>
      <c r="L79" s="0" t="s">
        <v>330</v>
      </c>
      <c r="M79" s="0" t="s">
        <v>331</v>
      </c>
      <c r="N79" s="0" t="s">
        <v>332</v>
      </c>
      <c r="O79" s="0" t="s">
        <v>333</v>
      </c>
      <c r="P79" s="0" t="s">
        <v>94</v>
      </c>
    </row>
    <row r="80" customFormat="false" ht="15" hidden="false" customHeight="false" outlineLevel="0" collapsed="false">
      <c r="A80" s="0" t="s">
        <v>81</v>
      </c>
      <c r="B80" s="0" t="s">
        <v>266</v>
      </c>
      <c r="C80" s="0" t="n">
        <v>22</v>
      </c>
      <c r="D80" s="0" t="s">
        <v>334</v>
      </c>
      <c r="E80" s="0" t="s">
        <v>335</v>
      </c>
      <c r="F80" s="0" t="s">
        <v>336</v>
      </c>
      <c r="G80" s="0" t="s">
        <v>337</v>
      </c>
      <c r="H80" s="0" t="s">
        <v>328</v>
      </c>
      <c r="I80" s="0" t="n">
        <v>9</v>
      </c>
      <c r="J80" s="0" t="s">
        <v>338</v>
      </c>
      <c r="K80" s="0" t="s">
        <v>339</v>
      </c>
      <c r="L80" s="0" t="s">
        <v>340</v>
      </c>
      <c r="M80" s="0" t="s">
        <v>341</v>
      </c>
      <c r="N80" s="0" t="s">
        <v>342</v>
      </c>
      <c r="O80" s="0" t="s">
        <v>343</v>
      </c>
      <c r="P80" s="0" t="s">
        <v>154</v>
      </c>
    </row>
    <row r="81" customFormat="false" ht="15" hidden="false" customHeight="false" outlineLevel="0" collapsed="false">
      <c r="A81" s="0" t="s">
        <v>108</v>
      </c>
      <c r="B81" s="0" t="s">
        <v>96</v>
      </c>
      <c r="C81" s="0" t="n">
        <v>18</v>
      </c>
      <c r="D81" s="0" t="s">
        <v>344</v>
      </c>
      <c r="E81" s="0" t="s">
        <v>345</v>
      </c>
      <c r="F81" s="0" t="s">
        <v>346</v>
      </c>
      <c r="G81" s="0" t="s">
        <v>347</v>
      </c>
      <c r="H81" s="0" t="s">
        <v>348</v>
      </c>
      <c r="I81" s="0" t="n">
        <v>12</v>
      </c>
      <c r="J81" s="0" t="s">
        <v>349</v>
      </c>
      <c r="K81" s="0" t="s">
        <v>350</v>
      </c>
      <c r="L81" s="0" t="s">
        <v>351</v>
      </c>
      <c r="M81" s="0" t="s">
        <v>148</v>
      </c>
      <c r="N81" s="0" t="s">
        <v>352</v>
      </c>
      <c r="O81" s="0" t="s">
        <v>353</v>
      </c>
      <c r="P81" s="0" t="s">
        <v>94</v>
      </c>
    </row>
    <row r="82" customFormat="false" ht="15" hidden="false" customHeight="false" outlineLevel="0" collapsed="false">
      <c r="A82" s="0" t="s">
        <v>121</v>
      </c>
      <c r="C82" s="0" t="n">
        <v>13</v>
      </c>
      <c r="D82" s="0" t="s">
        <v>354</v>
      </c>
      <c r="E82" s="0" t="s">
        <v>355</v>
      </c>
      <c r="F82" s="0" t="s">
        <v>356</v>
      </c>
      <c r="G82" s="0" t="s">
        <v>357</v>
      </c>
      <c r="H82" s="0" t="s">
        <v>358</v>
      </c>
      <c r="I82" s="0" t="n">
        <v>0</v>
      </c>
      <c r="O82" s="0" t="s">
        <v>218</v>
      </c>
      <c r="P82" s="0" t="s">
        <v>94</v>
      </c>
    </row>
    <row r="83" customFormat="false" ht="15" hidden="false" customHeight="false" outlineLevel="0" collapsed="false">
      <c r="A83" s="0" t="s">
        <v>95</v>
      </c>
      <c r="C83" s="0" t="n">
        <v>17</v>
      </c>
      <c r="D83" s="0" t="s">
        <v>359</v>
      </c>
      <c r="E83" s="0" t="s">
        <v>201</v>
      </c>
      <c r="F83" s="0" t="s">
        <v>360</v>
      </c>
      <c r="G83" s="0" t="s">
        <v>361</v>
      </c>
      <c r="H83" s="0" t="s">
        <v>362</v>
      </c>
      <c r="I83" s="0" t="n">
        <v>4</v>
      </c>
      <c r="J83" s="0" t="s">
        <v>229</v>
      </c>
      <c r="K83" s="0" t="s">
        <v>363</v>
      </c>
      <c r="L83" s="0" t="s">
        <v>364</v>
      </c>
      <c r="M83" s="0" t="s">
        <v>365</v>
      </c>
      <c r="N83" s="0" t="s">
        <v>233</v>
      </c>
      <c r="O83" s="0" t="s">
        <v>366</v>
      </c>
      <c r="P83" s="0" t="s">
        <v>154</v>
      </c>
    </row>
    <row r="84" customFormat="false" ht="15" hidden="false" customHeight="false" outlineLevel="0" collapsed="false">
      <c r="A84" s="0" t="s">
        <v>139</v>
      </c>
      <c r="C84" s="0" t="n">
        <v>12</v>
      </c>
      <c r="D84" s="0" t="s">
        <v>349</v>
      </c>
      <c r="E84" s="0" t="s">
        <v>367</v>
      </c>
      <c r="F84" s="0" t="s">
        <v>368</v>
      </c>
      <c r="G84" s="0" t="s">
        <v>369</v>
      </c>
      <c r="H84" s="0" t="s">
        <v>370</v>
      </c>
      <c r="I84" s="0" t="n">
        <v>10</v>
      </c>
      <c r="J84" s="0" t="s">
        <v>371</v>
      </c>
      <c r="K84" s="0" t="s">
        <v>355</v>
      </c>
      <c r="L84" s="0" t="s">
        <v>372</v>
      </c>
      <c r="M84" s="0" t="s">
        <v>373</v>
      </c>
      <c r="N84" s="0" t="s">
        <v>374</v>
      </c>
      <c r="O84" s="0" t="s">
        <v>375</v>
      </c>
      <c r="P84" s="0" t="s">
        <v>94</v>
      </c>
    </row>
    <row r="85" customFormat="false" ht="15" hidden="false" customHeight="false" outlineLevel="0" collapsed="false">
      <c r="A85" s="0" t="s">
        <v>145</v>
      </c>
      <c r="C85" s="0" t="n">
        <v>0</v>
      </c>
      <c r="I85" s="0" t="n">
        <v>3</v>
      </c>
      <c r="J85" s="0" t="s">
        <v>376</v>
      </c>
      <c r="K85" s="0" t="s">
        <v>201</v>
      </c>
      <c r="L85" s="0" t="s">
        <v>377</v>
      </c>
      <c r="M85" s="0" t="s">
        <v>226</v>
      </c>
      <c r="N85" s="0" t="s">
        <v>378</v>
      </c>
      <c r="O85" s="0" t="s">
        <v>379</v>
      </c>
      <c r="P85" s="0" t="s">
        <v>94</v>
      </c>
    </row>
    <row r="87" customFormat="false" ht="15" hidden="false" customHeight="false" outlineLevel="0" collapsed="false">
      <c r="A87" s="6" t="s">
        <v>380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A88" s="3"/>
      <c r="B88" s="3" t="s">
        <v>381</v>
      </c>
      <c r="C88" s="3" t="s">
        <v>382</v>
      </c>
    </row>
    <row r="89" customFormat="false" ht="15" hidden="false" customHeight="false" outlineLevel="0" collapsed="false">
      <c r="A89" s="3" t="s">
        <v>35</v>
      </c>
      <c r="B89" s="4" t="s">
        <v>383</v>
      </c>
      <c r="C89" s="4" t="s">
        <v>384</v>
      </c>
    </row>
    <row r="90" customFormat="false" ht="15" hidden="false" customHeight="false" outlineLevel="0" collapsed="false">
      <c r="A90" s="3" t="s">
        <v>38</v>
      </c>
      <c r="B90" s="4" t="s">
        <v>385</v>
      </c>
      <c r="C90" s="4" t="s">
        <v>386</v>
      </c>
    </row>
    <row r="91" customFormat="false" ht="15" hidden="false" customHeight="false" outlineLevel="0" collapsed="false">
      <c r="A91" s="3" t="s">
        <v>41</v>
      </c>
      <c r="B91" s="4" t="s">
        <v>387</v>
      </c>
      <c r="C91" s="4" t="s">
        <v>388</v>
      </c>
    </row>
    <row r="92" customFormat="false" ht="15" hidden="false" customHeight="false" outlineLevel="0" collapsed="false">
      <c r="A92" s="3" t="s">
        <v>44</v>
      </c>
      <c r="B92" s="4" t="s">
        <v>389</v>
      </c>
      <c r="C92" s="4" t="s">
        <v>390</v>
      </c>
    </row>
    <row r="93" customFormat="false" ht="15" hidden="false" customHeight="false" outlineLevel="0" collapsed="false">
      <c r="A93" s="3" t="s">
        <v>47</v>
      </c>
      <c r="B93" s="4" t="s">
        <v>391</v>
      </c>
      <c r="C93" s="4" t="s">
        <v>392</v>
      </c>
    </row>
    <row r="94" customFormat="false" ht="15" hidden="false" customHeight="false" outlineLevel="0" collapsed="false">
      <c r="A94" s="3" t="s">
        <v>50</v>
      </c>
      <c r="B94" s="4" t="s">
        <v>393</v>
      </c>
      <c r="C94" s="4" t="s">
        <v>394</v>
      </c>
    </row>
    <row r="95" customFormat="false" ht="15" hidden="false" customHeight="false" outlineLevel="0" collapsed="false">
      <c r="A95" s="3" t="s">
        <v>53</v>
      </c>
      <c r="B95" s="4" t="s">
        <v>54</v>
      </c>
      <c r="C95" s="4" t="s">
        <v>54</v>
      </c>
    </row>
    <row r="96" customFormat="false" ht="105" hidden="false" customHeight="true" outlineLevel="0" collapsed="false">
      <c r="A96" s="3" t="s">
        <v>56</v>
      </c>
      <c r="B96" s="4" t="s">
        <v>395</v>
      </c>
      <c r="C96" s="4" t="s">
        <v>396</v>
      </c>
    </row>
    <row r="97" customFormat="false" ht="68.65" hidden="false" customHeight="false" outlineLevel="0" collapsed="false">
      <c r="A97" s="3" t="s">
        <v>59</v>
      </c>
      <c r="B97" s="4" t="s">
        <v>397</v>
      </c>
      <c r="C97" s="4" t="s">
        <v>398</v>
      </c>
    </row>
    <row r="98" customFormat="false" ht="150" hidden="false" customHeight="true" outlineLevel="0" collapsed="false">
      <c r="A98" s="3" t="s">
        <v>62</v>
      </c>
      <c r="B98" s="4" t="s">
        <v>399</v>
      </c>
      <c r="C98" s="4" t="s">
        <v>400</v>
      </c>
    </row>
    <row r="99" customFormat="false" ht="15" hidden="false" customHeight="false" outlineLevel="0" collapsed="false">
      <c r="A99" s="7" t="s">
        <v>65</v>
      </c>
      <c r="B99" s="7" t="s">
        <v>66</v>
      </c>
      <c r="C99" s="7" t="s">
        <v>67</v>
      </c>
      <c r="D99" s="7" t="s">
        <v>68</v>
      </c>
      <c r="E99" s="7" t="s">
        <v>69</v>
      </c>
      <c r="F99" s="7" t="s">
        <v>70</v>
      </c>
      <c r="G99" s="7" t="s">
        <v>71</v>
      </c>
      <c r="H99" s="7" t="s">
        <v>72</v>
      </c>
      <c r="I99" s="7" t="s">
        <v>73</v>
      </c>
      <c r="J99" s="7" t="s">
        <v>74</v>
      </c>
      <c r="K99" s="7" t="s">
        <v>75</v>
      </c>
      <c r="L99" s="7" t="s">
        <v>76</v>
      </c>
      <c r="M99" s="7" t="s">
        <v>77</v>
      </c>
      <c r="N99" s="7" t="s">
        <v>78</v>
      </c>
      <c r="O99" s="7" t="s">
        <v>79</v>
      </c>
      <c r="P99" s="7" t="s">
        <v>80</v>
      </c>
    </row>
    <row r="100" customFormat="false" ht="15" hidden="false" customHeight="false" outlineLevel="0" collapsed="false">
      <c r="A100" s="0" t="s">
        <v>95</v>
      </c>
      <c r="B100" s="0" t="s">
        <v>187</v>
      </c>
      <c r="C100" s="0" t="n">
        <v>16</v>
      </c>
      <c r="D100" s="0" t="s">
        <v>401</v>
      </c>
      <c r="E100" s="0" t="s">
        <v>402</v>
      </c>
      <c r="F100" s="0" t="s">
        <v>403</v>
      </c>
      <c r="G100" s="0" t="s">
        <v>404</v>
      </c>
      <c r="H100" s="0" t="s">
        <v>405</v>
      </c>
      <c r="I100" s="0" t="n">
        <v>5</v>
      </c>
      <c r="J100" s="0" t="s">
        <v>146</v>
      </c>
      <c r="K100" s="0" t="s">
        <v>214</v>
      </c>
      <c r="L100" s="0" t="s">
        <v>185</v>
      </c>
      <c r="M100" s="0" t="s">
        <v>406</v>
      </c>
      <c r="N100" s="0" t="s">
        <v>407</v>
      </c>
      <c r="O100" s="0" t="s">
        <v>408</v>
      </c>
      <c r="P100" s="0" t="s">
        <v>270</v>
      </c>
    </row>
    <row r="101" customFormat="false" ht="15" hidden="false" customHeight="false" outlineLevel="0" collapsed="false">
      <c r="A101" s="0" t="s">
        <v>108</v>
      </c>
      <c r="B101" s="0" t="s">
        <v>266</v>
      </c>
      <c r="C101" s="0" t="n">
        <v>12</v>
      </c>
      <c r="D101" s="0" t="s">
        <v>409</v>
      </c>
      <c r="E101" s="0" t="s">
        <v>84</v>
      </c>
      <c r="F101" s="0" t="s">
        <v>410</v>
      </c>
      <c r="G101" s="0" t="s">
        <v>411</v>
      </c>
      <c r="H101" s="0" t="s">
        <v>412</v>
      </c>
      <c r="I101" s="0" t="n">
        <v>8</v>
      </c>
      <c r="J101" s="0" t="s">
        <v>413</v>
      </c>
      <c r="K101" s="0" t="s">
        <v>414</v>
      </c>
      <c r="L101" s="0" t="s">
        <v>415</v>
      </c>
      <c r="M101" s="0" t="s">
        <v>416</v>
      </c>
      <c r="N101" s="0" t="s">
        <v>417</v>
      </c>
      <c r="O101" s="0" t="s">
        <v>418</v>
      </c>
      <c r="P101" s="0" t="s">
        <v>270</v>
      </c>
    </row>
    <row r="102" customFormat="false" ht="15" hidden="false" customHeight="false" outlineLevel="0" collapsed="false">
      <c r="A102" s="0" t="s">
        <v>139</v>
      </c>
      <c r="B102" s="0" t="s">
        <v>419</v>
      </c>
      <c r="C102" s="0" t="n">
        <v>8</v>
      </c>
      <c r="D102" s="0" t="s">
        <v>205</v>
      </c>
      <c r="E102" s="0" t="s">
        <v>420</v>
      </c>
      <c r="F102" s="0" t="s">
        <v>421</v>
      </c>
      <c r="G102" s="0" t="s">
        <v>422</v>
      </c>
      <c r="H102" s="0" t="s">
        <v>423</v>
      </c>
      <c r="I102" s="0" t="n">
        <v>10</v>
      </c>
      <c r="J102" s="0" t="s">
        <v>424</v>
      </c>
      <c r="K102" s="0" t="s">
        <v>425</v>
      </c>
      <c r="L102" s="0" t="s">
        <v>426</v>
      </c>
      <c r="M102" s="0" t="s">
        <v>427</v>
      </c>
      <c r="N102" s="0" t="s">
        <v>428</v>
      </c>
      <c r="O102" s="0" t="s">
        <v>429</v>
      </c>
      <c r="P102" s="0" t="s">
        <v>430</v>
      </c>
    </row>
    <row r="103" customFormat="false" ht="15" hidden="false" customHeight="false" outlineLevel="0" collapsed="false">
      <c r="A103" s="0" t="s">
        <v>81</v>
      </c>
      <c r="C103" s="0" t="n">
        <v>0</v>
      </c>
      <c r="I103" s="0" t="n">
        <v>4</v>
      </c>
      <c r="J103" s="0" t="s">
        <v>431</v>
      </c>
      <c r="K103" s="0" t="s">
        <v>432</v>
      </c>
      <c r="L103" s="0" t="s">
        <v>433</v>
      </c>
      <c r="M103" s="0" t="s">
        <v>434</v>
      </c>
      <c r="N103" s="0" t="s">
        <v>233</v>
      </c>
      <c r="O103" s="0" t="s">
        <v>435</v>
      </c>
      <c r="P103" s="0" t="s">
        <v>237</v>
      </c>
    </row>
    <row r="104" customFormat="false" ht="15" hidden="false" customHeight="false" outlineLevel="0" collapsed="false">
      <c r="A104" s="0" t="s">
        <v>121</v>
      </c>
      <c r="C104" s="0" t="n">
        <v>10</v>
      </c>
      <c r="D104" s="0" t="s">
        <v>424</v>
      </c>
      <c r="E104" s="0" t="s">
        <v>214</v>
      </c>
      <c r="F104" s="0" t="s">
        <v>436</v>
      </c>
      <c r="G104" s="0" t="s">
        <v>437</v>
      </c>
      <c r="H104" s="0" t="s">
        <v>428</v>
      </c>
      <c r="I104" s="0" t="n">
        <v>4</v>
      </c>
      <c r="J104" s="0" t="s">
        <v>438</v>
      </c>
      <c r="K104" s="0" t="s">
        <v>439</v>
      </c>
      <c r="L104" s="0" t="s">
        <v>440</v>
      </c>
      <c r="M104" s="0" t="s">
        <v>441</v>
      </c>
      <c r="N104" s="0" t="s">
        <v>442</v>
      </c>
      <c r="O104" s="0" t="s">
        <v>443</v>
      </c>
      <c r="P104" s="0" t="s">
        <v>237</v>
      </c>
    </row>
    <row r="105" customFormat="false" ht="15" hidden="false" customHeight="false" outlineLevel="0" collapsed="false">
      <c r="A105" s="0" t="s">
        <v>129</v>
      </c>
      <c r="C105" s="0" t="n">
        <v>10</v>
      </c>
      <c r="D105" s="0" t="s">
        <v>444</v>
      </c>
      <c r="E105" s="0" t="s">
        <v>445</v>
      </c>
      <c r="F105" s="0" t="s">
        <v>446</v>
      </c>
      <c r="G105" s="0" t="s">
        <v>447</v>
      </c>
      <c r="H105" s="0" t="s">
        <v>448</v>
      </c>
      <c r="I105" s="0" t="n">
        <v>5</v>
      </c>
      <c r="J105" s="0" t="s">
        <v>110</v>
      </c>
      <c r="K105" s="0" t="s">
        <v>449</v>
      </c>
      <c r="L105" s="0" t="s">
        <v>450</v>
      </c>
      <c r="M105" s="0" t="s">
        <v>451</v>
      </c>
      <c r="N105" s="0" t="s">
        <v>452</v>
      </c>
      <c r="O105" s="0" t="s">
        <v>375</v>
      </c>
      <c r="P105" s="0" t="s">
        <v>94</v>
      </c>
    </row>
    <row r="106" customFormat="false" ht="15" hidden="false" customHeight="false" outlineLevel="0" collapsed="false">
      <c r="A106" s="0" t="s">
        <v>145</v>
      </c>
      <c r="C106" s="0" t="n">
        <v>7</v>
      </c>
      <c r="D106" s="0" t="s">
        <v>97</v>
      </c>
      <c r="E106" s="0" t="s">
        <v>363</v>
      </c>
      <c r="F106" s="0" t="s">
        <v>453</v>
      </c>
      <c r="G106" s="0" t="s">
        <v>454</v>
      </c>
      <c r="H106" s="0" t="s">
        <v>455</v>
      </c>
      <c r="I106" s="0" t="n">
        <v>6</v>
      </c>
      <c r="J106" s="0" t="s">
        <v>456</v>
      </c>
      <c r="K106" s="0" t="s">
        <v>111</v>
      </c>
      <c r="L106" s="0" t="s">
        <v>457</v>
      </c>
      <c r="M106" s="0" t="s">
        <v>458</v>
      </c>
      <c r="N106" s="0" t="s">
        <v>459</v>
      </c>
      <c r="O106" s="0" t="s">
        <v>460</v>
      </c>
      <c r="P106" s="0" t="s">
        <v>94</v>
      </c>
    </row>
    <row r="108" customFormat="false" ht="15" hidden="false" customHeight="false" outlineLevel="0" collapsed="false">
      <c r="A108" s="6" t="s">
        <v>461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3"/>
      <c r="B109" s="3" t="s">
        <v>462</v>
      </c>
      <c r="C109" s="3" t="s">
        <v>463</v>
      </c>
    </row>
    <row r="110" customFormat="false" ht="28.35" hidden="false" customHeight="false" outlineLevel="0" collapsed="false">
      <c r="A110" s="3" t="s">
        <v>241</v>
      </c>
      <c r="B110" s="4" t="s">
        <v>464</v>
      </c>
      <c r="C110" s="4" t="s">
        <v>465</v>
      </c>
    </row>
    <row r="111" customFormat="false" ht="15" hidden="false" customHeight="false" outlineLevel="0" collapsed="false">
      <c r="A111" s="3" t="s">
        <v>244</v>
      </c>
      <c r="B111" s="4" t="s">
        <v>466</v>
      </c>
      <c r="C111" s="4" t="s">
        <v>229</v>
      </c>
    </row>
    <row r="112" customFormat="false" ht="15" hidden="false" customHeight="false" outlineLevel="0" collapsed="false">
      <c r="A112" s="3" t="s">
        <v>47</v>
      </c>
      <c r="B112" s="4" t="s">
        <v>467</v>
      </c>
      <c r="C112" s="4" t="s">
        <v>468</v>
      </c>
    </row>
    <row r="113" customFormat="false" ht="15" hidden="false" customHeight="false" outlineLevel="0" collapsed="false">
      <c r="A113" s="3" t="s">
        <v>50</v>
      </c>
      <c r="B113" s="4" t="s">
        <v>469</v>
      </c>
      <c r="C113" s="4" t="s">
        <v>470</v>
      </c>
    </row>
    <row r="114" customFormat="false" ht="15" hidden="false" customHeight="false" outlineLevel="0" collapsed="false">
      <c r="A114" s="3" t="s">
        <v>250</v>
      </c>
      <c r="B114" s="4" t="s">
        <v>251</v>
      </c>
      <c r="C114" s="4" t="s">
        <v>251</v>
      </c>
    </row>
    <row r="115" customFormat="false" ht="105" hidden="false" customHeight="true" outlineLevel="0" collapsed="false">
      <c r="A115" s="3" t="s">
        <v>252</v>
      </c>
      <c r="B115" s="4" t="s">
        <v>471</v>
      </c>
      <c r="C115" s="4" t="s">
        <v>472</v>
      </c>
    </row>
    <row r="116" customFormat="false" ht="75" hidden="false" customHeight="true" outlineLevel="0" collapsed="false">
      <c r="A116" s="3" t="s">
        <v>59</v>
      </c>
      <c r="B116" s="4" t="s">
        <v>473</v>
      </c>
      <c r="C116" s="4" t="s">
        <v>474</v>
      </c>
    </row>
    <row r="117" customFormat="false" ht="120" hidden="false" customHeight="true" outlineLevel="0" collapsed="false">
      <c r="A117" s="3" t="s">
        <v>62</v>
      </c>
      <c r="B117" s="4" t="s">
        <v>475</v>
      </c>
      <c r="C117" s="4" t="s">
        <v>476</v>
      </c>
    </row>
    <row r="118" customFormat="false" ht="15" hidden="false" customHeight="false" outlineLevel="0" collapsed="false">
      <c r="A118" s="7" t="s">
        <v>65</v>
      </c>
      <c r="B118" s="7" t="s">
        <v>66</v>
      </c>
      <c r="C118" s="7" t="s">
        <v>259</v>
      </c>
      <c r="D118" s="7" t="s">
        <v>260</v>
      </c>
      <c r="E118" s="7" t="s">
        <v>261</v>
      </c>
      <c r="F118" s="7"/>
      <c r="G118" s="7"/>
      <c r="H118" s="7"/>
      <c r="I118" s="7" t="s">
        <v>262</v>
      </c>
      <c r="J118" s="7" t="s">
        <v>263</v>
      </c>
      <c r="K118" s="7" t="s">
        <v>264</v>
      </c>
      <c r="L118" s="7"/>
      <c r="M118" s="7"/>
      <c r="N118" s="7"/>
      <c r="O118" s="7" t="s">
        <v>79</v>
      </c>
      <c r="P118" s="7" t="s">
        <v>80</v>
      </c>
    </row>
    <row r="119" customFormat="false" ht="15" hidden="false" customHeight="false" outlineLevel="0" collapsed="false">
      <c r="A119" s="0" t="s">
        <v>271</v>
      </c>
      <c r="B119" s="0" t="s">
        <v>477</v>
      </c>
      <c r="C119" s="0" t="n">
        <v>5</v>
      </c>
      <c r="D119" s="0" t="s">
        <v>478</v>
      </c>
      <c r="E119" s="0" t="s">
        <v>479</v>
      </c>
      <c r="I119" s="0" t="n">
        <v>0</v>
      </c>
      <c r="O119" s="0" t="s">
        <v>480</v>
      </c>
      <c r="P119" s="0" t="s">
        <v>481</v>
      </c>
    </row>
    <row r="120" customFormat="false" ht="15" hidden="false" customHeight="false" outlineLevel="0" collapsed="false">
      <c r="A120" s="0" t="s">
        <v>296</v>
      </c>
      <c r="B120" s="0" t="s">
        <v>291</v>
      </c>
      <c r="C120" s="0" t="n">
        <v>4</v>
      </c>
      <c r="D120" s="0" t="s">
        <v>479</v>
      </c>
      <c r="E120" s="0" t="s">
        <v>281</v>
      </c>
      <c r="I120" s="0" t="n">
        <v>1</v>
      </c>
      <c r="J120" s="0" t="s">
        <v>482</v>
      </c>
      <c r="K120" s="0" t="s">
        <v>281</v>
      </c>
      <c r="O120" s="0" t="s">
        <v>483</v>
      </c>
      <c r="P120" s="0" t="s">
        <v>270</v>
      </c>
    </row>
    <row r="121" customFormat="false" ht="15" hidden="false" customHeight="false" outlineLevel="0" collapsed="false">
      <c r="A121" s="0" t="s">
        <v>278</v>
      </c>
      <c r="C121" s="0" t="n">
        <v>1</v>
      </c>
      <c r="D121" s="0" t="s">
        <v>484</v>
      </c>
      <c r="E121" s="0" t="s">
        <v>485</v>
      </c>
      <c r="I121" s="0" t="n">
        <v>0</v>
      </c>
      <c r="O121" s="0" t="s">
        <v>295</v>
      </c>
      <c r="P121" s="0" t="s">
        <v>277</v>
      </c>
    </row>
    <row r="122" customFormat="false" ht="15" hidden="false" customHeight="false" outlineLevel="0" collapsed="false">
      <c r="A122" s="0" t="s">
        <v>284</v>
      </c>
      <c r="C122" s="0" t="n">
        <v>5</v>
      </c>
      <c r="D122" s="0" t="s">
        <v>486</v>
      </c>
      <c r="E122" s="0" t="s">
        <v>487</v>
      </c>
      <c r="I122" s="0" t="n">
        <v>0</v>
      </c>
      <c r="O122" s="0" t="s">
        <v>488</v>
      </c>
      <c r="P122" s="0" t="s">
        <v>270</v>
      </c>
    </row>
    <row r="123" customFormat="false" ht="15" hidden="false" customHeight="false" outlineLevel="0" collapsed="false">
      <c r="A123" s="0" t="s">
        <v>265</v>
      </c>
      <c r="C123" s="0" t="n">
        <v>2</v>
      </c>
      <c r="D123" s="0" t="s">
        <v>293</v>
      </c>
      <c r="E123" s="0" t="s">
        <v>479</v>
      </c>
      <c r="I123" s="0" t="n">
        <v>0</v>
      </c>
      <c r="O123" s="0" t="s">
        <v>489</v>
      </c>
      <c r="P123" s="0" t="s">
        <v>270</v>
      </c>
    </row>
    <row r="124" customFormat="false" ht="15" hidden="false" customHeight="false" outlineLevel="0" collapsed="false">
      <c r="A124" s="0" t="s">
        <v>290</v>
      </c>
      <c r="C124" s="0" t="n">
        <v>1</v>
      </c>
      <c r="D124" s="0" t="s">
        <v>490</v>
      </c>
      <c r="E124" s="0" t="s">
        <v>491</v>
      </c>
      <c r="I124" s="0" t="n">
        <v>2</v>
      </c>
      <c r="J124" s="0" t="s">
        <v>492</v>
      </c>
      <c r="K124" s="0" t="s">
        <v>479</v>
      </c>
      <c r="O124" s="0" t="s">
        <v>195</v>
      </c>
      <c r="P124" s="0" t="s">
        <v>277</v>
      </c>
    </row>
    <row r="125" customFormat="false" ht="15" hidden="false" customHeight="false" outlineLevel="0" collapsed="false">
      <c r="A125" s="0" t="s">
        <v>299</v>
      </c>
      <c r="C125" s="0" t="n">
        <v>8</v>
      </c>
      <c r="D125" s="0" t="s">
        <v>273</v>
      </c>
      <c r="E125" s="0" t="s">
        <v>294</v>
      </c>
      <c r="I125" s="0" t="n">
        <v>1</v>
      </c>
      <c r="J125" s="0" t="s">
        <v>493</v>
      </c>
      <c r="K125" s="0" t="s">
        <v>292</v>
      </c>
      <c r="O125" s="0" t="s">
        <v>494</v>
      </c>
      <c r="P125" s="0" t="s">
        <v>277</v>
      </c>
    </row>
    <row r="127" customFormat="false" ht="15" hidden="false" customHeight="false" outlineLevel="0" collapsed="false">
      <c r="A127" s="6" t="s">
        <v>495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customFormat="false" ht="15" hidden="false" customHeight="false" outlineLevel="0" collapsed="false">
      <c r="A128" s="3"/>
      <c r="B128" s="3" t="s">
        <v>496</v>
      </c>
      <c r="C128" s="3" t="s">
        <v>497</v>
      </c>
    </row>
    <row r="129" customFormat="false" ht="15" hidden="false" customHeight="false" outlineLevel="0" collapsed="false">
      <c r="A129" s="3" t="s">
        <v>35</v>
      </c>
      <c r="B129" s="4" t="s">
        <v>498</v>
      </c>
      <c r="C129" s="4" t="s">
        <v>499</v>
      </c>
    </row>
    <row r="130" customFormat="false" ht="15" hidden="false" customHeight="false" outlineLevel="0" collapsed="false">
      <c r="A130" s="3" t="s">
        <v>38</v>
      </c>
      <c r="B130" s="4" t="s">
        <v>500</v>
      </c>
      <c r="C130" s="4" t="s">
        <v>501</v>
      </c>
    </row>
    <row r="131" customFormat="false" ht="15" hidden="false" customHeight="false" outlineLevel="0" collapsed="false">
      <c r="A131" s="3" t="s">
        <v>41</v>
      </c>
      <c r="B131" s="4" t="s">
        <v>502</v>
      </c>
      <c r="C131" s="4" t="s">
        <v>503</v>
      </c>
    </row>
    <row r="132" customFormat="false" ht="15" hidden="false" customHeight="false" outlineLevel="0" collapsed="false">
      <c r="A132" s="3" t="s">
        <v>44</v>
      </c>
      <c r="B132" s="4" t="s">
        <v>504</v>
      </c>
      <c r="C132" s="4" t="s">
        <v>505</v>
      </c>
    </row>
    <row r="133" customFormat="false" ht="15" hidden="false" customHeight="false" outlineLevel="0" collapsed="false">
      <c r="A133" s="3" t="s">
        <v>47</v>
      </c>
      <c r="B133" s="4" t="s">
        <v>506</v>
      </c>
      <c r="C133" s="4" t="s">
        <v>507</v>
      </c>
    </row>
    <row r="134" customFormat="false" ht="15" hidden="false" customHeight="false" outlineLevel="0" collapsed="false">
      <c r="A134" s="3" t="s">
        <v>50</v>
      </c>
      <c r="B134" s="4" t="s">
        <v>508</v>
      </c>
      <c r="C134" s="4" t="s">
        <v>509</v>
      </c>
    </row>
    <row r="135" customFormat="false" ht="15" hidden="false" customHeight="false" outlineLevel="0" collapsed="false">
      <c r="A135" s="3" t="s">
        <v>53</v>
      </c>
      <c r="B135" s="4" t="s">
        <v>54</v>
      </c>
      <c r="C135" s="4" t="s">
        <v>54</v>
      </c>
    </row>
    <row r="136" customFormat="false" ht="105" hidden="false" customHeight="true" outlineLevel="0" collapsed="false">
      <c r="A136" s="3" t="s">
        <v>56</v>
      </c>
      <c r="B136" s="4" t="s">
        <v>510</v>
      </c>
      <c r="C136" s="4" t="s">
        <v>511</v>
      </c>
    </row>
    <row r="137" customFormat="false" ht="68.65" hidden="false" customHeight="false" outlineLevel="0" collapsed="false">
      <c r="A137" s="3" t="s">
        <v>59</v>
      </c>
      <c r="B137" s="4" t="s">
        <v>512</v>
      </c>
      <c r="C137" s="4" t="s">
        <v>513</v>
      </c>
    </row>
    <row r="138" customFormat="false" ht="150" hidden="false" customHeight="true" outlineLevel="0" collapsed="false">
      <c r="A138" s="3" t="s">
        <v>62</v>
      </c>
      <c r="B138" s="4" t="s">
        <v>514</v>
      </c>
      <c r="C138" s="4" t="s">
        <v>515</v>
      </c>
    </row>
    <row r="139" customFormat="false" ht="15" hidden="false" customHeight="false" outlineLevel="0" collapsed="false">
      <c r="A139" s="7" t="s">
        <v>65</v>
      </c>
      <c r="B139" s="7" t="s">
        <v>66</v>
      </c>
      <c r="C139" s="7" t="s">
        <v>67</v>
      </c>
      <c r="D139" s="7" t="s">
        <v>68</v>
      </c>
      <c r="E139" s="7" t="s">
        <v>69</v>
      </c>
      <c r="F139" s="7" t="s">
        <v>70</v>
      </c>
      <c r="G139" s="7" t="s">
        <v>71</v>
      </c>
      <c r="H139" s="7" t="s">
        <v>72</v>
      </c>
      <c r="I139" s="7" t="s">
        <v>73</v>
      </c>
      <c r="J139" s="7" t="s">
        <v>74</v>
      </c>
      <c r="K139" s="7" t="s">
        <v>75</v>
      </c>
      <c r="L139" s="7" t="s">
        <v>76</v>
      </c>
      <c r="M139" s="7" t="s">
        <v>77</v>
      </c>
      <c r="N139" s="7" t="s">
        <v>78</v>
      </c>
      <c r="O139" s="7" t="s">
        <v>79</v>
      </c>
      <c r="P139" s="7" t="s">
        <v>80</v>
      </c>
    </row>
    <row r="140" customFormat="false" ht="15" hidden="false" customHeight="false" outlineLevel="0" collapsed="false">
      <c r="A140" s="0" t="s">
        <v>81</v>
      </c>
      <c r="B140" s="0" t="s">
        <v>516</v>
      </c>
      <c r="C140" s="0" t="n">
        <v>10</v>
      </c>
      <c r="D140" s="0" t="s">
        <v>424</v>
      </c>
      <c r="E140" s="0" t="s">
        <v>355</v>
      </c>
      <c r="F140" s="0" t="s">
        <v>517</v>
      </c>
      <c r="G140" s="0" t="s">
        <v>518</v>
      </c>
      <c r="H140" s="0" t="s">
        <v>428</v>
      </c>
      <c r="I140" s="0" t="n">
        <v>12</v>
      </c>
      <c r="J140" s="0" t="s">
        <v>349</v>
      </c>
      <c r="K140" s="0" t="s">
        <v>214</v>
      </c>
      <c r="L140" s="0" t="s">
        <v>519</v>
      </c>
      <c r="M140" s="0" t="s">
        <v>520</v>
      </c>
      <c r="N140" s="0" t="s">
        <v>370</v>
      </c>
      <c r="O140" s="0" t="s">
        <v>521</v>
      </c>
      <c r="P140" s="0" t="s">
        <v>94</v>
      </c>
    </row>
    <row r="141" customFormat="false" ht="15" hidden="false" customHeight="false" outlineLevel="0" collapsed="false">
      <c r="A141" s="0" t="s">
        <v>145</v>
      </c>
      <c r="B141" s="0" t="s">
        <v>187</v>
      </c>
      <c r="C141" s="0" t="n">
        <v>10</v>
      </c>
      <c r="D141" s="0" t="s">
        <v>200</v>
      </c>
      <c r="E141" s="0" t="s">
        <v>522</v>
      </c>
      <c r="F141" s="0" t="s">
        <v>132</v>
      </c>
      <c r="G141" s="0" t="s">
        <v>523</v>
      </c>
      <c r="H141" s="0" t="s">
        <v>524</v>
      </c>
      <c r="I141" s="0" t="n">
        <v>11</v>
      </c>
      <c r="J141" s="0" t="s">
        <v>525</v>
      </c>
      <c r="K141" s="0" t="s">
        <v>197</v>
      </c>
      <c r="L141" s="0" t="s">
        <v>526</v>
      </c>
      <c r="M141" s="0" t="s">
        <v>118</v>
      </c>
      <c r="N141" s="0" t="s">
        <v>527</v>
      </c>
      <c r="O141" s="0" t="s">
        <v>528</v>
      </c>
      <c r="P141" s="0" t="s">
        <v>237</v>
      </c>
    </row>
    <row r="142" customFormat="false" ht="15" hidden="false" customHeight="false" outlineLevel="0" collapsed="false">
      <c r="A142" s="0" t="s">
        <v>95</v>
      </c>
      <c r="B142" s="0" t="s">
        <v>419</v>
      </c>
      <c r="C142" s="0" t="n">
        <v>9</v>
      </c>
      <c r="D142" s="0" t="s">
        <v>338</v>
      </c>
      <c r="E142" s="0" t="s">
        <v>147</v>
      </c>
      <c r="F142" s="0" t="s">
        <v>148</v>
      </c>
      <c r="G142" s="0" t="s">
        <v>529</v>
      </c>
      <c r="H142" s="0" t="s">
        <v>530</v>
      </c>
      <c r="I142" s="0" t="n">
        <v>9</v>
      </c>
      <c r="J142" s="0" t="s">
        <v>531</v>
      </c>
      <c r="K142" s="0" t="s">
        <v>208</v>
      </c>
      <c r="L142" s="0" t="s">
        <v>209</v>
      </c>
      <c r="M142" s="0" t="s">
        <v>210</v>
      </c>
      <c r="N142" s="0" t="s">
        <v>532</v>
      </c>
      <c r="O142" s="0" t="s">
        <v>533</v>
      </c>
      <c r="P142" s="0" t="s">
        <v>94</v>
      </c>
    </row>
    <row r="143" customFormat="false" ht="15" hidden="false" customHeight="false" outlineLevel="0" collapsed="false">
      <c r="A143" s="0" t="s">
        <v>121</v>
      </c>
      <c r="C143" s="0" t="n">
        <v>5</v>
      </c>
      <c r="D143" s="0" t="s">
        <v>146</v>
      </c>
      <c r="E143" s="0" t="s">
        <v>388</v>
      </c>
      <c r="F143" s="0" t="s">
        <v>351</v>
      </c>
      <c r="G143" s="0" t="s">
        <v>123</v>
      </c>
      <c r="H143" s="0" t="s">
        <v>150</v>
      </c>
      <c r="I143" s="0" t="n">
        <v>0</v>
      </c>
      <c r="O143" s="0" t="s">
        <v>483</v>
      </c>
      <c r="P143" s="0" t="s">
        <v>94</v>
      </c>
    </row>
    <row r="144" customFormat="false" ht="15" hidden="false" customHeight="false" outlineLevel="0" collapsed="false">
      <c r="A144" s="0" t="s">
        <v>129</v>
      </c>
      <c r="C144" s="0" t="n">
        <v>7</v>
      </c>
      <c r="D144" s="0" t="s">
        <v>97</v>
      </c>
      <c r="E144" s="0" t="s">
        <v>98</v>
      </c>
      <c r="F144" s="0" t="s">
        <v>534</v>
      </c>
      <c r="G144" s="0" t="s">
        <v>535</v>
      </c>
      <c r="H144" s="0" t="s">
        <v>536</v>
      </c>
      <c r="I144" s="0" t="n">
        <v>10</v>
      </c>
      <c r="J144" s="0" t="s">
        <v>200</v>
      </c>
      <c r="K144" s="0" t="s">
        <v>111</v>
      </c>
      <c r="L144" s="0" t="s">
        <v>198</v>
      </c>
      <c r="M144" s="0" t="s">
        <v>537</v>
      </c>
      <c r="N144" s="0" t="s">
        <v>538</v>
      </c>
      <c r="O144" s="0" t="s">
        <v>539</v>
      </c>
      <c r="P144" s="0" t="s">
        <v>94</v>
      </c>
    </row>
    <row r="145" customFormat="false" ht="15" hidden="false" customHeight="false" outlineLevel="0" collapsed="false">
      <c r="A145" s="0" t="s">
        <v>139</v>
      </c>
      <c r="C145" s="0" t="n">
        <v>0</v>
      </c>
      <c r="I145" s="0" t="n">
        <v>3</v>
      </c>
      <c r="J145" s="0" t="s">
        <v>540</v>
      </c>
      <c r="K145" s="0" t="s">
        <v>541</v>
      </c>
      <c r="L145" s="0" t="s">
        <v>542</v>
      </c>
      <c r="M145" s="0" t="s">
        <v>543</v>
      </c>
      <c r="N145" s="0" t="s">
        <v>544</v>
      </c>
      <c r="O145" s="0" t="s">
        <v>494</v>
      </c>
      <c r="P145" s="0" t="s">
        <v>94</v>
      </c>
    </row>
    <row r="146" customFormat="false" ht="15" hidden="false" customHeight="false" outlineLevel="0" collapsed="false">
      <c r="A146" s="0" t="s">
        <v>108</v>
      </c>
      <c r="C146" s="0" t="n">
        <v>8</v>
      </c>
      <c r="D146" s="0" t="s">
        <v>205</v>
      </c>
      <c r="E146" s="0" t="s">
        <v>545</v>
      </c>
      <c r="F146" s="0" t="s">
        <v>546</v>
      </c>
      <c r="G146" s="0" t="s">
        <v>411</v>
      </c>
      <c r="H146" s="0" t="s">
        <v>547</v>
      </c>
      <c r="I146" s="0" t="n">
        <v>9</v>
      </c>
      <c r="J146" s="0" t="s">
        <v>548</v>
      </c>
      <c r="K146" s="0" t="s">
        <v>549</v>
      </c>
      <c r="L146" s="0" t="s">
        <v>118</v>
      </c>
      <c r="M146" s="0" t="s">
        <v>330</v>
      </c>
      <c r="N146" s="0" t="s">
        <v>550</v>
      </c>
      <c r="O146" s="0" t="s">
        <v>551</v>
      </c>
      <c r="P146" s="0" t="s">
        <v>430</v>
      </c>
    </row>
    <row r="148" customFormat="false" ht="15" hidden="false" customHeight="false" outlineLevel="0" collapsed="false">
      <c r="A148" s="6" t="s">
        <v>552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customFormat="false" ht="15" hidden="false" customHeight="false" outlineLevel="0" collapsed="false">
      <c r="A149" s="3"/>
      <c r="B149" s="3" t="s">
        <v>553</v>
      </c>
      <c r="C149" s="3" t="s">
        <v>554</v>
      </c>
    </row>
    <row r="150" customFormat="false" ht="15" hidden="false" customHeight="false" outlineLevel="0" collapsed="false">
      <c r="A150" s="3" t="s">
        <v>35</v>
      </c>
      <c r="B150" s="4" t="s">
        <v>555</v>
      </c>
      <c r="C150" s="4" t="s">
        <v>556</v>
      </c>
    </row>
    <row r="151" customFormat="false" ht="15" hidden="false" customHeight="false" outlineLevel="0" collapsed="false">
      <c r="A151" s="3" t="s">
        <v>38</v>
      </c>
      <c r="B151" s="4" t="s">
        <v>557</v>
      </c>
      <c r="C151" s="4" t="s">
        <v>558</v>
      </c>
    </row>
    <row r="152" customFormat="false" ht="15" hidden="false" customHeight="false" outlineLevel="0" collapsed="false">
      <c r="A152" s="3" t="s">
        <v>41</v>
      </c>
      <c r="B152" s="4" t="s">
        <v>220</v>
      </c>
      <c r="C152" s="4" t="s">
        <v>309</v>
      </c>
    </row>
    <row r="153" customFormat="false" ht="15" hidden="false" customHeight="false" outlineLevel="0" collapsed="false">
      <c r="A153" s="3" t="s">
        <v>44</v>
      </c>
      <c r="B153" s="4" t="s">
        <v>559</v>
      </c>
      <c r="C153" s="4" t="s">
        <v>560</v>
      </c>
    </row>
    <row r="154" customFormat="false" ht="15" hidden="false" customHeight="false" outlineLevel="0" collapsed="false">
      <c r="A154" s="3" t="s">
        <v>47</v>
      </c>
      <c r="B154" s="4" t="s">
        <v>561</v>
      </c>
      <c r="C154" s="4" t="s">
        <v>562</v>
      </c>
    </row>
    <row r="155" customFormat="false" ht="15" hidden="false" customHeight="false" outlineLevel="0" collapsed="false">
      <c r="A155" s="3" t="s">
        <v>50</v>
      </c>
      <c r="B155" s="4" t="s">
        <v>470</v>
      </c>
      <c r="C155" s="4" t="s">
        <v>563</v>
      </c>
    </row>
    <row r="156" customFormat="false" ht="15" hidden="false" customHeight="false" outlineLevel="0" collapsed="false">
      <c r="A156" s="3" t="s">
        <v>53</v>
      </c>
      <c r="B156" s="4" t="s">
        <v>54</v>
      </c>
      <c r="C156" s="4" t="s">
        <v>564</v>
      </c>
    </row>
    <row r="157" customFormat="false" ht="105" hidden="false" customHeight="true" outlineLevel="0" collapsed="false">
      <c r="A157" s="3" t="s">
        <v>56</v>
      </c>
      <c r="B157" s="4" t="s">
        <v>565</v>
      </c>
      <c r="C157" s="4" t="s">
        <v>566</v>
      </c>
    </row>
    <row r="158" customFormat="false" ht="68.65" hidden="false" customHeight="false" outlineLevel="0" collapsed="false">
      <c r="A158" s="3" t="s">
        <v>59</v>
      </c>
      <c r="B158" s="4" t="s">
        <v>567</v>
      </c>
      <c r="C158" s="4" t="s">
        <v>568</v>
      </c>
    </row>
    <row r="159" customFormat="false" ht="150" hidden="false" customHeight="true" outlineLevel="0" collapsed="false">
      <c r="A159" s="3" t="s">
        <v>62</v>
      </c>
      <c r="B159" s="4" t="s">
        <v>569</v>
      </c>
      <c r="C159" s="4" t="s">
        <v>570</v>
      </c>
    </row>
    <row r="160" customFormat="false" ht="15" hidden="false" customHeight="false" outlineLevel="0" collapsed="false">
      <c r="A160" s="7" t="s">
        <v>65</v>
      </c>
      <c r="B160" s="7" t="s">
        <v>66</v>
      </c>
      <c r="C160" s="7" t="s">
        <v>67</v>
      </c>
      <c r="D160" s="7" t="s">
        <v>68</v>
      </c>
      <c r="E160" s="7" t="s">
        <v>69</v>
      </c>
      <c r="F160" s="7" t="s">
        <v>70</v>
      </c>
      <c r="G160" s="7" t="s">
        <v>71</v>
      </c>
      <c r="H160" s="7" t="s">
        <v>72</v>
      </c>
      <c r="I160" s="7" t="s">
        <v>73</v>
      </c>
      <c r="J160" s="7" t="s">
        <v>74</v>
      </c>
      <c r="K160" s="7" t="s">
        <v>75</v>
      </c>
      <c r="L160" s="7" t="s">
        <v>76</v>
      </c>
      <c r="M160" s="7" t="s">
        <v>77</v>
      </c>
      <c r="N160" s="7" t="s">
        <v>78</v>
      </c>
      <c r="O160" s="7" t="s">
        <v>79</v>
      </c>
      <c r="P160" s="7" t="s">
        <v>80</v>
      </c>
    </row>
    <row r="161" customFormat="false" ht="15" hidden="false" customHeight="false" outlineLevel="0" collapsed="false">
      <c r="A161" s="0" t="s">
        <v>81</v>
      </c>
      <c r="B161" s="0" t="s">
        <v>516</v>
      </c>
      <c r="C161" s="0" t="n">
        <v>1</v>
      </c>
      <c r="D161" s="0" t="s">
        <v>224</v>
      </c>
      <c r="E161" s="0" t="s">
        <v>571</v>
      </c>
      <c r="F161" s="0" t="s">
        <v>572</v>
      </c>
      <c r="G161" s="0" t="s">
        <v>573</v>
      </c>
      <c r="H161" s="0" t="s">
        <v>574</v>
      </c>
      <c r="I161" s="0" t="n">
        <v>13</v>
      </c>
      <c r="J161" s="0" t="s">
        <v>575</v>
      </c>
      <c r="K161" s="0" t="s">
        <v>503</v>
      </c>
      <c r="L161" s="0" t="s">
        <v>184</v>
      </c>
      <c r="M161" s="0" t="s">
        <v>576</v>
      </c>
      <c r="N161" s="0" t="s">
        <v>577</v>
      </c>
      <c r="O161" s="0" t="s">
        <v>379</v>
      </c>
      <c r="P161" s="0" t="s">
        <v>94</v>
      </c>
    </row>
    <row r="162" customFormat="false" ht="15" hidden="false" customHeight="false" outlineLevel="0" collapsed="false">
      <c r="A162" s="0" t="s">
        <v>108</v>
      </c>
      <c r="B162" s="0" t="s">
        <v>516</v>
      </c>
      <c r="C162" s="0" t="n">
        <v>1</v>
      </c>
      <c r="D162" s="0" t="s">
        <v>224</v>
      </c>
      <c r="E162" s="0" t="s">
        <v>578</v>
      </c>
      <c r="F162" s="0" t="s">
        <v>572</v>
      </c>
      <c r="G162" s="0" t="s">
        <v>351</v>
      </c>
      <c r="H162" s="0" t="s">
        <v>144</v>
      </c>
      <c r="I162" s="0" t="n">
        <v>16</v>
      </c>
      <c r="J162" s="0" t="s">
        <v>213</v>
      </c>
      <c r="K162" s="0" t="s">
        <v>579</v>
      </c>
      <c r="L162" s="0" t="s">
        <v>580</v>
      </c>
      <c r="M162" s="0" t="s">
        <v>351</v>
      </c>
      <c r="N162" s="0" t="s">
        <v>581</v>
      </c>
      <c r="O162" s="0" t="s">
        <v>128</v>
      </c>
      <c r="P162" s="0" t="s">
        <v>94</v>
      </c>
    </row>
    <row r="163" customFormat="false" ht="15" hidden="false" customHeight="false" outlineLevel="0" collapsed="false">
      <c r="A163" s="0" t="s">
        <v>129</v>
      </c>
      <c r="B163" s="0" t="s">
        <v>266</v>
      </c>
      <c r="C163" s="0" t="n">
        <v>0</v>
      </c>
      <c r="I163" s="0" t="n">
        <v>18</v>
      </c>
      <c r="J163" s="0" t="s">
        <v>582</v>
      </c>
      <c r="K163" s="0" t="s">
        <v>583</v>
      </c>
      <c r="L163" s="0" t="s">
        <v>584</v>
      </c>
      <c r="M163" s="0" t="s">
        <v>585</v>
      </c>
      <c r="N163" s="0" t="s">
        <v>586</v>
      </c>
      <c r="O163" s="0" t="s">
        <v>289</v>
      </c>
      <c r="P163" s="0" t="s">
        <v>94</v>
      </c>
    </row>
    <row r="164" customFormat="false" ht="15" hidden="false" customHeight="false" outlineLevel="0" collapsed="false">
      <c r="A164" s="0" t="s">
        <v>121</v>
      </c>
      <c r="C164" s="0" t="n">
        <v>0</v>
      </c>
      <c r="I164" s="0" t="n">
        <v>6</v>
      </c>
      <c r="J164" s="0" t="s">
        <v>456</v>
      </c>
      <c r="K164" s="0" t="s">
        <v>309</v>
      </c>
      <c r="L164" s="0" t="s">
        <v>587</v>
      </c>
      <c r="M164" s="0" t="s">
        <v>198</v>
      </c>
      <c r="N164" s="0" t="s">
        <v>459</v>
      </c>
      <c r="O164" s="0" t="s">
        <v>289</v>
      </c>
      <c r="P164" s="0" t="s">
        <v>94</v>
      </c>
    </row>
    <row r="165" customFormat="false" ht="15" hidden="false" customHeight="false" outlineLevel="0" collapsed="false">
      <c r="A165" s="0" t="s">
        <v>95</v>
      </c>
      <c r="C165" s="0" t="n">
        <v>2</v>
      </c>
      <c r="D165" s="0" t="s">
        <v>588</v>
      </c>
      <c r="E165" s="0" t="s">
        <v>589</v>
      </c>
      <c r="F165" s="0" t="s">
        <v>590</v>
      </c>
      <c r="G165" s="0" t="s">
        <v>591</v>
      </c>
      <c r="H165" s="0" t="s">
        <v>592</v>
      </c>
      <c r="I165" s="0" t="n">
        <v>10</v>
      </c>
      <c r="J165" s="0" t="s">
        <v>371</v>
      </c>
      <c r="K165" s="0" t="s">
        <v>178</v>
      </c>
      <c r="L165" s="0" t="s">
        <v>404</v>
      </c>
      <c r="M165" s="0" t="s">
        <v>593</v>
      </c>
      <c r="N165" s="0" t="s">
        <v>538</v>
      </c>
      <c r="O165" s="0" t="s">
        <v>443</v>
      </c>
      <c r="P165" s="0" t="s">
        <v>237</v>
      </c>
    </row>
    <row r="166" customFormat="false" ht="15" hidden="false" customHeight="false" outlineLevel="0" collapsed="false">
      <c r="A166" s="0" t="s">
        <v>139</v>
      </c>
      <c r="C166" s="0" t="n">
        <v>2</v>
      </c>
      <c r="D166" s="0" t="s">
        <v>130</v>
      </c>
      <c r="E166" s="0" t="s">
        <v>594</v>
      </c>
      <c r="F166" s="0" t="s">
        <v>189</v>
      </c>
      <c r="G166" s="0" t="s">
        <v>595</v>
      </c>
      <c r="H166" s="0" t="s">
        <v>134</v>
      </c>
      <c r="I166" s="0" t="n">
        <v>0</v>
      </c>
      <c r="O166" s="0" t="s">
        <v>435</v>
      </c>
      <c r="P166" s="0" t="s">
        <v>237</v>
      </c>
    </row>
    <row r="167" customFormat="false" ht="15" hidden="false" customHeight="false" outlineLevel="0" collapsed="false">
      <c r="A167" s="0" t="s">
        <v>145</v>
      </c>
      <c r="C167" s="0" t="n">
        <v>0</v>
      </c>
      <c r="I167" s="0" t="n">
        <v>14</v>
      </c>
      <c r="J167" s="0" t="s">
        <v>596</v>
      </c>
      <c r="K167" s="0" t="s">
        <v>597</v>
      </c>
      <c r="L167" s="0" t="s">
        <v>123</v>
      </c>
      <c r="M167" s="0" t="s">
        <v>598</v>
      </c>
      <c r="N167" s="0" t="s">
        <v>599</v>
      </c>
      <c r="O167" s="0" t="s">
        <v>435</v>
      </c>
      <c r="P167" s="0" t="s">
        <v>237</v>
      </c>
    </row>
    <row r="169" customFormat="false" ht="15" hidden="false" customHeight="false" outlineLevel="0" collapsed="false">
      <c r="A169" s="6" t="s">
        <v>600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customFormat="false" ht="15" hidden="false" customHeight="false" outlineLevel="0" collapsed="false">
      <c r="A170" s="3"/>
      <c r="B170" s="3" t="s">
        <v>601</v>
      </c>
      <c r="C170" s="3" t="s">
        <v>602</v>
      </c>
    </row>
    <row r="171" customFormat="false" ht="15" hidden="false" customHeight="false" outlineLevel="0" collapsed="false">
      <c r="A171" s="3" t="s">
        <v>35</v>
      </c>
      <c r="B171" s="4" t="s">
        <v>603</v>
      </c>
      <c r="C171" s="4" t="s">
        <v>604</v>
      </c>
    </row>
    <row r="172" customFormat="false" ht="15" hidden="false" customHeight="false" outlineLevel="0" collapsed="false">
      <c r="A172" s="3" t="s">
        <v>38</v>
      </c>
      <c r="B172" s="4" t="s">
        <v>605</v>
      </c>
      <c r="C172" s="4" t="s">
        <v>606</v>
      </c>
    </row>
    <row r="173" customFormat="false" ht="15" hidden="false" customHeight="false" outlineLevel="0" collapsed="false">
      <c r="A173" s="3" t="s">
        <v>41</v>
      </c>
      <c r="B173" s="4" t="s">
        <v>522</v>
      </c>
      <c r="C173" s="4" t="s">
        <v>607</v>
      </c>
    </row>
    <row r="174" customFormat="false" ht="15" hidden="false" customHeight="false" outlineLevel="0" collapsed="false">
      <c r="A174" s="3" t="s">
        <v>44</v>
      </c>
      <c r="B174" s="4" t="s">
        <v>608</v>
      </c>
      <c r="C174" s="4" t="s">
        <v>609</v>
      </c>
    </row>
    <row r="175" customFormat="false" ht="15" hidden="false" customHeight="false" outlineLevel="0" collapsed="false">
      <c r="A175" s="3" t="s">
        <v>47</v>
      </c>
      <c r="B175" s="4" t="s">
        <v>610</v>
      </c>
      <c r="C175" s="4" t="s">
        <v>611</v>
      </c>
    </row>
    <row r="176" customFormat="false" ht="15" hidden="false" customHeight="false" outlineLevel="0" collapsed="false">
      <c r="A176" s="3" t="s">
        <v>50</v>
      </c>
      <c r="B176" s="4" t="s">
        <v>612</v>
      </c>
      <c r="C176" s="4" t="s">
        <v>613</v>
      </c>
    </row>
    <row r="177" customFormat="false" ht="15" hidden="false" customHeight="false" outlineLevel="0" collapsed="false">
      <c r="A177" s="3" t="s">
        <v>53</v>
      </c>
      <c r="B177" s="4" t="s">
        <v>614</v>
      </c>
      <c r="C177" s="4" t="s">
        <v>54</v>
      </c>
    </row>
    <row r="178" customFormat="false" ht="105" hidden="false" customHeight="true" outlineLevel="0" collapsed="false">
      <c r="A178" s="3" t="s">
        <v>56</v>
      </c>
      <c r="B178" s="4" t="s">
        <v>615</v>
      </c>
      <c r="C178" s="4" t="s">
        <v>616</v>
      </c>
    </row>
    <row r="179" customFormat="false" ht="68.65" hidden="false" customHeight="false" outlineLevel="0" collapsed="false">
      <c r="A179" s="3" t="s">
        <v>59</v>
      </c>
      <c r="B179" s="4" t="s">
        <v>617</v>
      </c>
      <c r="C179" s="4" t="s">
        <v>618</v>
      </c>
    </row>
    <row r="180" customFormat="false" ht="150" hidden="false" customHeight="true" outlineLevel="0" collapsed="false">
      <c r="A180" s="3" t="s">
        <v>62</v>
      </c>
      <c r="B180" s="4" t="s">
        <v>619</v>
      </c>
      <c r="C180" s="4" t="s">
        <v>620</v>
      </c>
    </row>
    <row r="181" customFormat="false" ht="15" hidden="false" customHeight="false" outlineLevel="0" collapsed="false">
      <c r="A181" s="7" t="s">
        <v>65</v>
      </c>
      <c r="B181" s="7" t="s">
        <v>66</v>
      </c>
      <c r="C181" s="7" t="s">
        <v>67</v>
      </c>
      <c r="D181" s="7" t="s">
        <v>68</v>
      </c>
      <c r="E181" s="7" t="s">
        <v>69</v>
      </c>
      <c r="F181" s="7" t="s">
        <v>70</v>
      </c>
      <c r="G181" s="7" t="s">
        <v>71</v>
      </c>
      <c r="H181" s="7" t="s">
        <v>72</v>
      </c>
      <c r="I181" s="7" t="s">
        <v>73</v>
      </c>
      <c r="J181" s="7" t="s">
        <v>74</v>
      </c>
      <c r="K181" s="7" t="s">
        <v>75</v>
      </c>
      <c r="L181" s="7" t="s">
        <v>76</v>
      </c>
      <c r="M181" s="7" t="s">
        <v>77</v>
      </c>
      <c r="N181" s="7" t="s">
        <v>78</v>
      </c>
      <c r="O181" s="7" t="s">
        <v>79</v>
      </c>
      <c r="P181" s="7" t="s">
        <v>80</v>
      </c>
    </row>
    <row r="182" customFormat="false" ht="15" hidden="false" customHeight="false" outlineLevel="0" collapsed="false">
      <c r="A182" s="0" t="s">
        <v>108</v>
      </c>
      <c r="B182" s="0" t="s">
        <v>176</v>
      </c>
      <c r="C182" s="0" t="n">
        <v>20</v>
      </c>
      <c r="D182" s="0" t="s">
        <v>621</v>
      </c>
      <c r="E182" s="0" t="s">
        <v>89</v>
      </c>
      <c r="F182" s="0" t="s">
        <v>622</v>
      </c>
      <c r="G182" s="0" t="s">
        <v>330</v>
      </c>
      <c r="H182" s="0" t="s">
        <v>623</v>
      </c>
      <c r="I182" s="0" t="n">
        <v>9</v>
      </c>
      <c r="J182" s="0" t="s">
        <v>624</v>
      </c>
      <c r="K182" s="0" t="s">
        <v>625</v>
      </c>
      <c r="L182" s="0" t="s">
        <v>357</v>
      </c>
      <c r="M182" s="0" t="s">
        <v>441</v>
      </c>
      <c r="N182" s="0" t="s">
        <v>626</v>
      </c>
      <c r="O182" s="0" t="s">
        <v>627</v>
      </c>
      <c r="P182" s="0" t="s">
        <v>94</v>
      </c>
    </row>
    <row r="183" customFormat="false" ht="15" hidden="false" customHeight="false" outlineLevel="0" collapsed="false">
      <c r="A183" s="0" t="s">
        <v>95</v>
      </c>
      <c r="B183" s="0" t="s">
        <v>516</v>
      </c>
      <c r="C183" s="0" t="n">
        <v>14</v>
      </c>
      <c r="D183" s="0" t="s">
        <v>628</v>
      </c>
      <c r="E183" s="0" t="s">
        <v>629</v>
      </c>
      <c r="F183" s="0" t="s">
        <v>546</v>
      </c>
      <c r="G183" s="0" t="s">
        <v>630</v>
      </c>
      <c r="H183" s="0" t="s">
        <v>211</v>
      </c>
      <c r="I183" s="0" t="n">
        <v>11</v>
      </c>
      <c r="J183" s="0" t="s">
        <v>631</v>
      </c>
      <c r="K183" s="0" t="s">
        <v>607</v>
      </c>
      <c r="L183" s="0" t="s">
        <v>203</v>
      </c>
      <c r="M183" s="0" t="s">
        <v>534</v>
      </c>
      <c r="N183" s="0" t="s">
        <v>632</v>
      </c>
      <c r="O183" s="0" t="s">
        <v>212</v>
      </c>
      <c r="P183" s="0" t="s">
        <v>94</v>
      </c>
    </row>
    <row r="184" customFormat="false" ht="15" hidden="false" customHeight="false" outlineLevel="0" collapsed="false">
      <c r="A184" s="0" t="s">
        <v>139</v>
      </c>
      <c r="B184" s="0" t="s">
        <v>187</v>
      </c>
      <c r="C184" s="0" t="n">
        <v>20</v>
      </c>
      <c r="D184" s="0" t="s">
        <v>245</v>
      </c>
      <c r="E184" s="0" t="s">
        <v>89</v>
      </c>
      <c r="F184" s="0" t="s">
        <v>526</v>
      </c>
      <c r="G184" s="0" t="s">
        <v>633</v>
      </c>
      <c r="H184" s="0" t="s">
        <v>634</v>
      </c>
      <c r="I184" s="0" t="n">
        <v>4</v>
      </c>
      <c r="J184" s="0" t="s">
        <v>229</v>
      </c>
      <c r="K184" s="0" t="s">
        <v>635</v>
      </c>
      <c r="L184" s="0" t="s">
        <v>99</v>
      </c>
      <c r="M184" s="0" t="s">
        <v>351</v>
      </c>
      <c r="N184" s="0" t="s">
        <v>636</v>
      </c>
      <c r="O184" s="0" t="s">
        <v>637</v>
      </c>
      <c r="P184" s="0" t="s">
        <v>237</v>
      </c>
    </row>
    <row r="185" customFormat="false" ht="15" hidden="false" customHeight="false" outlineLevel="0" collapsed="false">
      <c r="A185" s="0" t="s">
        <v>81</v>
      </c>
      <c r="C185" s="0" t="n">
        <v>0</v>
      </c>
      <c r="I185" s="0" t="n">
        <v>10</v>
      </c>
      <c r="J185" s="0" t="s">
        <v>638</v>
      </c>
      <c r="K185" s="0" t="s">
        <v>639</v>
      </c>
      <c r="L185" s="0" t="s">
        <v>180</v>
      </c>
      <c r="M185" s="0" t="s">
        <v>640</v>
      </c>
      <c r="N185" s="0" t="s">
        <v>641</v>
      </c>
      <c r="O185" s="0" t="s">
        <v>642</v>
      </c>
      <c r="P185" s="0" t="s">
        <v>237</v>
      </c>
    </row>
    <row r="186" customFormat="false" ht="15" hidden="false" customHeight="false" outlineLevel="0" collapsed="false">
      <c r="A186" s="0" t="s">
        <v>121</v>
      </c>
      <c r="C186" s="0" t="n">
        <v>10</v>
      </c>
      <c r="D186" s="0" t="s">
        <v>177</v>
      </c>
      <c r="E186" s="0" t="s">
        <v>335</v>
      </c>
      <c r="F186" s="0" t="s">
        <v>643</v>
      </c>
      <c r="G186" s="0" t="s">
        <v>133</v>
      </c>
      <c r="H186" s="0" t="s">
        <v>644</v>
      </c>
      <c r="I186" s="0" t="n">
        <v>3</v>
      </c>
      <c r="J186" s="0" t="s">
        <v>540</v>
      </c>
      <c r="K186" s="0" t="s">
        <v>645</v>
      </c>
      <c r="L186" s="0" t="s">
        <v>646</v>
      </c>
      <c r="M186" s="0" t="s">
        <v>647</v>
      </c>
      <c r="N186" s="0" t="s">
        <v>544</v>
      </c>
      <c r="O186" s="0" t="s">
        <v>648</v>
      </c>
      <c r="P186" s="0" t="s">
        <v>237</v>
      </c>
    </row>
    <row r="187" customFormat="false" ht="15" hidden="false" customHeight="false" outlineLevel="0" collapsed="false">
      <c r="A187" s="0" t="s">
        <v>129</v>
      </c>
      <c r="C187" s="0" t="n">
        <v>12</v>
      </c>
      <c r="D187" s="0" t="s">
        <v>409</v>
      </c>
      <c r="E187" s="0" t="s">
        <v>545</v>
      </c>
      <c r="F187" s="0" t="s">
        <v>649</v>
      </c>
      <c r="G187" s="0" t="s">
        <v>411</v>
      </c>
      <c r="H187" s="0" t="s">
        <v>235</v>
      </c>
      <c r="I187" s="0" t="n">
        <v>9</v>
      </c>
      <c r="J187" s="0" t="s">
        <v>650</v>
      </c>
      <c r="K187" s="0" t="s">
        <v>651</v>
      </c>
      <c r="L187" s="0" t="s">
        <v>357</v>
      </c>
      <c r="M187" s="0" t="s">
        <v>652</v>
      </c>
      <c r="N187" s="0" t="s">
        <v>626</v>
      </c>
      <c r="O187" s="0" t="s">
        <v>653</v>
      </c>
      <c r="P187" s="0" t="s">
        <v>94</v>
      </c>
    </row>
    <row r="188" customFormat="false" ht="15" hidden="false" customHeight="false" outlineLevel="0" collapsed="false">
      <c r="A188" s="0" t="s">
        <v>145</v>
      </c>
      <c r="C188" s="0" t="n">
        <v>17</v>
      </c>
      <c r="D188" s="0" t="s">
        <v>359</v>
      </c>
      <c r="E188" s="0" t="s">
        <v>654</v>
      </c>
      <c r="F188" s="0" t="s">
        <v>655</v>
      </c>
      <c r="G188" s="0" t="s">
        <v>656</v>
      </c>
      <c r="H188" s="0" t="s">
        <v>127</v>
      </c>
      <c r="I188" s="0" t="n">
        <v>1</v>
      </c>
      <c r="J188" s="0" t="s">
        <v>140</v>
      </c>
      <c r="K188" s="0" t="s">
        <v>141</v>
      </c>
      <c r="L188" s="0" t="s">
        <v>143</v>
      </c>
      <c r="M188" s="0" t="s">
        <v>142</v>
      </c>
      <c r="N188" s="0" t="s">
        <v>657</v>
      </c>
      <c r="O188" s="0" t="s">
        <v>658</v>
      </c>
      <c r="P188" s="0" t="s">
        <v>430</v>
      </c>
    </row>
    <row r="190" customFormat="false" ht="15" hidden="false" customHeight="false" outlineLevel="0" collapsed="false">
      <c r="A190" s="6" t="s">
        <v>659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customFormat="false" ht="15" hidden="false" customHeight="false" outlineLevel="0" collapsed="false">
      <c r="A191" s="3"/>
      <c r="B191" s="3" t="s">
        <v>660</v>
      </c>
      <c r="C191" s="3" t="s">
        <v>661</v>
      </c>
    </row>
    <row r="192" customFormat="false" ht="15" hidden="false" customHeight="false" outlineLevel="0" collapsed="false">
      <c r="A192" s="3" t="s">
        <v>35</v>
      </c>
      <c r="B192" s="4" t="s">
        <v>662</v>
      </c>
      <c r="C192" s="4" t="s">
        <v>663</v>
      </c>
    </row>
    <row r="193" customFormat="false" ht="15" hidden="false" customHeight="false" outlineLevel="0" collapsed="false">
      <c r="A193" s="3" t="s">
        <v>38</v>
      </c>
      <c r="B193" s="4" t="s">
        <v>664</v>
      </c>
      <c r="C193" s="4" t="s">
        <v>665</v>
      </c>
    </row>
    <row r="194" customFormat="false" ht="15" hidden="false" customHeight="false" outlineLevel="0" collapsed="false">
      <c r="A194" s="3" t="s">
        <v>41</v>
      </c>
      <c r="B194" s="4" t="s">
        <v>388</v>
      </c>
      <c r="C194" s="4"/>
    </row>
    <row r="195" customFormat="false" ht="15" hidden="false" customHeight="false" outlineLevel="0" collapsed="false">
      <c r="A195" s="3" t="s">
        <v>44</v>
      </c>
      <c r="B195" s="4" t="s">
        <v>666</v>
      </c>
      <c r="C195" s="4" t="s">
        <v>667</v>
      </c>
    </row>
    <row r="196" customFormat="false" ht="15" hidden="false" customHeight="false" outlineLevel="0" collapsed="false">
      <c r="A196" s="3" t="s">
        <v>47</v>
      </c>
      <c r="B196" s="4" t="s">
        <v>668</v>
      </c>
      <c r="C196" s="4" t="s">
        <v>669</v>
      </c>
    </row>
    <row r="197" customFormat="false" ht="15" hidden="false" customHeight="false" outlineLevel="0" collapsed="false">
      <c r="A197" s="3" t="s">
        <v>50</v>
      </c>
      <c r="B197" s="4" t="s">
        <v>670</v>
      </c>
      <c r="C197" s="4" t="s">
        <v>671</v>
      </c>
    </row>
    <row r="198" customFormat="false" ht="15" hidden="false" customHeight="false" outlineLevel="0" collapsed="false">
      <c r="A198" s="3" t="s">
        <v>53</v>
      </c>
      <c r="B198" s="4" t="s">
        <v>54</v>
      </c>
      <c r="C198" s="4" t="s">
        <v>54</v>
      </c>
    </row>
    <row r="199" customFormat="false" ht="105" hidden="false" customHeight="true" outlineLevel="0" collapsed="false">
      <c r="A199" s="3" t="s">
        <v>56</v>
      </c>
      <c r="B199" s="4" t="s">
        <v>672</v>
      </c>
      <c r="C199" s="4" t="s">
        <v>54</v>
      </c>
    </row>
    <row r="200" customFormat="false" ht="68.65" hidden="false" customHeight="false" outlineLevel="0" collapsed="false">
      <c r="A200" s="3" t="s">
        <v>59</v>
      </c>
      <c r="B200" s="4" t="s">
        <v>673</v>
      </c>
      <c r="C200" s="4"/>
    </row>
    <row r="201" customFormat="false" ht="150" hidden="false" customHeight="true" outlineLevel="0" collapsed="false">
      <c r="A201" s="3" t="s">
        <v>62</v>
      </c>
      <c r="B201" s="4" t="s">
        <v>674</v>
      </c>
      <c r="C201" s="4" t="s">
        <v>675</v>
      </c>
    </row>
    <row r="202" customFormat="false" ht="15" hidden="false" customHeight="false" outlineLevel="0" collapsed="false">
      <c r="A202" s="7" t="s">
        <v>65</v>
      </c>
      <c r="B202" s="7" t="s">
        <v>66</v>
      </c>
      <c r="C202" s="7" t="s">
        <v>67</v>
      </c>
      <c r="D202" s="7" t="s">
        <v>68</v>
      </c>
      <c r="E202" s="7" t="s">
        <v>69</v>
      </c>
      <c r="F202" s="7" t="s">
        <v>70</v>
      </c>
      <c r="G202" s="7" t="s">
        <v>71</v>
      </c>
      <c r="H202" s="7" t="s">
        <v>72</v>
      </c>
      <c r="I202" s="7" t="s">
        <v>73</v>
      </c>
      <c r="J202" s="7" t="s">
        <v>74</v>
      </c>
      <c r="K202" s="7" t="s">
        <v>75</v>
      </c>
      <c r="L202" s="7" t="s">
        <v>76</v>
      </c>
      <c r="M202" s="7" t="s">
        <v>77</v>
      </c>
      <c r="N202" s="7" t="s">
        <v>78</v>
      </c>
      <c r="O202" s="7" t="s">
        <v>79</v>
      </c>
      <c r="P202" s="7" t="s">
        <v>80</v>
      </c>
    </row>
    <row r="203" customFormat="false" ht="15" hidden="false" customHeight="false" outlineLevel="0" collapsed="false">
      <c r="A203" s="0" t="s">
        <v>95</v>
      </c>
      <c r="B203" s="0" t="s">
        <v>82</v>
      </c>
      <c r="C203" s="0" t="n">
        <v>14</v>
      </c>
      <c r="D203" s="0" t="s">
        <v>676</v>
      </c>
      <c r="E203" s="0" t="s">
        <v>677</v>
      </c>
      <c r="F203" s="0" t="s">
        <v>678</v>
      </c>
      <c r="G203" s="0" t="s">
        <v>679</v>
      </c>
      <c r="H203" s="0" t="s">
        <v>680</v>
      </c>
      <c r="I203" s="0" t="n">
        <v>0</v>
      </c>
      <c r="O203" s="0" t="s">
        <v>681</v>
      </c>
      <c r="P203" s="0" t="s">
        <v>682</v>
      </c>
    </row>
    <row r="204" customFormat="false" ht="15" hidden="false" customHeight="false" outlineLevel="0" collapsed="false">
      <c r="A204" s="0" t="s">
        <v>81</v>
      </c>
      <c r="B204" s="0" t="s">
        <v>419</v>
      </c>
      <c r="C204" s="0" t="n">
        <v>11</v>
      </c>
      <c r="D204" s="0" t="s">
        <v>631</v>
      </c>
      <c r="E204" s="0" t="s">
        <v>43</v>
      </c>
      <c r="F204" s="0" t="s">
        <v>364</v>
      </c>
      <c r="G204" s="0" t="s">
        <v>351</v>
      </c>
      <c r="H204" s="0" t="s">
        <v>683</v>
      </c>
      <c r="I204" s="0" t="n">
        <v>0</v>
      </c>
      <c r="O204" s="0" t="s">
        <v>684</v>
      </c>
      <c r="P204" s="0" t="s">
        <v>94</v>
      </c>
    </row>
    <row r="205" customFormat="false" ht="15" hidden="false" customHeight="false" outlineLevel="0" collapsed="false">
      <c r="A205" s="0" t="s">
        <v>145</v>
      </c>
      <c r="B205" s="0" t="s">
        <v>109</v>
      </c>
      <c r="C205" s="0" t="n">
        <v>10</v>
      </c>
      <c r="D205" s="0" t="s">
        <v>371</v>
      </c>
      <c r="E205" s="0" t="s">
        <v>111</v>
      </c>
      <c r="F205" s="0" t="s">
        <v>685</v>
      </c>
      <c r="G205" s="0" t="s">
        <v>686</v>
      </c>
      <c r="H205" s="0" t="s">
        <v>428</v>
      </c>
      <c r="I205" s="0" t="n">
        <v>0</v>
      </c>
      <c r="O205" s="0" t="s">
        <v>375</v>
      </c>
      <c r="P205" s="0" t="s">
        <v>94</v>
      </c>
    </row>
    <row r="206" customFormat="false" ht="15" hidden="false" customHeight="false" outlineLevel="0" collapsed="false">
      <c r="A206" s="0" t="s">
        <v>121</v>
      </c>
      <c r="C206" s="0" t="n">
        <v>7</v>
      </c>
      <c r="D206" s="0" t="s">
        <v>97</v>
      </c>
      <c r="E206" s="0" t="s">
        <v>583</v>
      </c>
      <c r="F206" s="0" t="s">
        <v>687</v>
      </c>
      <c r="G206" s="0" t="s">
        <v>688</v>
      </c>
      <c r="H206" s="0" t="s">
        <v>101</v>
      </c>
      <c r="I206" s="0" t="n">
        <v>0</v>
      </c>
      <c r="O206" s="0" t="s">
        <v>689</v>
      </c>
      <c r="P206" s="0" t="s">
        <v>94</v>
      </c>
    </row>
    <row r="207" customFormat="false" ht="15" hidden="false" customHeight="false" outlineLevel="0" collapsed="false">
      <c r="A207" s="0" t="s">
        <v>129</v>
      </c>
      <c r="C207" s="0" t="n">
        <v>3</v>
      </c>
      <c r="D207" s="0" t="s">
        <v>376</v>
      </c>
      <c r="E207" s="0" t="s">
        <v>309</v>
      </c>
      <c r="F207" s="0" t="s">
        <v>690</v>
      </c>
      <c r="G207" s="0" t="s">
        <v>351</v>
      </c>
      <c r="H207" s="0" t="s">
        <v>691</v>
      </c>
      <c r="I207" s="0" t="n">
        <v>0</v>
      </c>
      <c r="O207" s="0" t="s">
        <v>488</v>
      </c>
      <c r="P207" s="0" t="s">
        <v>94</v>
      </c>
    </row>
    <row r="208" customFormat="false" ht="15" hidden="false" customHeight="false" outlineLevel="0" collapsed="false">
      <c r="A208" s="0" t="s">
        <v>139</v>
      </c>
      <c r="C208" s="0" t="n">
        <v>8</v>
      </c>
      <c r="D208" s="0" t="s">
        <v>692</v>
      </c>
      <c r="E208" s="0" t="s">
        <v>693</v>
      </c>
      <c r="F208" s="0" t="s">
        <v>99</v>
      </c>
      <c r="G208" s="0" t="s">
        <v>694</v>
      </c>
      <c r="H208" s="0" t="s">
        <v>547</v>
      </c>
      <c r="I208" s="0" t="n">
        <v>0</v>
      </c>
      <c r="O208" s="0" t="s">
        <v>695</v>
      </c>
      <c r="P208" s="0" t="s">
        <v>94</v>
      </c>
    </row>
    <row r="209" customFormat="false" ht="15" hidden="false" customHeight="false" outlineLevel="0" collapsed="false">
      <c r="A209" s="0" t="s">
        <v>108</v>
      </c>
      <c r="C209" s="0" t="n">
        <v>9</v>
      </c>
      <c r="D209" s="0" t="s">
        <v>696</v>
      </c>
      <c r="E209" s="0" t="s">
        <v>367</v>
      </c>
      <c r="F209" s="0" t="s">
        <v>410</v>
      </c>
      <c r="G209" s="0" t="s">
        <v>518</v>
      </c>
      <c r="H209" s="0" t="s">
        <v>697</v>
      </c>
      <c r="I209" s="0" t="n">
        <v>0</v>
      </c>
      <c r="O209" s="0" t="s">
        <v>494</v>
      </c>
      <c r="P209" s="0" t="s">
        <v>94</v>
      </c>
    </row>
    <row r="211" customFormat="false" ht="15" hidden="false" customHeight="false" outlineLevel="0" collapsed="false">
      <c r="A211" s="6" t="s">
        <v>698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customFormat="false" ht="15" hidden="false" customHeight="false" outlineLevel="0" collapsed="false">
      <c r="A212" s="3"/>
      <c r="B212" s="3" t="s">
        <v>699</v>
      </c>
      <c r="C212" s="3" t="s">
        <v>700</v>
      </c>
    </row>
    <row r="213" customFormat="false" ht="15" hidden="false" customHeight="false" outlineLevel="0" collapsed="false">
      <c r="A213" s="3" t="s">
        <v>35</v>
      </c>
      <c r="B213" s="4" t="s">
        <v>701</v>
      </c>
      <c r="C213" s="4" t="s">
        <v>702</v>
      </c>
    </row>
    <row r="214" customFormat="false" ht="15" hidden="false" customHeight="false" outlineLevel="0" collapsed="false">
      <c r="A214" s="3" t="s">
        <v>38</v>
      </c>
      <c r="B214" s="4" t="s">
        <v>386</v>
      </c>
      <c r="C214" s="4" t="s">
        <v>703</v>
      </c>
    </row>
    <row r="215" customFormat="false" ht="15" hidden="false" customHeight="false" outlineLevel="0" collapsed="false">
      <c r="A215" s="3" t="s">
        <v>41</v>
      </c>
      <c r="B215" s="4" t="s">
        <v>98</v>
      </c>
      <c r="C215" s="4" t="s">
        <v>503</v>
      </c>
    </row>
    <row r="216" customFormat="false" ht="15" hidden="false" customHeight="false" outlineLevel="0" collapsed="false">
      <c r="A216" s="3" t="s">
        <v>44</v>
      </c>
      <c r="B216" s="4" t="s">
        <v>704</v>
      </c>
      <c r="C216" s="4" t="s">
        <v>705</v>
      </c>
    </row>
    <row r="217" customFormat="false" ht="15" hidden="false" customHeight="false" outlineLevel="0" collapsed="false">
      <c r="A217" s="3" t="s">
        <v>47</v>
      </c>
      <c r="B217" s="4" t="s">
        <v>706</v>
      </c>
      <c r="C217" s="4" t="s">
        <v>707</v>
      </c>
    </row>
    <row r="218" customFormat="false" ht="15" hidden="false" customHeight="false" outlineLevel="0" collapsed="false">
      <c r="A218" s="3" t="s">
        <v>50</v>
      </c>
      <c r="B218" s="4" t="s">
        <v>708</v>
      </c>
      <c r="C218" s="4" t="s">
        <v>709</v>
      </c>
    </row>
    <row r="219" customFormat="false" ht="15" hidden="false" customHeight="false" outlineLevel="0" collapsed="false">
      <c r="A219" s="3" t="s">
        <v>53</v>
      </c>
      <c r="B219" s="4" t="s">
        <v>54</v>
      </c>
      <c r="C219" s="4" t="s">
        <v>54</v>
      </c>
    </row>
    <row r="220" customFormat="false" ht="105" hidden="false" customHeight="true" outlineLevel="0" collapsed="false">
      <c r="A220" s="3" t="s">
        <v>56</v>
      </c>
      <c r="B220" s="4" t="s">
        <v>710</v>
      </c>
      <c r="C220" s="4" t="s">
        <v>711</v>
      </c>
    </row>
    <row r="221" customFormat="false" ht="68.65" hidden="false" customHeight="false" outlineLevel="0" collapsed="false">
      <c r="A221" s="3" t="s">
        <v>59</v>
      </c>
      <c r="B221" s="4" t="s">
        <v>712</v>
      </c>
      <c r="C221" s="4" t="s">
        <v>713</v>
      </c>
    </row>
    <row r="222" customFormat="false" ht="150" hidden="false" customHeight="true" outlineLevel="0" collapsed="false">
      <c r="A222" s="3" t="s">
        <v>62</v>
      </c>
      <c r="B222" s="4" t="s">
        <v>714</v>
      </c>
      <c r="C222" s="4" t="s">
        <v>715</v>
      </c>
    </row>
    <row r="223" customFormat="false" ht="15" hidden="false" customHeight="false" outlineLevel="0" collapsed="false">
      <c r="A223" s="7" t="s">
        <v>65</v>
      </c>
      <c r="B223" s="7" t="s">
        <v>66</v>
      </c>
      <c r="C223" s="7" t="s">
        <v>67</v>
      </c>
      <c r="D223" s="7" t="s">
        <v>68</v>
      </c>
      <c r="E223" s="7" t="s">
        <v>69</v>
      </c>
      <c r="F223" s="7" t="s">
        <v>70</v>
      </c>
      <c r="G223" s="7" t="s">
        <v>71</v>
      </c>
      <c r="H223" s="7" t="s">
        <v>72</v>
      </c>
      <c r="I223" s="7" t="s">
        <v>73</v>
      </c>
      <c r="J223" s="7" t="s">
        <v>74</v>
      </c>
      <c r="K223" s="7" t="s">
        <v>75</v>
      </c>
      <c r="L223" s="7" t="s">
        <v>76</v>
      </c>
      <c r="M223" s="7" t="s">
        <v>77</v>
      </c>
      <c r="N223" s="7" t="s">
        <v>78</v>
      </c>
      <c r="O223" s="7" t="s">
        <v>79</v>
      </c>
      <c r="P223" s="7" t="s">
        <v>80</v>
      </c>
    </row>
    <row r="224" customFormat="false" ht="15" hidden="false" customHeight="false" outlineLevel="0" collapsed="false">
      <c r="A224" s="0" t="s">
        <v>81</v>
      </c>
      <c r="B224" s="0" t="s">
        <v>288</v>
      </c>
      <c r="C224" s="0" t="n">
        <v>16</v>
      </c>
      <c r="D224" s="0" t="s">
        <v>716</v>
      </c>
      <c r="E224" s="0" t="s">
        <v>717</v>
      </c>
      <c r="F224" s="0" t="s">
        <v>718</v>
      </c>
      <c r="G224" s="0" t="s">
        <v>90</v>
      </c>
      <c r="H224" s="0" t="s">
        <v>719</v>
      </c>
      <c r="I224" s="0" t="n">
        <v>8</v>
      </c>
      <c r="J224" s="0" t="s">
        <v>692</v>
      </c>
      <c r="K224" s="0" t="s">
        <v>363</v>
      </c>
      <c r="L224" s="0" t="s">
        <v>360</v>
      </c>
      <c r="M224" s="0" t="s">
        <v>720</v>
      </c>
      <c r="N224" s="0" t="s">
        <v>721</v>
      </c>
      <c r="O224" s="0" t="s">
        <v>722</v>
      </c>
      <c r="P224" s="0" t="s">
        <v>154</v>
      </c>
    </row>
    <row r="225" customFormat="false" ht="15" hidden="false" customHeight="false" outlineLevel="0" collapsed="false">
      <c r="A225" s="0" t="s">
        <v>129</v>
      </c>
      <c r="B225" s="0" t="s">
        <v>516</v>
      </c>
      <c r="C225" s="0" t="n">
        <v>13</v>
      </c>
      <c r="D225" s="0" t="s">
        <v>723</v>
      </c>
      <c r="E225" s="0" t="s">
        <v>183</v>
      </c>
      <c r="F225" s="0" t="s">
        <v>724</v>
      </c>
      <c r="G225" s="0" t="s">
        <v>189</v>
      </c>
      <c r="H225" s="0" t="s">
        <v>358</v>
      </c>
      <c r="I225" s="0" t="n">
        <v>6</v>
      </c>
      <c r="J225" s="0" t="s">
        <v>456</v>
      </c>
      <c r="K225" s="0" t="s">
        <v>367</v>
      </c>
      <c r="L225" s="0" t="s">
        <v>725</v>
      </c>
      <c r="M225" s="0" t="s">
        <v>726</v>
      </c>
      <c r="N225" s="0" t="s">
        <v>727</v>
      </c>
      <c r="O225" s="0" t="s">
        <v>728</v>
      </c>
      <c r="P225" s="0" t="s">
        <v>237</v>
      </c>
    </row>
    <row r="226" customFormat="false" ht="15" hidden="false" customHeight="false" outlineLevel="0" collapsed="false">
      <c r="A226" s="0" t="s">
        <v>145</v>
      </c>
      <c r="B226" s="0" t="s">
        <v>96</v>
      </c>
      <c r="C226" s="0" t="n">
        <v>10</v>
      </c>
      <c r="D226" s="0" t="s">
        <v>729</v>
      </c>
      <c r="E226" s="0" t="s">
        <v>42</v>
      </c>
      <c r="F226" s="0" t="s">
        <v>192</v>
      </c>
      <c r="G226" s="0" t="s">
        <v>730</v>
      </c>
      <c r="H226" s="0" t="s">
        <v>644</v>
      </c>
      <c r="I226" s="0" t="n">
        <v>7</v>
      </c>
      <c r="J226" s="0" t="s">
        <v>219</v>
      </c>
      <c r="K226" s="0" t="s">
        <v>503</v>
      </c>
      <c r="L226" s="0" t="s">
        <v>373</v>
      </c>
      <c r="M226" s="0" t="s">
        <v>731</v>
      </c>
      <c r="N226" s="0" t="s">
        <v>101</v>
      </c>
      <c r="O226" s="0" t="s">
        <v>732</v>
      </c>
      <c r="P226" s="0" t="s">
        <v>237</v>
      </c>
    </row>
    <row r="227" customFormat="false" ht="15" hidden="false" customHeight="false" outlineLevel="0" collapsed="false">
      <c r="A227" s="0" t="s">
        <v>121</v>
      </c>
      <c r="C227" s="0" t="n">
        <v>2</v>
      </c>
      <c r="D227" s="0" t="s">
        <v>588</v>
      </c>
      <c r="E227" s="0" t="s">
        <v>733</v>
      </c>
      <c r="F227" s="0" t="s">
        <v>734</v>
      </c>
      <c r="G227" s="0" t="s">
        <v>143</v>
      </c>
      <c r="H227" s="0" t="s">
        <v>735</v>
      </c>
      <c r="I227" s="0" t="n">
        <v>6</v>
      </c>
      <c r="J227" s="0" t="s">
        <v>736</v>
      </c>
      <c r="K227" s="0" t="s">
        <v>693</v>
      </c>
      <c r="L227" s="0" t="s">
        <v>737</v>
      </c>
      <c r="M227" s="0" t="s">
        <v>422</v>
      </c>
      <c r="N227" s="0" t="s">
        <v>738</v>
      </c>
      <c r="O227" s="0" t="s">
        <v>195</v>
      </c>
      <c r="P227" s="0" t="s">
        <v>94</v>
      </c>
    </row>
    <row r="228" customFormat="false" ht="15" hidden="false" customHeight="false" outlineLevel="0" collapsed="false">
      <c r="A228" s="0" t="s">
        <v>95</v>
      </c>
      <c r="C228" s="0" t="n">
        <v>6</v>
      </c>
      <c r="D228" s="0" t="s">
        <v>736</v>
      </c>
      <c r="E228" s="0" t="s">
        <v>635</v>
      </c>
      <c r="F228" s="0" t="s">
        <v>193</v>
      </c>
      <c r="G228" s="0" t="s">
        <v>739</v>
      </c>
      <c r="H228" s="0" t="s">
        <v>740</v>
      </c>
      <c r="I228" s="0" t="n">
        <v>6</v>
      </c>
      <c r="J228" s="0" t="s">
        <v>736</v>
      </c>
      <c r="K228" s="0" t="s">
        <v>350</v>
      </c>
      <c r="L228" s="0" t="s">
        <v>741</v>
      </c>
      <c r="M228" s="0" t="s">
        <v>687</v>
      </c>
      <c r="N228" s="0" t="s">
        <v>742</v>
      </c>
      <c r="O228" s="0" t="s">
        <v>743</v>
      </c>
      <c r="P228" s="0" t="s">
        <v>94</v>
      </c>
    </row>
    <row r="229" customFormat="false" ht="15" hidden="false" customHeight="false" outlineLevel="0" collapsed="false">
      <c r="A229" s="0" t="s">
        <v>139</v>
      </c>
      <c r="C229" s="0" t="n">
        <v>10</v>
      </c>
      <c r="D229" s="0" t="s">
        <v>424</v>
      </c>
      <c r="E229" s="0" t="s">
        <v>583</v>
      </c>
      <c r="F229" s="0" t="s">
        <v>656</v>
      </c>
      <c r="G229" s="0" t="s">
        <v>630</v>
      </c>
      <c r="H229" s="0" t="s">
        <v>644</v>
      </c>
      <c r="I229" s="0" t="n">
        <v>0</v>
      </c>
      <c r="O229" s="0" t="s">
        <v>488</v>
      </c>
      <c r="P229" s="0" t="s">
        <v>94</v>
      </c>
    </row>
    <row r="230" customFormat="false" ht="15" hidden="false" customHeight="false" outlineLevel="0" collapsed="false">
      <c r="A230" s="0" t="s">
        <v>108</v>
      </c>
      <c r="C230" s="0" t="n">
        <v>8</v>
      </c>
      <c r="D230" s="0" t="s">
        <v>692</v>
      </c>
      <c r="E230" s="0" t="s">
        <v>188</v>
      </c>
      <c r="F230" s="0" t="s">
        <v>203</v>
      </c>
      <c r="G230" s="0" t="s">
        <v>643</v>
      </c>
      <c r="H230" s="0" t="s">
        <v>87</v>
      </c>
      <c r="I230" s="0" t="n">
        <v>8</v>
      </c>
      <c r="J230" s="0" t="s">
        <v>83</v>
      </c>
      <c r="K230" s="0" t="s">
        <v>744</v>
      </c>
      <c r="L230" s="0" t="s">
        <v>745</v>
      </c>
      <c r="M230" s="0" t="s">
        <v>746</v>
      </c>
      <c r="N230" s="0" t="s">
        <v>721</v>
      </c>
      <c r="O230" s="0" t="s">
        <v>747</v>
      </c>
      <c r="P230" s="0" t="s">
        <v>94</v>
      </c>
    </row>
    <row r="232" customFormat="false" ht="15" hidden="false" customHeight="false" outlineLevel="0" collapsed="false">
      <c r="A232" s="6" t="s">
        <v>748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customFormat="false" ht="15" hidden="false" customHeight="false" outlineLevel="0" collapsed="false">
      <c r="A233" s="3"/>
      <c r="B233" s="3" t="s">
        <v>749</v>
      </c>
      <c r="C233" s="3" t="s">
        <v>750</v>
      </c>
    </row>
    <row r="234" customFormat="false" ht="15" hidden="false" customHeight="false" outlineLevel="0" collapsed="false">
      <c r="A234" s="3" t="s">
        <v>35</v>
      </c>
      <c r="B234" s="4" t="s">
        <v>751</v>
      </c>
      <c r="C234" s="4" t="s">
        <v>752</v>
      </c>
    </row>
    <row r="235" customFormat="false" ht="15" hidden="false" customHeight="false" outlineLevel="0" collapsed="false">
      <c r="A235" s="3" t="s">
        <v>38</v>
      </c>
      <c r="B235" s="4" t="s">
        <v>39</v>
      </c>
      <c r="C235" s="4" t="s">
        <v>753</v>
      </c>
    </row>
    <row r="236" customFormat="false" ht="15" hidden="false" customHeight="false" outlineLevel="0" collapsed="false">
      <c r="A236" s="3" t="s">
        <v>41</v>
      </c>
      <c r="B236" s="4" t="s">
        <v>367</v>
      </c>
      <c r="C236" s="4" t="s">
        <v>309</v>
      </c>
    </row>
    <row r="237" customFormat="false" ht="15" hidden="false" customHeight="false" outlineLevel="0" collapsed="false">
      <c r="A237" s="3" t="s">
        <v>44</v>
      </c>
      <c r="B237" s="4" t="s">
        <v>754</v>
      </c>
      <c r="C237" s="4" t="s">
        <v>755</v>
      </c>
    </row>
    <row r="238" customFormat="false" ht="15" hidden="false" customHeight="false" outlineLevel="0" collapsed="false">
      <c r="A238" s="3" t="s">
        <v>47</v>
      </c>
      <c r="B238" s="4" t="s">
        <v>756</v>
      </c>
      <c r="C238" s="4" t="s">
        <v>757</v>
      </c>
    </row>
    <row r="239" customFormat="false" ht="15" hidden="false" customHeight="false" outlineLevel="0" collapsed="false">
      <c r="A239" s="3" t="s">
        <v>50</v>
      </c>
      <c r="B239" s="4" t="s">
        <v>758</v>
      </c>
      <c r="C239" s="4" t="s">
        <v>316</v>
      </c>
    </row>
    <row r="240" customFormat="false" ht="15" hidden="false" customHeight="false" outlineLevel="0" collapsed="false">
      <c r="A240" s="3" t="s">
        <v>53</v>
      </c>
      <c r="B240" s="4" t="s">
        <v>54</v>
      </c>
      <c r="C240" s="4" t="s">
        <v>54</v>
      </c>
    </row>
    <row r="241" customFormat="false" ht="105" hidden="false" customHeight="true" outlineLevel="0" collapsed="false">
      <c r="A241" s="3" t="s">
        <v>56</v>
      </c>
      <c r="B241" s="4" t="s">
        <v>759</v>
      </c>
      <c r="C241" s="4" t="s">
        <v>760</v>
      </c>
    </row>
    <row r="242" customFormat="false" ht="68.65" hidden="false" customHeight="false" outlineLevel="0" collapsed="false">
      <c r="A242" s="3" t="s">
        <v>59</v>
      </c>
      <c r="B242" s="4" t="s">
        <v>761</v>
      </c>
      <c r="C242" s="4" t="s">
        <v>762</v>
      </c>
    </row>
    <row r="243" customFormat="false" ht="150" hidden="false" customHeight="true" outlineLevel="0" collapsed="false">
      <c r="A243" s="3" t="s">
        <v>62</v>
      </c>
      <c r="B243" s="4" t="s">
        <v>763</v>
      </c>
      <c r="C243" s="4" t="s">
        <v>764</v>
      </c>
    </row>
    <row r="244" customFormat="false" ht="15" hidden="false" customHeight="false" outlineLevel="0" collapsed="false">
      <c r="A244" s="7" t="s">
        <v>65</v>
      </c>
      <c r="B244" s="7" t="s">
        <v>66</v>
      </c>
      <c r="C244" s="7" t="s">
        <v>67</v>
      </c>
      <c r="D244" s="7" t="s">
        <v>68</v>
      </c>
      <c r="E244" s="7" t="s">
        <v>69</v>
      </c>
      <c r="F244" s="7" t="s">
        <v>70</v>
      </c>
      <c r="G244" s="7" t="s">
        <v>71</v>
      </c>
      <c r="H244" s="7" t="s">
        <v>72</v>
      </c>
      <c r="I244" s="7" t="s">
        <v>73</v>
      </c>
      <c r="J244" s="7" t="s">
        <v>74</v>
      </c>
      <c r="K244" s="7" t="s">
        <v>75</v>
      </c>
      <c r="L244" s="7" t="s">
        <v>76</v>
      </c>
      <c r="M244" s="7" t="s">
        <v>77</v>
      </c>
      <c r="N244" s="7" t="s">
        <v>78</v>
      </c>
      <c r="O244" s="7" t="s">
        <v>79</v>
      </c>
      <c r="P244" s="7" t="s">
        <v>80</v>
      </c>
    </row>
    <row r="245" customFormat="false" ht="15" hidden="false" customHeight="false" outlineLevel="0" collapsed="false">
      <c r="A245" s="0" t="s">
        <v>108</v>
      </c>
      <c r="B245" s="0" t="s">
        <v>288</v>
      </c>
      <c r="C245" s="0" t="n">
        <v>16</v>
      </c>
      <c r="D245" s="0" t="s">
        <v>401</v>
      </c>
      <c r="E245" s="0" t="s">
        <v>765</v>
      </c>
      <c r="F245" s="0" t="s">
        <v>766</v>
      </c>
      <c r="G245" s="0" t="s">
        <v>351</v>
      </c>
      <c r="H245" s="0" t="s">
        <v>581</v>
      </c>
      <c r="I245" s="0" t="n">
        <v>14</v>
      </c>
      <c r="J245" s="0" t="s">
        <v>767</v>
      </c>
      <c r="K245" s="0" t="s">
        <v>355</v>
      </c>
      <c r="L245" s="0" t="s">
        <v>91</v>
      </c>
      <c r="M245" s="0" t="s">
        <v>768</v>
      </c>
      <c r="N245" s="0" t="s">
        <v>769</v>
      </c>
      <c r="O245" s="0" t="s">
        <v>366</v>
      </c>
      <c r="P245" s="0" t="s">
        <v>154</v>
      </c>
    </row>
    <row r="246" customFormat="false" ht="15" hidden="false" customHeight="false" outlineLevel="0" collapsed="false">
      <c r="A246" s="0" t="s">
        <v>95</v>
      </c>
      <c r="B246" s="0" t="s">
        <v>516</v>
      </c>
      <c r="C246" s="0" t="n">
        <v>14</v>
      </c>
      <c r="D246" s="0" t="s">
        <v>767</v>
      </c>
      <c r="E246" s="0" t="s">
        <v>651</v>
      </c>
      <c r="F246" s="0" t="s">
        <v>770</v>
      </c>
      <c r="G246" s="0" t="s">
        <v>746</v>
      </c>
      <c r="H246" s="0" t="s">
        <v>771</v>
      </c>
      <c r="I246" s="0" t="n">
        <v>10</v>
      </c>
      <c r="J246" s="0" t="s">
        <v>371</v>
      </c>
      <c r="K246" s="0" t="s">
        <v>116</v>
      </c>
      <c r="L246" s="0" t="s">
        <v>772</v>
      </c>
      <c r="M246" s="0" t="s">
        <v>773</v>
      </c>
      <c r="N246" s="0" t="s">
        <v>374</v>
      </c>
      <c r="O246" s="0" t="s">
        <v>774</v>
      </c>
      <c r="P246" s="0" t="s">
        <v>94</v>
      </c>
    </row>
    <row r="247" customFormat="false" ht="15" hidden="false" customHeight="false" outlineLevel="0" collapsed="false">
      <c r="A247" s="0" t="s">
        <v>145</v>
      </c>
      <c r="B247" s="0" t="s">
        <v>96</v>
      </c>
      <c r="C247" s="0" t="n">
        <v>13</v>
      </c>
      <c r="D247" s="0" t="s">
        <v>723</v>
      </c>
      <c r="E247" s="0" t="s">
        <v>214</v>
      </c>
      <c r="F247" s="0" t="s">
        <v>775</v>
      </c>
      <c r="G247" s="0" t="s">
        <v>776</v>
      </c>
      <c r="H247" s="0" t="s">
        <v>777</v>
      </c>
      <c r="I247" s="0" t="n">
        <v>8</v>
      </c>
      <c r="J247" s="0" t="s">
        <v>83</v>
      </c>
      <c r="K247" s="0" t="s">
        <v>778</v>
      </c>
      <c r="L247" s="0" t="s">
        <v>725</v>
      </c>
      <c r="M247" s="0" t="s">
        <v>779</v>
      </c>
      <c r="N247" s="0" t="s">
        <v>780</v>
      </c>
      <c r="O247" s="0" t="s">
        <v>781</v>
      </c>
      <c r="P247" s="0" t="s">
        <v>94</v>
      </c>
    </row>
    <row r="248" customFormat="false" ht="15" hidden="false" customHeight="false" outlineLevel="0" collapsed="false">
      <c r="A248" s="0" t="s">
        <v>81</v>
      </c>
      <c r="C248" s="0" t="n">
        <v>9</v>
      </c>
      <c r="D248" s="0" t="s">
        <v>338</v>
      </c>
      <c r="E248" s="0" t="s">
        <v>230</v>
      </c>
      <c r="F248" s="0" t="s">
        <v>372</v>
      </c>
      <c r="G248" s="0" t="s">
        <v>782</v>
      </c>
      <c r="H248" s="0" t="s">
        <v>783</v>
      </c>
      <c r="I248" s="0" t="n">
        <v>1</v>
      </c>
      <c r="J248" s="0" t="s">
        <v>224</v>
      </c>
      <c r="K248" s="0" t="s">
        <v>645</v>
      </c>
      <c r="L248" s="0" t="s">
        <v>227</v>
      </c>
      <c r="M248" s="0" t="s">
        <v>784</v>
      </c>
      <c r="N248" s="0" t="s">
        <v>144</v>
      </c>
      <c r="O248" s="0" t="s">
        <v>295</v>
      </c>
      <c r="P248" s="0" t="s">
        <v>94</v>
      </c>
    </row>
    <row r="249" customFormat="false" ht="15" hidden="false" customHeight="false" outlineLevel="0" collapsed="false">
      <c r="A249" s="0" t="s">
        <v>121</v>
      </c>
      <c r="C249" s="0" t="n">
        <v>0</v>
      </c>
      <c r="I249" s="0" t="n">
        <v>12</v>
      </c>
      <c r="J249" s="0" t="s">
        <v>409</v>
      </c>
      <c r="K249" s="0" t="s">
        <v>717</v>
      </c>
      <c r="L249" s="0" t="s">
        <v>785</v>
      </c>
      <c r="M249" s="0" t="s">
        <v>630</v>
      </c>
      <c r="N249" s="0" t="s">
        <v>370</v>
      </c>
      <c r="O249" s="0" t="s">
        <v>786</v>
      </c>
      <c r="P249" s="0" t="s">
        <v>237</v>
      </c>
    </row>
    <row r="250" customFormat="false" ht="15" hidden="false" customHeight="false" outlineLevel="0" collapsed="false">
      <c r="A250" s="0" t="s">
        <v>129</v>
      </c>
      <c r="C250" s="0" t="n">
        <v>7</v>
      </c>
      <c r="D250" s="0" t="s">
        <v>219</v>
      </c>
      <c r="E250" s="0" t="s">
        <v>388</v>
      </c>
      <c r="F250" s="0" t="s">
        <v>117</v>
      </c>
      <c r="G250" s="0" t="s">
        <v>787</v>
      </c>
      <c r="H250" s="0" t="s">
        <v>223</v>
      </c>
      <c r="I250" s="0" t="n">
        <v>9</v>
      </c>
      <c r="J250" s="0" t="s">
        <v>624</v>
      </c>
      <c r="K250" s="0" t="s">
        <v>607</v>
      </c>
      <c r="L250" s="0" t="s">
        <v>203</v>
      </c>
      <c r="M250" s="0" t="s">
        <v>411</v>
      </c>
      <c r="N250" s="0" t="s">
        <v>788</v>
      </c>
      <c r="O250" s="0" t="s">
        <v>789</v>
      </c>
      <c r="P250" s="0" t="s">
        <v>94</v>
      </c>
    </row>
    <row r="251" customFormat="false" ht="15" hidden="false" customHeight="false" outlineLevel="0" collapsed="false">
      <c r="A251" s="0" t="s">
        <v>139</v>
      </c>
      <c r="C251" s="0" t="n">
        <v>8</v>
      </c>
      <c r="D251" s="0" t="s">
        <v>205</v>
      </c>
      <c r="E251" s="0" t="s">
        <v>387</v>
      </c>
      <c r="F251" s="0" t="s">
        <v>688</v>
      </c>
      <c r="G251" s="0" t="s">
        <v>790</v>
      </c>
      <c r="H251" s="0" t="s">
        <v>87</v>
      </c>
      <c r="I251" s="0" t="n">
        <v>12</v>
      </c>
      <c r="J251" s="0" t="s">
        <v>349</v>
      </c>
      <c r="K251" s="0" t="s">
        <v>607</v>
      </c>
      <c r="L251" s="0" t="s">
        <v>436</v>
      </c>
      <c r="M251" s="0" t="s">
        <v>215</v>
      </c>
      <c r="N251" s="0" t="s">
        <v>791</v>
      </c>
      <c r="O251" s="0" t="s">
        <v>728</v>
      </c>
      <c r="P251" s="0" t="s">
        <v>237</v>
      </c>
    </row>
    <row r="253" customFormat="false" ht="15" hidden="false" customHeight="false" outlineLevel="0" collapsed="false">
      <c r="A253" s="6" t="s">
        <v>792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customFormat="false" ht="15" hidden="false" customHeight="false" outlineLevel="0" collapsed="false">
      <c r="A254" s="3"/>
      <c r="B254" s="3" t="s">
        <v>793</v>
      </c>
      <c r="C254" s="3" t="s">
        <v>794</v>
      </c>
    </row>
    <row r="255" customFormat="false" ht="15" hidden="false" customHeight="false" outlineLevel="0" collapsed="false">
      <c r="A255" s="3" t="s">
        <v>35</v>
      </c>
      <c r="B255" s="4" t="s">
        <v>795</v>
      </c>
      <c r="C255" s="4" t="s">
        <v>796</v>
      </c>
    </row>
    <row r="256" customFormat="false" ht="15" hidden="false" customHeight="false" outlineLevel="0" collapsed="false">
      <c r="A256" s="3" t="s">
        <v>38</v>
      </c>
      <c r="B256" s="4" t="s">
        <v>558</v>
      </c>
      <c r="C256" s="4" t="s">
        <v>797</v>
      </c>
    </row>
    <row r="257" customFormat="false" ht="15" hidden="false" customHeight="false" outlineLevel="0" collapsed="false">
      <c r="A257" s="3" t="s">
        <v>41</v>
      </c>
      <c r="B257" s="4" t="s">
        <v>607</v>
      </c>
      <c r="C257" s="4" t="s">
        <v>103</v>
      </c>
    </row>
    <row r="258" customFormat="false" ht="15" hidden="false" customHeight="false" outlineLevel="0" collapsed="false">
      <c r="A258" s="3" t="s">
        <v>44</v>
      </c>
      <c r="B258" s="4" t="s">
        <v>798</v>
      </c>
      <c r="C258" s="4" t="s">
        <v>799</v>
      </c>
    </row>
    <row r="259" customFormat="false" ht="15" hidden="false" customHeight="false" outlineLevel="0" collapsed="false">
      <c r="A259" s="3" t="s">
        <v>47</v>
      </c>
      <c r="B259" s="4" t="s">
        <v>800</v>
      </c>
      <c r="C259" s="4" t="s">
        <v>801</v>
      </c>
    </row>
    <row r="260" customFormat="false" ht="15" hidden="false" customHeight="false" outlineLevel="0" collapsed="false">
      <c r="A260" s="3" t="s">
        <v>50</v>
      </c>
      <c r="B260" s="4" t="s">
        <v>802</v>
      </c>
      <c r="C260" s="4" t="s">
        <v>51</v>
      </c>
    </row>
    <row r="261" customFormat="false" ht="15" hidden="false" customHeight="false" outlineLevel="0" collapsed="false">
      <c r="A261" s="3" t="s">
        <v>53</v>
      </c>
      <c r="B261" s="4" t="s">
        <v>54</v>
      </c>
      <c r="C261" s="4" t="s">
        <v>54</v>
      </c>
    </row>
    <row r="262" customFormat="false" ht="105" hidden="false" customHeight="true" outlineLevel="0" collapsed="false">
      <c r="A262" s="3" t="s">
        <v>56</v>
      </c>
      <c r="B262" s="4" t="s">
        <v>803</v>
      </c>
      <c r="C262" s="4" t="s">
        <v>804</v>
      </c>
    </row>
    <row r="263" customFormat="false" ht="68.65" hidden="false" customHeight="false" outlineLevel="0" collapsed="false">
      <c r="A263" s="3" t="s">
        <v>59</v>
      </c>
      <c r="B263" s="4" t="s">
        <v>805</v>
      </c>
      <c r="C263" s="4" t="s">
        <v>806</v>
      </c>
    </row>
    <row r="264" customFormat="false" ht="150" hidden="false" customHeight="true" outlineLevel="0" collapsed="false">
      <c r="A264" s="3" t="s">
        <v>62</v>
      </c>
      <c r="B264" s="4" t="s">
        <v>807</v>
      </c>
      <c r="C264" s="4" t="s">
        <v>808</v>
      </c>
    </row>
    <row r="265" customFormat="false" ht="15" hidden="false" customHeight="false" outlineLevel="0" collapsed="false">
      <c r="A265" s="7" t="s">
        <v>65</v>
      </c>
      <c r="B265" s="7" t="s">
        <v>66</v>
      </c>
      <c r="C265" s="7" t="s">
        <v>67</v>
      </c>
      <c r="D265" s="7" t="s">
        <v>68</v>
      </c>
      <c r="E265" s="7" t="s">
        <v>69</v>
      </c>
      <c r="F265" s="7" t="s">
        <v>70</v>
      </c>
      <c r="G265" s="7" t="s">
        <v>71</v>
      </c>
      <c r="H265" s="7" t="s">
        <v>72</v>
      </c>
      <c r="I265" s="7" t="s">
        <v>73</v>
      </c>
      <c r="J265" s="7" t="s">
        <v>74</v>
      </c>
      <c r="K265" s="7" t="s">
        <v>75</v>
      </c>
      <c r="L265" s="7" t="s">
        <v>76</v>
      </c>
      <c r="M265" s="7" t="s">
        <v>77</v>
      </c>
      <c r="N265" s="7" t="s">
        <v>78</v>
      </c>
      <c r="O265" s="7" t="s">
        <v>79</v>
      </c>
      <c r="P265" s="7" t="s">
        <v>80</v>
      </c>
    </row>
    <row r="266" customFormat="false" ht="15" hidden="false" customHeight="false" outlineLevel="0" collapsed="false">
      <c r="A266" s="0" t="s">
        <v>81</v>
      </c>
      <c r="B266" s="0" t="s">
        <v>493</v>
      </c>
      <c r="C266" s="0" t="n">
        <v>15</v>
      </c>
      <c r="D266" s="0" t="s">
        <v>809</v>
      </c>
      <c r="E266" s="0" t="s">
        <v>503</v>
      </c>
      <c r="F266" s="0" t="s">
        <v>198</v>
      </c>
      <c r="G266" s="0" t="s">
        <v>810</v>
      </c>
      <c r="H266" s="0" t="s">
        <v>811</v>
      </c>
      <c r="I266" s="0" t="n">
        <v>4</v>
      </c>
      <c r="J266" s="0" t="s">
        <v>438</v>
      </c>
      <c r="K266" s="0" t="s">
        <v>502</v>
      </c>
      <c r="L266" s="0" t="s">
        <v>346</v>
      </c>
      <c r="M266" s="0" t="s">
        <v>812</v>
      </c>
      <c r="N266" s="0" t="s">
        <v>442</v>
      </c>
      <c r="O266" s="0" t="s">
        <v>295</v>
      </c>
      <c r="P266" s="0" t="s">
        <v>94</v>
      </c>
    </row>
    <row r="267" customFormat="false" ht="15" hidden="false" customHeight="false" outlineLevel="0" collapsed="false">
      <c r="A267" s="0" t="s">
        <v>139</v>
      </c>
      <c r="B267" s="0" t="s">
        <v>324</v>
      </c>
      <c r="C267" s="0" t="n">
        <v>12</v>
      </c>
      <c r="D267" s="0" t="s">
        <v>813</v>
      </c>
      <c r="E267" s="0" t="s">
        <v>522</v>
      </c>
      <c r="F267" s="0" t="s">
        <v>772</v>
      </c>
      <c r="G267" s="0" t="s">
        <v>814</v>
      </c>
      <c r="H267" s="0" t="s">
        <v>791</v>
      </c>
      <c r="I267" s="0" t="n">
        <v>3</v>
      </c>
      <c r="J267" s="0" t="s">
        <v>376</v>
      </c>
      <c r="K267" s="0" t="s">
        <v>201</v>
      </c>
      <c r="L267" s="0" t="s">
        <v>815</v>
      </c>
      <c r="M267" s="0" t="s">
        <v>816</v>
      </c>
      <c r="N267" s="0" t="s">
        <v>691</v>
      </c>
      <c r="O267" s="0" t="s">
        <v>642</v>
      </c>
      <c r="P267" s="0" t="s">
        <v>237</v>
      </c>
    </row>
    <row r="268" customFormat="false" ht="15" hidden="false" customHeight="false" outlineLevel="0" collapsed="false">
      <c r="A268" s="0" t="s">
        <v>108</v>
      </c>
      <c r="B268" s="0" t="s">
        <v>82</v>
      </c>
      <c r="C268" s="0" t="n">
        <v>13</v>
      </c>
      <c r="D268" s="0" t="s">
        <v>817</v>
      </c>
      <c r="E268" s="0" t="s">
        <v>635</v>
      </c>
      <c r="F268" s="0" t="s">
        <v>529</v>
      </c>
      <c r="G268" s="0" t="s">
        <v>818</v>
      </c>
      <c r="H268" s="0" t="s">
        <v>777</v>
      </c>
      <c r="I268" s="0" t="n">
        <v>1</v>
      </c>
      <c r="J268" s="0" t="s">
        <v>224</v>
      </c>
      <c r="K268" s="0" t="s">
        <v>578</v>
      </c>
      <c r="L268" s="0" t="s">
        <v>572</v>
      </c>
      <c r="M268" s="0" t="s">
        <v>351</v>
      </c>
      <c r="N268" s="0" t="s">
        <v>574</v>
      </c>
      <c r="O268" s="0" t="s">
        <v>353</v>
      </c>
      <c r="P268" s="0" t="s">
        <v>94</v>
      </c>
    </row>
    <row r="269" customFormat="false" ht="15" hidden="false" customHeight="false" outlineLevel="0" collapsed="false">
      <c r="A269" s="0" t="s">
        <v>121</v>
      </c>
      <c r="C269" s="0" t="n">
        <v>3</v>
      </c>
      <c r="D269" s="0" t="s">
        <v>376</v>
      </c>
      <c r="E269" s="0" t="s">
        <v>819</v>
      </c>
      <c r="F269" s="0" t="s">
        <v>820</v>
      </c>
      <c r="G269" s="0" t="s">
        <v>143</v>
      </c>
      <c r="H269" s="0" t="s">
        <v>544</v>
      </c>
      <c r="I269" s="0" t="n">
        <v>1</v>
      </c>
      <c r="J269" s="0" t="s">
        <v>140</v>
      </c>
      <c r="K269" s="0" t="s">
        <v>594</v>
      </c>
      <c r="L269" s="0" t="s">
        <v>821</v>
      </c>
      <c r="M269" s="0" t="s">
        <v>142</v>
      </c>
      <c r="N269" s="0" t="s">
        <v>657</v>
      </c>
      <c r="O269" s="0" t="s">
        <v>488</v>
      </c>
      <c r="P269" s="0" t="s">
        <v>94</v>
      </c>
    </row>
    <row r="270" customFormat="false" ht="15" hidden="false" customHeight="false" outlineLevel="0" collapsed="false">
      <c r="A270" s="0" t="s">
        <v>129</v>
      </c>
      <c r="C270" s="0" t="n">
        <v>9</v>
      </c>
      <c r="D270" s="0" t="s">
        <v>338</v>
      </c>
      <c r="E270" s="0" t="s">
        <v>822</v>
      </c>
      <c r="F270" s="0" t="s">
        <v>543</v>
      </c>
      <c r="G270" s="0" t="s">
        <v>823</v>
      </c>
      <c r="H270" s="0" t="s">
        <v>626</v>
      </c>
      <c r="I270" s="0" t="n">
        <v>1</v>
      </c>
      <c r="J270" s="0" t="s">
        <v>224</v>
      </c>
      <c r="K270" s="0" t="s">
        <v>225</v>
      </c>
      <c r="L270" s="0" t="s">
        <v>226</v>
      </c>
      <c r="M270" s="0" t="s">
        <v>227</v>
      </c>
      <c r="N270" s="0" t="s">
        <v>144</v>
      </c>
      <c r="O270" s="0" t="s">
        <v>747</v>
      </c>
      <c r="P270" s="0" t="s">
        <v>94</v>
      </c>
    </row>
    <row r="271" customFormat="false" ht="15" hidden="false" customHeight="false" outlineLevel="0" collapsed="false">
      <c r="A271" s="0" t="s">
        <v>95</v>
      </c>
      <c r="C271" s="0" t="n">
        <v>0</v>
      </c>
      <c r="I271" s="0" t="n">
        <v>3</v>
      </c>
      <c r="J271" s="0" t="s">
        <v>540</v>
      </c>
      <c r="K271" s="0" t="s">
        <v>541</v>
      </c>
      <c r="L271" s="0" t="s">
        <v>824</v>
      </c>
      <c r="M271" s="0" t="s">
        <v>825</v>
      </c>
      <c r="N271" s="0" t="s">
        <v>691</v>
      </c>
      <c r="O271" s="0" t="s">
        <v>276</v>
      </c>
      <c r="P271" s="0" t="s">
        <v>94</v>
      </c>
    </row>
    <row r="272" customFormat="false" ht="15" hidden="false" customHeight="false" outlineLevel="0" collapsed="false">
      <c r="A272" s="0" t="s">
        <v>145</v>
      </c>
      <c r="C272" s="0" t="n">
        <v>10</v>
      </c>
      <c r="D272" s="0" t="s">
        <v>200</v>
      </c>
      <c r="E272" s="0" t="s">
        <v>651</v>
      </c>
      <c r="F272" s="0" t="s">
        <v>826</v>
      </c>
      <c r="G272" s="0" t="s">
        <v>739</v>
      </c>
      <c r="H272" s="0" t="s">
        <v>181</v>
      </c>
      <c r="I272" s="0" t="n">
        <v>1</v>
      </c>
      <c r="J272" s="0" t="s">
        <v>224</v>
      </c>
      <c r="K272" s="0" t="s">
        <v>645</v>
      </c>
      <c r="L272" s="0" t="s">
        <v>143</v>
      </c>
      <c r="M272" s="0" t="s">
        <v>572</v>
      </c>
      <c r="N272" s="0" t="s">
        <v>144</v>
      </c>
      <c r="O272" s="0" t="s">
        <v>435</v>
      </c>
      <c r="P272" s="0" t="s">
        <v>237</v>
      </c>
    </row>
    <row r="274" customFormat="false" ht="15" hidden="false" customHeight="false" outlineLevel="0" collapsed="false">
      <c r="A274" s="6" t="s">
        <v>827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customFormat="false" ht="15" hidden="false" customHeight="false" outlineLevel="0" collapsed="false">
      <c r="A275" s="3"/>
      <c r="B275" s="3" t="s">
        <v>828</v>
      </c>
      <c r="C275" s="3" t="s">
        <v>829</v>
      </c>
    </row>
    <row r="276" customFormat="false" ht="15" hidden="false" customHeight="false" outlineLevel="0" collapsed="false">
      <c r="A276" s="3" t="s">
        <v>35</v>
      </c>
      <c r="B276" s="4" t="s">
        <v>830</v>
      </c>
      <c r="C276" s="4" t="s">
        <v>831</v>
      </c>
    </row>
    <row r="277" customFormat="false" ht="15" hidden="false" customHeight="false" outlineLevel="0" collapsed="false">
      <c r="A277" s="3" t="s">
        <v>38</v>
      </c>
      <c r="B277" s="4" t="s">
        <v>832</v>
      </c>
      <c r="C277" s="4" t="s">
        <v>665</v>
      </c>
    </row>
    <row r="278" customFormat="false" ht="15" hidden="false" customHeight="false" outlineLevel="0" collapsed="false">
      <c r="A278" s="3" t="s">
        <v>41</v>
      </c>
      <c r="B278" s="4" t="s">
        <v>635</v>
      </c>
      <c r="C278" s="4"/>
    </row>
    <row r="279" customFormat="false" ht="15" hidden="false" customHeight="false" outlineLevel="0" collapsed="false">
      <c r="A279" s="3" t="s">
        <v>44</v>
      </c>
      <c r="B279" s="4" t="s">
        <v>833</v>
      </c>
      <c r="C279" s="4" t="s">
        <v>667</v>
      </c>
    </row>
    <row r="280" customFormat="false" ht="15" hidden="false" customHeight="false" outlineLevel="0" collapsed="false">
      <c r="A280" s="3" t="s">
        <v>47</v>
      </c>
      <c r="B280" s="4" t="s">
        <v>834</v>
      </c>
      <c r="C280" s="4" t="s">
        <v>669</v>
      </c>
    </row>
    <row r="281" customFormat="false" ht="15" hidden="false" customHeight="false" outlineLevel="0" collapsed="false">
      <c r="A281" s="3" t="s">
        <v>50</v>
      </c>
      <c r="B281" s="4" t="s">
        <v>835</v>
      </c>
      <c r="C281" s="4" t="s">
        <v>671</v>
      </c>
    </row>
    <row r="282" customFormat="false" ht="15" hidden="false" customHeight="false" outlineLevel="0" collapsed="false">
      <c r="A282" s="3" t="s">
        <v>53</v>
      </c>
      <c r="B282" s="4" t="s">
        <v>54</v>
      </c>
      <c r="C282" s="4" t="s">
        <v>54</v>
      </c>
    </row>
    <row r="283" customFormat="false" ht="105" hidden="false" customHeight="true" outlineLevel="0" collapsed="false">
      <c r="A283" s="3" t="s">
        <v>56</v>
      </c>
      <c r="B283" s="4" t="s">
        <v>836</v>
      </c>
      <c r="C283" s="4" t="s">
        <v>837</v>
      </c>
    </row>
    <row r="284" customFormat="false" ht="68.65" hidden="false" customHeight="false" outlineLevel="0" collapsed="false">
      <c r="A284" s="3" t="s">
        <v>59</v>
      </c>
      <c r="B284" s="4" t="s">
        <v>838</v>
      </c>
      <c r="C284" s="4" t="s">
        <v>839</v>
      </c>
    </row>
    <row r="285" customFormat="false" ht="150" hidden="false" customHeight="true" outlineLevel="0" collapsed="false">
      <c r="A285" s="3" t="s">
        <v>62</v>
      </c>
      <c r="B285" s="4" t="s">
        <v>840</v>
      </c>
      <c r="C285" s="4" t="s">
        <v>841</v>
      </c>
    </row>
    <row r="286" customFormat="false" ht="15" hidden="false" customHeight="false" outlineLevel="0" collapsed="false">
      <c r="A286" s="7" t="s">
        <v>65</v>
      </c>
      <c r="B286" s="7" t="s">
        <v>66</v>
      </c>
      <c r="C286" s="7" t="s">
        <v>67</v>
      </c>
      <c r="D286" s="7" t="s">
        <v>68</v>
      </c>
      <c r="E286" s="7" t="s">
        <v>69</v>
      </c>
      <c r="F286" s="7" t="s">
        <v>70</v>
      </c>
      <c r="G286" s="7" t="s">
        <v>71</v>
      </c>
      <c r="H286" s="7" t="s">
        <v>72</v>
      </c>
      <c r="I286" s="7" t="s">
        <v>73</v>
      </c>
      <c r="J286" s="7" t="s">
        <v>74</v>
      </c>
      <c r="K286" s="7" t="s">
        <v>75</v>
      </c>
      <c r="L286" s="7" t="s">
        <v>76</v>
      </c>
      <c r="M286" s="7" t="s">
        <v>77</v>
      </c>
      <c r="N286" s="7" t="s">
        <v>78</v>
      </c>
      <c r="O286" s="7" t="s">
        <v>79</v>
      </c>
      <c r="P286" s="7" t="s">
        <v>80</v>
      </c>
    </row>
    <row r="287" customFormat="false" ht="15" hidden="false" customHeight="false" outlineLevel="0" collapsed="false">
      <c r="A287" s="0" t="s">
        <v>108</v>
      </c>
      <c r="B287" s="0" t="s">
        <v>82</v>
      </c>
      <c r="C287" s="0" t="n">
        <v>11</v>
      </c>
      <c r="D287" s="0" t="s">
        <v>842</v>
      </c>
      <c r="E287" s="0" t="s">
        <v>425</v>
      </c>
      <c r="F287" s="0" t="s">
        <v>688</v>
      </c>
      <c r="G287" s="0" t="s">
        <v>843</v>
      </c>
      <c r="H287" s="0" t="s">
        <v>844</v>
      </c>
      <c r="I287" s="0" t="n">
        <v>0</v>
      </c>
      <c r="O287" s="0" t="s">
        <v>460</v>
      </c>
      <c r="P287" s="0" t="s">
        <v>94</v>
      </c>
    </row>
    <row r="288" customFormat="false" ht="15" hidden="false" customHeight="false" outlineLevel="0" collapsed="false">
      <c r="A288" s="0" t="s">
        <v>95</v>
      </c>
      <c r="B288" s="0" t="s">
        <v>516</v>
      </c>
      <c r="C288" s="0" t="n">
        <v>12</v>
      </c>
      <c r="D288" s="0" t="s">
        <v>845</v>
      </c>
      <c r="E288" s="0" t="s">
        <v>717</v>
      </c>
      <c r="F288" s="0" t="s">
        <v>105</v>
      </c>
      <c r="G288" s="0" t="s">
        <v>814</v>
      </c>
      <c r="H288" s="0" t="s">
        <v>846</v>
      </c>
      <c r="I288" s="0" t="n">
        <v>0</v>
      </c>
      <c r="O288" s="0" t="s">
        <v>847</v>
      </c>
      <c r="P288" s="0" t="s">
        <v>237</v>
      </c>
    </row>
    <row r="289" customFormat="false" ht="15" hidden="false" customHeight="false" outlineLevel="0" collapsed="false">
      <c r="A289" s="0" t="s">
        <v>129</v>
      </c>
      <c r="B289" s="0" t="s">
        <v>96</v>
      </c>
      <c r="C289" s="0" t="n">
        <v>10</v>
      </c>
      <c r="D289" s="0" t="s">
        <v>638</v>
      </c>
      <c r="E289" s="0" t="s">
        <v>639</v>
      </c>
      <c r="F289" s="0" t="s">
        <v>576</v>
      </c>
      <c r="G289" s="0" t="s">
        <v>149</v>
      </c>
      <c r="H289" s="0" t="s">
        <v>428</v>
      </c>
      <c r="I289" s="0" t="n">
        <v>0</v>
      </c>
      <c r="O289" s="0" t="s">
        <v>848</v>
      </c>
      <c r="P289" s="0" t="s">
        <v>94</v>
      </c>
    </row>
    <row r="290" customFormat="false" ht="15" hidden="false" customHeight="false" outlineLevel="0" collapsed="false">
      <c r="A290" s="0" t="s">
        <v>121</v>
      </c>
      <c r="C290" s="0" t="n">
        <v>7</v>
      </c>
      <c r="D290" s="0" t="s">
        <v>97</v>
      </c>
      <c r="E290" s="0" t="s">
        <v>503</v>
      </c>
      <c r="F290" s="0" t="s">
        <v>534</v>
      </c>
      <c r="G290" s="0" t="s">
        <v>190</v>
      </c>
      <c r="H290" s="0" t="s">
        <v>536</v>
      </c>
      <c r="I290" s="0" t="n">
        <v>0</v>
      </c>
      <c r="O290" s="0" t="s">
        <v>489</v>
      </c>
      <c r="P290" s="0" t="s">
        <v>94</v>
      </c>
    </row>
    <row r="291" customFormat="false" ht="15" hidden="false" customHeight="false" outlineLevel="0" collapsed="false">
      <c r="A291" s="0" t="s">
        <v>139</v>
      </c>
      <c r="C291" s="0" t="n">
        <v>9</v>
      </c>
      <c r="D291" s="0" t="s">
        <v>849</v>
      </c>
      <c r="E291" s="0" t="s">
        <v>850</v>
      </c>
      <c r="F291" s="0" t="s">
        <v>851</v>
      </c>
      <c r="G291" s="0" t="s">
        <v>852</v>
      </c>
      <c r="H291" s="0" t="s">
        <v>550</v>
      </c>
      <c r="I291" s="0" t="n">
        <v>0</v>
      </c>
      <c r="O291" s="0" t="s">
        <v>853</v>
      </c>
      <c r="P291" s="0" t="s">
        <v>277</v>
      </c>
    </row>
    <row r="292" customFormat="false" ht="15" hidden="false" customHeight="false" outlineLevel="0" collapsed="false">
      <c r="A292" s="0" t="s">
        <v>145</v>
      </c>
      <c r="C292" s="0" t="n">
        <v>6</v>
      </c>
      <c r="D292" s="0" t="s">
        <v>736</v>
      </c>
      <c r="E292" s="0" t="s">
        <v>693</v>
      </c>
      <c r="F292" s="0" t="s">
        <v>633</v>
      </c>
      <c r="G292" s="0" t="s">
        <v>854</v>
      </c>
      <c r="H292" s="0" t="s">
        <v>459</v>
      </c>
      <c r="I292" s="0" t="n">
        <v>0</v>
      </c>
      <c r="O292" s="0" t="s">
        <v>353</v>
      </c>
      <c r="P292" s="0" t="s">
        <v>94</v>
      </c>
    </row>
    <row r="294" customFormat="false" ht="15" hidden="false" customHeight="false" outlineLevel="0" collapsed="false">
      <c r="A294" s="6" t="s">
        <v>855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customFormat="false" ht="15" hidden="false" customHeight="false" outlineLevel="0" collapsed="false">
      <c r="A295" s="3"/>
      <c r="B295" s="3" t="s">
        <v>856</v>
      </c>
      <c r="C295" s="3" t="s">
        <v>857</v>
      </c>
    </row>
    <row r="296" customFormat="false" ht="15" hidden="false" customHeight="false" outlineLevel="0" collapsed="false">
      <c r="A296" s="3" t="s">
        <v>35</v>
      </c>
      <c r="B296" s="4" t="s">
        <v>858</v>
      </c>
      <c r="C296" s="4" t="s">
        <v>859</v>
      </c>
    </row>
    <row r="297" customFormat="false" ht="15" hidden="false" customHeight="false" outlineLevel="0" collapsed="false">
      <c r="A297" s="3" t="s">
        <v>38</v>
      </c>
      <c r="B297" s="4" t="s">
        <v>860</v>
      </c>
      <c r="C297" s="4" t="s">
        <v>861</v>
      </c>
    </row>
    <row r="298" customFormat="false" ht="15" hidden="false" customHeight="false" outlineLevel="0" collapsed="false">
      <c r="A298" s="3" t="s">
        <v>41</v>
      </c>
      <c r="B298" s="4" t="s">
        <v>625</v>
      </c>
      <c r="C298" s="4" t="s">
        <v>367</v>
      </c>
    </row>
    <row r="299" customFormat="false" ht="15" hidden="false" customHeight="false" outlineLevel="0" collapsed="false">
      <c r="A299" s="3" t="s">
        <v>44</v>
      </c>
      <c r="B299" s="4" t="s">
        <v>862</v>
      </c>
      <c r="C299" s="4" t="s">
        <v>863</v>
      </c>
    </row>
    <row r="300" customFormat="false" ht="15" hidden="false" customHeight="false" outlineLevel="0" collapsed="false">
      <c r="A300" s="3" t="s">
        <v>47</v>
      </c>
      <c r="B300" s="4" t="s">
        <v>864</v>
      </c>
      <c r="C300" s="4" t="s">
        <v>865</v>
      </c>
    </row>
    <row r="301" customFormat="false" ht="15" hidden="false" customHeight="false" outlineLevel="0" collapsed="false">
      <c r="A301" s="3" t="s">
        <v>50</v>
      </c>
      <c r="B301" s="4" t="s">
        <v>866</v>
      </c>
      <c r="C301" s="4" t="s">
        <v>867</v>
      </c>
    </row>
    <row r="302" customFormat="false" ht="15" hidden="false" customHeight="false" outlineLevel="0" collapsed="false">
      <c r="A302" s="3" t="s">
        <v>53</v>
      </c>
      <c r="B302" s="4" t="s">
        <v>54</v>
      </c>
      <c r="C302" s="4" t="s">
        <v>868</v>
      </c>
    </row>
    <row r="303" customFormat="false" ht="105" hidden="false" customHeight="true" outlineLevel="0" collapsed="false">
      <c r="A303" s="3" t="s">
        <v>56</v>
      </c>
      <c r="B303" s="4" t="s">
        <v>869</v>
      </c>
      <c r="C303" s="4" t="s">
        <v>870</v>
      </c>
    </row>
    <row r="304" customFormat="false" ht="68.65" hidden="false" customHeight="false" outlineLevel="0" collapsed="false">
      <c r="A304" s="3" t="s">
        <v>59</v>
      </c>
      <c r="B304" s="4" t="s">
        <v>871</v>
      </c>
      <c r="C304" s="4" t="s">
        <v>872</v>
      </c>
    </row>
    <row r="305" customFormat="false" ht="150" hidden="false" customHeight="true" outlineLevel="0" collapsed="false">
      <c r="A305" s="3" t="s">
        <v>62</v>
      </c>
      <c r="B305" s="4" t="s">
        <v>873</v>
      </c>
      <c r="C305" s="4" t="s">
        <v>874</v>
      </c>
    </row>
    <row r="306" customFormat="false" ht="15" hidden="false" customHeight="false" outlineLevel="0" collapsed="false">
      <c r="A306" s="7" t="s">
        <v>65</v>
      </c>
      <c r="B306" s="7" t="s">
        <v>66</v>
      </c>
      <c r="C306" s="7" t="s">
        <v>67</v>
      </c>
      <c r="D306" s="7" t="s">
        <v>68</v>
      </c>
      <c r="E306" s="7" t="s">
        <v>69</v>
      </c>
      <c r="F306" s="7" t="s">
        <v>70</v>
      </c>
      <c r="G306" s="7" t="s">
        <v>71</v>
      </c>
      <c r="H306" s="7" t="s">
        <v>72</v>
      </c>
      <c r="I306" s="7" t="s">
        <v>73</v>
      </c>
      <c r="J306" s="7" t="s">
        <v>74</v>
      </c>
      <c r="K306" s="7" t="s">
        <v>75</v>
      </c>
      <c r="L306" s="7" t="s">
        <v>76</v>
      </c>
      <c r="M306" s="7" t="s">
        <v>77</v>
      </c>
      <c r="N306" s="7" t="s">
        <v>78</v>
      </c>
      <c r="O306" s="7" t="s">
        <v>79</v>
      </c>
      <c r="P306" s="7" t="s">
        <v>80</v>
      </c>
    </row>
    <row r="307" customFormat="false" ht="15" hidden="false" customHeight="false" outlineLevel="0" collapsed="false">
      <c r="A307" s="0" t="s">
        <v>108</v>
      </c>
      <c r="B307" s="0" t="s">
        <v>484</v>
      </c>
      <c r="C307" s="0" t="n">
        <v>12</v>
      </c>
      <c r="D307" s="0" t="s">
        <v>234</v>
      </c>
      <c r="E307" s="0" t="s">
        <v>355</v>
      </c>
      <c r="F307" s="0" t="s">
        <v>772</v>
      </c>
      <c r="G307" s="0" t="s">
        <v>875</v>
      </c>
      <c r="H307" s="0" t="s">
        <v>876</v>
      </c>
      <c r="I307" s="0" t="n">
        <v>17</v>
      </c>
      <c r="J307" s="0" t="s">
        <v>877</v>
      </c>
      <c r="K307" s="0" t="s">
        <v>116</v>
      </c>
      <c r="L307" s="0" t="s">
        <v>206</v>
      </c>
      <c r="M307" s="0" t="s">
        <v>878</v>
      </c>
      <c r="N307" s="0" t="s">
        <v>127</v>
      </c>
      <c r="O307" s="0" t="s">
        <v>879</v>
      </c>
      <c r="P307" s="0" t="s">
        <v>237</v>
      </c>
    </row>
    <row r="308" customFormat="false" ht="15" hidden="false" customHeight="false" outlineLevel="0" collapsed="false">
      <c r="A308" s="0" t="s">
        <v>145</v>
      </c>
      <c r="B308" s="0" t="s">
        <v>419</v>
      </c>
      <c r="C308" s="0" t="n">
        <v>7</v>
      </c>
      <c r="D308" s="0" t="s">
        <v>880</v>
      </c>
      <c r="E308" s="0" t="s">
        <v>43</v>
      </c>
      <c r="F308" s="0" t="s">
        <v>881</v>
      </c>
      <c r="G308" s="0" t="s">
        <v>882</v>
      </c>
      <c r="H308" s="0" t="s">
        <v>883</v>
      </c>
      <c r="I308" s="0" t="n">
        <v>14</v>
      </c>
      <c r="J308" s="0" t="s">
        <v>207</v>
      </c>
      <c r="K308" s="0" t="s">
        <v>188</v>
      </c>
      <c r="L308" s="0" t="s">
        <v>151</v>
      </c>
      <c r="M308" s="0" t="s">
        <v>884</v>
      </c>
      <c r="N308" s="0" t="s">
        <v>885</v>
      </c>
      <c r="O308" s="0" t="s">
        <v>886</v>
      </c>
      <c r="P308" s="0" t="s">
        <v>94</v>
      </c>
    </row>
    <row r="309" customFormat="false" ht="15" hidden="false" customHeight="false" outlineLevel="0" collapsed="false">
      <c r="A309" s="0" t="s">
        <v>81</v>
      </c>
      <c r="B309" s="0" t="s">
        <v>291</v>
      </c>
      <c r="C309" s="0" t="n">
        <v>6</v>
      </c>
      <c r="D309" s="0" t="s">
        <v>887</v>
      </c>
      <c r="E309" s="0" t="s">
        <v>162</v>
      </c>
      <c r="F309" s="0" t="s">
        <v>441</v>
      </c>
      <c r="G309" s="0" t="s">
        <v>888</v>
      </c>
      <c r="H309" s="0" t="s">
        <v>742</v>
      </c>
      <c r="I309" s="0" t="n">
        <v>14</v>
      </c>
      <c r="J309" s="0" t="s">
        <v>889</v>
      </c>
      <c r="K309" s="0" t="s">
        <v>178</v>
      </c>
      <c r="L309" s="0" t="s">
        <v>584</v>
      </c>
      <c r="M309" s="0" t="s">
        <v>690</v>
      </c>
      <c r="N309" s="0" t="s">
        <v>211</v>
      </c>
      <c r="O309" s="0" t="s">
        <v>379</v>
      </c>
      <c r="P309" s="0" t="s">
        <v>94</v>
      </c>
    </row>
    <row r="310" customFormat="false" ht="15" hidden="false" customHeight="false" outlineLevel="0" collapsed="false">
      <c r="A310" s="0" t="s">
        <v>121</v>
      </c>
      <c r="C310" s="0" t="n">
        <v>10</v>
      </c>
      <c r="D310" s="0" t="s">
        <v>729</v>
      </c>
      <c r="E310" s="0" t="s">
        <v>309</v>
      </c>
      <c r="F310" s="0" t="s">
        <v>890</v>
      </c>
      <c r="G310" s="0" t="s">
        <v>891</v>
      </c>
      <c r="H310" s="0" t="s">
        <v>538</v>
      </c>
      <c r="I310" s="0" t="n">
        <v>2</v>
      </c>
      <c r="J310" s="0" t="s">
        <v>588</v>
      </c>
      <c r="K310" s="0" t="s">
        <v>892</v>
      </c>
      <c r="L310" s="0" t="s">
        <v>572</v>
      </c>
      <c r="M310" s="0" t="s">
        <v>227</v>
      </c>
      <c r="N310" s="0" t="s">
        <v>735</v>
      </c>
      <c r="O310" s="0" t="s">
        <v>893</v>
      </c>
      <c r="P310" s="0" t="s">
        <v>237</v>
      </c>
    </row>
    <row r="311" customFormat="false" ht="15" hidden="false" customHeight="false" outlineLevel="0" collapsed="false">
      <c r="A311" s="0" t="s">
        <v>129</v>
      </c>
      <c r="C311" s="0" t="n">
        <v>4</v>
      </c>
      <c r="D311" s="0" t="s">
        <v>229</v>
      </c>
      <c r="E311" s="0" t="s">
        <v>894</v>
      </c>
      <c r="F311" s="0" t="s">
        <v>895</v>
      </c>
      <c r="G311" s="0" t="s">
        <v>210</v>
      </c>
      <c r="H311" s="0" t="s">
        <v>896</v>
      </c>
      <c r="I311" s="0" t="n">
        <v>12</v>
      </c>
      <c r="J311" s="0" t="s">
        <v>349</v>
      </c>
      <c r="K311" s="0" t="s">
        <v>503</v>
      </c>
      <c r="L311" s="0" t="s">
        <v>773</v>
      </c>
      <c r="M311" s="0" t="s">
        <v>351</v>
      </c>
      <c r="N311" s="0" t="s">
        <v>412</v>
      </c>
      <c r="O311" s="0" t="s">
        <v>489</v>
      </c>
      <c r="P311" s="0" t="s">
        <v>94</v>
      </c>
    </row>
    <row r="312" customFormat="false" ht="15" hidden="false" customHeight="false" outlineLevel="0" collapsed="false">
      <c r="A312" s="0" t="s">
        <v>95</v>
      </c>
      <c r="C312" s="0" t="n">
        <v>5</v>
      </c>
      <c r="D312" s="0" t="s">
        <v>146</v>
      </c>
      <c r="E312" s="0" t="s">
        <v>897</v>
      </c>
      <c r="F312" s="0" t="s">
        <v>113</v>
      </c>
      <c r="G312" s="0" t="s">
        <v>351</v>
      </c>
      <c r="H312" s="0" t="s">
        <v>114</v>
      </c>
      <c r="I312" s="0" t="n">
        <v>13</v>
      </c>
      <c r="J312" s="0" t="s">
        <v>354</v>
      </c>
      <c r="K312" s="0" t="s">
        <v>309</v>
      </c>
      <c r="L312" s="0" t="s">
        <v>898</v>
      </c>
      <c r="M312" s="0" t="s">
        <v>741</v>
      </c>
      <c r="N312" s="0" t="s">
        <v>358</v>
      </c>
      <c r="O312" s="0" t="s">
        <v>195</v>
      </c>
      <c r="P312" s="0" t="s">
        <v>94</v>
      </c>
    </row>
    <row r="313" customFormat="false" ht="15" hidden="false" customHeight="false" outlineLevel="0" collapsed="false">
      <c r="A313" s="0" t="s">
        <v>139</v>
      </c>
      <c r="C313" s="0" t="n">
        <v>0</v>
      </c>
      <c r="I313" s="0" t="n">
        <v>11</v>
      </c>
      <c r="J313" s="0" t="s">
        <v>899</v>
      </c>
      <c r="K313" s="0" t="s">
        <v>183</v>
      </c>
      <c r="L313" s="0" t="s">
        <v>790</v>
      </c>
      <c r="M313" s="0" t="s">
        <v>373</v>
      </c>
      <c r="N313" s="0" t="s">
        <v>900</v>
      </c>
      <c r="O313" s="0" t="s">
        <v>901</v>
      </c>
      <c r="P313" s="0" t="s">
        <v>237</v>
      </c>
    </row>
    <row r="315" customFormat="false" ht="15" hidden="false" customHeight="false" outlineLevel="0" collapsed="false">
      <c r="A315" s="6" t="s">
        <v>902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customFormat="false" ht="15" hidden="false" customHeight="false" outlineLevel="0" collapsed="false">
      <c r="A316" s="3"/>
      <c r="B316" s="3" t="s">
        <v>903</v>
      </c>
      <c r="C316" s="3" t="s">
        <v>904</v>
      </c>
    </row>
    <row r="317" customFormat="false" ht="15" hidden="false" customHeight="false" outlineLevel="0" collapsed="false">
      <c r="A317" s="3" t="s">
        <v>35</v>
      </c>
      <c r="B317" s="4" t="s">
        <v>905</v>
      </c>
      <c r="C317" s="4" t="s">
        <v>906</v>
      </c>
    </row>
    <row r="318" customFormat="false" ht="15" hidden="false" customHeight="false" outlineLevel="0" collapsed="false">
      <c r="A318" s="3" t="s">
        <v>38</v>
      </c>
      <c r="B318" s="4" t="s">
        <v>907</v>
      </c>
      <c r="C318" s="4" t="s">
        <v>908</v>
      </c>
    </row>
    <row r="319" customFormat="false" ht="15" hidden="false" customHeight="false" outlineLevel="0" collapsed="false">
      <c r="A319" s="3" t="s">
        <v>41</v>
      </c>
      <c r="B319" s="4" t="s">
        <v>339</v>
      </c>
      <c r="C319" s="4" t="s">
        <v>654</v>
      </c>
    </row>
    <row r="320" customFormat="false" ht="15" hidden="false" customHeight="false" outlineLevel="0" collapsed="false">
      <c r="A320" s="3" t="s">
        <v>44</v>
      </c>
      <c r="B320" s="4" t="s">
        <v>909</v>
      </c>
      <c r="C320" s="4" t="s">
        <v>910</v>
      </c>
    </row>
    <row r="321" customFormat="false" ht="15" hidden="false" customHeight="false" outlineLevel="0" collapsed="false">
      <c r="A321" s="3" t="s">
        <v>47</v>
      </c>
      <c r="B321" s="4" t="s">
        <v>911</v>
      </c>
      <c r="C321" s="4" t="s">
        <v>912</v>
      </c>
    </row>
    <row r="322" customFormat="false" ht="15" hidden="false" customHeight="false" outlineLevel="0" collapsed="false">
      <c r="A322" s="3" t="s">
        <v>50</v>
      </c>
      <c r="B322" s="4" t="s">
        <v>913</v>
      </c>
      <c r="C322" s="4" t="s">
        <v>914</v>
      </c>
    </row>
    <row r="323" customFormat="false" ht="15" hidden="false" customHeight="false" outlineLevel="0" collapsed="false">
      <c r="A323" s="3" t="s">
        <v>53</v>
      </c>
      <c r="B323" s="4" t="s">
        <v>915</v>
      </c>
      <c r="C323" s="4" t="s">
        <v>916</v>
      </c>
    </row>
    <row r="324" customFormat="false" ht="105" hidden="false" customHeight="true" outlineLevel="0" collapsed="false">
      <c r="A324" s="3" t="s">
        <v>56</v>
      </c>
      <c r="B324" s="4" t="s">
        <v>917</v>
      </c>
      <c r="C324" s="4" t="s">
        <v>918</v>
      </c>
    </row>
    <row r="325" customFormat="false" ht="68.65" hidden="false" customHeight="false" outlineLevel="0" collapsed="false">
      <c r="A325" s="3" t="s">
        <v>59</v>
      </c>
      <c r="B325" s="4" t="s">
        <v>919</v>
      </c>
      <c r="C325" s="4" t="s">
        <v>920</v>
      </c>
    </row>
    <row r="326" customFormat="false" ht="150" hidden="false" customHeight="true" outlineLevel="0" collapsed="false">
      <c r="A326" s="3" t="s">
        <v>62</v>
      </c>
      <c r="B326" s="4" t="s">
        <v>921</v>
      </c>
      <c r="C326" s="4" t="s">
        <v>922</v>
      </c>
    </row>
    <row r="327" customFormat="false" ht="15" hidden="false" customHeight="false" outlineLevel="0" collapsed="false">
      <c r="A327" s="7" t="s">
        <v>65</v>
      </c>
      <c r="B327" s="7" t="s">
        <v>66</v>
      </c>
      <c r="C327" s="7" t="s">
        <v>67</v>
      </c>
      <c r="D327" s="7" t="s">
        <v>68</v>
      </c>
      <c r="E327" s="7" t="s">
        <v>69</v>
      </c>
      <c r="F327" s="7" t="s">
        <v>70</v>
      </c>
      <c r="G327" s="7" t="s">
        <v>71</v>
      </c>
      <c r="H327" s="7" t="s">
        <v>72</v>
      </c>
      <c r="I327" s="7" t="s">
        <v>73</v>
      </c>
      <c r="J327" s="7" t="s">
        <v>74</v>
      </c>
      <c r="K327" s="7" t="s">
        <v>75</v>
      </c>
      <c r="L327" s="7" t="s">
        <v>76</v>
      </c>
      <c r="M327" s="7" t="s">
        <v>77</v>
      </c>
      <c r="N327" s="7" t="s">
        <v>78</v>
      </c>
      <c r="O327" s="7" t="s">
        <v>79</v>
      </c>
      <c r="P327" s="7" t="s">
        <v>80</v>
      </c>
    </row>
    <row r="328" customFormat="false" ht="15" hidden="false" customHeight="false" outlineLevel="0" collapsed="false">
      <c r="A328" s="0" t="s">
        <v>81</v>
      </c>
      <c r="B328" s="0" t="s">
        <v>478</v>
      </c>
      <c r="C328" s="0" t="n">
        <v>36</v>
      </c>
      <c r="D328" s="0" t="s">
        <v>923</v>
      </c>
      <c r="E328" s="0" t="s">
        <v>201</v>
      </c>
      <c r="F328" s="0" t="s">
        <v>924</v>
      </c>
      <c r="G328" s="0" t="s">
        <v>203</v>
      </c>
      <c r="H328" s="0" t="s">
        <v>925</v>
      </c>
      <c r="I328" s="0" t="n">
        <v>14</v>
      </c>
      <c r="J328" s="0" t="s">
        <v>207</v>
      </c>
      <c r="K328" s="0" t="s">
        <v>355</v>
      </c>
      <c r="L328" s="0" t="s">
        <v>746</v>
      </c>
      <c r="M328" s="0" t="s">
        <v>576</v>
      </c>
      <c r="N328" s="0" t="s">
        <v>926</v>
      </c>
      <c r="O328" s="0" t="s">
        <v>927</v>
      </c>
      <c r="P328" s="0" t="s">
        <v>270</v>
      </c>
    </row>
    <row r="329" customFormat="false" ht="15" hidden="false" customHeight="false" outlineLevel="0" collapsed="false">
      <c r="A329" s="0" t="s">
        <v>95</v>
      </c>
      <c r="B329" s="0" t="s">
        <v>324</v>
      </c>
      <c r="C329" s="0" t="n">
        <v>24</v>
      </c>
      <c r="D329" s="0" t="s">
        <v>928</v>
      </c>
      <c r="E329" s="0" t="s">
        <v>43</v>
      </c>
      <c r="F329" s="0" t="s">
        <v>929</v>
      </c>
      <c r="G329" s="0" t="s">
        <v>930</v>
      </c>
      <c r="H329" s="0" t="s">
        <v>931</v>
      </c>
      <c r="I329" s="0" t="n">
        <v>15</v>
      </c>
      <c r="J329" s="0" t="s">
        <v>932</v>
      </c>
      <c r="K329" s="0" t="s">
        <v>355</v>
      </c>
      <c r="L329" s="0" t="s">
        <v>216</v>
      </c>
      <c r="M329" s="0" t="s">
        <v>782</v>
      </c>
      <c r="N329" s="0" t="s">
        <v>933</v>
      </c>
      <c r="O329" s="0" t="s">
        <v>494</v>
      </c>
      <c r="P329" s="0" t="s">
        <v>94</v>
      </c>
    </row>
    <row r="330" customFormat="false" ht="15" hidden="false" customHeight="false" outlineLevel="0" collapsed="false">
      <c r="A330" s="0" t="s">
        <v>139</v>
      </c>
      <c r="B330" s="0" t="s">
        <v>266</v>
      </c>
      <c r="C330" s="0" t="n">
        <v>14</v>
      </c>
      <c r="D330" s="0" t="s">
        <v>934</v>
      </c>
      <c r="E330" s="0" t="s">
        <v>549</v>
      </c>
      <c r="F330" s="0" t="s">
        <v>190</v>
      </c>
      <c r="G330" s="0" t="s">
        <v>935</v>
      </c>
      <c r="H330" s="0" t="s">
        <v>936</v>
      </c>
      <c r="I330" s="0" t="n">
        <v>19</v>
      </c>
      <c r="J330" s="0" t="s">
        <v>115</v>
      </c>
      <c r="K330" s="0" t="s">
        <v>367</v>
      </c>
      <c r="L330" s="0" t="s">
        <v>543</v>
      </c>
      <c r="M330" s="0" t="s">
        <v>937</v>
      </c>
      <c r="N330" s="0" t="s">
        <v>938</v>
      </c>
      <c r="O330" s="0" t="s">
        <v>939</v>
      </c>
      <c r="P330" s="0" t="s">
        <v>430</v>
      </c>
    </row>
    <row r="331" customFormat="false" ht="15" hidden="false" customHeight="false" outlineLevel="0" collapsed="false">
      <c r="A331" s="0" t="s">
        <v>121</v>
      </c>
      <c r="C331" s="0" t="n">
        <v>14</v>
      </c>
      <c r="D331" s="0" t="s">
        <v>889</v>
      </c>
      <c r="E331" s="0" t="s">
        <v>208</v>
      </c>
      <c r="F331" s="0" t="s">
        <v>940</v>
      </c>
      <c r="G331" s="0" t="s">
        <v>364</v>
      </c>
      <c r="H331" s="0" t="s">
        <v>926</v>
      </c>
      <c r="I331" s="0" t="n">
        <v>8</v>
      </c>
      <c r="J331" s="0" t="s">
        <v>941</v>
      </c>
      <c r="K331" s="0" t="s">
        <v>445</v>
      </c>
      <c r="L331" s="0" t="s">
        <v>942</v>
      </c>
      <c r="M331" s="0" t="s">
        <v>943</v>
      </c>
      <c r="N331" s="0" t="s">
        <v>944</v>
      </c>
      <c r="O331" s="0" t="s">
        <v>153</v>
      </c>
      <c r="P331" s="0" t="s">
        <v>154</v>
      </c>
    </row>
    <row r="332" customFormat="false" ht="15" hidden="false" customHeight="false" outlineLevel="0" collapsed="false">
      <c r="A332" s="0" t="s">
        <v>129</v>
      </c>
      <c r="C332" s="0" t="n">
        <v>11</v>
      </c>
      <c r="D332" s="0" t="s">
        <v>842</v>
      </c>
      <c r="E332" s="0" t="s">
        <v>98</v>
      </c>
      <c r="F332" s="0" t="s">
        <v>945</v>
      </c>
      <c r="G332" s="0" t="s">
        <v>946</v>
      </c>
      <c r="H332" s="0" t="s">
        <v>947</v>
      </c>
      <c r="I332" s="0" t="n">
        <v>0</v>
      </c>
      <c r="O332" s="0" t="s">
        <v>627</v>
      </c>
      <c r="P332" s="0" t="s">
        <v>94</v>
      </c>
    </row>
    <row r="333" customFormat="false" ht="15" hidden="false" customHeight="false" outlineLevel="0" collapsed="false">
      <c r="A333" s="0" t="s">
        <v>108</v>
      </c>
      <c r="C333" s="0" t="n">
        <v>0</v>
      </c>
      <c r="I333" s="0" t="n">
        <v>5</v>
      </c>
      <c r="J333" s="0" t="s">
        <v>122</v>
      </c>
      <c r="K333" s="0" t="s">
        <v>654</v>
      </c>
      <c r="L333" s="0" t="s">
        <v>948</v>
      </c>
      <c r="M333" s="0" t="s">
        <v>411</v>
      </c>
      <c r="N333" s="0" t="s">
        <v>114</v>
      </c>
      <c r="O333" s="0" t="s">
        <v>949</v>
      </c>
      <c r="P333" s="0" t="s">
        <v>237</v>
      </c>
    </row>
    <row r="334" customFormat="false" ht="15" hidden="false" customHeight="false" outlineLevel="0" collapsed="false">
      <c r="A334" s="0" t="s">
        <v>145</v>
      </c>
      <c r="C334" s="0" t="n">
        <v>12</v>
      </c>
      <c r="D334" s="0" t="s">
        <v>409</v>
      </c>
      <c r="E334" s="0" t="s">
        <v>545</v>
      </c>
      <c r="F334" s="0" t="s">
        <v>718</v>
      </c>
      <c r="G334" s="0" t="s">
        <v>529</v>
      </c>
      <c r="H334" s="0" t="s">
        <v>950</v>
      </c>
      <c r="I334" s="0" t="n">
        <v>8</v>
      </c>
      <c r="J334" s="0" t="s">
        <v>83</v>
      </c>
      <c r="K334" s="0" t="s">
        <v>197</v>
      </c>
      <c r="L334" s="0" t="s">
        <v>951</v>
      </c>
      <c r="M334" s="0" t="s">
        <v>952</v>
      </c>
      <c r="N334" s="0" t="s">
        <v>87</v>
      </c>
      <c r="O334" s="0" t="s">
        <v>953</v>
      </c>
      <c r="P334" s="0" t="s">
        <v>237</v>
      </c>
    </row>
    <row r="336" customFormat="false" ht="15" hidden="false" customHeight="false" outlineLevel="0" collapsed="false">
      <c r="A336" s="6" t="s">
        <v>954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customFormat="false" ht="15" hidden="false" customHeight="false" outlineLevel="0" collapsed="false">
      <c r="A337" s="3"/>
      <c r="B337" s="3" t="s">
        <v>955</v>
      </c>
      <c r="C337" s="3" t="s">
        <v>956</v>
      </c>
    </row>
    <row r="338" customFormat="false" ht="15" hidden="false" customHeight="false" outlineLevel="0" collapsed="false">
      <c r="A338" s="3" t="s">
        <v>35</v>
      </c>
      <c r="B338" s="4" t="s">
        <v>957</v>
      </c>
      <c r="C338" s="4" t="s">
        <v>663</v>
      </c>
    </row>
    <row r="339" customFormat="false" ht="15" hidden="false" customHeight="false" outlineLevel="0" collapsed="false">
      <c r="A339" s="3" t="s">
        <v>38</v>
      </c>
      <c r="B339" s="4" t="s">
        <v>958</v>
      </c>
      <c r="C339" s="4" t="s">
        <v>665</v>
      </c>
    </row>
    <row r="340" customFormat="false" ht="15" hidden="false" customHeight="false" outlineLevel="0" collapsed="false">
      <c r="A340" s="3" t="s">
        <v>41</v>
      </c>
      <c r="B340" s="4" t="s">
        <v>363</v>
      </c>
      <c r="C340" s="4"/>
    </row>
    <row r="341" customFormat="false" ht="15" hidden="false" customHeight="false" outlineLevel="0" collapsed="false">
      <c r="A341" s="3" t="s">
        <v>44</v>
      </c>
      <c r="B341" s="4" t="s">
        <v>959</v>
      </c>
      <c r="C341" s="4" t="s">
        <v>667</v>
      </c>
    </row>
    <row r="342" customFormat="false" ht="15" hidden="false" customHeight="false" outlineLevel="0" collapsed="false">
      <c r="A342" s="3" t="s">
        <v>47</v>
      </c>
      <c r="B342" s="4" t="s">
        <v>960</v>
      </c>
      <c r="C342" s="4" t="s">
        <v>669</v>
      </c>
    </row>
    <row r="343" customFormat="false" ht="15" hidden="false" customHeight="false" outlineLevel="0" collapsed="false">
      <c r="A343" s="3" t="s">
        <v>50</v>
      </c>
      <c r="B343" s="4" t="s">
        <v>961</v>
      </c>
      <c r="C343" s="4" t="s">
        <v>671</v>
      </c>
    </row>
    <row r="344" customFormat="false" ht="15" hidden="false" customHeight="false" outlineLevel="0" collapsed="false">
      <c r="A344" s="3" t="s">
        <v>53</v>
      </c>
      <c r="B344" s="4" t="s">
        <v>54</v>
      </c>
      <c r="C344" s="4" t="s">
        <v>54</v>
      </c>
    </row>
    <row r="345" customFormat="false" ht="105" hidden="false" customHeight="true" outlineLevel="0" collapsed="false">
      <c r="A345" s="3" t="s">
        <v>56</v>
      </c>
      <c r="B345" s="4" t="s">
        <v>962</v>
      </c>
      <c r="C345" s="4" t="s">
        <v>54</v>
      </c>
    </row>
    <row r="346" customFormat="false" ht="68.65" hidden="false" customHeight="false" outlineLevel="0" collapsed="false">
      <c r="A346" s="3" t="s">
        <v>59</v>
      </c>
      <c r="B346" s="4" t="s">
        <v>963</v>
      </c>
      <c r="C346" s="4"/>
    </row>
    <row r="347" customFormat="false" ht="150" hidden="false" customHeight="true" outlineLevel="0" collapsed="false">
      <c r="A347" s="3" t="s">
        <v>62</v>
      </c>
      <c r="B347" s="4" t="s">
        <v>964</v>
      </c>
      <c r="C347" s="4" t="s">
        <v>675</v>
      </c>
    </row>
    <row r="348" customFormat="false" ht="15" hidden="false" customHeight="false" outlineLevel="0" collapsed="false">
      <c r="A348" s="7" t="s">
        <v>65</v>
      </c>
      <c r="B348" s="7" t="s">
        <v>66</v>
      </c>
      <c r="C348" s="7" t="s">
        <v>67</v>
      </c>
      <c r="D348" s="7" t="s">
        <v>68</v>
      </c>
      <c r="E348" s="7" t="s">
        <v>69</v>
      </c>
      <c r="F348" s="7" t="s">
        <v>70</v>
      </c>
      <c r="G348" s="7" t="s">
        <v>71</v>
      </c>
      <c r="H348" s="7" t="s">
        <v>72</v>
      </c>
      <c r="I348" s="7" t="s">
        <v>73</v>
      </c>
      <c r="J348" s="7" t="s">
        <v>74</v>
      </c>
      <c r="K348" s="7" t="s">
        <v>75</v>
      </c>
      <c r="L348" s="7" t="s">
        <v>76</v>
      </c>
      <c r="M348" s="7" t="s">
        <v>77</v>
      </c>
      <c r="N348" s="7" t="s">
        <v>78</v>
      </c>
      <c r="O348" s="7" t="s">
        <v>79</v>
      </c>
      <c r="P348" s="7" t="s">
        <v>80</v>
      </c>
    </row>
    <row r="349" customFormat="false" ht="15" hidden="false" customHeight="false" outlineLevel="0" collapsed="false">
      <c r="A349" s="0" t="s">
        <v>129</v>
      </c>
      <c r="B349" s="0" t="s">
        <v>176</v>
      </c>
      <c r="C349" s="0" t="n">
        <v>13</v>
      </c>
      <c r="D349" s="0" t="s">
        <v>965</v>
      </c>
      <c r="E349" s="0" t="s">
        <v>335</v>
      </c>
      <c r="F349" s="0" t="s">
        <v>136</v>
      </c>
      <c r="G349" s="0" t="s">
        <v>105</v>
      </c>
      <c r="H349" s="0" t="s">
        <v>966</v>
      </c>
      <c r="I349" s="0" t="n">
        <v>0</v>
      </c>
      <c r="O349" s="0" t="s">
        <v>893</v>
      </c>
      <c r="P349" s="0" t="s">
        <v>237</v>
      </c>
    </row>
    <row r="350" customFormat="false" ht="15" hidden="false" customHeight="false" outlineLevel="0" collapsed="false">
      <c r="A350" s="0" t="s">
        <v>108</v>
      </c>
      <c r="B350" s="0" t="s">
        <v>419</v>
      </c>
      <c r="C350" s="0" t="n">
        <v>9</v>
      </c>
      <c r="D350" s="0" t="s">
        <v>531</v>
      </c>
      <c r="E350" s="0" t="s">
        <v>43</v>
      </c>
      <c r="F350" s="0" t="s">
        <v>351</v>
      </c>
      <c r="G350" s="0" t="s">
        <v>364</v>
      </c>
      <c r="H350" s="0" t="s">
        <v>967</v>
      </c>
      <c r="I350" s="0" t="n">
        <v>0</v>
      </c>
      <c r="O350" s="0" t="s">
        <v>684</v>
      </c>
      <c r="P350" s="0" t="s">
        <v>94</v>
      </c>
    </row>
    <row r="351" customFormat="false" ht="15" hidden="false" customHeight="false" outlineLevel="0" collapsed="false">
      <c r="A351" s="0" t="s">
        <v>139</v>
      </c>
      <c r="B351" s="0" t="s">
        <v>109</v>
      </c>
      <c r="C351" s="0" t="n">
        <v>8</v>
      </c>
      <c r="D351" s="0" t="s">
        <v>968</v>
      </c>
      <c r="E351" s="0" t="s">
        <v>897</v>
      </c>
      <c r="F351" s="0" t="s">
        <v>415</v>
      </c>
      <c r="G351" s="0" t="s">
        <v>454</v>
      </c>
      <c r="H351" s="0" t="s">
        <v>944</v>
      </c>
      <c r="I351" s="0" t="n">
        <v>0</v>
      </c>
      <c r="O351" s="0" t="s">
        <v>195</v>
      </c>
      <c r="P351" s="0" t="s">
        <v>94</v>
      </c>
    </row>
    <row r="352" customFormat="false" ht="15" hidden="false" customHeight="false" outlineLevel="0" collapsed="false">
      <c r="A352" s="0" t="s">
        <v>81</v>
      </c>
      <c r="C352" s="0" t="n">
        <v>6</v>
      </c>
      <c r="D352" s="0" t="s">
        <v>887</v>
      </c>
      <c r="E352" s="0" t="s">
        <v>635</v>
      </c>
      <c r="F352" s="0" t="s">
        <v>215</v>
      </c>
      <c r="G352" s="0" t="s">
        <v>180</v>
      </c>
      <c r="H352" s="0" t="s">
        <v>727</v>
      </c>
      <c r="I352" s="0" t="n">
        <v>0</v>
      </c>
      <c r="O352" s="0" t="s">
        <v>695</v>
      </c>
      <c r="P352" s="0" t="s">
        <v>94</v>
      </c>
    </row>
    <row r="353" customFormat="false" ht="15" hidden="false" customHeight="false" outlineLevel="0" collapsed="false">
      <c r="A353" s="0" t="s">
        <v>95</v>
      </c>
      <c r="C353" s="0" t="n">
        <v>6</v>
      </c>
      <c r="D353" s="0" t="s">
        <v>456</v>
      </c>
      <c r="E353" s="0" t="s">
        <v>335</v>
      </c>
      <c r="F353" s="0" t="s">
        <v>969</v>
      </c>
      <c r="G353" s="0" t="s">
        <v>970</v>
      </c>
      <c r="H353" s="0" t="s">
        <v>742</v>
      </c>
      <c r="I353" s="0" t="n">
        <v>0</v>
      </c>
      <c r="O353" s="0" t="s">
        <v>971</v>
      </c>
      <c r="P353" s="0" t="s">
        <v>94</v>
      </c>
    </row>
    <row r="354" customFormat="false" ht="15" hidden="false" customHeight="false" outlineLevel="0" collapsed="false">
      <c r="A354" s="0" t="s">
        <v>145</v>
      </c>
      <c r="C354" s="0" t="n">
        <v>8</v>
      </c>
      <c r="D354" s="0" t="s">
        <v>205</v>
      </c>
      <c r="E354" s="0" t="s">
        <v>972</v>
      </c>
      <c r="F354" s="0" t="s">
        <v>725</v>
      </c>
      <c r="G354" s="0" t="s">
        <v>529</v>
      </c>
      <c r="H354" s="0" t="s">
        <v>547</v>
      </c>
      <c r="I354" s="0" t="n">
        <v>0</v>
      </c>
      <c r="O354" s="0" t="s">
        <v>375</v>
      </c>
      <c r="P354" s="0" t="s">
        <v>94</v>
      </c>
    </row>
    <row r="356" customFormat="false" ht="15" hidden="false" customHeight="false" outlineLevel="0" collapsed="false">
      <c r="A356" s="6" t="s">
        <v>973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customFormat="false" ht="15" hidden="false" customHeight="false" outlineLevel="0" collapsed="false">
      <c r="A357" s="3"/>
      <c r="B357" s="3" t="s">
        <v>974</v>
      </c>
      <c r="C357" s="3" t="s">
        <v>975</v>
      </c>
    </row>
    <row r="358" customFormat="false" ht="15" hidden="false" customHeight="false" outlineLevel="0" collapsed="false">
      <c r="A358" s="3" t="s">
        <v>35</v>
      </c>
      <c r="B358" s="4" t="s">
        <v>976</v>
      </c>
      <c r="C358" s="4" t="s">
        <v>663</v>
      </c>
    </row>
    <row r="359" customFormat="false" ht="15" hidden="false" customHeight="false" outlineLevel="0" collapsed="false">
      <c r="A359" s="3" t="s">
        <v>38</v>
      </c>
      <c r="B359" s="4" t="s">
        <v>977</v>
      </c>
      <c r="C359" s="4" t="s">
        <v>978</v>
      </c>
    </row>
    <row r="360" customFormat="false" ht="15" hidden="false" customHeight="false" outlineLevel="0" collapsed="false">
      <c r="A360" s="3" t="s">
        <v>41</v>
      </c>
      <c r="B360" s="4" t="s">
        <v>897</v>
      </c>
      <c r="C360" s="4" t="s">
        <v>979</v>
      </c>
    </row>
    <row r="361" customFormat="false" ht="15" hidden="false" customHeight="false" outlineLevel="0" collapsed="false">
      <c r="A361" s="3" t="s">
        <v>44</v>
      </c>
      <c r="B361" s="4" t="s">
        <v>980</v>
      </c>
      <c r="C361" s="4" t="s">
        <v>981</v>
      </c>
    </row>
    <row r="362" customFormat="false" ht="15" hidden="false" customHeight="false" outlineLevel="0" collapsed="false">
      <c r="A362" s="3" t="s">
        <v>47</v>
      </c>
      <c r="B362" s="4" t="s">
        <v>982</v>
      </c>
      <c r="C362" s="4" t="s">
        <v>983</v>
      </c>
    </row>
    <row r="363" customFormat="false" ht="15" hidden="false" customHeight="false" outlineLevel="0" collapsed="false">
      <c r="A363" s="3" t="s">
        <v>50</v>
      </c>
      <c r="B363" s="4" t="s">
        <v>984</v>
      </c>
      <c r="C363" s="4" t="s">
        <v>985</v>
      </c>
    </row>
    <row r="364" customFormat="false" ht="15" hidden="false" customHeight="false" outlineLevel="0" collapsed="false">
      <c r="A364" s="3" t="s">
        <v>53</v>
      </c>
      <c r="B364" s="4" t="s">
        <v>54</v>
      </c>
      <c r="C364" s="4" t="s">
        <v>54</v>
      </c>
    </row>
    <row r="365" customFormat="false" ht="105" hidden="false" customHeight="true" outlineLevel="0" collapsed="false">
      <c r="A365" s="3" t="s">
        <v>56</v>
      </c>
      <c r="B365" s="4" t="s">
        <v>986</v>
      </c>
      <c r="C365" s="4" t="s">
        <v>987</v>
      </c>
    </row>
    <row r="366" customFormat="false" ht="68.65" hidden="false" customHeight="false" outlineLevel="0" collapsed="false">
      <c r="A366" s="3" t="s">
        <v>59</v>
      </c>
      <c r="B366" s="4" t="s">
        <v>988</v>
      </c>
      <c r="C366" s="4" t="s">
        <v>989</v>
      </c>
    </row>
    <row r="367" customFormat="false" ht="150" hidden="false" customHeight="true" outlineLevel="0" collapsed="false">
      <c r="A367" s="3" t="s">
        <v>62</v>
      </c>
      <c r="B367" s="4" t="s">
        <v>990</v>
      </c>
      <c r="C367" s="4" t="s">
        <v>991</v>
      </c>
    </row>
    <row r="368" customFormat="false" ht="15" hidden="false" customHeight="false" outlineLevel="0" collapsed="false">
      <c r="A368" s="7" t="s">
        <v>65</v>
      </c>
      <c r="B368" s="7" t="s">
        <v>66</v>
      </c>
      <c r="C368" s="7" t="s">
        <v>67</v>
      </c>
      <c r="D368" s="7" t="s">
        <v>68</v>
      </c>
      <c r="E368" s="7" t="s">
        <v>69</v>
      </c>
      <c r="F368" s="7" t="s">
        <v>70</v>
      </c>
      <c r="G368" s="7" t="s">
        <v>71</v>
      </c>
      <c r="H368" s="7" t="s">
        <v>72</v>
      </c>
      <c r="I368" s="7" t="s">
        <v>73</v>
      </c>
      <c r="J368" s="7" t="s">
        <v>74</v>
      </c>
      <c r="K368" s="7" t="s">
        <v>75</v>
      </c>
      <c r="L368" s="7" t="s">
        <v>76</v>
      </c>
      <c r="M368" s="7" t="s">
        <v>77</v>
      </c>
      <c r="N368" s="7" t="s">
        <v>78</v>
      </c>
      <c r="O368" s="7" t="s">
        <v>79</v>
      </c>
      <c r="P368" s="7" t="s">
        <v>80</v>
      </c>
    </row>
    <row r="369" customFormat="false" ht="15" hidden="false" customHeight="false" outlineLevel="0" collapsed="false">
      <c r="A369" s="0" t="s">
        <v>129</v>
      </c>
      <c r="B369" s="0" t="s">
        <v>187</v>
      </c>
      <c r="C369" s="0" t="n">
        <v>12</v>
      </c>
      <c r="D369" s="0" t="s">
        <v>234</v>
      </c>
      <c r="E369" s="0" t="s">
        <v>178</v>
      </c>
      <c r="F369" s="0" t="s">
        <v>198</v>
      </c>
      <c r="G369" s="0" t="s">
        <v>891</v>
      </c>
      <c r="H369" s="0" t="s">
        <v>876</v>
      </c>
      <c r="I369" s="0" t="n">
        <v>1</v>
      </c>
      <c r="J369" s="0" t="s">
        <v>140</v>
      </c>
      <c r="K369" s="0" t="s">
        <v>765</v>
      </c>
      <c r="L369" s="0" t="s">
        <v>992</v>
      </c>
      <c r="M369" s="0" t="s">
        <v>784</v>
      </c>
      <c r="N369" s="0" t="s">
        <v>574</v>
      </c>
      <c r="O369" s="0" t="s">
        <v>333</v>
      </c>
      <c r="P369" s="0" t="s">
        <v>94</v>
      </c>
    </row>
    <row r="370" customFormat="false" ht="15" hidden="false" customHeight="false" outlineLevel="0" collapsed="false">
      <c r="A370" s="0" t="s">
        <v>108</v>
      </c>
      <c r="B370" s="0" t="s">
        <v>187</v>
      </c>
      <c r="C370" s="0" t="n">
        <v>12</v>
      </c>
      <c r="D370" s="0" t="s">
        <v>349</v>
      </c>
      <c r="E370" s="0" t="s">
        <v>583</v>
      </c>
      <c r="F370" s="0" t="s">
        <v>816</v>
      </c>
      <c r="G370" s="0" t="s">
        <v>993</v>
      </c>
      <c r="H370" s="0" t="s">
        <v>994</v>
      </c>
      <c r="I370" s="0" t="n">
        <v>3</v>
      </c>
      <c r="J370" s="0" t="s">
        <v>540</v>
      </c>
      <c r="K370" s="0" t="s">
        <v>995</v>
      </c>
      <c r="L370" s="0" t="s">
        <v>189</v>
      </c>
      <c r="M370" s="0" t="s">
        <v>996</v>
      </c>
      <c r="N370" s="0" t="s">
        <v>544</v>
      </c>
      <c r="O370" s="0" t="s">
        <v>997</v>
      </c>
      <c r="P370" s="0" t="s">
        <v>94</v>
      </c>
    </row>
    <row r="371" customFormat="false" ht="15" hidden="false" customHeight="false" outlineLevel="0" collapsed="false">
      <c r="A371" s="0" t="s">
        <v>81</v>
      </c>
      <c r="B371" s="0" t="s">
        <v>419</v>
      </c>
      <c r="C371" s="0" t="n">
        <v>10</v>
      </c>
      <c r="D371" s="0" t="s">
        <v>424</v>
      </c>
      <c r="E371" s="0" t="s">
        <v>220</v>
      </c>
      <c r="F371" s="0" t="s">
        <v>998</v>
      </c>
      <c r="G371" s="0" t="s">
        <v>437</v>
      </c>
      <c r="H371" s="0" t="s">
        <v>428</v>
      </c>
      <c r="I371" s="0" t="n">
        <v>2</v>
      </c>
      <c r="J371" s="0" t="s">
        <v>999</v>
      </c>
      <c r="K371" s="0" t="s">
        <v>894</v>
      </c>
      <c r="L371" s="0" t="s">
        <v>646</v>
      </c>
      <c r="M371" s="0" t="s">
        <v>1000</v>
      </c>
      <c r="N371" s="0" t="s">
        <v>735</v>
      </c>
      <c r="O371" s="0" t="s">
        <v>289</v>
      </c>
      <c r="P371" s="0" t="s">
        <v>94</v>
      </c>
    </row>
    <row r="372" customFormat="false" ht="15" hidden="false" customHeight="false" outlineLevel="0" collapsed="false">
      <c r="A372" s="0" t="s">
        <v>121</v>
      </c>
      <c r="C372" s="0" t="n">
        <v>6</v>
      </c>
      <c r="D372" s="0" t="s">
        <v>887</v>
      </c>
      <c r="E372" s="0" t="s">
        <v>103</v>
      </c>
      <c r="F372" s="0" t="s">
        <v>649</v>
      </c>
      <c r="G372" s="0" t="s">
        <v>190</v>
      </c>
      <c r="H372" s="0" t="s">
        <v>738</v>
      </c>
      <c r="I372" s="0" t="n">
        <v>0</v>
      </c>
      <c r="O372" s="0" t="s">
        <v>228</v>
      </c>
      <c r="P372" s="0" t="s">
        <v>94</v>
      </c>
    </row>
    <row r="373" customFormat="false" ht="15" hidden="false" customHeight="false" outlineLevel="0" collapsed="false">
      <c r="A373" s="0" t="s">
        <v>95</v>
      </c>
      <c r="C373" s="0" t="n">
        <v>0</v>
      </c>
      <c r="I373" s="0" t="n">
        <v>4</v>
      </c>
      <c r="J373" s="0" t="s">
        <v>431</v>
      </c>
      <c r="K373" s="0" t="s">
        <v>1001</v>
      </c>
      <c r="L373" s="0" t="s">
        <v>1002</v>
      </c>
      <c r="M373" s="0" t="s">
        <v>226</v>
      </c>
      <c r="N373" s="0" t="s">
        <v>636</v>
      </c>
      <c r="O373" s="0" t="s">
        <v>971</v>
      </c>
      <c r="P373" s="0" t="s">
        <v>94</v>
      </c>
    </row>
    <row r="374" customFormat="false" ht="15" hidden="false" customHeight="false" outlineLevel="0" collapsed="false">
      <c r="A374" s="0" t="s">
        <v>139</v>
      </c>
      <c r="C374" s="0" t="n">
        <v>9</v>
      </c>
      <c r="D374" s="0" t="s">
        <v>624</v>
      </c>
      <c r="E374" s="0" t="s">
        <v>502</v>
      </c>
      <c r="F374" s="0" t="s">
        <v>360</v>
      </c>
      <c r="G374" s="0" t="s">
        <v>1003</v>
      </c>
      <c r="H374" s="0" t="s">
        <v>530</v>
      </c>
      <c r="I374" s="0" t="n">
        <v>0</v>
      </c>
      <c r="O374" s="0" t="s">
        <v>642</v>
      </c>
      <c r="P374" s="0" t="s">
        <v>237</v>
      </c>
    </row>
    <row r="375" customFormat="false" ht="15" hidden="false" customHeight="false" outlineLevel="0" collapsed="false">
      <c r="A375" s="0" t="s">
        <v>145</v>
      </c>
      <c r="C375" s="0" t="n">
        <v>8</v>
      </c>
      <c r="D375" s="0" t="s">
        <v>692</v>
      </c>
      <c r="E375" s="0" t="s">
        <v>188</v>
      </c>
      <c r="F375" s="0" t="s">
        <v>1004</v>
      </c>
      <c r="G375" s="0" t="s">
        <v>1005</v>
      </c>
      <c r="H375" s="0" t="s">
        <v>944</v>
      </c>
      <c r="I375" s="0" t="n">
        <v>2</v>
      </c>
      <c r="J375" s="0" t="s">
        <v>588</v>
      </c>
      <c r="K375" s="0" t="s">
        <v>597</v>
      </c>
      <c r="L375" s="0" t="s">
        <v>190</v>
      </c>
      <c r="M375" s="0" t="s">
        <v>590</v>
      </c>
      <c r="N375" s="0" t="s">
        <v>592</v>
      </c>
      <c r="O375" s="0" t="s">
        <v>953</v>
      </c>
      <c r="P375" s="0" t="s">
        <v>237</v>
      </c>
    </row>
    <row r="377" customFormat="false" ht="15" hidden="false" customHeight="false" outlineLevel="0" collapsed="false">
      <c r="A377" s="6" t="s">
        <v>1006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customFormat="false" ht="15" hidden="false" customHeight="false" outlineLevel="0" collapsed="false">
      <c r="A378" s="3"/>
      <c r="B378" s="3" t="s">
        <v>1007</v>
      </c>
      <c r="C378" s="3" t="s">
        <v>1008</v>
      </c>
    </row>
    <row r="379" customFormat="false" ht="15" hidden="false" customHeight="false" outlineLevel="0" collapsed="false">
      <c r="A379" s="3" t="s">
        <v>35</v>
      </c>
      <c r="B379" s="4" t="s">
        <v>1009</v>
      </c>
      <c r="C379" s="4" t="s">
        <v>1010</v>
      </c>
    </row>
    <row r="380" customFormat="false" ht="15" hidden="false" customHeight="false" outlineLevel="0" collapsed="false">
      <c r="A380" s="3" t="s">
        <v>38</v>
      </c>
      <c r="B380" s="4" t="s">
        <v>1011</v>
      </c>
      <c r="C380" s="4" t="s">
        <v>1012</v>
      </c>
    </row>
    <row r="381" customFormat="false" ht="15" hidden="false" customHeight="false" outlineLevel="0" collapsed="false">
      <c r="A381" s="3" t="s">
        <v>41</v>
      </c>
      <c r="B381" s="4" t="s">
        <v>230</v>
      </c>
      <c r="C381" s="4" t="s">
        <v>1013</v>
      </c>
    </row>
    <row r="382" customFormat="false" ht="15" hidden="false" customHeight="false" outlineLevel="0" collapsed="false">
      <c r="A382" s="3" t="s">
        <v>44</v>
      </c>
      <c r="B382" s="4" t="s">
        <v>1014</v>
      </c>
      <c r="C382" s="4" t="s">
        <v>1015</v>
      </c>
    </row>
    <row r="383" customFormat="false" ht="15" hidden="false" customHeight="false" outlineLevel="0" collapsed="false">
      <c r="A383" s="3" t="s">
        <v>47</v>
      </c>
      <c r="B383" s="4" t="s">
        <v>1016</v>
      </c>
      <c r="C383" s="4" t="s">
        <v>1017</v>
      </c>
    </row>
    <row r="384" customFormat="false" ht="15" hidden="false" customHeight="false" outlineLevel="0" collapsed="false">
      <c r="A384" s="3" t="s">
        <v>50</v>
      </c>
      <c r="B384" s="4" t="s">
        <v>1018</v>
      </c>
      <c r="C384" s="4" t="s">
        <v>1019</v>
      </c>
    </row>
    <row r="385" customFormat="false" ht="15" hidden="false" customHeight="false" outlineLevel="0" collapsed="false">
      <c r="A385" s="3" t="s">
        <v>53</v>
      </c>
      <c r="B385" s="4" t="s">
        <v>1020</v>
      </c>
      <c r="C385" s="4" t="s">
        <v>1021</v>
      </c>
    </row>
    <row r="386" customFormat="false" ht="105" hidden="false" customHeight="true" outlineLevel="0" collapsed="false">
      <c r="A386" s="3" t="s">
        <v>56</v>
      </c>
      <c r="B386" s="4" t="s">
        <v>1022</v>
      </c>
      <c r="C386" s="4" t="s">
        <v>1023</v>
      </c>
    </row>
    <row r="387" customFormat="false" ht="68.65" hidden="false" customHeight="false" outlineLevel="0" collapsed="false">
      <c r="A387" s="3" t="s">
        <v>59</v>
      </c>
      <c r="B387" s="4" t="s">
        <v>1024</v>
      </c>
      <c r="C387" s="4" t="s">
        <v>1025</v>
      </c>
    </row>
    <row r="388" customFormat="false" ht="150" hidden="false" customHeight="true" outlineLevel="0" collapsed="false">
      <c r="A388" s="3" t="s">
        <v>62</v>
      </c>
      <c r="B388" s="4" t="s">
        <v>1026</v>
      </c>
      <c r="C388" s="4" t="s">
        <v>1027</v>
      </c>
    </row>
    <row r="389" customFormat="false" ht="15" hidden="false" customHeight="false" outlineLevel="0" collapsed="false">
      <c r="A389" s="7" t="s">
        <v>65</v>
      </c>
      <c r="B389" s="7" t="s">
        <v>66</v>
      </c>
      <c r="C389" s="7" t="s">
        <v>67</v>
      </c>
      <c r="D389" s="7" t="s">
        <v>68</v>
      </c>
      <c r="E389" s="7" t="s">
        <v>69</v>
      </c>
      <c r="F389" s="7" t="s">
        <v>70</v>
      </c>
      <c r="G389" s="7" t="s">
        <v>71</v>
      </c>
      <c r="H389" s="7" t="s">
        <v>72</v>
      </c>
      <c r="I389" s="7" t="s">
        <v>73</v>
      </c>
      <c r="J389" s="7" t="s">
        <v>74</v>
      </c>
      <c r="K389" s="7" t="s">
        <v>75</v>
      </c>
      <c r="L389" s="7" t="s">
        <v>76</v>
      </c>
      <c r="M389" s="7" t="s">
        <v>77</v>
      </c>
      <c r="N389" s="7" t="s">
        <v>78</v>
      </c>
      <c r="O389" s="7" t="s">
        <v>79</v>
      </c>
      <c r="P389" s="7" t="s">
        <v>80</v>
      </c>
    </row>
    <row r="390" customFormat="false" ht="15" hidden="false" customHeight="false" outlineLevel="0" collapsed="false">
      <c r="A390" s="0" t="s">
        <v>81</v>
      </c>
      <c r="B390" s="0" t="s">
        <v>268</v>
      </c>
      <c r="C390" s="0" t="n">
        <v>26</v>
      </c>
      <c r="D390" s="0" t="s">
        <v>1028</v>
      </c>
      <c r="E390" s="0" t="s">
        <v>972</v>
      </c>
      <c r="F390" s="0" t="s">
        <v>1029</v>
      </c>
      <c r="G390" s="0" t="s">
        <v>818</v>
      </c>
      <c r="H390" s="0" t="s">
        <v>1030</v>
      </c>
      <c r="I390" s="0" t="n">
        <v>20</v>
      </c>
      <c r="J390" s="0" t="s">
        <v>1031</v>
      </c>
      <c r="K390" s="0" t="s">
        <v>1032</v>
      </c>
      <c r="L390" s="0" t="s">
        <v>585</v>
      </c>
      <c r="M390" s="0" t="s">
        <v>340</v>
      </c>
      <c r="N390" s="0" t="s">
        <v>623</v>
      </c>
      <c r="O390" s="0" t="s">
        <v>1033</v>
      </c>
      <c r="P390" s="0" t="s">
        <v>270</v>
      </c>
    </row>
    <row r="391" customFormat="false" ht="15" hidden="false" customHeight="false" outlineLevel="0" collapsed="false">
      <c r="A391" s="0" t="s">
        <v>95</v>
      </c>
      <c r="B391" s="0" t="s">
        <v>1034</v>
      </c>
      <c r="C391" s="0" t="n">
        <v>19</v>
      </c>
      <c r="D391" s="0" t="s">
        <v>1035</v>
      </c>
      <c r="E391" s="0" t="s">
        <v>425</v>
      </c>
      <c r="F391" s="0" t="s">
        <v>1036</v>
      </c>
      <c r="G391" s="0" t="s">
        <v>633</v>
      </c>
      <c r="H391" s="0" t="s">
        <v>1037</v>
      </c>
      <c r="I391" s="0" t="n">
        <v>25</v>
      </c>
      <c r="J391" s="0" t="s">
        <v>1038</v>
      </c>
      <c r="K391" s="0" t="s">
        <v>208</v>
      </c>
      <c r="L391" s="0" t="s">
        <v>1039</v>
      </c>
      <c r="M391" s="0" t="s">
        <v>895</v>
      </c>
      <c r="N391" s="0" t="s">
        <v>1040</v>
      </c>
      <c r="O391" s="0" t="s">
        <v>1041</v>
      </c>
      <c r="P391" s="0" t="s">
        <v>237</v>
      </c>
    </row>
    <row r="392" customFormat="false" ht="15" hidden="false" customHeight="false" outlineLevel="0" collapsed="false">
      <c r="A392" s="0" t="s">
        <v>145</v>
      </c>
      <c r="B392" s="0" t="s">
        <v>1042</v>
      </c>
      <c r="C392" s="0" t="n">
        <v>6</v>
      </c>
      <c r="D392" s="0" t="s">
        <v>736</v>
      </c>
      <c r="E392" s="0" t="s">
        <v>339</v>
      </c>
      <c r="F392" s="0" t="s">
        <v>411</v>
      </c>
      <c r="G392" s="0" t="s">
        <v>330</v>
      </c>
      <c r="H392" s="0" t="s">
        <v>459</v>
      </c>
      <c r="I392" s="0" t="n">
        <v>10</v>
      </c>
      <c r="J392" s="0" t="s">
        <v>729</v>
      </c>
      <c r="K392" s="0" t="s">
        <v>214</v>
      </c>
      <c r="L392" s="0" t="s">
        <v>1043</v>
      </c>
      <c r="M392" s="0" t="s">
        <v>1044</v>
      </c>
      <c r="N392" s="0" t="s">
        <v>428</v>
      </c>
      <c r="O392" s="0" t="s">
        <v>1045</v>
      </c>
      <c r="P392" s="0" t="s">
        <v>94</v>
      </c>
    </row>
    <row r="393" customFormat="false" ht="15" hidden="false" customHeight="false" outlineLevel="0" collapsed="false">
      <c r="A393" s="0" t="s">
        <v>121</v>
      </c>
      <c r="C393" s="0" t="n">
        <v>11</v>
      </c>
      <c r="D393" s="0" t="s">
        <v>1046</v>
      </c>
      <c r="E393" s="0" t="s">
        <v>339</v>
      </c>
      <c r="F393" s="0" t="s">
        <v>346</v>
      </c>
      <c r="G393" s="0" t="s">
        <v>231</v>
      </c>
      <c r="H393" s="0" t="s">
        <v>1047</v>
      </c>
      <c r="I393" s="0" t="n">
        <v>1</v>
      </c>
      <c r="J393" s="0" t="s">
        <v>140</v>
      </c>
      <c r="K393" s="0" t="s">
        <v>819</v>
      </c>
      <c r="L393" s="0" t="s">
        <v>821</v>
      </c>
      <c r="M393" s="0" t="s">
        <v>226</v>
      </c>
      <c r="N393" s="0" t="s">
        <v>657</v>
      </c>
      <c r="O393" s="0" t="s">
        <v>107</v>
      </c>
      <c r="P393" s="0" t="s">
        <v>94</v>
      </c>
    </row>
    <row r="394" customFormat="false" ht="15" hidden="false" customHeight="false" outlineLevel="0" collapsed="false">
      <c r="A394" s="0" t="s">
        <v>129</v>
      </c>
      <c r="C394" s="0" t="n">
        <v>3</v>
      </c>
      <c r="D394" s="0" t="s">
        <v>376</v>
      </c>
      <c r="E394" s="0" t="s">
        <v>111</v>
      </c>
      <c r="F394" s="0" t="s">
        <v>1048</v>
      </c>
      <c r="G394" s="0" t="s">
        <v>368</v>
      </c>
      <c r="H394" s="0" t="s">
        <v>1049</v>
      </c>
      <c r="I394" s="0" t="n">
        <v>6</v>
      </c>
      <c r="J394" s="0" t="s">
        <v>887</v>
      </c>
      <c r="K394" s="0" t="s">
        <v>220</v>
      </c>
      <c r="L394" s="0" t="s">
        <v>535</v>
      </c>
      <c r="M394" s="0" t="s">
        <v>585</v>
      </c>
      <c r="N394" s="0" t="s">
        <v>727</v>
      </c>
      <c r="O394" s="0" t="s">
        <v>228</v>
      </c>
      <c r="P394" s="0" t="s">
        <v>94</v>
      </c>
    </row>
    <row r="395" customFormat="false" ht="15" hidden="false" customHeight="false" outlineLevel="0" collapsed="false">
      <c r="A395" s="0" t="s">
        <v>139</v>
      </c>
      <c r="C395" s="0" t="n">
        <v>5</v>
      </c>
      <c r="D395" s="0" t="s">
        <v>122</v>
      </c>
      <c r="E395" s="0" t="s">
        <v>111</v>
      </c>
      <c r="F395" s="0" t="s">
        <v>1050</v>
      </c>
      <c r="G395" s="0" t="s">
        <v>884</v>
      </c>
      <c r="H395" s="0" t="s">
        <v>114</v>
      </c>
      <c r="I395" s="0" t="n">
        <v>9</v>
      </c>
      <c r="J395" s="0" t="s">
        <v>696</v>
      </c>
      <c r="K395" s="0" t="s">
        <v>425</v>
      </c>
      <c r="L395" s="0" t="s">
        <v>790</v>
      </c>
      <c r="M395" s="0" t="s">
        <v>572</v>
      </c>
      <c r="N395" s="0" t="s">
        <v>697</v>
      </c>
      <c r="O395" s="0" t="s">
        <v>1051</v>
      </c>
      <c r="P395" s="0" t="s">
        <v>237</v>
      </c>
    </row>
    <row r="396" customFormat="false" ht="15" hidden="false" customHeight="false" outlineLevel="0" collapsed="false">
      <c r="A396" s="0" t="s">
        <v>108</v>
      </c>
      <c r="C396" s="0" t="n">
        <v>5</v>
      </c>
      <c r="D396" s="0" t="s">
        <v>122</v>
      </c>
      <c r="E396" s="0" t="s">
        <v>654</v>
      </c>
      <c r="F396" s="0" t="s">
        <v>526</v>
      </c>
      <c r="G396" s="0" t="s">
        <v>189</v>
      </c>
      <c r="H396" s="0" t="s">
        <v>452</v>
      </c>
      <c r="I396" s="0" t="n">
        <v>10</v>
      </c>
      <c r="J396" s="0" t="s">
        <v>371</v>
      </c>
      <c r="K396" s="0" t="s">
        <v>583</v>
      </c>
      <c r="L396" s="0" t="s">
        <v>185</v>
      </c>
      <c r="M396" s="0" t="s">
        <v>1052</v>
      </c>
      <c r="N396" s="0" t="s">
        <v>428</v>
      </c>
      <c r="O396" s="0" t="s">
        <v>1053</v>
      </c>
      <c r="P396" s="0" t="s">
        <v>237</v>
      </c>
    </row>
  </sheetData>
  <mergeCells count="20">
    <mergeCell ref="A2:L2"/>
    <mergeCell ref="A4:P4"/>
    <mergeCell ref="A25:P25"/>
    <mergeCell ref="A46:P46"/>
    <mergeCell ref="A66:P66"/>
    <mergeCell ref="A87:P87"/>
    <mergeCell ref="A108:P108"/>
    <mergeCell ref="A127:P127"/>
    <mergeCell ref="A148:P148"/>
    <mergeCell ref="A169:P169"/>
    <mergeCell ref="A190:P190"/>
    <mergeCell ref="A211:P211"/>
    <mergeCell ref="A232:P232"/>
    <mergeCell ref="A253:P253"/>
    <mergeCell ref="A274:P274"/>
    <mergeCell ref="A294:P294"/>
    <mergeCell ref="A315:P315"/>
    <mergeCell ref="A336:P336"/>
    <mergeCell ref="A356:P356"/>
    <mergeCell ref="A377:P3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1054</v>
      </c>
    </row>
    <row r="2" customFormat="false" ht="15" hidden="false" customHeight="false" outlineLevel="0" collapsed="false">
      <c r="A2" s="3" t="s">
        <v>1055</v>
      </c>
      <c r="B2" s="8" t="s">
        <v>1056</v>
      </c>
    </row>
    <row r="4" customFormat="false" ht="15" hidden="false" customHeight="false" outlineLevel="0" collapsed="false">
      <c r="A4" s="3" t="s">
        <v>1057</v>
      </c>
      <c r="B4" s="0" t="str">
        <f aca="false">IFERROR(IF(INDEX(Matches!$E$5:$E$23,MATCH($B$2,Matches!$A$5:$A$23,0))="","",INDEX(Matches!$E$5:$E$23,MATCH($B$2,Matches!$A$5:$A$23,0))),"")&amp;"  vs  "&amp;IFERROR(IF(INDEX(Matches!$F$5:$F$23,MATCH($B$2,Matches!$A$5:$A$23,0))="","",INDEX(Matches!$F$5:$F$23,MATCH($B$2,Matches!$A$5:$A$23,0))),"")</f>
        <v>FUT Esports (FUT)  vs  Nemiga (NEMI)</v>
      </c>
      <c r="D4" s="3" t="s">
        <v>1058</v>
      </c>
      <c r="E4" s="0" t="str">
        <f aca="false">IFERROR(IF(INDEX(Matches!$C$5:$C$23,MATCH($B$2,Matches!$A$5:$A$23,0))="","",INDEX(Matches!$C$5:$C$23,MATCH($B$2,Matches!$A$5:$A$23,0))),"")</f>
        <v>Thu 03:00</v>
      </c>
      <c r="G4" s="3" t="s">
        <v>1059</v>
      </c>
      <c r="H4" s="9" t="n">
        <f aca="false">IFERROR(IF(INDEX(Matches!$D$5:$D$23,MATCH($B$2,Matches!$A$5:$A$23,0))="","",INDEX(Matches!$D$5:$D$23,MATCH($B$2,Matches!$A$5:$A$23,0))),"")</f>
        <v>3</v>
      </c>
    </row>
    <row r="5" customFormat="false" ht="15" hidden="false" customHeight="false" outlineLevel="0" collapsed="false">
      <c r="A5" s="3" t="s">
        <v>1060</v>
      </c>
      <c r="B5" s="10" t="n">
        <f aca="false">IFERROR(IF(INDEX(Matches!$G$5:$G$23,MATCH($B$2,Matches!$A$5:$A$23,0))="","",INDEX(Matches!$G$5:$G$23,MATCH($B$2,Matches!$A$5:$A$23,0))),"")</f>
        <v>0.720524017467249</v>
      </c>
      <c r="D5" s="3" t="s">
        <v>1061</v>
      </c>
      <c r="E5" s="10" t="n">
        <f aca="false">IFERROR(IF(INDEX(Matches!$H$5:$H$23,MATCH($B$2,Matches!$A$5:$A$23,0))="","",INDEX(Matches!$H$5:$H$23,MATCH($B$2,Matches!$A$5:$A$23,0))),"")</f>
        <v>0.427354061987787</v>
      </c>
      <c r="G5" s="3" t="s">
        <v>1062</v>
      </c>
      <c r="H5" s="10" t="n">
        <f aca="false">IFERROR(IF(INDEX(Matches!$I$5:$I$23,MATCH($B$2,Matches!$A$5:$A$23,0))="","",INDEX(Matches!$I$5:$I$23,MATCH($B$2,Matches!$A$5:$A$23,0))),"")</f>
        <v>0.135667956186599</v>
      </c>
    </row>
    <row r="6" customFormat="false" ht="15" hidden="false" customHeight="false" outlineLevel="0" collapsed="false">
      <c r="A6" s="3" t="s">
        <v>1063</v>
      </c>
      <c r="B6" s="10" t="n">
        <f aca="false">IFERROR(IF(INDEX(Matches!$J$5:$J$23,MATCH($B$2,Matches!$A$5:$A$23,0))="","",INDEX(Matches!$J$5:$J$23,MATCH($B$2,Matches!$A$5:$A$23,0))),"")</f>
        <v>0.436977981825613</v>
      </c>
      <c r="D6" s="3" t="s">
        <v>1064</v>
      </c>
      <c r="E6" s="0" t="str">
        <f aca="false">IFERROR(IF(INDEX(Matches!$K$5:$K$23,MATCH($B$2,Matches!$A$5:$A$23,0))="","",INDEX(Matches!$K$5:$K$23,MATCH($B$2,Matches!$A$5:$A$23,0))),"")</f>
        <v>Ancient 23%</v>
      </c>
      <c r="G6" s="3" t="s">
        <v>1065</v>
      </c>
      <c r="H6" s="0" t="str">
        <f aca="false">IFERROR(IF(INDEX(Matches!$L$5:$L$23,MATCH($B$2,Matches!$A$5:$A$23,0))="","",INDEX(Matches!$L$5:$L$23,MATCH($B$2,Matches!$A$5:$A$23,0))),"")</f>
        <v>Dust2 19%</v>
      </c>
    </row>
    <row r="7" customFormat="false" ht="15" hidden="false" customHeight="false" outlineLevel="0" collapsed="false">
      <c r="A7" s="3" t="s">
        <v>1066</v>
      </c>
      <c r="B7" s="11" t="n">
        <f aca="false">IFERROR(IF(INDEX(Matches!$O$5:$O$23,MATCH($B$2,Matches!$A$5:$A$23,0))="","",INDEX(Matches!$O$5:$O$23,MATCH($B$2,Matches!$A$5:$A$23,0))),"")</f>
        <v>21.3125531311986</v>
      </c>
      <c r="D7" s="3" t="s">
        <v>1067</v>
      </c>
      <c r="E7" s="11" t="n">
        <f aca="false">IFERROR(IF(INDEX(Matches!$P$5:$P$23,MATCH($B$2,Matches!$A$5:$A$23,0))="","",INDEX(Matches!$P$5:$P$23,MATCH($B$2,Matches!$A$5:$A$23,0))),"")</f>
        <v>21.1145374449339</v>
      </c>
      <c r="G7" s="3" t="s">
        <v>1068</v>
      </c>
      <c r="H7" s="10" t="n">
        <f aca="false">IFERROR(IF(INDEX(Matches!$R$5:$R$23,MATCH($B$2,Matches!$A$5:$A$23,0))="","",INDEX(Matches!$R$5:$R$23,MATCH($B$2,Matches!$A$5:$A$23,0))),"")</f>
        <v>0.146341463414634</v>
      </c>
    </row>
    <row r="8" customFormat="false" ht="15" hidden="false" customHeight="false" outlineLevel="0" collapsed="false">
      <c r="A8" s="3" t="s">
        <v>1069</v>
      </c>
      <c r="B8" s="11" t="n">
        <f aca="false">IFERROR(IF(INDEX(Matches!$S$5:$S$23,MATCH($B$2,Matches!$A$5:$A$23,0))="","",INDEX(Matches!$S$5:$S$23,MATCH($B$2,Matches!$A$5:$A$23,0))),"")</f>
        <v>2.93142762723067</v>
      </c>
      <c r="D8" s="3" t="s">
        <v>1070</v>
      </c>
      <c r="E8" s="11" t="str">
        <f aca="false">IFERROR(IF(INDEX(Matches!$T$5:$T$23,MATCH($B$2,Matches!$A$5:$A$23,0))="","",INDEX(Matches!$T$5:$T$23,MATCH($B$2,Matches!$A$5:$A$23,0))),"")</f>
        <v/>
      </c>
      <c r="G8" s="3" t="s">
        <v>1071</v>
      </c>
      <c r="H8" s="11" t="n">
        <f aca="false">IFERROR(IF(INDEX(Matches!$U$5:$U$23,MATCH($B$2,Matches!$A$5:$A$23,0))="","",INDEX(Matches!$U$5:$U$23,MATCH($B$2,Matches!$A$5:$A$23,0))),"")</f>
        <v>10.5</v>
      </c>
    </row>
    <row r="9" customFormat="false" ht="15" hidden="false" customHeight="false" outlineLevel="0" collapsed="false">
      <c r="A9" s="3" t="s">
        <v>1072</v>
      </c>
      <c r="B9" s="11" t="n">
        <f aca="false">IFERROR(IF(INDEX(Matches!$AN$5:$AN$23,MATCH($B$2,Matches!$A$5:$A$23,0))="","",INDEX(Matches!$AN$5:$AN$23,MATCH($B$2,Matches!$A$5:$A$23,0))),"")</f>
        <v>21.636239</v>
      </c>
      <c r="D9" s="3" t="s">
        <v>1073</v>
      </c>
      <c r="E9" s="11" t="n">
        <f aca="false">IFERROR(IF(INDEX(Matches!$AO$5:$AO$23,MATCH($B$2,Matches!$A$5:$A$23,0))="","",INDEX(Matches!$AO$5:$AO$23,MATCH($B$2,Matches!$A$5:$A$23,0))),"")</f>
        <v>1.496412</v>
      </c>
      <c r="G9" s="3" t="s">
        <v>1074</v>
      </c>
      <c r="H9" s="0" t="str">
        <f aca="false">IF(IFERROR(IF(INDEX(Matches!$AI$5:$AI$23,MATCH($B$2,Matches!$A$5:$A$23,0))="","",INDEX(Matches!$AI$5:$AI$23,MATCH($B$2,Matches!$A$5:$A$23,0))),"")="","",TEXT(IFERROR(IF(INDEX(Matches!$AI$5:$AI$23,MATCH($B$2,Matches!$A$5:$A$23,0))="","",INDEX(Matches!$AI$5:$AI$23,MATCH($B$2,Matches!$A$5:$A$23,0))),""),"0%")&amp;" / "&amp;TEXT(IFERROR(IF(INDEX(Matches!$AJ$5:$AJ$23,MATCH($B$2,Matches!$A$5:$A$23,0))="","",INDEX(Matches!$AJ$5:$AJ$23,MATCH($B$2,Matches!$A$5:$A$23,0))),""),"0%"))</f>
        <v>54% / 53%</v>
      </c>
    </row>
    <row r="10" customFormat="false" ht="15" hidden="false" customHeight="false" outlineLevel="0" collapsed="false">
      <c r="A10" s="3" t="s">
        <v>1075</v>
      </c>
      <c r="B10" s="0" t="str">
        <f aca="false">"Map 1: "&amp;IFERROR(IF(INDEX(Matches!$W$5:$W$23,MATCH($B$2,Matches!$A$5:$A$23,0))="","",INDEX(Matches!$W$5:$W$23,MATCH($B$2,Matches!$A$5:$A$23,0))),"")&amp;"   ·   Map 2: "&amp;IFERROR(IF(INDEX(Matches!$X$5:$X$23,MATCH($B$2,Matches!$A$5:$A$23,0))="","",INDEX(Matches!$X$5:$X$23,MATCH($B$2,Matches!$A$5:$A$23,0))),"")&amp;IF(IFERROR(IF(INDEX(Matches!$Y$5:$Y$23,MATCH($B$2,Matches!$A$5:$A$23,0))="","",INDEX(Matches!$Y$5:$Y$23,MATCH($B$2,Matches!$A$5:$A$23,0))),"")="","","   ·   Map 3: "&amp;IFERROR(IF(INDEX(Matches!$Y$5:$Y$23,MATCH($B$2,Matches!$A$5:$A$23,0))="","",INDEX(Matches!$Y$5:$Y$23,MATCH($B$2,Matches!$A$5:$A$23,0))),""))</f>
        <v>Map 1: Ancient   ·   Map 2: Dust2   ·   Map 3: Mirage</v>
      </c>
    </row>
    <row r="11" customFormat="false" ht="15" hidden="false" customHeight="false" outlineLevel="0" collapsed="false">
      <c r="B11" s="0" t="str">
        <f aca="false">"Rounds: "&amp;TEXT(IFERROR(IF(INDEX(Matches!$Z$5:$Z$23,MATCH($B$2,Matches!$A$5:$A$23,0))="","",INDEX(Matches!$Z$5:$Z$23,MATCH($B$2,Matches!$A$5:$A$23,0))),""),"0.0")&amp;" / "&amp;TEXT(IFERROR(IF(INDEX(Matches!$AA$5:$AA$23,MATCH($B$2,Matches!$A$5:$A$23,0))="","",INDEX(Matches!$AA$5:$AA$23,MATCH($B$2,Matches!$A$5:$A$23,0))),""),"0.0")&amp;IF(IFERROR(IF(INDEX(Matches!$AB$5:$AB$23,MATCH($B$2,Matches!$A$5:$A$23,0))="","",INDEX(Matches!$AB$5:$AB$23,MATCH($B$2,Matches!$A$5:$A$23,0))),"")="",""," / "&amp;TEXT(IFERROR(IF(INDEX(Matches!$AB$5:$AB$23,MATCH($B$2,Matches!$A$5:$A$23,0))="","",INDEX(Matches!$AB$5:$AB$23,MATCH($B$2,Matches!$A$5:$A$23,0))),""),"0.0"))&amp;"   ·   P(map 3) "&amp;TEXT(IFERROR(IF(INDEX(Matches!$AC$5:$AC$23,MATCH($B$2,Matches!$A$5:$A$23,0))="","",INDEX(Matches!$AC$5:$AC$23,MATCH($B$2,Matches!$A$5:$A$23,0))),""),"0%")</f>
        <v>Rounds: 21.3 / 21.1 / 21.2   ·   P(map 3) 44%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"&amp;(MATCH($B$2,Matches!$A$5:$A$23,0)+4)&amp;"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1076</v>
      </c>
      <c r="B14" s="12" t="s">
        <v>1077</v>
      </c>
      <c r="C14" s="12" t="s">
        <v>1078</v>
      </c>
      <c r="D14" s="12" t="s">
        <v>1079</v>
      </c>
      <c r="E14" s="12" t="s">
        <v>1080</v>
      </c>
      <c r="F14" s="12" t="s">
        <v>1081</v>
      </c>
      <c r="G14" s="12" t="s">
        <v>1082</v>
      </c>
      <c r="H14" s="12" t="s">
        <v>1083</v>
      </c>
      <c r="I14" s="12" t="s">
        <v>1084</v>
      </c>
      <c r="J14" s="12" t="s">
        <v>1085</v>
      </c>
      <c r="K14" s="12" t="s">
        <v>1086</v>
      </c>
      <c r="L14" s="12" t="s">
        <v>1087</v>
      </c>
      <c r="M14" s="12" t="s">
        <v>1088</v>
      </c>
      <c r="N14" s="12" t="s">
        <v>1089</v>
      </c>
      <c r="O14" s="12" t="s">
        <v>1090</v>
      </c>
      <c r="P14" s="12" t="s">
        <v>1091</v>
      </c>
      <c r="Q14" s="12" t="s">
        <v>1092</v>
      </c>
      <c r="R14" s="12" t="s">
        <v>1093</v>
      </c>
      <c r="S14" s="12" t="s">
        <v>1094</v>
      </c>
      <c r="T14" s="12" t="s">
        <v>1095</v>
      </c>
      <c r="U14" s="12"/>
      <c r="V14" s="12" t="s">
        <v>1096</v>
      </c>
    </row>
    <row r="15" customFormat="false" ht="15" hidden="false" customHeight="false" outlineLevel="0" collapsed="false">
      <c r="A15" s="0" t="str">
        <f aca="false">IF($V15="","",INDEX(Calc!$D$2:$D$137,$V15))</f>
        <v>FUT</v>
      </c>
      <c r="B15" s="0" t="str">
        <f aca="false">IF($V15="","",INDEX(Calc!$E$2:$E$137,$V15))</f>
        <v>Dem0N</v>
      </c>
      <c r="C15" s="13" t="n">
        <f aca="false">IF($V15="","",INDEX(Calc!$T$2:$T$137,$V15))</f>
        <v>0.773333333333333</v>
      </c>
      <c r="D15" s="13" t="n">
        <f aca="false">IF($V15="","",INDEX(Calc!$AA$2:$AA$137,$V15))</f>
        <v>0.747142857142857</v>
      </c>
      <c r="E15" s="11" t="n">
        <f aca="false">IF($V15="","",INDEX(Calc!$V$2:$V$137,$V15))</f>
        <v>16.4797333333333</v>
      </c>
      <c r="F15" s="11" t="n">
        <f aca="false">IF($V15="","",INDEX(Calc!$AC$2:$AC$137,$V15))</f>
        <v>15.7721857142857</v>
      </c>
      <c r="G15" s="11" t="n">
        <f aca="false">IF($V15="","",INDEX(Calc!$AL$2:$AL$137,$V15))</f>
        <v>32.2519190476191</v>
      </c>
      <c r="H15" s="13" t="n">
        <f aca="false">IF($V15="","",INDEX(Calc!$BK$2:$BK$137,$V15))</f>
        <v>0.989660194308139</v>
      </c>
      <c r="I15" s="11" t="n">
        <f aca="false">IF($V15="","",INDEX(Calc!$BD$2:$BD$137,$V15))</f>
        <v>31.918440471477</v>
      </c>
      <c r="J15" s="9" t="n">
        <f aca="false">IF($V15="","",IFERROR(INDEX(Projections!$F$2:$F$261,MATCH(INDEX(Calc!$A$2:$A$137,$V15)&amp;"|K12",Projections!$Y$2:$Y$261,0)),""))</f>
        <v>32.5</v>
      </c>
      <c r="K15" s="10" t="n">
        <f aca="false">IF($V15="","",IFERROR(INDEX(Projections!$I$2:$I$261,MATCH(INDEX(Calc!$A$2:$A$137,$V15)&amp;"|K12",Projections!$Y$2:$Y$261,0)),""))</f>
        <v>0.485274737753696</v>
      </c>
      <c r="L15" s="10" t="n">
        <f aca="false">IF($V15="","",IFERROR(INDEX(Projections!$AB$2:$AB$261,MATCH(INDEX(Calc!$A$2:$A$137,$V15)&amp;"|K12",Projections!$Y$2:$Y$261,0)),""))</f>
        <v>0.465336546355186</v>
      </c>
      <c r="M15" s="9" t="n">
        <f aca="false">IF($V15="","",IFERROR(INDEX(Projections!$M$2:$M$261,MATCH(INDEX(Calc!$A$2:$A$137,$V15)&amp;"|K12",Projections!$Y$2:$Y$261,0)),""))</f>
        <v>33.18</v>
      </c>
      <c r="N15" s="10" t="n">
        <f aca="false">IF($V15="","",IFERROR(INDEX(Projections!$P$2:$P$261,MATCH(INDEX(Calc!$A$2:$A$137,$V15)&amp;"|K12",Projections!$Y$2:$Y$261,0)),""))</f>
        <v>0.6</v>
      </c>
      <c r="O15" s="10" t="n">
        <f aca="false">IF($V15="","",INDEX(Calc!$AP$2:$AP$137,$V15))</f>
        <v>0.681868938629066</v>
      </c>
      <c r="P15" s="11" t="n">
        <f aca="false">IF($V15="","",INDEX(Calc!$AN$2:$AN$137,$V15))</f>
        <v>21.9915818097506</v>
      </c>
      <c r="Q15" s="9" t="n">
        <f aca="false">IF($V15="","",IFERROR(INDEX(Projections!$F$2:$F$261,MATCH(INDEX(Calc!$A$2:$A$137,$V15)&amp;"|H12",Projections!$Y$2:$Y$261,0)),""))</f>
        <v>20.5</v>
      </c>
      <c r="R15" s="10" t="n">
        <f aca="false">IF($V15="","",IFERROR(INDEX(Projections!$I$2:$I$261,MATCH(INDEX(Calc!$A$2:$A$137,$V15)&amp;"|H12",Projections!$Y$2:$Y$261,0)),""))</f>
        <v>0.611003003532109</v>
      </c>
      <c r="S15" s="9" t="n">
        <f aca="false">IF($V15="","",INDEX(Calc!$N$2:$N$137,$V15))</f>
        <v>37</v>
      </c>
      <c r="T15" s="0" t="str">
        <f aca="false">IF($V15="","",INDEX(Calc!$AQ$2:$AQ$137,$V15))</f>
        <v/>
      </c>
      <c r="V15" s="9" t="n">
        <f aca="false">IFERROR(MATCH(1,Calc!$AR$2:$AR$137,0),"")</f>
        <v>64</v>
      </c>
    </row>
    <row r="16" customFormat="false" ht="15" hidden="false" customHeight="false" outlineLevel="0" collapsed="false">
      <c r="A16" s="0" t="str">
        <f aca="false">IF($V16="","",INDEX(Calc!$D$2:$D$137,$V16))</f>
        <v>NEMI</v>
      </c>
      <c r="B16" s="0" t="str">
        <f aca="false">IF($V16="","",INDEX(Calc!$E$2:$E$137,$V16))</f>
        <v>KaiR0N</v>
      </c>
      <c r="C16" s="13" t="n">
        <f aca="false">IF($V16="","",INDEX(Calc!$T$2:$T$137,$V16))</f>
        <v>0.698181818181818</v>
      </c>
      <c r="D16" s="13" t="n">
        <f aca="false">IF($V16="","",INDEX(Calc!$AA$2:$AA$137,$V16))</f>
        <v>0.755</v>
      </c>
      <c r="E16" s="11" t="n">
        <f aca="false">IF($V16="","",INDEX(Calc!$V$2:$V$137,$V16))</f>
        <v>14.8782545454545</v>
      </c>
      <c r="F16" s="11" t="n">
        <f aca="false">IF($V16="","",INDEX(Calc!$AC$2:$AC$137,$V16))</f>
        <v>15.93805</v>
      </c>
      <c r="G16" s="11" t="n">
        <f aca="false">IF($V16="","",INDEX(Calc!$AL$2:$AL$137,$V16))</f>
        <v>30.8163045454545</v>
      </c>
      <c r="H16" s="13" t="n">
        <f aca="false">IF($V16="","",INDEX(Calc!$BK$2:$BK$137,$V16))</f>
        <v>0.9416578257496</v>
      </c>
      <c r="I16" s="11" t="n">
        <f aca="false">IF($V16="","",INDEX(Calc!$BD$2:$BD$137,$V16))</f>
        <v>29.0184143359102</v>
      </c>
      <c r="J16" s="9" t="n">
        <f aca="false">IF($V16="","",IFERROR(INDEX(Projections!$F$2:$F$261,MATCH(INDEX(Calc!$A$2:$A$137,$V16)&amp;"|K12",Projections!$Y$2:$Y$261,0)),""))</f>
        <v>29.5</v>
      </c>
      <c r="K16" s="10" t="n">
        <f aca="false">IF($V16="","",IFERROR(INDEX(Projections!$I$2:$I$261,MATCH(INDEX(Calc!$A$2:$A$137,$V16)&amp;"|K12",Projections!$Y$2:$Y$261,0)),""))</f>
        <v>0.579416908232623</v>
      </c>
      <c r="L16" s="10" t="n">
        <f aca="false">IF($V16="","",IFERROR(INDEX(Projections!$AB$2:$AB$261,MATCH(INDEX(Calc!$A$2:$A$137,$V16)&amp;"|K12",Projections!$Y$2:$Y$261,0)),""))</f>
        <v>0.469885913083281</v>
      </c>
      <c r="M16" s="9" t="n">
        <f aca="false">IF($V16="","",IFERROR(INDEX(Projections!$M$2:$M$261,MATCH(INDEX(Calc!$A$2:$A$137,$V16)&amp;"|K12",Projections!$Y$2:$Y$261,0)),""))</f>
        <v>0</v>
      </c>
      <c r="N16" s="10" t="n">
        <f aca="false">IF($V16="","",IFERROR(INDEX(Projections!$P$2:$P$261,MATCH(INDEX(Calc!$A$2:$A$137,$V16)&amp;"|K12",Projections!$Y$2:$Y$261,0)),""))</f>
        <v>0.6</v>
      </c>
      <c r="O16" s="10" t="n">
        <f aca="false">IF($V16="","",INDEX(Calc!$AP$2:$AP$137,$V16))</f>
        <v>0.602706371176959</v>
      </c>
      <c r="P16" s="11" t="n">
        <f aca="false">IF($V16="","",INDEX(Calc!$AN$2:$AN$137,$V16))</f>
        <v>18.5731830856749</v>
      </c>
      <c r="Q16" s="9" t="n">
        <f aca="false">IF($V16="","",IFERROR(INDEX(Projections!$F$2:$F$261,MATCH(INDEX(Calc!$A$2:$A$137,$V16)&amp;"|H12",Projections!$Y$2:$Y$261,0)),""))</f>
        <v>18</v>
      </c>
      <c r="R16" s="10" t="n">
        <f aca="false">IF($V16="","",IFERROR(INDEX(Projections!$I$2:$I$261,MATCH(INDEX(Calc!$A$2:$A$137,$V16)&amp;"|H12",Projections!$Y$2:$Y$261,0)),""))</f>
        <v>0.506080796381104</v>
      </c>
      <c r="S16" s="9" t="n">
        <f aca="false">IF($V16="","",INDEX(Calc!$N$2:$N$137,$V16))</f>
        <v>35</v>
      </c>
      <c r="T16" s="0" t="str">
        <f aca="false">IF($V16="","",INDEX(Calc!$AQ$2:$AQ$137,$V16))</f>
        <v/>
      </c>
      <c r="V16" s="9" t="n">
        <f aca="false">IFERROR(MATCH(2,Calc!$AR$2:$AR$137,0),"")</f>
        <v>69</v>
      </c>
    </row>
    <row r="17" customFormat="false" ht="15" hidden="false" customHeight="false" outlineLevel="0" collapsed="false">
      <c r="A17" s="0" t="str">
        <f aca="false">IF($V17="","",INDEX(Calc!$D$2:$D$137,$V17))</f>
        <v>FUT</v>
      </c>
      <c r="B17" s="0" t="str">
        <f aca="false">IF($V17="","",INDEX(Calc!$E$2:$E$137,$V17))</f>
        <v>Krabeni</v>
      </c>
      <c r="C17" s="13" t="n">
        <f aca="false">IF($V17="","",INDEX(Calc!$T$2:$T$137,$V17))</f>
        <v>0.743333333333333</v>
      </c>
      <c r="D17" s="13" t="n">
        <f aca="false">IF($V17="","",INDEX(Calc!$AA$2:$AA$137,$V17))</f>
        <v>0.697142857142857</v>
      </c>
      <c r="E17" s="11" t="n">
        <f aca="false">IF($V17="","",INDEX(Calc!$V$2:$V$137,$V17))</f>
        <v>15.8404333333333</v>
      </c>
      <c r="F17" s="11" t="n">
        <f aca="false">IF($V17="","",INDEX(Calc!$AC$2:$AC$137,$V17))</f>
        <v>14.7166857142857</v>
      </c>
      <c r="G17" s="11" t="n">
        <f aca="false">IF($V17="","",INDEX(Calc!$AL$2:$AL$137,$V17))</f>
        <v>30.557119047619</v>
      </c>
      <c r="H17" s="13" t="n">
        <f aca="false">IF($V17="","",INDEX(Calc!$BK$2:$BK$137,$V17))</f>
        <v>0.989684326096448</v>
      </c>
      <c r="I17" s="11" t="n">
        <f aca="false">IF($V17="","",INDEX(Calc!$BD$2:$BD$137,$V17))</f>
        <v>30.2419017720918</v>
      </c>
      <c r="J17" s="9" t="n">
        <f aca="false">IF($V17="","",IFERROR(INDEX(Projections!$F$2:$F$261,MATCH(INDEX(Calc!$A$2:$A$137,$V17)&amp;"|K12",Projections!$Y$2:$Y$261,0)),""))</f>
        <v>30.5</v>
      </c>
      <c r="K17" s="10" t="n">
        <f aca="false">IF($V17="","",IFERROR(INDEX(Projections!$I$2:$I$261,MATCH(INDEX(Calc!$A$2:$A$137,$V17)&amp;"|K12",Projections!$Y$2:$Y$261,0)),""))</f>
        <v>0.503483896803591</v>
      </c>
      <c r="L17" s="10" t="n">
        <f aca="false">IF($V17="","",IFERROR(INDEX(Projections!$AB$2:$AB$261,MATCH(INDEX(Calc!$A$2:$A$137,$V17)&amp;"|K12",Projections!$Y$2:$Y$261,0)),""))</f>
        <v>0.484179775266463</v>
      </c>
      <c r="M17" s="9" t="n">
        <f aca="false">IF($V17="","",IFERROR(INDEX(Projections!$M$2:$M$261,MATCH(INDEX(Calc!$A$2:$A$137,$V17)&amp;"|K12",Projections!$Y$2:$Y$261,0)),""))</f>
        <v>30.94</v>
      </c>
      <c r="N17" s="10" t="n">
        <f aca="false">IF($V17="","",IFERROR(INDEX(Projections!$P$2:$P$261,MATCH(INDEX(Calc!$A$2:$A$137,$V17)&amp;"|K12",Projections!$Y$2:$Y$261,0)),""))</f>
        <v>0.4</v>
      </c>
      <c r="O17" s="10" t="n">
        <f aca="false">IF($V17="","",INDEX(Calc!$AP$2:$AP$137,$V17))</f>
        <v>0.55600828213651</v>
      </c>
      <c r="P17" s="11" t="n">
        <f aca="false">IF($V17="","",INDEX(Calc!$AN$2:$AN$137,$V17))</f>
        <v>16.9900112687075</v>
      </c>
      <c r="Q17" s="9" t="n">
        <f aca="false">IF($V17="","",IFERROR(INDEX(Projections!$F$2:$F$261,MATCH(INDEX(Calc!$A$2:$A$137,$V17)&amp;"|H12",Projections!$Y$2:$Y$261,0)),""))</f>
        <v>17.5</v>
      </c>
      <c r="R17" s="10" t="n">
        <f aca="false">IF($V17="","",IFERROR(INDEX(Projections!$I$2:$I$261,MATCH(INDEX(Calc!$A$2:$A$137,$V17)&amp;"|H12",Projections!$Y$2:$Y$261,0)),""))</f>
        <v>0.455448651375063</v>
      </c>
      <c r="S17" s="9" t="n">
        <f aca="false">IF($V17="","",INDEX(Calc!$N$2:$N$137,$V17))</f>
        <v>37</v>
      </c>
      <c r="T17" s="0" t="str">
        <f aca="false">IF($V17="","",INDEX(Calc!$AQ$2:$AQ$137,$V17))</f>
        <v/>
      </c>
      <c r="V17" s="9" t="n">
        <f aca="false">IFERROR(MATCH(3,Calc!$AR$2:$AR$137,0),"")</f>
        <v>66</v>
      </c>
    </row>
    <row r="18" customFormat="false" ht="15" hidden="false" customHeight="false" outlineLevel="0" collapsed="false">
      <c r="A18" s="0" t="str">
        <f aca="false">IF($V18="","",INDEX(Calc!$D$2:$D$137,$V18))</f>
        <v>NEMI</v>
      </c>
      <c r="B18" s="0" t="str">
        <f aca="false">IF($V18="","",INDEX(Calc!$E$2:$E$137,$V18))</f>
        <v>Xant3r</v>
      </c>
      <c r="C18" s="13" t="n">
        <f aca="false">IF($V18="","",INDEX(Calc!$T$2:$T$137,$V18))</f>
        <v>0.710909090909091</v>
      </c>
      <c r="D18" s="13" t="n">
        <f aca="false">IF($V18="","",INDEX(Calc!$AA$2:$AA$137,$V18))</f>
        <v>0.723333333333333</v>
      </c>
      <c r="E18" s="11" t="n">
        <f aca="false">IF($V18="","",INDEX(Calc!$V$2:$V$137,$V18))</f>
        <v>15.1494727272727</v>
      </c>
      <c r="F18" s="11" t="n">
        <f aca="false">IF($V18="","",INDEX(Calc!$AC$2:$AC$137,$V18))</f>
        <v>15.2695666666667</v>
      </c>
      <c r="G18" s="11" t="n">
        <f aca="false">IF($V18="","",INDEX(Calc!$AL$2:$AL$137,$V18))</f>
        <v>30.4190393939394</v>
      </c>
      <c r="H18" s="13" t="n">
        <f aca="false">IF($V18="","",INDEX(Calc!$BK$2:$BK$137,$V18))</f>
        <v>0.941607879973758</v>
      </c>
      <c r="I18" s="11" t="n">
        <f aca="false">IF($V18="","",INDEX(Calc!$BD$2:$BD$137,$V18))</f>
        <v>28.6428071945655</v>
      </c>
      <c r="J18" s="9" t="n">
        <f aca="false">IF($V18="","",IFERROR(INDEX(Projections!$F$2:$F$261,MATCH(INDEX(Calc!$A$2:$A$137,$V18)&amp;"|K12",Projections!$Y$2:$Y$261,0)),""))</f>
        <v>27</v>
      </c>
      <c r="K18" s="10" t="n">
        <f aca="false">IF($V18="","",IFERROR(INDEX(Projections!$I$2:$I$261,MATCH(INDEX(Calc!$A$2:$A$137,$V18)&amp;"|K12",Projections!$Y$2:$Y$261,0)),""))</f>
        <v>0.672672362307289</v>
      </c>
      <c r="L18" s="10" t="n">
        <f aca="false">IF($V18="","",IFERROR(INDEX(Projections!$AB$2:$AB$261,MATCH(INDEX(Calc!$A$2:$A$137,$V18)&amp;"|K12",Projections!$Y$2:$Y$261,0)),""))</f>
        <v>0.571607568293749</v>
      </c>
      <c r="M18" s="9" t="n">
        <f aca="false">IF($V18="","",IFERROR(INDEX(Projections!$M$2:$M$261,MATCH(INDEX(Calc!$A$2:$A$137,$V18)&amp;"|K12",Projections!$Y$2:$Y$261,0)),""))</f>
        <v>26.72</v>
      </c>
      <c r="N18" s="10" t="n">
        <f aca="false">IF($V18="","",IFERROR(INDEX(Projections!$P$2:$P$261,MATCH(INDEX(Calc!$A$2:$A$137,$V18)&amp;"|K12",Projections!$Y$2:$Y$261,0)),""))</f>
        <v>0.8</v>
      </c>
      <c r="O18" s="10" t="n">
        <f aca="false">IF($V18="","",INDEX(Calc!$AP$2:$AP$137,$V18))</f>
        <v>0.541616966719339</v>
      </c>
      <c r="P18" s="11" t="n">
        <f aca="false">IF($V18="","",INDEX(Calc!$AN$2:$AN$137,$V18))</f>
        <v>16.4754678470615</v>
      </c>
      <c r="Q18" s="9" t="n">
        <f aca="false">IF($V18="","",IFERROR(INDEX(Projections!$F$2:$F$261,MATCH(INDEX(Calc!$A$2:$A$137,$V18)&amp;"|H12",Projections!$Y$2:$Y$261,0)),""))</f>
        <v>15.5</v>
      </c>
      <c r="R18" s="10" t="n">
        <f aca="false">IF($V18="","",IFERROR(INDEX(Projections!$I$2:$I$261,MATCH(INDEX(Calc!$A$2:$A$137,$V18)&amp;"|H12",Projections!$Y$2:$Y$261,0)),""))</f>
        <v>0.586237611512692</v>
      </c>
      <c r="S18" s="9" t="n">
        <f aca="false">IF($V18="","",INDEX(Calc!$N$2:$N$137,$V18))</f>
        <v>35</v>
      </c>
      <c r="T18" s="0" t="str">
        <f aca="false">IF($V18="","",INDEX(Calc!$AQ$2:$AQ$137,$V18))</f>
        <v/>
      </c>
      <c r="V18" s="9" t="n">
        <f aca="false">IFERROR(MATCH(4,Calc!$AR$2:$AR$137,0),"")</f>
        <v>73</v>
      </c>
    </row>
    <row r="19" customFormat="false" ht="15" hidden="false" customHeight="false" outlineLevel="0" collapsed="false">
      <c r="A19" s="0" t="str">
        <f aca="false">IF($V19="","",INDEX(Calc!$D$2:$D$137,$V19))</f>
        <v>NEMI</v>
      </c>
      <c r="B19" s="0" t="str">
        <f aca="false">IF($V19="","",INDEX(Calc!$E$2:$E$137,$V19))</f>
        <v>syph0</v>
      </c>
      <c r="C19" s="13" t="n">
        <f aca="false">IF($V19="","",INDEX(Calc!$T$2:$T$137,$V19))</f>
        <v>0.727272727272727</v>
      </c>
      <c r="D19" s="13" t="n">
        <f aca="false">IF($V19="","",INDEX(Calc!$AA$2:$AA$137,$V19))</f>
        <v>0.705833333333333</v>
      </c>
      <c r="E19" s="11" t="n">
        <f aca="false">IF($V19="","",INDEX(Calc!$V$2:$V$137,$V19))</f>
        <v>15.4981818181818</v>
      </c>
      <c r="F19" s="11" t="n">
        <f aca="false">IF($V19="","",INDEX(Calc!$AC$2:$AC$137,$V19))</f>
        <v>14.9001416666667</v>
      </c>
      <c r="G19" s="11" t="n">
        <f aca="false">IF($V19="","",INDEX(Calc!$AL$2:$AL$137,$V19))</f>
        <v>30.3983234848485</v>
      </c>
      <c r="H19" s="13" t="n">
        <f aca="false">IF($V19="","",INDEX(Calc!$BK$2:$BK$137,$V19))</f>
        <v>0.94156912554839</v>
      </c>
      <c r="I19" s="11" t="n">
        <f aca="false">IF($V19="","",INDEX(Calc!$BD$2:$BD$137,$V19))</f>
        <v>28.6221228617659</v>
      </c>
      <c r="J19" s="9" t="n">
        <f aca="false">IF($V19="","",IFERROR(INDEX(Projections!$F$2:$F$261,MATCH(INDEX(Calc!$A$2:$A$137,$V19)&amp;"|K12",Projections!$Y$2:$Y$261,0)),""))</f>
        <v>27.5</v>
      </c>
      <c r="K19" s="10" t="n">
        <f aca="false">IF($V19="","",IFERROR(INDEX(Projections!$I$2:$I$261,MATCH(INDEX(Calc!$A$2:$A$137,$V19)&amp;"|K12",Projections!$Y$2:$Y$261,0)),""))</f>
        <v>0.671580385836218</v>
      </c>
      <c r="L19" s="10" t="n">
        <f aca="false">IF($V19="","",IFERROR(INDEX(Projections!$AB$2:$AB$261,MATCH(INDEX(Calc!$A$2:$A$137,$V19)&amp;"|K12",Projections!$Y$2:$Y$261,0)),""))</f>
        <v>0.570350276383326</v>
      </c>
      <c r="M19" s="9" t="n">
        <f aca="false">IF($V19="","",IFERROR(INDEX(Projections!$M$2:$M$261,MATCH(INDEX(Calc!$A$2:$A$137,$V19)&amp;"|K12",Projections!$Y$2:$Y$261,0)),""))</f>
        <v>27.12</v>
      </c>
      <c r="N19" s="10" t="n">
        <f aca="false">IF($V19="","",IFERROR(INDEX(Projections!$P$2:$P$261,MATCH(INDEX(Calc!$A$2:$A$137,$V19)&amp;"|K12",Projections!$Y$2:$Y$261,0)),""))</f>
        <v>0.8</v>
      </c>
      <c r="O19" s="10" t="n">
        <f aca="false">IF($V19="","",INDEX(Calc!$AP$2:$AP$137,$V19))</f>
        <v>0.554067690124814</v>
      </c>
      <c r="P19" s="11" t="n">
        <f aca="false">IF($V19="","",INDEX(Calc!$AN$2:$AN$137,$V19))</f>
        <v>16.8427288769169</v>
      </c>
      <c r="Q19" s="9" t="n">
        <f aca="false">IF($V19="","",IFERROR(INDEX(Projections!$F$2:$F$261,MATCH(INDEX(Calc!$A$2:$A$137,$V19)&amp;"|H12",Projections!$Y$2:$Y$261,0)),""))</f>
        <v>15.5</v>
      </c>
      <c r="R19" s="10" t="n">
        <f aca="false">IF($V19="","",IFERROR(INDEX(Projections!$I$2:$I$261,MATCH(INDEX(Calc!$A$2:$A$137,$V19)&amp;"|H12",Projections!$Y$2:$Y$261,0)),""))</f>
        <v>0.616390441391727</v>
      </c>
      <c r="S19" s="9" t="n">
        <f aca="false">IF($V19="","",INDEX(Calc!$N$2:$N$137,$V19))</f>
        <v>35</v>
      </c>
      <c r="T19" s="0" t="str">
        <f aca="false">IF($V19="","",INDEX(Calc!$AQ$2:$AQ$137,$V19))</f>
        <v/>
      </c>
      <c r="V19" s="9" t="n">
        <f aca="false">IFERROR(MATCH(5,Calc!$AR$2:$AR$137,0),"")</f>
        <v>72</v>
      </c>
    </row>
    <row r="20" customFormat="false" ht="15" hidden="false" customHeight="false" outlineLevel="0" collapsed="false">
      <c r="A20" s="0" t="str">
        <f aca="false">IF($V20="","",INDEX(Calc!$D$2:$D$137,$V20))</f>
        <v>NEMI</v>
      </c>
      <c r="B20" s="0" t="str">
        <f aca="false">IF($V20="","",INDEX(Calc!$E$2:$E$137,$V20))</f>
        <v>robo</v>
      </c>
      <c r="C20" s="13" t="n">
        <f aca="false">IF($V20="","",INDEX(Calc!$T$2:$T$137,$V20))</f>
        <v>0.708181818181818</v>
      </c>
      <c r="D20" s="13" t="n">
        <f aca="false">IF($V20="","",INDEX(Calc!$AA$2:$AA$137,$V20))</f>
        <v>0.6875</v>
      </c>
      <c r="E20" s="11" t="n">
        <f aca="false">IF($V20="","",INDEX(Calc!$V$2:$V$137,$V20))</f>
        <v>15.0913545454545</v>
      </c>
      <c r="F20" s="11" t="n">
        <f aca="false">IF($V20="","",INDEX(Calc!$AC$2:$AC$137,$V20))</f>
        <v>14.513125</v>
      </c>
      <c r="G20" s="11" t="n">
        <f aca="false">IF($V20="","",INDEX(Calc!$AL$2:$AL$137,$V20))</f>
        <v>29.6044795454545</v>
      </c>
      <c r="H20" s="13" t="n">
        <f aca="false">IF($V20="","",INDEX(Calc!$BK$2:$BK$137,$V20))</f>
        <v>0.941569357916832</v>
      </c>
      <c r="I20" s="11" t="n">
        <f aca="false">IF($V20="","",INDEX(Calc!$BD$2:$BD$137,$V20))</f>
        <v>27.8746707970756</v>
      </c>
      <c r="J20" s="9" t="n">
        <f aca="false">IF($V20="","",IFERROR(INDEX(Projections!$F$2:$F$261,MATCH(INDEX(Calc!$A$2:$A$137,$V20)&amp;"|K12",Projections!$Y$2:$Y$261,0)),""))</f>
        <v>25.5</v>
      </c>
      <c r="K20" s="10" t="n">
        <f aca="false">IF($V20="","",IFERROR(INDEX(Projections!$I$2:$I$261,MATCH(INDEX(Calc!$A$2:$A$137,$V20)&amp;"|K12",Projections!$Y$2:$Y$261,0)),""))</f>
        <v>0.738117205590465</v>
      </c>
      <c r="L20" s="10" t="n">
        <f aca="false">IF($V20="","",IFERROR(INDEX(Projections!$AB$2:$AB$261,MATCH(INDEX(Calc!$A$2:$A$137,$V20)&amp;"|K12",Projections!$Y$2:$Y$261,0)),""))</f>
        <v>0.648076312584042</v>
      </c>
      <c r="M20" s="9" t="n">
        <f aca="false">IF($V20="","",IFERROR(INDEX(Projections!$M$2:$M$261,MATCH(INDEX(Calc!$A$2:$A$137,$V20)&amp;"|K12",Projections!$Y$2:$Y$261,0)),""))</f>
        <v>26</v>
      </c>
      <c r="N20" s="10" t="n">
        <f aca="false">IF($V20="","",IFERROR(INDEX(Projections!$P$2:$P$261,MATCH(INDEX(Calc!$A$2:$A$137,$V20)&amp;"|K12",Projections!$Y$2:$Y$261,0)),""))</f>
        <v>0.7</v>
      </c>
      <c r="O20" s="10" t="n">
        <f aca="false">IF($V20="","",INDEX(Calc!$AP$2:$AP$137,$V20))</f>
        <v>0.523069303311962</v>
      </c>
      <c r="P20" s="11" t="n">
        <f aca="false">IF($V20="","",INDEX(Calc!$AN$2:$AN$137,$V20))</f>
        <v>15.4851944907541</v>
      </c>
      <c r="Q20" s="9" t="n">
        <f aca="false">IF($V20="","",IFERROR(INDEX(Projections!$F$2:$F$261,MATCH(INDEX(Calc!$A$2:$A$137,$V20)&amp;"|H12",Projections!$Y$2:$Y$261,0)),""))</f>
        <v>13.5</v>
      </c>
      <c r="R20" s="10" t="n">
        <f aca="false">IF($V20="","",IFERROR(INDEX(Projections!$I$2:$I$261,MATCH(INDEX(Calc!$A$2:$A$137,$V20)&amp;"|H12",Projections!$Y$2:$Y$261,0)),""))</f>
        <v>0.676798687805952</v>
      </c>
      <c r="S20" s="9" t="n">
        <f aca="false">IF($V20="","",INDEX(Calc!$N$2:$N$137,$V20))</f>
        <v>35</v>
      </c>
      <c r="T20" s="0" t="str">
        <f aca="false">IF($V20="","",INDEX(Calc!$AQ$2:$AQ$137,$V20))</f>
        <v/>
      </c>
      <c r="V20" s="9" t="n">
        <f aca="false">IFERROR(MATCH(6,Calc!$AR$2:$AR$137,0),"")</f>
        <v>71</v>
      </c>
    </row>
    <row r="21" customFormat="false" ht="15" hidden="false" customHeight="false" outlineLevel="0" collapsed="false">
      <c r="A21" s="0" t="str">
        <f aca="false">IF($V21="","",INDEX(Calc!$D$2:$D$137,$V21))</f>
        <v>NEMI</v>
      </c>
      <c r="B21" s="0" t="str">
        <f aca="false">IF($V21="","",INDEX(Calc!$E$2:$E$137,$V21))</f>
        <v>khaN</v>
      </c>
      <c r="C21" s="13" t="n">
        <f aca="false">IF($V21="","",INDEX(Calc!$T$2:$T$137,$V21))</f>
        <v>0.641818181818182</v>
      </c>
      <c r="D21" s="13" t="n">
        <f aca="false">IF($V21="","",INDEX(Calc!$AA$2:$AA$137,$V21))</f>
        <v>0.715</v>
      </c>
      <c r="E21" s="11" t="n">
        <f aca="false">IF($V21="","",INDEX(Calc!$V$2:$V$137,$V21))</f>
        <v>13.6771454545455</v>
      </c>
      <c r="F21" s="11" t="n">
        <f aca="false">IF($V21="","",INDEX(Calc!$AC$2:$AC$137,$V21))</f>
        <v>15.09365</v>
      </c>
      <c r="G21" s="11" t="n">
        <f aca="false">IF($V21="","",INDEX(Calc!$AL$2:$AL$137,$V21))</f>
        <v>28.7707954545455</v>
      </c>
      <c r="H21" s="13" t="n">
        <f aca="false">IF($V21="","",INDEX(Calc!$BK$2:$BK$137,$V21))</f>
        <v>0.941682178468974</v>
      </c>
      <c r="I21" s="11" t="n">
        <f aca="false">IF($V21="","",INDEX(Calc!$BD$2:$BD$137,$V21))</f>
        <v>27.0929453399216</v>
      </c>
      <c r="J21" s="9" t="n">
        <f aca="false">IF($V21="","",IFERROR(INDEX(Projections!$F$2:$F$261,MATCH(INDEX(Calc!$A$2:$A$137,$V21)&amp;"|K12",Projections!$Y$2:$Y$261,0)),""))</f>
        <v>28.5</v>
      </c>
      <c r="K21" s="10" t="n">
        <f aca="false">IF($V21="","",IFERROR(INDEX(Projections!$I$2:$I$261,MATCH(INDEX(Calc!$A$2:$A$137,$V21)&amp;"|K12",Projections!$Y$2:$Y$261,0)),""))</f>
        <v>0.517016871665283</v>
      </c>
      <c r="L21" s="10" t="n">
        <f aca="false">IF($V21="","",IFERROR(INDEX(Projections!$AB$2:$AB$261,MATCH(INDEX(Calc!$A$2:$A$137,$V21)&amp;"|K12",Projections!$Y$2:$Y$261,0)),""))</f>
        <v>0.409642552335176</v>
      </c>
      <c r="M21" s="9" t="n">
        <f aca="false">IF($V21="","",IFERROR(INDEX(Projections!$M$2:$M$261,MATCH(INDEX(Calc!$A$2:$A$137,$V21)&amp;"|K12",Projections!$Y$2:$Y$261,0)),""))</f>
        <v>28.72</v>
      </c>
      <c r="N21" s="10" t="n">
        <f aca="false">IF($V21="","",IFERROR(INDEX(Projections!$P$2:$P$261,MATCH(INDEX(Calc!$A$2:$A$137,$V21)&amp;"|K12",Projections!$Y$2:$Y$261,0)),""))</f>
        <v>0.5</v>
      </c>
      <c r="O21" s="10" t="n">
        <f aca="false">IF($V21="","",INDEX(Calc!$AP$2:$AP$137,$V21))</f>
        <v>0.347783506744852</v>
      </c>
      <c r="P21" s="11" t="n">
        <f aca="false">IF($V21="","",INDEX(Calc!$AN$2:$AN$137,$V21))</f>
        <v>10.0060081350207</v>
      </c>
      <c r="Q21" s="9" t="n">
        <f aca="false">IF($V21="","",IFERROR(INDEX(Projections!$F$2:$F$261,MATCH(INDEX(Calc!$A$2:$A$137,$V21)&amp;"|H12",Projections!$Y$2:$Y$261,0)),""))</f>
        <v>9.5</v>
      </c>
      <c r="R21" s="10" t="n">
        <f aca="false">IF($V21="","",IFERROR(INDEX(Projections!$I$2:$I$261,MATCH(INDEX(Calc!$A$2:$A$137,$V21)&amp;"|H12",Projections!$Y$2:$Y$261,0)),""))</f>
        <v>0.559570341881738</v>
      </c>
      <c r="S21" s="9" t="n">
        <f aca="false">IF($V21="","",INDEX(Calc!$N$2:$N$137,$V21))</f>
        <v>35</v>
      </c>
      <c r="T21" s="0" t="str">
        <f aca="false">IF($V21="","",INDEX(Calc!$AQ$2:$AQ$137,$V21))</f>
        <v/>
      </c>
      <c r="V21" s="9" t="n">
        <f aca="false">IFERROR(MATCH(7,Calc!$AR$2:$AR$137,0),"")</f>
        <v>70</v>
      </c>
    </row>
    <row r="22" customFormat="false" ht="15" hidden="false" customHeight="false" outlineLevel="0" collapsed="false">
      <c r="A22" s="0" t="str">
        <f aca="false">IF($V22="","",INDEX(Calc!$D$2:$D$137,$V22))</f>
        <v>FUT</v>
      </c>
      <c r="B22" s="0" t="str">
        <f aca="false">IF($V22="","",INDEX(Calc!$E$2:$E$137,$V22))</f>
        <v>xfl0ud</v>
      </c>
      <c r="C22" s="13" t="n">
        <f aca="false">IF($V22="","",INDEX(Calc!$T$2:$T$137,$V22))</f>
        <v>0.7</v>
      </c>
      <c r="D22" s="13" t="n">
        <f aca="false">IF($V22="","",INDEX(Calc!$AA$2:$AA$137,$V22))</f>
        <v>0.647857142857143</v>
      </c>
      <c r="E22" s="11" t="n">
        <f aca="false">IF($V22="","",INDEX(Calc!$V$2:$V$137,$V22))</f>
        <v>14.917</v>
      </c>
      <c r="F22" s="11" t="n">
        <f aca="false">IF($V22="","",INDEX(Calc!$AC$2:$AC$137,$V22))</f>
        <v>13.6762642857143</v>
      </c>
      <c r="G22" s="11" t="n">
        <f aca="false">IF($V22="","",INDEX(Calc!$AL$2:$AL$137,$V22))</f>
        <v>28.5932642857143</v>
      </c>
      <c r="H22" s="13" t="n">
        <f aca="false">IF($V22="","",INDEX(Calc!$BK$2:$BK$137,$V22))</f>
        <v>0.989695088714549</v>
      </c>
      <c r="I22" s="11" t="n">
        <f aca="false">IF($V22="","",INDEX(Calc!$BD$2:$BD$137,$V22))</f>
        <v>28.2986132338885</v>
      </c>
      <c r="J22" s="9" t="n">
        <f aca="false">IF($V22="","",IFERROR(INDEX(Projections!$F$2:$F$261,MATCH(INDEX(Calc!$A$2:$A$137,$V22)&amp;"|K12",Projections!$Y$2:$Y$261,0)),""))</f>
        <v>28.5</v>
      </c>
      <c r="K22" s="10" t="n">
        <f aca="false">IF($V22="","",IFERROR(INDEX(Projections!$I$2:$I$261,MATCH(INDEX(Calc!$A$2:$A$137,$V22)&amp;"|K12",Projections!$Y$2:$Y$261,0)),""))</f>
        <v>0.505880494112227</v>
      </c>
      <c r="L22" s="10" t="n">
        <f aca="false">IF($V22="","",IFERROR(INDEX(Projections!$AB$2:$AB$261,MATCH(INDEX(Calc!$A$2:$A$137,$V22)&amp;"|K12",Projections!$Y$2:$Y$261,0)),""))</f>
        <v>0.487237953958526</v>
      </c>
      <c r="M22" s="9" t="n">
        <f aca="false">IF($V22="","",IFERROR(INDEX(Projections!$M$2:$M$261,MATCH(INDEX(Calc!$A$2:$A$137,$V22)&amp;"|K12",Projections!$Y$2:$Y$261,0)),""))</f>
        <v>29.02</v>
      </c>
      <c r="N22" s="10" t="n">
        <f aca="false">IF($V22="","",IFERROR(INDEX(Projections!$P$2:$P$261,MATCH(INDEX(Calc!$A$2:$A$137,$V22)&amp;"|K12",Projections!$Y$2:$Y$261,0)),""))</f>
        <v>0.6</v>
      </c>
      <c r="O22" s="10" t="n">
        <f aca="false">IF($V22="","",INDEX(Calc!$AP$2:$AP$137,$V22))</f>
        <v>0.560665491766965</v>
      </c>
      <c r="P22" s="11" t="n">
        <f aca="false">IF($V22="","",INDEX(Calc!$AN$2:$AN$137,$V22))</f>
        <v>16.0312565819728</v>
      </c>
      <c r="Q22" s="9" t="n">
        <f aca="false">IF($V22="","",IFERROR(INDEX(Projections!$F$2:$F$261,MATCH(INDEX(Calc!$A$2:$A$137,$V22)&amp;"|H12",Projections!$Y$2:$Y$261,0)),""))</f>
        <v>16.5</v>
      </c>
      <c r="R22" s="10" t="n">
        <f aca="false">IF($V22="","",IFERROR(INDEX(Projections!$I$2:$I$261,MATCH(INDEX(Calc!$A$2:$A$137,$V22)&amp;"|H12",Projections!$Y$2:$Y$261,0)),""))</f>
        <v>0.45786783126973</v>
      </c>
      <c r="S22" s="9" t="n">
        <f aca="false">IF($V22="","",INDEX(Calc!$N$2:$N$137,$V22))</f>
        <v>37</v>
      </c>
      <c r="T22" s="0" t="str">
        <f aca="false">IF($V22="","",INDEX(Calc!$AQ$2:$AQ$137,$V22))</f>
        <v/>
      </c>
      <c r="V22" s="9" t="n">
        <f aca="false">IFERROR(MATCH(8,Calc!$AR$2:$AR$137,0),"")</f>
        <v>68</v>
      </c>
    </row>
    <row r="23" customFormat="false" ht="15" hidden="false" customHeight="false" outlineLevel="0" collapsed="false">
      <c r="A23" s="0" t="str">
        <f aca="false">IF($V23="","",INDEX(Calc!$D$2:$D$137,$V23))</f>
        <v>FUT</v>
      </c>
      <c r="B23" s="0" t="str">
        <f aca="false">IF($V23="","",INDEX(Calc!$E$2:$E$137,$V23))</f>
        <v>SunPayus</v>
      </c>
      <c r="C23" s="13" t="n">
        <f aca="false">IF($V23="","",INDEX(Calc!$T$2:$T$137,$V23))</f>
        <v>0.679090909090909</v>
      </c>
      <c r="D23" s="13" t="n">
        <f aca="false">IF($V23="","",INDEX(Calc!$AA$2:$AA$137,$V23))</f>
        <v>0.665384615384616</v>
      </c>
      <c r="E23" s="11" t="n">
        <f aca="false">IF($V23="","",INDEX(Calc!$V$2:$V$137,$V23))</f>
        <v>14.4714272727273</v>
      </c>
      <c r="F23" s="11" t="n">
        <f aca="false">IF($V23="","",INDEX(Calc!$AC$2:$AC$137,$V23))</f>
        <v>14.0462692307692</v>
      </c>
      <c r="G23" s="11" t="n">
        <f aca="false">IF($V23="","",INDEX(Calc!$AL$2:$AL$137,$V23))</f>
        <v>28.5176965034965</v>
      </c>
      <c r="H23" s="13" t="n">
        <f aca="false">IF($V23="","",INDEX(Calc!$BK$2:$BK$137,$V23))</f>
        <v>0.989648761087164</v>
      </c>
      <c r="I23" s="11" t="n">
        <f aca="false">IF($V23="","",INDEX(Calc!$BD$2:$BD$137,$V23))</f>
        <v>28.2225030137451</v>
      </c>
      <c r="J23" s="9" t="n">
        <f aca="false">IF($V23="","",IFERROR(INDEX(Projections!$F$2:$F$261,MATCH(INDEX(Calc!$A$2:$A$137,$V23)&amp;"|K12",Projections!$Y$2:$Y$261,0)),""))</f>
        <v>31.5</v>
      </c>
      <c r="K23" s="10" t="n">
        <f aca="false">IF($V23="","",IFERROR(INDEX(Projections!$I$2:$I$261,MATCH(INDEX(Calc!$A$2:$A$137,$V23)&amp;"|K12",Projections!$Y$2:$Y$261,0)),""))</f>
        <v>0.318467816079501</v>
      </c>
      <c r="L23" s="10" t="n">
        <f aca="false">IF($V23="","",IFERROR(INDEX(Projections!$AB$2:$AB$261,MATCH(INDEX(Calc!$A$2:$A$137,$V23)&amp;"|K12",Projections!$Y$2:$Y$261,0)),""))</f>
        <v>0.301040107125776</v>
      </c>
      <c r="M23" s="9" t="n">
        <f aca="false">IF($V23="","",IFERROR(INDEX(Projections!$M$2:$M$261,MATCH(INDEX(Calc!$A$2:$A$137,$V23)&amp;"|K12",Projections!$Y$2:$Y$261,0)),""))</f>
        <v>30.46</v>
      </c>
      <c r="N23" s="10" t="n">
        <f aca="false">IF($V23="","",IFERROR(INDEX(Projections!$P$2:$P$261,MATCH(INDEX(Calc!$A$2:$A$137,$V23)&amp;"|K12",Projections!$Y$2:$Y$261,0)),""))</f>
        <v>0.5</v>
      </c>
      <c r="O23" s="10" t="n">
        <f aca="false">IF($V23="","",INDEX(Calc!$AP$2:$AP$137,$V23))</f>
        <v>0.341164881514165</v>
      </c>
      <c r="P23" s="11" t="n">
        <f aca="false">IF($V23="","",INDEX(Calc!$AN$2:$AN$137,$V23))</f>
        <v>9.72923654867231</v>
      </c>
      <c r="Q23" s="9" t="n">
        <f aca="false">IF($V23="","",IFERROR(INDEX(Projections!$F$2:$F$261,MATCH(INDEX(Calc!$A$2:$A$137,$V23)&amp;"|H12",Projections!$Y$2:$Y$261,0)),""))</f>
        <v>11.5</v>
      </c>
      <c r="R23" s="10" t="n">
        <f aca="false">IF($V23="","",IFERROR(INDEX(Projections!$I$2:$I$261,MATCH(INDEX(Calc!$A$2:$A$137,$V23)&amp;"|H12",Projections!$Y$2:$Y$261,0)),""))</f>
        <v>0.297179962378414</v>
      </c>
      <c r="S23" s="9" t="n">
        <f aca="false">IF($V23="","",INDEX(Calc!$N$2:$N$137,$V23))</f>
        <v>34</v>
      </c>
      <c r="T23" s="0" t="str">
        <f aca="false">IF($V23="","",INDEX(Calc!$AQ$2:$AQ$137,$V23))</f>
        <v/>
      </c>
      <c r="V23" s="9" t="n">
        <f aca="false">IFERROR(MATCH(9,Calc!$AR$2:$AR$137,0),"")</f>
        <v>67</v>
      </c>
    </row>
    <row r="24" customFormat="false" ht="15" hidden="false" customHeight="false" outlineLevel="0" collapsed="false">
      <c r="A24" s="0" t="str">
        <f aca="false">IF($V24="","",INDEX(Calc!$D$2:$D$137,$V24))</f>
        <v>FUT</v>
      </c>
      <c r="B24" s="0" t="str">
        <f aca="false">IF($V24="","",INDEX(Calc!$E$2:$E$137,$V24))</f>
        <v>dziugss</v>
      </c>
      <c r="C24" s="13" t="n">
        <f aca="false">IF($V24="","",INDEX(Calc!$T$2:$T$137,$V24))</f>
        <v>0.626666666666667</v>
      </c>
      <c r="D24" s="13" t="n">
        <f aca="false">IF($V24="","",INDEX(Calc!$AA$2:$AA$137,$V24))</f>
        <v>0.581428571428572</v>
      </c>
      <c r="E24" s="11" t="n">
        <f aca="false">IF($V24="","",INDEX(Calc!$V$2:$V$137,$V24))</f>
        <v>13.3542666666667</v>
      </c>
      <c r="F24" s="11" t="n">
        <f aca="false">IF($V24="","",INDEX(Calc!$AC$2:$AC$137,$V24))</f>
        <v>12.2739571428571</v>
      </c>
      <c r="G24" s="11" t="n">
        <f aca="false">IF($V24="","",INDEX(Calc!$AL$2:$AL$137,$V24))</f>
        <v>25.6282238095238</v>
      </c>
      <c r="H24" s="13" t="n">
        <f aca="false">IF($V24="","",INDEX(Calc!$BK$2:$BK$137,$V24))</f>
        <v>0.989693072787555</v>
      </c>
      <c r="I24" s="11" t="n">
        <f aca="false">IF($V24="","",INDEX(Calc!$BD$2:$BD$137,$V24))</f>
        <v>25.3640755721348</v>
      </c>
      <c r="J24" s="9" t="n">
        <f aca="false">IF($V24="","",IFERROR(INDEX(Projections!$F$2:$F$261,MATCH(INDEX(Calc!$A$2:$A$137,$V24)&amp;"|K12",Projections!$Y$2:$Y$261,0)),""))</f>
        <v>26.5</v>
      </c>
      <c r="K24" s="10" t="n">
        <f aca="false">IF($V24="","",IFERROR(INDEX(Projections!$I$2:$I$261,MATCH(INDEX(Calc!$A$2:$A$137,$V24)&amp;"|K12",Projections!$Y$2:$Y$261,0)),""))</f>
        <v>0.44214235275874</v>
      </c>
      <c r="L24" s="10" t="n">
        <f aca="false">IF($V24="","",IFERROR(INDEX(Projections!$AB$2:$AB$261,MATCH(INDEX(Calc!$A$2:$A$137,$V24)&amp;"|K12",Projections!$Y$2:$Y$261,0)),""))</f>
        <v>0.424410381116356</v>
      </c>
      <c r="M24" s="9" t="n">
        <f aca="false">IF($V24="","",IFERROR(INDEX(Projections!$M$2:$M$261,MATCH(INDEX(Calc!$A$2:$A$137,$V24)&amp;"|K12",Projections!$Y$2:$Y$261,0)),""))</f>
        <v>26.82</v>
      </c>
      <c r="N24" s="10" t="n">
        <f aca="false">IF($V24="","",IFERROR(INDEX(Projections!$P$2:$P$261,MATCH(INDEX(Calc!$A$2:$A$137,$V24)&amp;"|K12",Projections!$Y$2:$Y$261,0)),""))</f>
        <v>0.2</v>
      </c>
      <c r="O24" s="10" t="n">
        <f aca="false">IF($V24="","",INDEX(Calc!$AP$2:$AP$137,$V24))</f>
        <v>0.558263727586615</v>
      </c>
      <c r="P24" s="11" t="n">
        <f aca="false">IF($V24="","",INDEX(Calc!$AN$2:$AN$137,$V24))</f>
        <v>14.3073077553288</v>
      </c>
      <c r="Q24" s="9" t="n">
        <f aca="false">IF($V24="","",IFERROR(INDEX(Projections!$F$2:$F$261,MATCH(INDEX(Calc!$A$2:$A$137,$V24)&amp;"|H12",Projections!$Y$2:$Y$261,0)),""))</f>
        <v>15.5</v>
      </c>
      <c r="R24" s="10" t="n">
        <f aca="false">IF($V24="","",IFERROR(INDEX(Projections!$I$2:$I$261,MATCH(INDEX(Calc!$A$2:$A$137,$V24)&amp;"|H12",Projections!$Y$2:$Y$261,0)),""))</f>
        <v>0.387787598281342</v>
      </c>
      <c r="S24" s="9" t="n">
        <f aca="false">IF($V24="","",INDEX(Calc!$N$2:$N$137,$V24))</f>
        <v>37</v>
      </c>
      <c r="T24" s="0" t="str">
        <f aca="false">IF($V24="","",INDEX(Calc!$AQ$2:$AQ$137,$V24))</f>
        <v/>
      </c>
      <c r="V24" s="9" t="n">
        <f aca="false">IFERROR(MATCH(10,Calc!$AR$2:$AR$137,0),"")</f>
        <v>65</v>
      </c>
    </row>
    <row r="25" customFormat="false" ht="15" hidden="false" customHeight="false" outlineLevel="0" collapsed="false">
      <c r="A25" s="0" t="str">
        <f aca="false">IF($V25="","",INDEX(Calc!$D$2:$D$137,$V25))</f>
        <v/>
      </c>
      <c r="B25" s="0" t="str">
        <f aca="false">IF($V25="","",INDEX(Calc!$E$2:$E$137,$V25))</f>
        <v/>
      </c>
      <c r="C25" s="13" t="str">
        <f aca="false">IF($V25="","",INDEX(Calc!$T$2:$T$137,$V25))</f>
        <v/>
      </c>
      <c r="D25" s="13" t="str">
        <f aca="false">IF($V25="","",INDEX(Calc!$AA$2:$AA$137,$V25))</f>
        <v/>
      </c>
      <c r="E25" s="11" t="str">
        <f aca="false">IF($V25="","",INDEX(Calc!$V$2:$V$137,$V25))</f>
        <v/>
      </c>
      <c r="F25" s="11" t="str">
        <f aca="false">IF($V25="","",INDEX(Calc!$AC$2:$AC$137,$V25))</f>
        <v/>
      </c>
      <c r="G25" s="11" t="str">
        <f aca="false">IF($V25="","",INDEX(Calc!$AL$2:$AL$137,$V25))</f>
        <v/>
      </c>
      <c r="H25" s="13" t="str">
        <f aca="false">IF($V25="","",INDEX(Calc!$BK$2:$BK$137,$V25))</f>
        <v/>
      </c>
      <c r="I25" s="11" t="str">
        <f aca="false">IF($V25="","",INDEX(Calc!$BD$2:$BD$137,$V25))</f>
        <v/>
      </c>
      <c r="J25" s="0" t="str">
        <f aca="false">IF($V25="","",IFERROR(INDEX(Projections!$F$2:$F$261,MATCH(INDEX(Calc!$A$2:$A$137,$V25)&amp;"|K12",Projections!$Y$2:$Y$261,0)),""))</f>
        <v/>
      </c>
      <c r="K25" s="10" t="str">
        <f aca="false">IF($V25="","",IFERROR(INDEX(Projections!$I$2:$I$261,MATCH(INDEX(Calc!$A$2:$A$137,$V25)&amp;"|K12",Projections!$Y$2:$Y$261,0)),""))</f>
        <v/>
      </c>
      <c r="L25" s="10" t="str">
        <f aca="false">IF($V25="","",IFERROR(INDEX(Projections!$AB$2:$AB$261,MATCH(INDEX(Calc!$A$2:$A$137,$V25)&amp;"|K12",Projections!$Y$2:$Y$261,0)),""))</f>
        <v/>
      </c>
      <c r="M25" s="0" t="str">
        <f aca="false">IF($V25="","",IFERROR(INDEX(Projections!$M$2:$M$261,MATCH(INDEX(Calc!$A$2:$A$137,$V25)&amp;"|K12",Projections!$Y$2:$Y$261,0)),""))</f>
        <v/>
      </c>
      <c r="N25" s="10" t="str">
        <f aca="false">IF($V25="","",IFERROR(INDEX(Projections!$P$2:$P$261,MATCH(INDEX(Calc!$A$2:$A$137,$V25)&amp;"|K12",Projections!$Y$2:$Y$261,0)),""))</f>
        <v/>
      </c>
      <c r="O25" s="10" t="str">
        <f aca="false">IF($V25="","",INDEX(Calc!$AP$2:$AP$137,$V25))</f>
        <v/>
      </c>
      <c r="P25" s="11" t="str">
        <f aca="false">IF($V25="","",INDEX(Calc!$AN$2:$AN$137,$V25))</f>
        <v/>
      </c>
      <c r="Q25" s="0" t="str">
        <f aca="false">IF($V25="","",IFERROR(INDEX(Projections!$F$2:$F$261,MATCH(INDEX(Calc!$A$2:$A$137,$V25)&amp;"|H12",Projections!$Y$2:$Y$261,0)),""))</f>
        <v/>
      </c>
      <c r="R25" s="10" t="str">
        <f aca="false">IF($V25="","",IFERROR(INDEX(Projections!$I$2:$I$261,MATCH(INDEX(Calc!$A$2:$A$137,$V25)&amp;"|H12",Projections!$Y$2:$Y$261,0)),""))</f>
        <v/>
      </c>
      <c r="S25" s="0" t="str">
        <f aca="false">IF($V25="","",INDEX(Calc!$N$2:$N$137,$V25))</f>
        <v/>
      </c>
      <c r="T25" s="0" t="str">
        <f aca="false">IF($V25="","",INDEX(Calc!$AQ$2:$AQ$137,$V25))</f>
        <v/>
      </c>
      <c r="V25" s="0" t="str">
        <f aca="false">IFERROR(MATCH(11,Calc!$AR$2:$AR$137,0),"")</f>
        <v/>
      </c>
    </row>
    <row r="26" customFormat="false" ht="15" hidden="false" customHeight="false" outlineLevel="0" collapsed="false">
      <c r="A26" s="0" t="str">
        <f aca="false">IF($V26="","",INDEX(Calc!$D$2:$D$137,$V26))</f>
        <v/>
      </c>
      <c r="B26" s="0" t="str">
        <f aca="false">IF($V26="","",INDEX(Calc!$E$2:$E$137,$V26))</f>
        <v/>
      </c>
      <c r="C26" s="13" t="str">
        <f aca="false">IF($V26="","",INDEX(Calc!$T$2:$T$137,$V26))</f>
        <v/>
      </c>
      <c r="D26" s="13" t="str">
        <f aca="false">IF($V26="","",INDEX(Calc!$AA$2:$AA$137,$V26))</f>
        <v/>
      </c>
      <c r="E26" s="11" t="str">
        <f aca="false">IF($V26="","",INDEX(Calc!$V$2:$V$137,$V26))</f>
        <v/>
      </c>
      <c r="F26" s="11" t="str">
        <f aca="false">IF($V26="","",INDEX(Calc!$AC$2:$AC$137,$V26))</f>
        <v/>
      </c>
      <c r="G26" s="11" t="str">
        <f aca="false">IF($V26="","",INDEX(Calc!$AL$2:$AL$137,$V26))</f>
        <v/>
      </c>
      <c r="H26" s="13" t="str">
        <f aca="false">IF($V26="","",INDEX(Calc!$BK$2:$BK$137,$V26))</f>
        <v/>
      </c>
      <c r="I26" s="11" t="str">
        <f aca="false">IF($V26="","",INDEX(Calc!$BD$2:$BD$137,$V26))</f>
        <v/>
      </c>
      <c r="J26" s="0" t="str">
        <f aca="false">IF($V26="","",IFERROR(INDEX(Projections!$F$2:$F$261,MATCH(INDEX(Calc!$A$2:$A$137,$V26)&amp;"|K12",Projections!$Y$2:$Y$261,0)),""))</f>
        <v/>
      </c>
      <c r="K26" s="10" t="str">
        <f aca="false">IF($V26="","",IFERROR(INDEX(Projections!$I$2:$I$261,MATCH(INDEX(Calc!$A$2:$A$137,$V26)&amp;"|K12",Projections!$Y$2:$Y$261,0)),""))</f>
        <v/>
      </c>
      <c r="L26" s="10" t="str">
        <f aca="false">IF($V26="","",IFERROR(INDEX(Projections!$AB$2:$AB$261,MATCH(INDEX(Calc!$A$2:$A$137,$V26)&amp;"|K12",Projections!$Y$2:$Y$261,0)),""))</f>
        <v/>
      </c>
      <c r="M26" s="0" t="str">
        <f aca="false">IF($V26="","",IFERROR(INDEX(Projections!$M$2:$M$261,MATCH(INDEX(Calc!$A$2:$A$137,$V26)&amp;"|K12",Projections!$Y$2:$Y$261,0)),""))</f>
        <v/>
      </c>
      <c r="N26" s="10" t="str">
        <f aca="false">IF($V26="","",IFERROR(INDEX(Projections!$P$2:$P$261,MATCH(INDEX(Calc!$A$2:$A$137,$V26)&amp;"|K12",Projections!$Y$2:$Y$261,0)),""))</f>
        <v/>
      </c>
      <c r="O26" s="10" t="str">
        <f aca="false">IF($V26="","",INDEX(Calc!$AP$2:$AP$137,$V26))</f>
        <v/>
      </c>
      <c r="P26" s="11" t="str">
        <f aca="false">IF($V26="","",INDEX(Calc!$AN$2:$AN$137,$V26))</f>
        <v/>
      </c>
      <c r="Q26" s="0" t="str">
        <f aca="false">IF($V26="","",IFERROR(INDEX(Projections!$F$2:$F$261,MATCH(INDEX(Calc!$A$2:$A$137,$V26)&amp;"|H12",Projections!$Y$2:$Y$261,0)),""))</f>
        <v/>
      </c>
      <c r="R26" s="10" t="str">
        <f aca="false">IF($V26="","",IFERROR(INDEX(Projections!$I$2:$I$261,MATCH(INDEX(Calc!$A$2:$A$137,$V26)&amp;"|H12",Projections!$Y$2:$Y$261,0)),""))</f>
        <v/>
      </c>
      <c r="S26" s="0" t="str">
        <f aca="false">IF($V26="","",INDEX(Calc!$N$2:$N$137,$V26))</f>
        <v/>
      </c>
      <c r="T26" s="0" t="str">
        <f aca="false">IF($V26="","",INDEX(Calc!$AQ$2:$AQ$137,$V26))</f>
        <v/>
      </c>
      <c r="V26" s="0" t="str">
        <f aca="false">IFERROR(MATCH(12,Calc!$AR$2:$AR$137,0),"")</f>
        <v/>
      </c>
    </row>
    <row r="28" customFormat="false" ht="15" hidden="false" customHeight="false" outlineLevel="0" collapsed="false">
      <c r="A28" s="2" t="s">
        <v>1097</v>
      </c>
    </row>
    <row r="29" customFormat="false" ht="15" hidden="false" customHeight="false" outlineLevel="0" collapsed="false">
      <c r="A29" s="2" t="s">
        <v>1098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1099</v>
      </c>
    </row>
    <row r="2" customFormat="false" ht="15" hidden="false" customHeight="false" outlineLevel="0" collapsed="false">
      <c r="A2" s="2" t="s">
        <v>1100</v>
      </c>
    </row>
    <row r="4" customFormat="false" ht="41.75" hidden="false" customHeight="false" outlineLevel="0" collapsed="false">
      <c r="A4" s="12" t="s">
        <v>1101</v>
      </c>
      <c r="B4" s="12" t="s">
        <v>1102</v>
      </c>
      <c r="C4" s="12" t="s">
        <v>1058</v>
      </c>
      <c r="D4" s="12" t="s">
        <v>1059</v>
      </c>
      <c r="E4" s="12" t="s">
        <v>1103</v>
      </c>
      <c r="F4" s="12" t="s">
        <v>1104</v>
      </c>
      <c r="G4" s="12" t="s">
        <v>1060</v>
      </c>
      <c r="H4" s="12" t="s">
        <v>1061</v>
      </c>
      <c r="I4" s="12" t="s">
        <v>1062</v>
      </c>
      <c r="J4" s="12" t="s">
        <v>1063</v>
      </c>
      <c r="K4" s="12" t="s">
        <v>1064</v>
      </c>
      <c r="L4" s="12" t="s">
        <v>1065</v>
      </c>
      <c r="M4" s="12" t="s">
        <v>1105</v>
      </c>
      <c r="N4" s="12" t="s">
        <v>1106</v>
      </c>
      <c r="O4" s="12" t="s">
        <v>1066</v>
      </c>
      <c r="P4" s="12" t="s">
        <v>1067</v>
      </c>
      <c r="Q4" s="12" t="s">
        <v>1107</v>
      </c>
      <c r="R4" s="12" t="s">
        <v>1068</v>
      </c>
      <c r="S4" s="12" t="s">
        <v>1069</v>
      </c>
      <c r="T4" s="12" t="s">
        <v>1070</v>
      </c>
      <c r="U4" s="12" t="s">
        <v>1071</v>
      </c>
      <c r="V4" s="12" t="s">
        <v>1108</v>
      </c>
      <c r="W4" s="12" t="s">
        <v>1109</v>
      </c>
      <c r="X4" s="12" t="s">
        <v>1110</v>
      </c>
      <c r="Y4" s="12" t="s">
        <v>1111</v>
      </c>
      <c r="Z4" s="12" t="s">
        <v>1112</v>
      </c>
      <c r="AA4" s="12" t="s">
        <v>1113</v>
      </c>
      <c r="AB4" s="12" t="s">
        <v>1114</v>
      </c>
      <c r="AC4" s="12" t="s">
        <v>1115</v>
      </c>
      <c r="AD4" s="12" t="s">
        <v>1116</v>
      </c>
      <c r="AE4" s="12" t="s">
        <v>1117</v>
      </c>
      <c r="AF4" s="12" t="s">
        <v>1118</v>
      </c>
      <c r="AG4" s="12" t="s">
        <v>1119</v>
      </c>
      <c r="AH4" s="12" t="s">
        <v>1120</v>
      </c>
      <c r="AI4" s="12" t="s">
        <v>1121</v>
      </c>
      <c r="AJ4" s="12" t="s">
        <v>1122</v>
      </c>
      <c r="AK4" s="12" t="s">
        <v>1123</v>
      </c>
      <c r="AL4" s="12" t="s">
        <v>1124</v>
      </c>
      <c r="AM4" s="12" t="s">
        <v>1125</v>
      </c>
      <c r="AN4" s="12" t="s">
        <v>1072</v>
      </c>
      <c r="AO4" s="12" t="s">
        <v>1073</v>
      </c>
      <c r="AP4" s="12" t="s">
        <v>1126</v>
      </c>
      <c r="AQ4" s="12" t="s">
        <v>1127</v>
      </c>
      <c r="AR4" s="12" t="s">
        <v>1128</v>
      </c>
      <c r="AS4" s="12" t="s">
        <v>1129</v>
      </c>
      <c r="AT4" s="12" t="s">
        <v>1130</v>
      </c>
      <c r="AU4" s="12" t="s">
        <v>1131</v>
      </c>
      <c r="AV4" s="12" t="s">
        <v>1132</v>
      </c>
      <c r="AW4" s="12" t="s">
        <v>1133</v>
      </c>
      <c r="AX4" s="12" t="s">
        <v>1134</v>
      </c>
      <c r="AY4" s="12" t="s">
        <v>1135</v>
      </c>
      <c r="AZ4" s="12" t="s">
        <v>1136</v>
      </c>
      <c r="BA4" s="12" t="s">
        <v>1137</v>
      </c>
      <c r="BB4" s="12" t="s">
        <v>1138</v>
      </c>
    </row>
    <row r="5" customFormat="false" ht="15" hidden="false" customHeight="false" outlineLevel="0" collapsed="false">
      <c r="A5" s="0" t="s">
        <v>1056</v>
      </c>
      <c r="B5" s="0" t="s">
        <v>1139</v>
      </c>
      <c r="C5" s="0" t="s">
        <v>1140</v>
      </c>
      <c r="D5" s="0" t="n">
        <v>3</v>
      </c>
      <c r="E5" s="0" t="s">
        <v>33</v>
      </c>
      <c r="F5" s="0" t="s">
        <v>34</v>
      </c>
      <c r="G5" s="10" t="n">
        <v>0.720524017467249</v>
      </c>
      <c r="H5" s="10" t="n">
        <v>0.427354061987787</v>
      </c>
      <c r="I5" s="10" t="n">
        <v>0.135667956186599</v>
      </c>
      <c r="J5" s="10" t="n">
        <v>0.436977981825613</v>
      </c>
      <c r="K5" s="9" t="s">
        <v>1141</v>
      </c>
      <c r="L5" s="9" t="s">
        <v>1142</v>
      </c>
      <c r="M5" s="9" t="s">
        <v>1143</v>
      </c>
      <c r="N5" s="9" t="s">
        <v>1144</v>
      </c>
      <c r="O5" s="11" t="n">
        <v>21.3125531311986</v>
      </c>
      <c r="P5" s="11" t="n">
        <v>21.1145374449339</v>
      </c>
      <c r="Q5" s="11" t="n">
        <v>21.2222836095764</v>
      </c>
      <c r="R5" s="10" t="n">
        <v>0.146341463414634</v>
      </c>
      <c r="S5" s="11" t="n">
        <v>2.93142762723067</v>
      </c>
      <c r="T5" s="11"/>
      <c r="U5" s="11" t="n">
        <v>10.5</v>
      </c>
      <c r="V5" s="0" t="n">
        <v>510</v>
      </c>
      <c r="W5" s="14" t="s">
        <v>81</v>
      </c>
      <c r="X5" s="14" t="s">
        <v>95</v>
      </c>
      <c r="Y5" s="14" t="s">
        <v>108</v>
      </c>
      <c r="Z5" s="15" t="n">
        <v>21.31</v>
      </c>
      <c r="AA5" s="15" t="n">
        <v>21.11</v>
      </c>
      <c r="AB5" s="15" t="n">
        <v>21.22</v>
      </c>
      <c r="AC5" s="16" t="n">
        <v>0.437</v>
      </c>
      <c r="AD5" s="9" t="s">
        <v>1145</v>
      </c>
      <c r="AE5" s="9" t="s">
        <v>1146</v>
      </c>
      <c r="AF5" s="10" t="n">
        <v>0.6281</v>
      </c>
      <c r="AG5" s="10" t="n">
        <v>0.7014</v>
      </c>
      <c r="AH5" s="10" t="n">
        <v>0.6553</v>
      </c>
      <c r="AI5" s="10" t="n">
        <f aca="false">IFERROR(INDEX(HLTV_Teams!$N$2:$N$35,MATCH($A5&amp;"|A",HLTV_Teams!$A$2:$A$35,0)),"")</f>
        <v>0.544763382467029</v>
      </c>
      <c r="AJ5" s="10" t="n">
        <f aca="false">IFERROR(INDEX(HLTV_Teams!$N$2:$N$35,MATCH($A5&amp;"|B",HLTV_Teams!$A$2:$A$35,0)),"")</f>
        <v>0.534688281487298</v>
      </c>
      <c r="AK5" s="17" t="n">
        <f aca="false">IF($W5="","",IFERROR((SUMIFS(HLTV_Long!$B$2:$B$443,HLTV_Long!$A$2:$A$443,$A5&amp;"|A|"&amp;$W5&amp;"|lw")+SUMIFS(HLTV_Long!$B$2:$B$443,HLTV_Long!$A$2:$A$443,$A5&amp;"|B|"&amp;$W5&amp;"|wl"))/(COUNTIFS(HLTV_Long!$A$2:$A$443,$A5&amp;"|A|"&amp;$W5&amp;"|lw")+COUNTIFS(HLTV_Long!$A$2:$A$443,$A5&amp;"|B|"&amp;$W5&amp;"|wl")),IFERROR((SUMIFS(HLTV_Long!$B$2:$B$443,HLTV_Long!$A$2:$A$443,$A5&amp;"|A|"&amp;"ALL"&amp;"|lw")+SUMIFS(HLTV_Long!$B$2:$B$443,HLTV_Long!$A$2:$A$443,$A5&amp;"|B|"&amp;"ALL"&amp;"|wl"))/(COUNTIFS(HLTV_Long!$A$2:$A$443,$A5&amp;"|A|"&amp;"ALL"&amp;"|lw")+COUNTIFS(HLTV_Long!$A$2:$A$443,$A5&amp;"|B|"&amp;"ALL"&amp;"|wl")),"")))</f>
        <v>8.335</v>
      </c>
      <c r="AL5" s="17" t="n">
        <f aca="false">IF($W5="","",IFERROR((SUMIFS(HLTV_Long!$B$2:$B$443,HLTV_Long!$A$2:$A$443,$A5&amp;"|B|"&amp;$W5&amp;"|lw")+SUMIFS(HLTV_Long!$B$2:$B$443,HLTV_Long!$A$2:$A$443,$A5&amp;"|A|"&amp;$W5&amp;"|wl"))/(COUNTIFS(HLTV_Long!$A$2:$A$443,$A5&amp;"|B|"&amp;$W5&amp;"|lw")+COUNTIFS(HLTV_Long!$A$2:$A$443,$A5&amp;"|A|"&amp;$W5&amp;"|wl")),IFERROR((SUMIFS(HLTV_Long!$B$2:$B$443,HLTV_Long!$A$2:$A$443,$A5&amp;"|B|"&amp;"ALL"&amp;"|lw")+SUMIFS(HLTV_Long!$B$2:$B$443,HLTV_Long!$A$2:$A$443,$A5&amp;"|A|"&amp;"ALL"&amp;"|wl"))/(COUNTIFS(HLTV_Long!$A$2:$A$443,$A5&amp;"|B|"&amp;"ALL"&amp;"|lw")+COUNTIFS(HLTV_Long!$A$2:$A$443,$A5&amp;"|A|"&amp;"ALL"&amp;"|wl")),"")))</f>
        <v>9.145</v>
      </c>
      <c r="AM5" s="9" t="n">
        <f aca="false">IF($W5="","",COUNTIFS(HLTV_Long!$A$2:$A$443,$A5&amp;"|A|"&amp;$W5&amp;"|lw")+COUNTIFS(HLTV_Long!$A$2:$A$443,$A5&amp;"|B|"&amp;$W5&amp;"|wl")+COUNTIFS(HLTV_Long!$A$2:$A$443,$A5&amp;"|B|"&amp;$W5&amp;"|lw")+COUNTIFS(HLTV_Long!$A$2:$A$443,$A5&amp;"|A|"&amp;$W5&amp;"|wl"))</f>
        <v>4</v>
      </c>
      <c r="AN5" s="17" t="n">
        <f aca="false">IF(OR($AK5="",$AL5="",$AF5=""),"",13+$AF5*$AK5+(1-$AF5)*$AL5)</f>
        <v>21.636239</v>
      </c>
      <c r="AO5" s="17" t="n">
        <f aca="false">IF($AN5="","",$AF5*(13-$AK5)-(1-$AF5)*(13-$AL5))</f>
        <v>1.496412</v>
      </c>
      <c r="AP5" s="10" t="n">
        <f aca="false">IF($AN5="","",($AF5*13+(1-$AF5)*$AL5)/$AN5)</f>
        <v>0.534581148784685</v>
      </c>
      <c r="AQ5" s="17" t="n">
        <f aca="false">IF($X5="","",IFERROR((SUMIFS(HLTV_Long!$B$2:$B$443,HLTV_Long!$A$2:$A$443,$A5&amp;"|A|"&amp;$X5&amp;"|lw")+SUMIFS(HLTV_Long!$B$2:$B$443,HLTV_Long!$A$2:$A$443,$A5&amp;"|B|"&amp;$X5&amp;"|wl"))/(COUNTIFS(HLTV_Long!$A$2:$A$443,$A5&amp;"|A|"&amp;$X5&amp;"|lw")+COUNTIFS(HLTV_Long!$A$2:$A$443,$A5&amp;"|B|"&amp;$X5&amp;"|wl")),IFERROR((SUMIFS(HLTV_Long!$B$2:$B$443,HLTV_Long!$A$2:$A$443,$A5&amp;"|A|"&amp;"ALL"&amp;"|lw")+SUMIFS(HLTV_Long!$B$2:$B$443,HLTV_Long!$A$2:$A$443,$A5&amp;"|B|"&amp;"ALL"&amp;"|wl"))/(COUNTIFS(HLTV_Long!$A$2:$A$443,$A5&amp;"|A|"&amp;"ALL"&amp;"|lw")+COUNTIFS(HLTV_Long!$A$2:$A$443,$A5&amp;"|B|"&amp;"ALL"&amp;"|wl")),"")))</f>
        <v>9.25</v>
      </c>
      <c r="AR5" s="17" t="n">
        <f aca="false">IF($X5="","",IFERROR((SUMIFS(HLTV_Long!$B$2:$B$443,HLTV_Long!$A$2:$A$443,$A5&amp;"|B|"&amp;$X5&amp;"|lw")+SUMIFS(HLTV_Long!$B$2:$B$443,HLTV_Long!$A$2:$A$443,$A5&amp;"|A|"&amp;$X5&amp;"|wl"))/(COUNTIFS(HLTV_Long!$A$2:$A$443,$A5&amp;"|B|"&amp;$X5&amp;"|lw")+COUNTIFS(HLTV_Long!$A$2:$A$443,$A5&amp;"|A|"&amp;$X5&amp;"|wl")),IFERROR((SUMIFS(HLTV_Long!$B$2:$B$443,HLTV_Long!$A$2:$A$443,$A5&amp;"|B|"&amp;"ALL"&amp;"|lw")+SUMIFS(HLTV_Long!$B$2:$B$443,HLTV_Long!$A$2:$A$443,$A5&amp;"|A|"&amp;"ALL"&amp;"|wl"))/(COUNTIFS(HLTV_Long!$A$2:$A$443,$A5&amp;"|B|"&amp;"ALL"&amp;"|lw")+COUNTIFS(HLTV_Long!$A$2:$A$443,$A5&amp;"|A|"&amp;"ALL"&amp;"|wl")),"")))</f>
        <v>8.75</v>
      </c>
      <c r="AS5" s="9" t="n">
        <f aca="false">IF($X5="","",COUNTIFS(HLTV_Long!$A$2:$A$443,$A5&amp;"|A|"&amp;$X5&amp;"|lw")+COUNTIFS(HLTV_Long!$A$2:$A$443,$A5&amp;"|B|"&amp;$X5&amp;"|wl")+COUNTIFS(HLTV_Long!$A$2:$A$443,$A5&amp;"|B|"&amp;$X5&amp;"|lw")+COUNTIFS(HLTV_Long!$A$2:$A$443,$A5&amp;"|A|"&amp;$X5&amp;"|wl"))</f>
        <v>4</v>
      </c>
      <c r="AT5" s="17" t="n">
        <f aca="false">IF(OR($AQ5="",$AR5="",$AG5=""),"",13+$AG5*$AQ5+(1-$AG5)*$AR5)</f>
        <v>22.1007</v>
      </c>
      <c r="AU5" s="17" t="n">
        <f aca="false">IF($AT5="","",$AG5*(13-$AQ5)-(1-$AG5)*(13-$AR5))</f>
        <v>1.3612</v>
      </c>
      <c r="AV5" s="10" t="n">
        <f aca="false">IF($AT5="","",($AG5*13+(1-$AG5)*$AR5)/$AT5)</f>
        <v>0.53079540467044</v>
      </c>
      <c r="AW5" s="17" t="n">
        <f aca="false">IF($Y5="","",IFERROR((SUMIFS(HLTV_Long!$B$2:$B$443,HLTV_Long!$A$2:$A$443,$A5&amp;"|A|"&amp;$Y5&amp;"|lw")+SUMIFS(HLTV_Long!$B$2:$B$443,HLTV_Long!$A$2:$A$443,$A5&amp;"|B|"&amp;$Y5&amp;"|wl"))/(COUNTIFS(HLTV_Long!$A$2:$A$443,$A5&amp;"|A|"&amp;$Y5&amp;"|lw")+COUNTIFS(HLTV_Long!$A$2:$A$443,$A5&amp;"|B|"&amp;$Y5&amp;"|wl")),IFERROR((SUMIFS(HLTV_Long!$B$2:$B$443,HLTV_Long!$A$2:$A$443,$A5&amp;"|A|"&amp;"ALL"&amp;"|lw")+SUMIFS(HLTV_Long!$B$2:$B$443,HLTV_Long!$A$2:$A$443,$A5&amp;"|B|"&amp;"ALL"&amp;"|wl"))/(COUNTIFS(HLTV_Long!$A$2:$A$443,$A5&amp;"|A|"&amp;"ALL"&amp;"|lw")+COUNTIFS(HLTV_Long!$A$2:$A$443,$A5&amp;"|B|"&amp;"ALL"&amp;"|wl")),"")))</f>
        <v>10.265</v>
      </c>
      <c r="AX5" s="17" t="n">
        <f aca="false">IF($Y5="","",IFERROR((SUMIFS(HLTV_Long!$B$2:$B$443,HLTV_Long!$A$2:$A$443,$A5&amp;"|B|"&amp;$Y5&amp;"|lw")+SUMIFS(HLTV_Long!$B$2:$B$443,HLTV_Long!$A$2:$A$443,$A5&amp;"|A|"&amp;$Y5&amp;"|wl"))/(COUNTIFS(HLTV_Long!$A$2:$A$443,$A5&amp;"|B|"&amp;$Y5&amp;"|lw")+COUNTIFS(HLTV_Long!$A$2:$A$443,$A5&amp;"|A|"&amp;$Y5&amp;"|wl")),IFERROR((SUMIFS(HLTV_Long!$B$2:$B$443,HLTV_Long!$A$2:$A$443,$A5&amp;"|B|"&amp;"ALL"&amp;"|lw")+SUMIFS(HLTV_Long!$B$2:$B$443,HLTV_Long!$A$2:$A$443,$A5&amp;"|A|"&amp;"ALL"&amp;"|wl"))/(COUNTIFS(HLTV_Long!$A$2:$A$443,$A5&amp;"|B|"&amp;"ALL"&amp;"|lw")+COUNTIFS(HLTV_Long!$A$2:$A$443,$A5&amp;"|A|"&amp;"ALL"&amp;"|wl")),"")))</f>
        <v>10.09</v>
      </c>
      <c r="AY5" s="9" t="n">
        <f aca="false">IF($Y5="","",COUNTIFS(HLTV_Long!$A$2:$A$443,$A5&amp;"|A|"&amp;$Y5&amp;"|lw")+COUNTIFS(HLTV_Long!$A$2:$A$443,$A5&amp;"|B|"&amp;$Y5&amp;"|wl")+COUNTIFS(HLTV_Long!$A$2:$A$443,$A5&amp;"|B|"&amp;$Y5&amp;"|lw")+COUNTIFS(HLTV_Long!$A$2:$A$443,$A5&amp;"|A|"&amp;$Y5&amp;"|wl"))</f>
        <v>4</v>
      </c>
      <c r="AZ5" s="17" t="n">
        <f aca="false">IF(OR($AW5="",$AX5="",$AH5=""),"",13+$AH5*$AW5+(1-$AH5)*$AX5)</f>
        <v>23.2046775</v>
      </c>
      <c r="BA5" s="17" t="n">
        <f aca="false">IF($AZ5="","",$AH5*(13-$AW5)-(1-$AH5)*(13-$AX5))</f>
        <v>0.7891685</v>
      </c>
      <c r="BB5" s="10" t="n">
        <f aca="false">IF($AZ5="","",($AH5*13+(1-$AH5)*$AX5)/$AZ5)</f>
        <v>0.517004513421917</v>
      </c>
    </row>
    <row r="6" customFormat="false" ht="15" hidden="false" customHeight="false" outlineLevel="0" collapsed="false">
      <c r="A6" s="0" t="s">
        <v>1147</v>
      </c>
      <c r="B6" s="0" t="s">
        <v>1139</v>
      </c>
      <c r="C6" s="0" t="s">
        <v>1148</v>
      </c>
      <c r="D6" s="0" t="n">
        <v>3</v>
      </c>
      <c r="E6" s="0" t="s">
        <v>156</v>
      </c>
      <c r="F6" s="0" t="s">
        <v>157</v>
      </c>
      <c r="G6" s="10" t="n">
        <v>0.56</v>
      </c>
      <c r="H6" s="10" t="n">
        <v>0.291327264015333</v>
      </c>
      <c r="I6" s="10" t="n">
        <v>0.222328701485386</v>
      </c>
      <c r="J6" s="10" t="n">
        <v>0.486344034499281</v>
      </c>
      <c r="K6" s="9" t="s">
        <v>1149</v>
      </c>
      <c r="L6" s="9" t="s">
        <v>1150</v>
      </c>
      <c r="M6" s="9" t="s">
        <v>1151</v>
      </c>
      <c r="N6" s="9" t="s">
        <v>1144</v>
      </c>
      <c r="O6" s="11" t="n">
        <v>21.5</v>
      </c>
      <c r="P6" s="11" t="n">
        <v>21.5</v>
      </c>
      <c r="Q6" s="11" t="n">
        <v>21.5</v>
      </c>
      <c r="R6" s="10" t="n">
        <v>0.159420289855073</v>
      </c>
      <c r="S6" s="11" t="n">
        <v>0.996875000000001</v>
      </c>
      <c r="T6" s="11"/>
      <c r="U6" s="11"/>
      <c r="V6" s="0" t="n">
        <v>230</v>
      </c>
      <c r="W6" s="14" t="s">
        <v>95</v>
      </c>
      <c r="X6" s="14" t="s">
        <v>129</v>
      </c>
      <c r="Y6" s="14" t="s">
        <v>108</v>
      </c>
      <c r="Z6" s="15" t="n">
        <v>21.5</v>
      </c>
      <c r="AA6" s="15" t="n">
        <v>21.5</v>
      </c>
      <c r="AB6" s="15" t="n">
        <v>21.5</v>
      </c>
      <c r="AC6" s="16" t="n">
        <v>0.4863</v>
      </c>
      <c r="AD6" s="9" t="s">
        <v>1152</v>
      </c>
      <c r="AE6" s="9" t="s">
        <v>1153</v>
      </c>
      <c r="AF6" s="10" t="n">
        <v>0.5376</v>
      </c>
      <c r="AG6" s="10" t="n">
        <v>0.5376</v>
      </c>
      <c r="AH6" s="10" t="n">
        <v>0.5376</v>
      </c>
      <c r="AI6" s="10" t="n">
        <f aca="false">IFERROR(INDEX(HLTV_Teams!$N$2:$N$35,MATCH($A6&amp;"|A",HLTV_Teams!$A$2:$A$35,0)),"")</f>
        <v>0.530850982444716</v>
      </c>
      <c r="AJ6" s="10" t="n">
        <f aca="false">IFERROR(INDEX(HLTV_Teams!$N$2:$N$35,MATCH($A6&amp;"|B",HLTV_Teams!$A$2:$A$35,0)),"")</f>
        <v>0.548119270722301</v>
      </c>
      <c r="AK6" s="17" t="n">
        <f aca="false">IF($W6="","",IFERROR((SUMIFS(HLTV_Long!$B$2:$B$443,HLTV_Long!$A$2:$A$443,$A6&amp;"|A|"&amp;$W6&amp;"|lw")+SUMIFS(HLTV_Long!$B$2:$B$443,HLTV_Long!$A$2:$A$443,$A6&amp;"|B|"&amp;$W6&amp;"|wl"))/(COUNTIFS(HLTV_Long!$A$2:$A$443,$A6&amp;"|A|"&amp;$W6&amp;"|lw")+COUNTIFS(HLTV_Long!$A$2:$A$443,$A6&amp;"|B|"&amp;$W6&amp;"|wl")),IFERROR((SUMIFS(HLTV_Long!$B$2:$B$443,HLTV_Long!$A$2:$A$443,$A6&amp;"|A|"&amp;"ALL"&amp;"|lw")+SUMIFS(HLTV_Long!$B$2:$B$443,HLTV_Long!$A$2:$A$443,$A6&amp;"|B|"&amp;"ALL"&amp;"|wl"))/(COUNTIFS(HLTV_Long!$A$2:$A$443,$A6&amp;"|A|"&amp;"ALL"&amp;"|lw")+COUNTIFS(HLTV_Long!$A$2:$A$443,$A6&amp;"|B|"&amp;"ALL"&amp;"|wl")),"")))</f>
        <v>8.42</v>
      </c>
      <c r="AL6" s="17" t="n">
        <f aca="false">IF($W6="","",IFERROR((SUMIFS(HLTV_Long!$B$2:$B$443,HLTV_Long!$A$2:$A$443,$A6&amp;"|B|"&amp;$W6&amp;"|lw")+SUMIFS(HLTV_Long!$B$2:$B$443,HLTV_Long!$A$2:$A$443,$A6&amp;"|A|"&amp;$W6&amp;"|wl"))/(COUNTIFS(HLTV_Long!$A$2:$A$443,$A6&amp;"|B|"&amp;$W6&amp;"|lw")+COUNTIFS(HLTV_Long!$A$2:$A$443,$A6&amp;"|A|"&amp;$W6&amp;"|wl")),IFERROR((SUMIFS(HLTV_Long!$B$2:$B$443,HLTV_Long!$A$2:$A$443,$A6&amp;"|B|"&amp;"ALL"&amp;"|lw")+SUMIFS(HLTV_Long!$B$2:$B$443,HLTV_Long!$A$2:$A$443,$A6&amp;"|A|"&amp;"ALL"&amp;"|wl"))/(COUNTIFS(HLTV_Long!$A$2:$A$443,$A6&amp;"|B|"&amp;"ALL"&amp;"|lw")+COUNTIFS(HLTV_Long!$A$2:$A$443,$A6&amp;"|A|"&amp;"ALL"&amp;"|wl")),"")))</f>
        <v>5.935</v>
      </c>
      <c r="AM6" s="9" t="n">
        <f aca="false">IF($W6="","",COUNTIFS(HLTV_Long!$A$2:$A$443,$A6&amp;"|A|"&amp;$W6&amp;"|lw")+COUNTIFS(HLTV_Long!$A$2:$A$443,$A6&amp;"|B|"&amp;$W6&amp;"|wl")+COUNTIFS(HLTV_Long!$A$2:$A$443,$A6&amp;"|B|"&amp;$W6&amp;"|lw")+COUNTIFS(HLTV_Long!$A$2:$A$443,$A6&amp;"|A|"&amp;$W6&amp;"|wl"))</f>
        <v>4</v>
      </c>
      <c r="AN6" s="17" t="n">
        <f aca="false">IF(OR($AK6="",$AL6="",$AF6=""),"",13+$AF6*$AK6+(1-$AF6)*$AL6)</f>
        <v>20.270936</v>
      </c>
      <c r="AO6" s="17" t="n">
        <f aca="false">IF($AN6="","",$AF6*(13-$AK6)-(1-$AF6)*(13-$AL6))</f>
        <v>-0.804648</v>
      </c>
      <c r="AP6" s="10" t="n">
        <f aca="false">IF($AN6="","",($AF6*13+(1-$AF6)*$AL6)/$AN6)</f>
        <v>0.480152667839314</v>
      </c>
      <c r="AQ6" s="17" t="n">
        <f aca="false">IF($X6="","",IFERROR((SUMIFS(HLTV_Long!$B$2:$B$443,HLTV_Long!$A$2:$A$443,$A6&amp;"|A|"&amp;$X6&amp;"|lw")+SUMIFS(HLTV_Long!$B$2:$B$443,HLTV_Long!$A$2:$A$443,$A6&amp;"|B|"&amp;$X6&amp;"|wl"))/(COUNTIFS(HLTV_Long!$A$2:$A$443,$A6&amp;"|A|"&amp;$X6&amp;"|lw")+COUNTIFS(HLTV_Long!$A$2:$A$443,$A6&amp;"|B|"&amp;$X6&amp;"|wl")),IFERROR((SUMIFS(HLTV_Long!$B$2:$B$443,HLTV_Long!$A$2:$A$443,$A6&amp;"|A|"&amp;"ALL"&amp;"|lw")+SUMIFS(HLTV_Long!$B$2:$B$443,HLTV_Long!$A$2:$A$443,$A6&amp;"|B|"&amp;"ALL"&amp;"|wl"))/(COUNTIFS(HLTV_Long!$A$2:$A$443,$A6&amp;"|A|"&amp;"ALL"&amp;"|lw")+COUNTIFS(HLTV_Long!$A$2:$A$443,$A6&amp;"|B|"&amp;"ALL"&amp;"|wl")),"")))</f>
        <v>6.645</v>
      </c>
      <c r="AR6" s="17" t="n">
        <f aca="false">IF($X6="","",IFERROR((SUMIFS(HLTV_Long!$B$2:$B$443,HLTV_Long!$A$2:$A$443,$A6&amp;"|B|"&amp;$X6&amp;"|lw")+SUMIFS(HLTV_Long!$B$2:$B$443,HLTV_Long!$A$2:$A$443,$A6&amp;"|A|"&amp;$X6&amp;"|wl"))/(COUNTIFS(HLTV_Long!$A$2:$A$443,$A6&amp;"|B|"&amp;$X6&amp;"|lw")+COUNTIFS(HLTV_Long!$A$2:$A$443,$A6&amp;"|A|"&amp;$X6&amp;"|wl")),IFERROR((SUMIFS(HLTV_Long!$B$2:$B$443,HLTV_Long!$A$2:$A$443,$A6&amp;"|B|"&amp;"ALL"&amp;"|lw")+SUMIFS(HLTV_Long!$B$2:$B$443,HLTV_Long!$A$2:$A$443,$A6&amp;"|A|"&amp;"ALL"&amp;"|wl"))/(COUNTIFS(HLTV_Long!$A$2:$A$443,$A6&amp;"|B|"&amp;"ALL"&amp;"|lw")+COUNTIFS(HLTV_Long!$A$2:$A$443,$A6&amp;"|A|"&amp;"ALL"&amp;"|wl")),"")))</f>
        <v>8.32</v>
      </c>
      <c r="AS6" s="9" t="n">
        <f aca="false">IF($X6="","",COUNTIFS(HLTV_Long!$A$2:$A$443,$A6&amp;"|A|"&amp;$X6&amp;"|lw")+COUNTIFS(HLTV_Long!$A$2:$A$443,$A6&amp;"|B|"&amp;$X6&amp;"|wl")+COUNTIFS(HLTV_Long!$A$2:$A$443,$A6&amp;"|B|"&amp;$X6&amp;"|lw")+COUNTIFS(HLTV_Long!$A$2:$A$443,$A6&amp;"|A|"&amp;$X6&amp;"|wl"))</f>
        <v>4</v>
      </c>
      <c r="AT6" s="17" t="n">
        <f aca="false">IF(OR($AQ6="",$AR6="",$AG6=""),"",13+$AG6*$AQ6+(1-$AG6)*$AR6)</f>
        <v>20.41952</v>
      </c>
      <c r="AU6" s="17" t="n">
        <f aca="false">IF($AT6="","",$AG6*(13-$AQ6)-(1-$AG6)*(13-$AR6))</f>
        <v>1.252416</v>
      </c>
      <c r="AV6" s="10" t="n">
        <f aca="false">IF($AT6="","",($AG6*13+(1-$AG6)*$AR6)/$AT6)</f>
        <v>0.530667126357525</v>
      </c>
      <c r="AW6" s="17" t="n">
        <f aca="false">IF($Y6="","",IFERROR((SUMIFS(HLTV_Long!$B$2:$B$443,HLTV_Long!$A$2:$A$443,$A6&amp;"|A|"&amp;$Y6&amp;"|lw")+SUMIFS(HLTV_Long!$B$2:$B$443,HLTV_Long!$A$2:$A$443,$A6&amp;"|B|"&amp;$Y6&amp;"|wl"))/(COUNTIFS(HLTV_Long!$A$2:$A$443,$A6&amp;"|A|"&amp;$Y6&amp;"|lw")+COUNTIFS(HLTV_Long!$A$2:$A$443,$A6&amp;"|B|"&amp;$Y6&amp;"|wl")),IFERROR((SUMIFS(HLTV_Long!$B$2:$B$443,HLTV_Long!$A$2:$A$443,$A6&amp;"|A|"&amp;"ALL"&amp;"|lw")+SUMIFS(HLTV_Long!$B$2:$B$443,HLTV_Long!$A$2:$A$443,$A6&amp;"|B|"&amp;"ALL"&amp;"|wl"))/(COUNTIFS(HLTV_Long!$A$2:$A$443,$A6&amp;"|A|"&amp;"ALL"&amp;"|lw")+COUNTIFS(HLTV_Long!$A$2:$A$443,$A6&amp;"|B|"&amp;"ALL"&amp;"|wl")),"")))</f>
        <v>7.715</v>
      </c>
      <c r="AX6" s="17" t="n">
        <f aca="false">IF($Y6="","",IFERROR((SUMIFS(HLTV_Long!$B$2:$B$443,HLTV_Long!$A$2:$A$443,$A6&amp;"|B|"&amp;$Y6&amp;"|lw")+SUMIFS(HLTV_Long!$B$2:$B$443,HLTV_Long!$A$2:$A$443,$A6&amp;"|A|"&amp;$Y6&amp;"|wl"))/(COUNTIFS(HLTV_Long!$A$2:$A$443,$A6&amp;"|B|"&amp;$Y6&amp;"|lw")+COUNTIFS(HLTV_Long!$A$2:$A$443,$A6&amp;"|A|"&amp;$Y6&amp;"|wl")),IFERROR((SUMIFS(HLTV_Long!$B$2:$B$443,HLTV_Long!$A$2:$A$443,$A6&amp;"|B|"&amp;"ALL"&amp;"|lw")+SUMIFS(HLTV_Long!$B$2:$B$443,HLTV_Long!$A$2:$A$443,$A6&amp;"|A|"&amp;"ALL"&amp;"|wl"))/(COUNTIFS(HLTV_Long!$A$2:$A$443,$A6&amp;"|B|"&amp;"ALL"&amp;"|lw")+COUNTIFS(HLTV_Long!$A$2:$A$443,$A6&amp;"|A|"&amp;"ALL"&amp;"|wl")),"")))</f>
        <v>8.855</v>
      </c>
      <c r="AY6" s="9" t="n">
        <f aca="false">IF($Y6="","",COUNTIFS(HLTV_Long!$A$2:$A$443,$A6&amp;"|A|"&amp;$Y6&amp;"|lw")+COUNTIFS(HLTV_Long!$A$2:$A$443,$A6&amp;"|B|"&amp;$Y6&amp;"|wl")+COUNTIFS(HLTV_Long!$A$2:$A$443,$A6&amp;"|B|"&amp;$Y6&amp;"|lw")+COUNTIFS(HLTV_Long!$A$2:$A$443,$A6&amp;"|A|"&amp;$Y6&amp;"|wl"))</f>
        <v>4</v>
      </c>
      <c r="AZ6" s="17" t="n">
        <f aca="false">IF(OR($AW6="",$AX6="",$AH6=""),"",13+$AH6*$AW6+(1-$AH6)*$AX6)</f>
        <v>21.242136</v>
      </c>
      <c r="BA6" s="17" t="n">
        <f aca="false">IF($AZ6="","",$AH6*(13-$AW6)-(1-$AH6)*(13-$AX6))</f>
        <v>0.924568</v>
      </c>
      <c r="BB6" s="10" t="n">
        <f aca="false">IF($AZ6="","",($AH6*13+(1-$AH6)*$AX6)/$AZ6)</f>
        <v>0.521762594872757</v>
      </c>
    </row>
    <row r="7" customFormat="false" ht="15" hidden="false" customHeight="false" outlineLevel="0" collapsed="false">
      <c r="A7" s="0" t="s">
        <v>1154</v>
      </c>
      <c r="B7" s="0" t="s">
        <v>1139</v>
      </c>
      <c r="C7" s="0" t="s">
        <v>1155</v>
      </c>
      <c r="D7" s="0" t="n">
        <v>3</v>
      </c>
      <c r="E7" s="0" t="s">
        <v>303</v>
      </c>
      <c r="F7" s="0" t="s">
        <v>304</v>
      </c>
      <c r="G7" s="10" t="n">
        <v>0.44</v>
      </c>
      <c r="H7" s="10" t="n">
        <v>0.211762809784158</v>
      </c>
      <c r="I7" s="10" t="n">
        <v>0.292086634185046</v>
      </c>
      <c r="J7" s="10" t="n">
        <v>0.496150556030796</v>
      </c>
      <c r="K7" s="9" t="s">
        <v>1156</v>
      </c>
      <c r="L7" s="9" t="s">
        <v>1157</v>
      </c>
      <c r="M7" s="9" t="s">
        <v>1158</v>
      </c>
      <c r="N7" s="9" t="s">
        <v>1144</v>
      </c>
      <c r="O7" s="11" t="n">
        <v>21.5</v>
      </c>
      <c r="P7" s="11" t="n">
        <v>21.4231536926148</v>
      </c>
      <c r="Q7" s="11" t="n">
        <v>21.5</v>
      </c>
      <c r="R7" s="10" t="n">
        <v>0.159420289855073</v>
      </c>
      <c r="S7" s="11" t="n">
        <v>-0.404170090386196</v>
      </c>
      <c r="T7" s="11"/>
      <c r="U7" s="11"/>
      <c r="V7" s="0" t="n">
        <v>228</v>
      </c>
      <c r="W7" s="14" t="s">
        <v>129</v>
      </c>
      <c r="X7" s="14" t="s">
        <v>81</v>
      </c>
      <c r="Y7" s="14" t="s">
        <v>108</v>
      </c>
      <c r="Z7" s="15" t="n">
        <v>21.5</v>
      </c>
      <c r="AA7" s="15" t="n">
        <v>21.42</v>
      </c>
      <c r="AB7" s="15" t="n">
        <v>21.5</v>
      </c>
      <c r="AC7" s="16" t="n">
        <v>0.4962</v>
      </c>
      <c r="AD7" s="9" t="s">
        <v>1159</v>
      </c>
      <c r="AE7" s="9" t="s">
        <v>1160</v>
      </c>
      <c r="AF7" s="10" t="n">
        <v>0.5</v>
      </c>
      <c r="AG7" s="10" t="n">
        <v>0.418</v>
      </c>
      <c r="AH7" s="10" t="n">
        <v>0.4624</v>
      </c>
      <c r="AI7" s="10" t="n">
        <f aca="false">IFERROR(INDEX(HLTV_Teams!$N$2:$N$35,MATCH($A7&amp;"|A",HLTV_Teams!$A$2:$A$35,0)),"")</f>
        <v>0.516823308322326</v>
      </c>
      <c r="AJ7" s="10" t="n">
        <f aca="false">IFERROR(INDEX(HLTV_Teams!$N$2:$N$35,MATCH($A7&amp;"|B",HLTV_Teams!$A$2:$A$35,0)),"")</f>
        <v>0.508391750778091</v>
      </c>
      <c r="AK7" s="17" t="n">
        <f aca="false">IF($W7="","",IFERROR((SUMIFS(HLTV_Long!$B$2:$B$443,HLTV_Long!$A$2:$A$443,$A7&amp;"|A|"&amp;$W7&amp;"|lw")+SUMIFS(HLTV_Long!$B$2:$B$443,HLTV_Long!$A$2:$A$443,$A7&amp;"|B|"&amp;$W7&amp;"|wl"))/(COUNTIFS(HLTV_Long!$A$2:$A$443,$A7&amp;"|A|"&amp;$W7&amp;"|lw")+COUNTIFS(HLTV_Long!$A$2:$A$443,$A7&amp;"|B|"&amp;$W7&amp;"|wl")),IFERROR((SUMIFS(HLTV_Long!$B$2:$B$443,HLTV_Long!$A$2:$A$443,$A7&amp;"|A|"&amp;"ALL"&amp;"|lw")+SUMIFS(HLTV_Long!$B$2:$B$443,HLTV_Long!$A$2:$A$443,$A7&amp;"|B|"&amp;"ALL"&amp;"|wl"))/(COUNTIFS(HLTV_Long!$A$2:$A$443,$A7&amp;"|A|"&amp;"ALL"&amp;"|lw")+COUNTIFS(HLTV_Long!$A$2:$A$443,$A7&amp;"|B|"&amp;"ALL"&amp;"|wl")),"")))</f>
        <v>8.81</v>
      </c>
      <c r="AL7" s="17" t="n">
        <f aca="false">IF($W7="","",IFERROR((SUMIFS(HLTV_Long!$B$2:$B$443,HLTV_Long!$A$2:$A$443,$A7&amp;"|B|"&amp;$W7&amp;"|lw")+SUMIFS(HLTV_Long!$B$2:$B$443,HLTV_Long!$A$2:$A$443,$A7&amp;"|A|"&amp;$W7&amp;"|wl"))/(COUNTIFS(HLTV_Long!$A$2:$A$443,$A7&amp;"|B|"&amp;$W7&amp;"|lw")+COUNTIFS(HLTV_Long!$A$2:$A$443,$A7&amp;"|A|"&amp;$W7&amp;"|wl")),IFERROR((SUMIFS(HLTV_Long!$B$2:$B$443,HLTV_Long!$A$2:$A$443,$A7&amp;"|B|"&amp;"ALL"&amp;"|lw")+SUMIFS(HLTV_Long!$B$2:$B$443,HLTV_Long!$A$2:$A$443,$A7&amp;"|A|"&amp;"ALL"&amp;"|wl"))/(COUNTIFS(HLTV_Long!$A$2:$A$443,$A7&amp;"|B|"&amp;"ALL"&amp;"|lw")+COUNTIFS(HLTV_Long!$A$2:$A$443,$A7&amp;"|A|"&amp;"ALL"&amp;"|wl")),"")))</f>
        <v>8.555</v>
      </c>
      <c r="AM7" s="9" t="n">
        <f aca="false">IF($W7="","",COUNTIFS(HLTV_Long!$A$2:$A$443,$A7&amp;"|A|"&amp;$W7&amp;"|lw")+COUNTIFS(HLTV_Long!$A$2:$A$443,$A7&amp;"|B|"&amp;$W7&amp;"|wl")+COUNTIFS(HLTV_Long!$A$2:$A$443,$A7&amp;"|B|"&amp;$W7&amp;"|lw")+COUNTIFS(HLTV_Long!$A$2:$A$443,$A7&amp;"|A|"&amp;$W7&amp;"|wl"))</f>
        <v>4</v>
      </c>
      <c r="AN7" s="17" t="n">
        <f aca="false">IF(OR($AK7="",$AL7="",$AF7=""),"",13+$AF7*$AK7+(1-$AF7)*$AL7)</f>
        <v>21.6825</v>
      </c>
      <c r="AO7" s="17" t="n">
        <f aca="false">IF($AN7="","",$AF7*(13-$AK7)-(1-$AF7)*(13-$AL7))</f>
        <v>-0.1275</v>
      </c>
      <c r="AP7" s="10" t="n">
        <f aca="false">IF($AN7="","",($AF7*13+(1-$AF7)*$AL7)/$AN7)</f>
        <v>0.497059840885507</v>
      </c>
      <c r="AQ7" s="17" t="n">
        <f aca="false">IF($X7="","",IFERROR((SUMIFS(HLTV_Long!$B$2:$B$443,HLTV_Long!$A$2:$A$443,$A7&amp;"|A|"&amp;$X7&amp;"|lw")+SUMIFS(HLTV_Long!$B$2:$B$443,HLTV_Long!$A$2:$A$443,$A7&amp;"|B|"&amp;$X7&amp;"|wl"))/(COUNTIFS(HLTV_Long!$A$2:$A$443,$A7&amp;"|A|"&amp;$X7&amp;"|lw")+COUNTIFS(HLTV_Long!$A$2:$A$443,$A7&amp;"|B|"&amp;$X7&amp;"|wl")),IFERROR((SUMIFS(HLTV_Long!$B$2:$B$443,HLTV_Long!$A$2:$A$443,$A7&amp;"|A|"&amp;"ALL"&amp;"|lw")+SUMIFS(HLTV_Long!$B$2:$B$443,HLTV_Long!$A$2:$A$443,$A7&amp;"|B|"&amp;"ALL"&amp;"|wl"))/(COUNTIFS(HLTV_Long!$A$2:$A$443,$A7&amp;"|A|"&amp;"ALL"&amp;"|lw")+COUNTIFS(HLTV_Long!$A$2:$A$443,$A7&amp;"|B|"&amp;"ALL"&amp;"|wl")),"")))</f>
        <v>9.335</v>
      </c>
      <c r="AR7" s="17" t="n">
        <f aca="false">IF($X7="","",IFERROR((SUMIFS(HLTV_Long!$B$2:$B$443,HLTV_Long!$A$2:$A$443,$A7&amp;"|B|"&amp;$X7&amp;"|lw")+SUMIFS(HLTV_Long!$B$2:$B$443,HLTV_Long!$A$2:$A$443,$A7&amp;"|A|"&amp;$X7&amp;"|wl"))/(COUNTIFS(HLTV_Long!$A$2:$A$443,$A7&amp;"|B|"&amp;$X7&amp;"|lw")+COUNTIFS(HLTV_Long!$A$2:$A$443,$A7&amp;"|A|"&amp;$X7&amp;"|wl")),IFERROR((SUMIFS(HLTV_Long!$B$2:$B$443,HLTV_Long!$A$2:$A$443,$A7&amp;"|B|"&amp;"ALL"&amp;"|lw")+SUMIFS(HLTV_Long!$B$2:$B$443,HLTV_Long!$A$2:$A$443,$A7&amp;"|A|"&amp;"ALL"&amp;"|wl"))/(COUNTIFS(HLTV_Long!$A$2:$A$443,$A7&amp;"|B|"&amp;"ALL"&amp;"|lw")+COUNTIFS(HLTV_Long!$A$2:$A$443,$A7&amp;"|A|"&amp;"ALL"&amp;"|wl")),"")))</f>
        <v>8.665</v>
      </c>
      <c r="AS7" s="9" t="n">
        <f aca="false">IF($X7="","",COUNTIFS(HLTV_Long!$A$2:$A$443,$A7&amp;"|A|"&amp;$X7&amp;"|lw")+COUNTIFS(HLTV_Long!$A$2:$A$443,$A7&amp;"|B|"&amp;$X7&amp;"|wl")+COUNTIFS(HLTV_Long!$A$2:$A$443,$A7&amp;"|B|"&amp;$X7&amp;"|lw")+COUNTIFS(HLTV_Long!$A$2:$A$443,$A7&amp;"|A|"&amp;$X7&amp;"|wl"))</f>
        <v>4</v>
      </c>
      <c r="AT7" s="17" t="n">
        <f aca="false">IF(OR($AQ7="",$AR7="",$AG7=""),"",13+$AG7*$AQ7+(1-$AG7)*$AR7)</f>
        <v>21.94506</v>
      </c>
      <c r="AU7" s="17" t="n">
        <f aca="false">IF($AT7="","",$AG7*(13-$AQ7)-(1-$AG7)*(13-$AR7))</f>
        <v>-0.991000000000001</v>
      </c>
      <c r="AV7" s="10" t="n">
        <f aca="false">IF($AT7="","",($AG7*13+(1-$AG7)*$AR7)/$AT7)</f>
        <v>0.477420886522981</v>
      </c>
      <c r="AW7" s="17" t="n">
        <f aca="false">IF($Y7="","",IFERROR((SUMIFS(HLTV_Long!$B$2:$B$443,HLTV_Long!$A$2:$A$443,$A7&amp;"|A|"&amp;$Y7&amp;"|lw")+SUMIFS(HLTV_Long!$B$2:$B$443,HLTV_Long!$A$2:$A$443,$A7&amp;"|B|"&amp;$Y7&amp;"|wl"))/(COUNTIFS(HLTV_Long!$A$2:$A$443,$A7&amp;"|A|"&amp;$Y7&amp;"|lw")+COUNTIFS(HLTV_Long!$A$2:$A$443,$A7&amp;"|B|"&amp;$Y7&amp;"|wl")),IFERROR((SUMIFS(HLTV_Long!$B$2:$B$443,HLTV_Long!$A$2:$A$443,$A7&amp;"|A|"&amp;"ALL"&amp;"|lw")+SUMIFS(HLTV_Long!$B$2:$B$443,HLTV_Long!$A$2:$A$443,$A7&amp;"|B|"&amp;"ALL"&amp;"|wl"))/(COUNTIFS(HLTV_Long!$A$2:$A$443,$A7&amp;"|A|"&amp;"ALL"&amp;"|lw")+COUNTIFS(HLTV_Long!$A$2:$A$443,$A7&amp;"|B|"&amp;"ALL"&amp;"|wl")),"")))</f>
        <v>8.55</v>
      </c>
      <c r="AX7" s="17" t="n">
        <f aca="false">IF($Y7="","",IFERROR((SUMIFS(HLTV_Long!$B$2:$B$443,HLTV_Long!$A$2:$A$443,$A7&amp;"|B|"&amp;$Y7&amp;"|lw")+SUMIFS(HLTV_Long!$B$2:$B$443,HLTV_Long!$A$2:$A$443,$A7&amp;"|A|"&amp;$Y7&amp;"|wl"))/(COUNTIFS(HLTV_Long!$A$2:$A$443,$A7&amp;"|B|"&amp;$Y7&amp;"|lw")+COUNTIFS(HLTV_Long!$A$2:$A$443,$A7&amp;"|A|"&amp;$Y7&amp;"|wl")),IFERROR((SUMIFS(HLTV_Long!$B$2:$B$443,HLTV_Long!$A$2:$A$443,$A7&amp;"|B|"&amp;"ALL"&amp;"|lw")+SUMIFS(HLTV_Long!$B$2:$B$443,HLTV_Long!$A$2:$A$443,$A7&amp;"|A|"&amp;"ALL"&amp;"|wl"))/(COUNTIFS(HLTV_Long!$A$2:$A$443,$A7&amp;"|B|"&amp;"ALL"&amp;"|lw")+COUNTIFS(HLTV_Long!$A$2:$A$443,$A7&amp;"|A|"&amp;"ALL"&amp;"|wl")),"")))</f>
        <v>8.745</v>
      </c>
      <c r="AY7" s="9" t="n">
        <f aca="false">IF($Y7="","",COUNTIFS(HLTV_Long!$A$2:$A$443,$A7&amp;"|A|"&amp;$Y7&amp;"|lw")+COUNTIFS(HLTV_Long!$A$2:$A$443,$A7&amp;"|B|"&amp;$Y7&amp;"|wl")+COUNTIFS(HLTV_Long!$A$2:$A$443,$A7&amp;"|B|"&amp;$Y7&amp;"|lw")+COUNTIFS(HLTV_Long!$A$2:$A$443,$A7&amp;"|A|"&amp;$Y7&amp;"|wl"))</f>
        <v>4</v>
      </c>
      <c r="AZ7" s="17" t="n">
        <f aca="false">IF(OR($AW7="",$AX7="",$AH7=""),"",13+$AH7*$AW7+(1-$AH7)*$AX7)</f>
        <v>21.654832</v>
      </c>
      <c r="BA7" s="17" t="n">
        <f aca="false">IF($AZ7="","",$AH7*(13-$AW7)-(1-$AH7)*(13-$AX7))</f>
        <v>-0.229808</v>
      </c>
      <c r="BB7" s="10" t="n">
        <f aca="false">IF($AZ7="","",($AH7*13+(1-$AH7)*$AX7)/$AZ7)</f>
        <v>0.494693840155398</v>
      </c>
    </row>
    <row r="8" customFormat="false" ht="15" hidden="false" customHeight="false" outlineLevel="0" collapsed="false">
      <c r="A8" s="0" t="s">
        <v>1161</v>
      </c>
      <c r="B8" s="0" t="s">
        <v>1139</v>
      </c>
      <c r="C8" s="0" t="s">
        <v>1155</v>
      </c>
      <c r="D8" s="0" t="n">
        <v>3</v>
      </c>
      <c r="E8" s="0" t="s">
        <v>381</v>
      </c>
      <c r="F8" s="0" t="s">
        <v>382</v>
      </c>
      <c r="G8" s="10" t="n">
        <v>0.711111111111111</v>
      </c>
      <c r="H8" s="10" t="n">
        <v>0.403637375893106</v>
      </c>
      <c r="I8" s="10" t="n">
        <v>0.134545791964369</v>
      </c>
      <c r="J8" s="10" t="n">
        <v>0.461816832142526</v>
      </c>
      <c r="K8" s="9" t="s">
        <v>1162</v>
      </c>
      <c r="L8" s="9" t="s">
        <v>1163</v>
      </c>
      <c r="M8" s="9" t="s">
        <v>1164</v>
      </c>
      <c r="N8" s="9" t="s">
        <v>1144</v>
      </c>
      <c r="O8" s="11" t="n">
        <v>21.3585329341317</v>
      </c>
      <c r="P8" s="11" t="n">
        <v>21.1145374449339</v>
      </c>
      <c r="Q8" s="11" t="n">
        <v>21.2222836095764</v>
      </c>
      <c r="R8" s="10" t="n">
        <v>0.146341463414634</v>
      </c>
      <c r="S8" s="11" t="n">
        <v>2.73972602739726</v>
      </c>
      <c r="T8" s="11"/>
      <c r="U8" s="11" t="n">
        <v>10.7141216991963</v>
      </c>
      <c r="V8" s="0" t="n">
        <v>515</v>
      </c>
      <c r="W8" s="14" t="s">
        <v>95</v>
      </c>
      <c r="X8" s="14" t="s">
        <v>108</v>
      </c>
      <c r="Y8" s="14" t="s">
        <v>139</v>
      </c>
      <c r="Z8" s="15" t="n">
        <v>21.36</v>
      </c>
      <c r="AA8" s="15" t="n">
        <v>21.11</v>
      </c>
      <c r="AB8" s="15" t="n">
        <v>21.22</v>
      </c>
      <c r="AC8" s="16" t="n">
        <v>0.4618</v>
      </c>
      <c r="AD8" s="9" t="s">
        <v>1165</v>
      </c>
      <c r="AE8" s="9" t="s">
        <v>1166</v>
      </c>
      <c r="AF8" s="10" t="n">
        <v>0.6154</v>
      </c>
      <c r="AG8" s="10" t="n">
        <v>0.6699</v>
      </c>
      <c r="AH8" s="10" t="n">
        <v>0.6553</v>
      </c>
      <c r="AI8" s="10" t="n">
        <f aca="false">IFERROR(INDEX(HLTV_Teams!$N$2:$N$35,MATCH($A8&amp;"|A",HLTV_Teams!$A$2:$A$35,0)),"")</f>
        <v>0.565385656893724</v>
      </c>
      <c r="AJ8" s="10" t="n">
        <f aca="false">IFERROR(INDEX(HLTV_Teams!$N$2:$N$35,MATCH($A8&amp;"|B",HLTV_Teams!$A$2:$A$35,0)),"")</f>
        <v>0.487018140566789</v>
      </c>
      <c r="AK8" s="17" t="n">
        <f aca="false">IF($W8="","",IFERROR((SUMIFS(HLTV_Long!$B$2:$B$443,HLTV_Long!$A$2:$A$443,$A8&amp;"|A|"&amp;$W8&amp;"|lw")+SUMIFS(HLTV_Long!$B$2:$B$443,HLTV_Long!$A$2:$A$443,$A8&amp;"|B|"&amp;$W8&amp;"|wl"))/(COUNTIFS(HLTV_Long!$A$2:$A$443,$A8&amp;"|A|"&amp;$W8&amp;"|lw")+COUNTIFS(HLTV_Long!$A$2:$A$443,$A8&amp;"|B|"&amp;$W8&amp;"|wl")),IFERROR((SUMIFS(HLTV_Long!$B$2:$B$443,HLTV_Long!$A$2:$A$443,$A8&amp;"|A|"&amp;"ALL"&amp;"|lw")+SUMIFS(HLTV_Long!$B$2:$B$443,HLTV_Long!$A$2:$A$443,$A8&amp;"|B|"&amp;"ALL"&amp;"|wl"))/(COUNTIFS(HLTV_Long!$A$2:$A$443,$A8&amp;"|A|"&amp;"ALL"&amp;"|lw")+COUNTIFS(HLTV_Long!$A$2:$A$443,$A8&amp;"|B|"&amp;"ALL"&amp;"|wl")),"")))</f>
        <v>7.875</v>
      </c>
      <c r="AL8" s="17" t="n">
        <f aca="false">IF($W8="","",IFERROR((SUMIFS(HLTV_Long!$B$2:$B$443,HLTV_Long!$A$2:$A$443,$A8&amp;"|B|"&amp;$W8&amp;"|lw")+SUMIFS(HLTV_Long!$B$2:$B$443,HLTV_Long!$A$2:$A$443,$A8&amp;"|A|"&amp;$W8&amp;"|wl"))/(COUNTIFS(HLTV_Long!$A$2:$A$443,$A8&amp;"|B|"&amp;$W8&amp;"|lw")+COUNTIFS(HLTV_Long!$A$2:$A$443,$A8&amp;"|A|"&amp;$W8&amp;"|wl")),IFERROR((SUMIFS(HLTV_Long!$B$2:$B$443,HLTV_Long!$A$2:$A$443,$A8&amp;"|B|"&amp;"ALL"&amp;"|lw")+SUMIFS(HLTV_Long!$B$2:$B$443,HLTV_Long!$A$2:$A$443,$A8&amp;"|A|"&amp;"ALL"&amp;"|wl"))/(COUNTIFS(HLTV_Long!$A$2:$A$443,$A8&amp;"|B|"&amp;"ALL"&amp;"|lw")+COUNTIFS(HLTV_Long!$A$2:$A$443,$A8&amp;"|A|"&amp;"ALL"&amp;"|wl")),"")))</f>
        <v>10</v>
      </c>
      <c r="AM8" s="9" t="n">
        <f aca="false">IF($W8="","",COUNTIFS(HLTV_Long!$A$2:$A$443,$A8&amp;"|A|"&amp;$W8&amp;"|lw")+COUNTIFS(HLTV_Long!$A$2:$A$443,$A8&amp;"|B|"&amp;$W8&amp;"|wl")+COUNTIFS(HLTV_Long!$A$2:$A$443,$A8&amp;"|B|"&amp;$W8&amp;"|lw")+COUNTIFS(HLTV_Long!$A$2:$A$443,$A8&amp;"|A|"&amp;$W8&amp;"|wl"))</f>
        <v>4</v>
      </c>
      <c r="AN8" s="17" t="n">
        <f aca="false">IF(OR($AK8="",$AL8="",$AF8=""),"",13+$AF8*$AK8+(1-$AF8)*$AL8)</f>
        <v>21.692275</v>
      </c>
      <c r="AO8" s="17" t="n">
        <f aca="false">IF($AN8="","",$AF8*(13-$AK8)-(1-$AF8)*(13-$AL8))</f>
        <v>2.000125</v>
      </c>
      <c r="AP8" s="10" t="n">
        <f aca="false">IF($AN8="","",($AF8*13+(1-$AF8)*$AL8)/$AN8)</f>
        <v>0.546102241466144</v>
      </c>
      <c r="AQ8" s="17" t="n">
        <f aca="false">IF($X8="","",IFERROR((SUMIFS(HLTV_Long!$B$2:$B$443,HLTV_Long!$A$2:$A$443,$A8&amp;"|A|"&amp;$X8&amp;"|lw")+SUMIFS(HLTV_Long!$B$2:$B$443,HLTV_Long!$A$2:$A$443,$A8&amp;"|B|"&amp;$X8&amp;"|wl"))/(COUNTIFS(HLTV_Long!$A$2:$A$443,$A8&amp;"|A|"&amp;$X8&amp;"|lw")+COUNTIFS(HLTV_Long!$A$2:$A$443,$A8&amp;"|B|"&amp;$X8&amp;"|wl")),IFERROR((SUMIFS(HLTV_Long!$B$2:$B$443,HLTV_Long!$A$2:$A$443,$A8&amp;"|A|"&amp;"ALL"&amp;"|lw")+SUMIFS(HLTV_Long!$B$2:$B$443,HLTV_Long!$A$2:$A$443,$A8&amp;"|B|"&amp;"ALL"&amp;"|wl"))/(COUNTIFS(HLTV_Long!$A$2:$A$443,$A8&amp;"|A|"&amp;"ALL"&amp;"|lw")+COUNTIFS(HLTV_Long!$A$2:$A$443,$A8&amp;"|B|"&amp;"ALL"&amp;"|wl")),"")))</f>
        <v>7.725</v>
      </c>
      <c r="AR8" s="17" t="n">
        <f aca="false">IF($X8="","",IFERROR((SUMIFS(HLTV_Long!$B$2:$B$443,HLTV_Long!$A$2:$A$443,$A8&amp;"|B|"&amp;$X8&amp;"|lw")+SUMIFS(HLTV_Long!$B$2:$B$443,HLTV_Long!$A$2:$A$443,$A8&amp;"|A|"&amp;$X8&amp;"|wl"))/(COUNTIFS(HLTV_Long!$A$2:$A$443,$A8&amp;"|B|"&amp;$X8&amp;"|lw")+COUNTIFS(HLTV_Long!$A$2:$A$443,$A8&amp;"|A|"&amp;$X8&amp;"|wl")),IFERROR((SUMIFS(HLTV_Long!$B$2:$B$443,HLTV_Long!$A$2:$A$443,$A8&amp;"|B|"&amp;"ALL"&amp;"|lw")+SUMIFS(HLTV_Long!$B$2:$B$443,HLTV_Long!$A$2:$A$443,$A8&amp;"|A|"&amp;"ALL"&amp;"|wl"))/(COUNTIFS(HLTV_Long!$A$2:$A$443,$A8&amp;"|B|"&amp;"ALL"&amp;"|lw")+COUNTIFS(HLTV_Long!$A$2:$A$443,$A8&amp;"|A|"&amp;"ALL"&amp;"|wl")),"")))</f>
        <v>7.915</v>
      </c>
      <c r="AS8" s="9" t="n">
        <f aca="false">IF($X8="","",COUNTIFS(HLTV_Long!$A$2:$A$443,$A8&amp;"|A|"&amp;$X8&amp;"|lw")+COUNTIFS(HLTV_Long!$A$2:$A$443,$A8&amp;"|B|"&amp;$X8&amp;"|wl")+COUNTIFS(HLTV_Long!$A$2:$A$443,$A8&amp;"|B|"&amp;$X8&amp;"|lw")+COUNTIFS(HLTV_Long!$A$2:$A$443,$A8&amp;"|A|"&amp;$X8&amp;"|wl"))</f>
        <v>4</v>
      </c>
      <c r="AT8" s="17" t="n">
        <f aca="false">IF(OR($AQ8="",$AR8="",$AG8=""),"",13+$AG8*$AQ8+(1-$AG8)*$AR8)</f>
        <v>20.787719</v>
      </c>
      <c r="AU8" s="17" t="n">
        <f aca="false">IF($AT8="","",$AG8*(13-$AQ8)-(1-$AG8)*(13-$AR8))</f>
        <v>1.855164</v>
      </c>
      <c r="AV8" s="10" t="n">
        <f aca="false">IF($AT8="","",($AG8*13+(1-$AG8)*$AR8)/$AT8)</f>
        <v>0.544621634533351</v>
      </c>
      <c r="AW8" s="17" t="n">
        <f aca="false">IF($Y8="","",IFERROR((SUMIFS(HLTV_Long!$B$2:$B$443,HLTV_Long!$A$2:$A$443,$A8&amp;"|A|"&amp;$Y8&amp;"|lw")+SUMIFS(HLTV_Long!$B$2:$B$443,HLTV_Long!$A$2:$A$443,$A8&amp;"|B|"&amp;$Y8&amp;"|wl"))/(COUNTIFS(HLTV_Long!$A$2:$A$443,$A8&amp;"|A|"&amp;$Y8&amp;"|lw")+COUNTIFS(HLTV_Long!$A$2:$A$443,$A8&amp;"|B|"&amp;$Y8&amp;"|wl")),IFERROR((SUMIFS(HLTV_Long!$B$2:$B$443,HLTV_Long!$A$2:$A$443,$A8&amp;"|A|"&amp;"ALL"&amp;"|lw")+SUMIFS(HLTV_Long!$B$2:$B$443,HLTV_Long!$A$2:$A$443,$A8&amp;"|B|"&amp;"ALL"&amp;"|wl"))/(COUNTIFS(HLTV_Long!$A$2:$A$443,$A8&amp;"|A|"&amp;"ALL"&amp;"|lw")+COUNTIFS(HLTV_Long!$A$2:$A$443,$A8&amp;"|B|"&amp;"ALL"&amp;"|wl")),"")))</f>
        <v>6.185</v>
      </c>
      <c r="AX8" s="17" t="n">
        <f aca="false">IF($Y8="","",IFERROR((SUMIFS(HLTV_Long!$B$2:$B$443,HLTV_Long!$A$2:$A$443,$A8&amp;"|B|"&amp;$Y8&amp;"|lw")+SUMIFS(HLTV_Long!$B$2:$B$443,HLTV_Long!$A$2:$A$443,$A8&amp;"|A|"&amp;$Y8&amp;"|wl"))/(COUNTIFS(HLTV_Long!$A$2:$A$443,$A8&amp;"|B|"&amp;$Y8&amp;"|lw")+COUNTIFS(HLTV_Long!$A$2:$A$443,$A8&amp;"|A|"&amp;$Y8&amp;"|wl")),IFERROR((SUMIFS(HLTV_Long!$B$2:$B$443,HLTV_Long!$A$2:$A$443,$A8&amp;"|B|"&amp;"ALL"&amp;"|lw")+SUMIFS(HLTV_Long!$B$2:$B$443,HLTV_Long!$A$2:$A$443,$A8&amp;"|A|"&amp;"ALL"&amp;"|wl"))/(COUNTIFS(HLTV_Long!$A$2:$A$443,$A8&amp;"|B|"&amp;"ALL"&amp;"|lw")+COUNTIFS(HLTV_Long!$A$2:$A$443,$A8&amp;"|A|"&amp;"ALL"&amp;"|wl")),"")))</f>
        <v>8.335</v>
      </c>
      <c r="AY8" s="9" t="n">
        <f aca="false">IF($Y8="","",COUNTIFS(HLTV_Long!$A$2:$A$443,$A8&amp;"|A|"&amp;$Y8&amp;"|lw")+COUNTIFS(HLTV_Long!$A$2:$A$443,$A8&amp;"|B|"&amp;$Y8&amp;"|wl")+COUNTIFS(HLTV_Long!$A$2:$A$443,$A8&amp;"|B|"&amp;$Y8&amp;"|lw")+COUNTIFS(HLTV_Long!$A$2:$A$443,$A8&amp;"|A|"&amp;$Y8&amp;"|wl"))</f>
        <v>4</v>
      </c>
      <c r="AZ8" s="17" t="n">
        <f aca="false">IF(OR($AW8="",$AX8="",$AH8=""),"",13+$AH8*$AW8+(1-$AH8)*$AX8)</f>
        <v>19.926105</v>
      </c>
      <c r="BA8" s="17" t="n">
        <f aca="false">IF($AZ8="","",$AH8*(13-$AW8)-(1-$AH8)*(13-$AX8))</f>
        <v>2.857844</v>
      </c>
      <c r="BB8" s="10" t="n">
        <f aca="false">IF($AZ8="","",($AH8*13+(1-$AH8)*$AX8)/$AZ8)</f>
        <v>0.571711054418312</v>
      </c>
    </row>
    <row r="9" customFormat="false" ht="15" hidden="false" customHeight="false" outlineLevel="0" collapsed="false">
      <c r="A9" s="0" t="s">
        <v>1167</v>
      </c>
      <c r="B9" s="0" t="s">
        <v>1139</v>
      </c>
      <c r="C9" s="0" t="s">
        <v>1168</v>
      </c>
      <c r="D9" s="0" t="n">
        <v>3</v>
      </c>
      <c r="E9" s="0" t="s">
        <v>496</v>
      </c>
      <c r="F9" s="0" t="s">
        <v>497</v>
      </c>
      <c r="G9" s="10" t="n">
        <v>0.615384615384615</v>
      </c>
      <c r="H9" s="10" t="n">
        <v>0.321701906862109</v>
      </c>
      <c r="I9" s="10" t="n">
        <v>0.180957322609937</v>
      </c>
      <c r="J9" s="10" t="n">
        <v>0.497340770527954</v>
      </c>
      <c r="K9" s="9" t="s">
        <v>1169</v>
      </c>
      <c r="L9" s="9" t="s">
        <v>1170</v>
      </c>
      <c r="M9" s="9" t="s">
        <v>1171</v>
      </c>
      <c r="N9" s="9" t="s">
        <v>1144</v>
      </c>
      <c r="O9" s="11" t="n">
        <v>21.4231536926148</v>
      </c>
      <c r="P9" s="11" t="n">
        <v>21.4231536926148</v>
      </c>
      <c r="Q9" s="11" t="n">
        <v>21.4231536926148</v>
      </c>
      <c r="R9" s="10" t="n">
        <v>0.159420289855073</v>
      </c>
      <c r="S9" s="11" t="n">
        <v>2.0998445998446</v>
      </c>
      <c r="T9" s="11"/>
      <c r="U9" s="11" t="n">
        <v>11.3594927172275</v>
      </c>
      <c r="V9" s="0" t="n">
        <v>228</v>
      </c>
      <c r="W9" s="14" t="s">
        <v>81</v>
      </c>
      <c r="X9" s="14" t="s">
        <v>145</v>
      </c>
      <c r="Y9" s="14" t="s">
        <v>95</v>
      </c>
      <c r="Z9" s="15" t="n">
        <v>21.42</v>
      </c>
      <c r="AA9" s="15" t="n">
        <v>21.42</v>
      </c>
      <c r="AB9" s="15" t="n">
        <v>21.42</v>
      </c>
      <c r="AC9" s="16" t="n">
        <v>0.4973</v>
      </c>
      <c r="AD9" s="9" t="s">
        <v>1172</v>
      </c>
      <c r="AE9" s="9" t="s">
        <v>1173</v>
      </c>
      <c r="AF9" s="10" t="n">
        <v>0.5703</v>
      </c>
      <c r="AG9" s="10" t="n">
        <v>0.5703</v>
      </c>
      <c r="AH9" s="10" t="n">
        <v>0.5703</v>
      </c>
      <c r="AI9" s="10" t="n">
        <f aca="false">IFERROR(INDEX(HLTV_Teams!$N$2:$N$35,MATCH($A9&amp;"|A",HLTV_Teams!$A$2:$A$35,0)),"")</f>
        <v>0.526796410440476</v>
      </c>
      <c r="AJ9" s="10" t="n">
        <f aca="false">IFERROR(INDEX(HLTV_Teams!$N$2:$N$35,MATCH($A9&amp;"|B",HLTV_Teams!$A$2:$A$35,0)),"")</f>
        <v>0.506806032567718</v>
      </c>
      <c r="AK9" s="17" t="n">
        <f aca="false">IF($W9="","",IFERROR((SUMIFS(HLTV_Long!$B$2:$B$443,HLTV_Long!$A$2:$A$443,$A9&amp;"|A|"&amp;$W9&amp;"|lw")+SUMIFS(HLTV_Long!$B$2:$B$443,HLTV_Long!$A$2:$A$443,$A9&amp;"|B|"&amp;$W9&amp;"|wl"))/(COUNTIFS(HLTV_Long!$A$2:$A$443,$A9&amp;"|A|"&amp;$W9&amp;"|lw")+COUNTIFS(HLTV_Long!$A$2:$A$443,$A9&amp;"|B|"&amp;$W9&amp;"|wl")),IFERROR((SUMIFS(HLTV_Long!$B$2:$B$443,HLTV_Long!$A$2:$A$443,$A9&amp;"|A|"&amp;"ALL"&amp;"|lw")+SUMIFS(HLTV_Long!$B$2:$B$443,HLTV_Long!$A$2:$A$443,$A9&amp;"|B|"&amp;"ALL"&amp;"|wl"))/(COUNTIFS(HLTV_Long!$A$2:$A$443,$A9&amp;"|A|"&amp;"ALL"&amp;"|lw")+COUNTIFS(HLTV_Long!$A$2:$A$443,$A9&amp;"|B|"&amp;"ALL"&amp;"|wl")),"")))</f>
        <v>8.625</v>
      </c>
      <c r="AL9" s="17" t="n">
        <f aca="false">IF($W9="","",IFERROR((SUMIFS(HLTV_Long!$B$2:$B$443,HLTV_Long!$A$2:$A$443,$A9&amp;"|B|"&amp;$W9&amp;"|lw")+SUMIFS(HLTV_Long!$B$2:$B$443,HLTV_Long!$A$2:$A$443,$A9&amp;"|A|"&amp;$W9&amp;"|wl"))/(COUNTIFS(HLTV_Long!$A$2:$A$443,$A9&amp;"|B|"&amp;$W9&amp;"|lw")+COUNTIFS(HLTV_Long!$A$2:$A$443,$A9&amp;"|A|"&amp;$W9&amp;"|wl")),IFERROR((SUMIFS(HLTV_Long!$B$2:$B$443,HLTV_Long!$A$2:$A$443,$A9&amp;"|B|"&amp;"ALL"&amp;"|lw")+SUMIFS(HLTV_Long!$B$2:$B$443,HLTV_Long!$A$2:$A$443,$A9&amp;"|A|"&amp;"ALL"&amp;"|wl"))/(COUNTIFS(HLTV_Long!$A$2:$A$443,$A9&amp;"|B|"&amp;"ALL"&amp;"|lw")+COUNTIFS(HLTV_Long!$A$2:$A$443,$A9&amp;"|A|"&amp;"ALL"&amp;"|wl")),"")))</f>
        <v>9.5</v>
      </c>
      <c r="AM9" s="9" t="n">
        <f aca="false">IF($W9="","",COUNTIFS(HLTV_Long!$A$2:$A$443,$A9&amp;"|A|"&amp;$W9&amp;"|lw")+COUNTIFS(HLTV_Long!$A$2:$A$443,$A9&amp;"|B|"&amp;$W9&amp;"|wl")+COUNTIFS(HLTV_Long!$A$2:$A$443,$A9&amp;"|B|"&amp;$W9&amp;"|lw")+COUNTIFS(HLTV_Long!$A$2:$A$443,$A9&amp;"|A|"&amp;$W9&amp;"|wl"))</f>
        <v>4</v>
      </c>
      <c r="AN9" s="17" t="n">
        <f aca="false">IF(OR($AK9="",$AL9="",$AF9=""),"",13+$AF9*$AK9+(1-$AF9)*$AL9)</f>
        <v>22.0009875</v>
      </c>
      <c r="AO9" s="17" t="n">
        <f aca="false">IF($AN9="","",$AF9*(13-$AK9)-(1-$AF9)*(13-$AL9))</f>
        <v>0.9911125</v>
      </c>
      <c r="AP9" s="10" t="n">
        <f aca="false">IF($AN9="","",($AF9*13+(1-$AF9)*$AL9)/$AN9)</f>
        <v>0.522524273058198</v>
      </c>
      <c r="AQ9" s="17" t="n">
        <f aca="false">IF($X9="","",IFERROR((SUMIFS(HLTV_Long!$B$2:$B$443,HLTV_Long!$A$2:$A$443,$A9&amp;"|A|"&amp;$X9&amp;"|lw")+SUMIFS(HLTV_Long!$B$2:$B$443,HLTV_Long!$A$2:$A$443,$A9&amp;"|B|"&amp;$X9&amp;"|wl"))/(COUNTIFS(HLTV_Long!$A$2:$A$443,$A9&amp;"|A|"&amp;$X9&amp;"|lw")+COUNTIFS(HLTV_Long!$A$2:$A$443,$A9&amp;"|B|"&amp;$X9&amp;"|wl")),IFERROR((SUMIFS(HLTV_Long!$B$2:$B$443,HLTV_Long!$A$2:$A$443,$A9&amp;"|A|"&amp;"ALL"&amp;"|lw")+SUMIFS(HLTV_Long!$B$2:$B$443,HLTV_Long!$A$2:$A$443,$A9&amp;"|B|"&amp;"ALL"&amp;"|wl"))/(COUNTIFS(HLTV_Long!$A$2:$A$443,$A9&amp;"|A|"&amp;"ALL"&amp;"|lw")+COUNTIFS(HLTV_Long!$A$2:$A$443,$A9&amp;"|B|"&amp;"ALL"&amp;"|wl")),"")))</f>
        <v>8.07</v>
      </c>
      <c r="AR9" s="17" t="n">
        <f aca="false">IF($X9="","",IFERROR((SUMIFS(HLTV_Long!$B$2:$B$443,HLTV_Long!$A$2:$A$443,$A9&amp;"|B|"&amp;$X9&amp;"|lw")+SUMIFS(HLTV_Long!$B$2:$B$443,HLTV_Long!$A$2:$A$443,$A9&amp;"|A|"&amp;$X9&amp;"|wl"))/(COUNTIFS(HLTV_Long!$A$2:$A$443,$A9&amp;"|B|"&amp;$X9&amp;"|lw")+COUNTIFS(HLTV_Long!$A$2:$A$443,$A9&amp;"|A|"&amp;$X9&amp;"|wl")),IFERROR((SUMIFS(HLTV_Long!$B$2:$B$443,HLTV_Long!$A$2:$A$443,$A9&amp;"|B|"&amp;"ALL"&amp;"|lw")+SUMIFS(HLTV_Long!$B$2:$B$443,HLTV_Long!$A$2:$A$443,$A9&amp;"|A|"&amp;"ALL"&amp;"|wl"))/(COUNTIFS(HLTV_Long!$A$2:$A$443,$A9&amp;"|B|"&amp;"ALL"&amp;"|lw")+COUNTIFS(HLTV_Long!$A$2:$A$443,$A9&amp;"|A|"&amp;"ALL"&amp;"|wl")),"")))</f>
        <v>10.75</v>
      </c>
      <c r="AS9" s="9" t="n">
        <f aca="false">IF($X9="","",COUNTIFS(HLTV_Long!$A$2:$A$443,$A9&amp;"|A|"&amp;$X9&amp;"|lw")+COUNTIFS(HLTV_Long!$A$2:$A$443,$A9&amp;"|B|"&amp;$X9&amp;"|wl")+COUNTIFS(HLTV_Long!$A$2:$A$443,$A9&amp;"|B|"&amp;$X9&amp;"|lw")+COUNTIFS(HLTV_Long!$A$2:$A$443,$A9&amp;"|A|"&amp;$X9&amp;"|wl"))</f>
        <v>4</v>
      </c>
      <c r="AT9" s="17" t="n">
        <f aca="false">IF(OR($AQ9="",$AR9="",$AG9=""),"",13+$AG9*$AQ9+(1-$AG9)*$AR9)</f>
        <v>22.221596</v>
      </c>
      <c r="AU9" s="17" t="n">
        <f aca="false">IF($AT9="","",$AG9*(13-$AQ9)-(1-$AG9)*(13-$AR9))</f>
        <v>1.844754</v>
      </c>
      <c r="AV9" s="10" t="n">
        <f aca="false">IF($AT9="","",($AG9*13+(1-$AG9)*$AR9)/$AT9)</f>
        <v>0.541508134699236</v>
      </c>
      <c r="AW9" s="17" t="n">
        <f aca="false">IF($Y9="","",IFERROR((SUMIFS(HLTV_Long!$B$2:$B$443,HLTV_Long!$A$2:$A$443,$A9&amp;"|A|"&amp;$Y9&amp;"|lw")+SUMIFS(HLTV_Long!$B$2:$B$443,HLTV_Long!$A$2:$A$443,$A9&amp;"|B|"&amp;$Y9&amp;"|wl"))/(COUNTIFS(HLTV_Long!$A$2:$A$443,$A9&amp;"|A|"&amp;$Y9&amp;"|lw")+COUNTIFS(HLTV_Long!$A$2:$A$443,$A9&amp;"|B|"&amp;$Y9&amp;"|wl")),IFERROR((SUMIFS(HLTV_Long!$B$2:$B$443,HLTV_Long!$A$2:$A$443,$A9&amp;"|A|"&amp;"ALL"&amp;"|lw")+SUMIFS(HLTV_Long!$B$2:$B$443,HLTV_Long!$A$2:$A$443,$A9&amp;"|B|"&amp;"ALL"&amp;"|wl"))/(COUNTIFS(HLTV_Long!$A$2:$A$443,$A9&amp;"|A|"&amp;"ALL"&amp;"|lw")+COUNTIFS(HLTV_Long!$A$2:$A$443,$A9&amp;"|B|"&amp;"ALL"&amp;"|wl")),"")))</f>
        <v>10.035</v>
      </c>
      <c r="AX9" s="17" t="n">
        <f aca="false">IF($Y9="","",IFERROR((SUMIFS(HLTV_Long!$B$2:$B$443,HLTV_Long!$A$2:$A$443,$A9&amp;"|B|"&amp;$Y9&amp;"|lw")+SUMIFS(HLTV_Long!$B$2:$B$443,HLTV_Long!$A$2:$A$443,$A9&amp;"|A|"&amp;$Y9&amp;"|wl"))/(COUNTIFS(HLTV_Long!$A$2:$A$443,$A9&amp;"|B|"&amp;$Y9&amp;"|lw")+COUNTIFS(HLTV_Long!$A$2:$A$443,$A9&amp;"|A|"&amp;$Y9&amp;"|wl")),IFERROR((SUMIFS(HLTV_Long!$B$2:$B$443,HLTV_Long!$A$2:$A$443,$A9&amp;"|B|"&amp;"ALL"&amp;"|lw")+SUMIFS(HLTV_Long!$B$2:$B$443,HLTV_Long!$A$2:$A$443,$A9&amp;"|A|"&amp;"ALL"&amp;"|wl"))/(COUNTIFS(HLTV_Long!$A$2:$A$443,$A9&amp;"|B|"&amp;"ALL"&amp;"|lw")+COUNTIFS(HLTV_Long!$A$2:$A$443,$A9&amp;"|A|"&amp;"ALL"&amp;"|wl")),"")))</f>
        <v>6.585</v>
      </c>
      <c r="AY9" s="9" t="n">
        <f aca="false">IF($Y9="","",COUNTIFS(HLTV_Long!$A$2:$A$443,$A9&amp;"|A|"&amp;$Y9&amp;"|lw")+COUNTIFS(HLTV_Long!$A$2:$A$443,$A9&amp;"|B|"&amp;$Y9&amp;"|wl")+COUNTIFS(HLTV_Long!$A$2:$A$443,$A9&amp;"|B|"&amp;$Y9&amp;"|lw")+COUNTIFS(HLTV_Long!$A$2:$A$443,$A9&amp;"|A|"&amp;$Y9&amp;"|wl"))</f>
        <v>4</v>
      </c>
      <c r="AZ9" s="17" t="n">
        <f aca="false">IF(OR($AW9="",$AX9="",$AH9=""),"",13+$AH9*$AW9+(1-$AH9)*$AX9)</f>
        <v>21.552535</v>
      </c>
      <c r="BA9" s="17" t="n">
        <f aca="false">IF($AZ9="","",$AH9*(13-$AW9)-(1-$AH9)*(13-$AX9))</f>
        <v>-1.065586</v>
      </c>
      <c r="BB9" s="10" t="n">
        <f aca="false">IF($AZ9="","",($AH9*13+(1-$AH9)*$AX9)/$AZ9)</f>
        <v>0.475279334890304</v>
      </c>
    </row>
    <row r="10" customFormat="false" ht="15" hidden="false" customHeight="false" outlineLevel="0" collapsed="false">
      <c r="A10" s="0" t="s">
        <v>1174</v>
      </c>
      <c r="B10" s="0" t="s">
        <v>1139</v>
      </c>
      <c r="C10" s="0" t="s">
        <v>1175</v>
      </c>
      <c r="D10" s="0" t="n">
        <v>3</v>
      </c>
      <c r="E10" s="0" t="s">
        <v>553</v>
      </c>
      <c r="F10" s="0" t="s">
        <v>554</v>
      </c>
      <c r="G10" s="10" t="n">
        <v>0.615384615384615</v>
      </c>
      <c r="H10" s="10" t="n">
        <v>0.321701906862109</v>
      </c>
      <c r="I10" s="10" t="n">
        <v>0.180957322609937</v>
      </c>
      <c r="J10" s="10" t="n">
        <v>0.497340770527954</v>
      </c>
      <c r="K10" s="9" t="s">
        <v>1176</v>
      </c>
      <c r="L10" s="9" t="s">
        <v>1169</v>
      </c>
      <c r="M10" s="9" t="s">
        <v>1177</v>
      </c>
      <c r="N10" s="9" t="s">
        <v>1144</v>
      </c>
      <c r="O10" s="11" t="n">
        <v>21.5</v>
      </c>
      <c r="P10" s="11" t="n">
        <v>21.3585329341317</v>
      </c>
      <c r="Q10" s="11" t="n">
        <v>21.4231536926148</v>
      </c>
      <c r="R10" s="10" t="n">
        <v>0.159420289855073</v>
      </c>
      <c r="S10" s="11" t="n">
        <v>0.996875000000001</v>
      </c>
      <c r="T10" s="11"/>
      <c r="U10" s="11" t="n">
        <v>12.5</v>
      </c>
      <c r="V10" s="0" t="n">
        <v>230</v>
      </c>
      <c r="W10" s="14" t="s">
        <v>108</v>
      </c>
      <c r="X10" s="14" t="s">
        <v>81</v>
      </c>
      <c r="Y10" s="14" t="s">
        <v>129</v>
      </c>
      <c r="Z10" s="15" t="n">
        <v>21.5</v>
      </c>
      <c r="AA10" s="15" t="n">
        <v>21.36</v>
      </c>
      <c r="AB10" s="15" t="n">
        <v>21.42</v>
      </c>
      <c r="AC10" s="16" t="n">
        <v>0.4973</v>
      </c>
      <c r="AD10" s="9" t="s">
        <v>1178</v>
      </c>
      <c r="AE10" s="9" t="s">
        <v>1179</v>
      </c>
      <c r="AF10" s="10" t="n">
        <v>0.5376</v>
      </c>
      <c r="AG10" s="10" t="n">
        <v>0.6154</v>
      </c>
      <c r="AH10" s="10" t="n">
        <v>0.5703</v>
      </c>
      <c r="AI10" s="10" t="n">
        <f aca="false">IFERROR(INDEX(HLTV_Teams!$N$2:$N$35,MATCH($A10&amp;"|A",HLTV_Teams!$A$2:$A$35,0)),"")</f>
        <v>0.495240861062645</v>
      </c>
      <c r="AJ10" s="10" t="n">
        <f aca="false">IFERROR(INDEX(HLTV_Teams!$N$2:$N$35,MATCH($A10&amp;"|B",HLTV_Teams!$A$2:$A$35,0)),"")</f>
        <v>0.503015653575165</v>
      </c>
      <c r="AK10" s="17" t="n">
        <f aca="false">IF($W10="","",IFERROR((SUMIFS(HLTV_Long!$B$2:$B$443,HLTV_Long!$A$2:$A$443,$A10&amp;"|A|"&amp;$W10&amp;"|lw")+SUMIFS(HLTV_Long!$B$2:$B$443,HLTV_Long!$A$2:$A$443,$A10&amp;"|B|"&amp;$W10&amp;"|wl"))/(COUNTIFS(HLTV_Long!$A$2:$A$443,$A10&amp;"|A|"&amp;$W10&amp;"|lw")+COUNTIFS(HLTV_Long!$A$2:$A$443,$A10&amp;"|B|"&amp;$W10&amp;"|wl")),IFERROR((SUMIFS(HLTV_Long!$B$2:$B$443,HLTV_Long!$A$2:$A$443,$A10&amp;"|A|"&amp;"ALL"&amp;"|lw")+SUMIFS(HLTV_Long!$B$2:$B$443,HLTV_Long!$A$2:$A$443,$A10&amp;"|B|"&amp;"ALL"&amp;"|wl"))/(COUNTIFS(HLTV_Long!$A$2:$A$443,$A10&amp;"|A|"&amp;"ALL"&amp;"|lw")+COUNTIFS(HLTV_Long!$A$2:$A$443,$A10&amp;"|B|"&amp;"ALL"&amp;"|wl")),"")))</f>
        <v>8.38</v>
      </c>
      <c r="AL10" s="17" t="n">
        <f aca="false">IF($W10="","",IFERROR((SUMIFS(HLTV_Long!$B$2:$B$443,HLTV_Long!$A$2:$A$443,$A10&amp;"|B|"&amp;$W10&amp;"|lw")+SUMIFS(HLTV_Long!$B$2:$B$443,HLTV_Long!$A$2:$A$443,$A10&amp;"|A|"&amp;$W10&amp;"|wl"))/(COUNTIFS(HLTV_Long!$A$2:$A$443,$A10&amp;"|B|"&amp;$W10&amp;"|lw")+COUNTIFS(HLTV_Long!$A$2:$A$443,$A10&amp;"|A|"&amp;$W10&amp;"|wl")),IFERROR((SUMIFS(HLTV_Long!$B$2:$B$443,HLTV_Long!$A$2:$A$443,$A10&amp;"|B|"&amp;"ALL"&amp;"|lw")+SUMIFS(HLTV_Long!$B$2:$B$443,HLTV_Long!$A$2:$A$443,$A10&amp;"|A|"&amp;"ALL"&amp;"|wl"))/(COUNTIFS(HLTV_Long!$A$2:$A$443,$A10&amp;"|B|"&amp;"ALL"&amp;"|lw")+COUNTIFS(HLTV_Long!$A$2:$A$443,$A10&amp;"|A|"&amp;"ALL"&amp;"|wl")),"")))</f>
        <v>8.36</v>
      </c>
      <c r="AM10" s="9" t="n">
        <f aca="false">IF($W10="","",COUNTIFS(HLTV_Long!$A$2:$A$443,$A10&amp;"|A|"&amp;$W10&amp;"|lw")+COUNTIFS(HLTV_Long!$A$2:$A$443,$A10&amp;"|B|"&amp;$W10&amp;"|wl")+COUNTIFS(HLTV_Long!$A$2:$A$443,$A10&amp;"|B|"&amp;$W10&amp;"|lw")+COUNTIFS(HLTV_Long!$A$2:$A$443,$A10&amp;"|A|"&amp;$W10&amp;"|wl"))</f>
        <v>4</v>
      </c>
      <c r="AN10" s="17" t="n">
        <f aca="false">IF(OR($AK10="",$AL10="",$AF10=""),"",13+$AF10*$AK10+(1-$AF10)*$AL10)</f>
        <v>21.370752</v>
      </c>
      <c r="AO10" s="17" t="n">
        <f aca="false">IF($AN10="","",$AF10*(13-$AK10)-(1-$AF10)*(13-$AL10))</f>
        <v>0.338176</v>
      </c>
      <c r="AP10" s="10" t="n">
        <f aca="false">IF($AN10="","",($AF10*13+(1-$AF10)*$AL10)/$AN10)</f>
        <v>0.50791212213777</v>
      </c>
      <c r="AQ10" s="17" t="n">
        <f aca="false">IF($X10="","",IFERROR((SUMIFS(HLTV_Long!$B$2:$B$443,HLTV_Long!$A$2:$A$443,$A10&amp;"|A|"&amp;$X10&amp;"|lw")+SUMIFS(HLTV_Long!$B$2:$B$443,HLTV_Long!$A$2:$A$443,$A10&amp;"|B|"&amp;$X10&amp;"|wl"))/(COUNTIFS(HLTV_Long!$A$2:$A$443,$A10&amp;"|A|"&amp;$X10&amp;"|lw")+COUNTIFS(HLTV_Long!$A$2:$A$443,$A10&amp;"|B|"&amp;$X10&amp;"|wl")),IFERROR((SUMIFS(HLTV_Long!$B$2:$B$443,HLTV_Long!$A$2:$A$443,$A10&amp;"|A|"&amp;"ALL"&amp;"|lw")+SUMIFS(HLTV_Long!$B$2:$B$443,HLTV_Long!$A$2:$A$443,$A10&amp;"|B|"&amp;"ALL"&amp;"|wl"))/(COUNTIFS(HLTV_Long!$A$2:$A$443,$A10&amp;"|A|"&amp;"ALL"&amp;"|lw")+COUNTIFS(HLTV_Long!$A$2:$A$443,$A10&amp;"|B|"&amp;"ALL"&amp;"|wl")),"")))</f>
        <v>10.925</v>
      </c>
      <c r="AR10" s="17" t="n">
        <f aca="false">IF($X10="","",IFERROR((SUMIFS(HLTV_Long!$B$2:$B$443,HLTV_Long!$A$2:$A$443,$A10&amp;"|B|"&amp;$X10&amp;"|lw")+SUMIFS(HLTV_Long!$B$2:$B$443,HLTV_Long!$A$2:$A$443,$A10&amp;"|A|"&amp;$X10&amp;"|wl"))/(COUNTIFS(HLTV_Long!$A$2:$A$443,$A10&amp;"|B|"&amp;$X10&amp;"|lw")+COUNTIFS(HLTV_Long!$A$2:$A$443,$A10&amp;"|A|"&amp;$X10&amp;"|wl")),IFERROR((SUMIFS(HLTV_Long!$B$2:$B$443,HLTV_Long!$A$2:$A$443,$A10&amp;"|B|"&amp;"ALL"&amp;"|lw")+SUMIFS(HLTV_Long!$B$2:$B$443,HLTV_Long!$A$2:$A$443,$A10&amp;"|A|"&amp;"ALL"&amp;"|wl"))/(COUNTIFS(HLTV_Long!$A$2:$A$443,$A10&amp;"|B|"&amp;"ALL"&amp;"|lw")+COUNTIFS(HLTV_Long!$A$2:$A$443,$A10&amp;"|A|"&amp;"ALL"&amp;"|wl")),"")))</f>
        <v>6.535</v>
      </c>
      <c r="AS10" s="9" t="n">
        <f aca="false">IF($X10="","",COUNTIFS(HLTV_Long!$A$2:$A$443,$A10&amp;"|A|"&amp;$X10&amp;"|lw")+COUNTIFS(HLTV_Long!$A$2:$A$443,$A10&amp;"|B|"&amp;$X10&amp;"|wl")+COUNTIFS(HLTV_Long!$A$2:$A$443,$A10&amp;"|B|"&amp;$X10&amp;"|lw")+COUNTIFS(HLTV_Long!$A$2:$A$443,$A10&amp;"|A|"&amp;$X10&amp;"|wl"))</f>
        <v>4</v>
      </c>
      <c r="AT10" s="17" t="n">
        <f aca="false">IF(OR($AQ10="",$AR10="",$AG10=""),"",13+$AG10*$AQ10+(1-$AG10)*$AR10)</f>
        <v>22.236606</v>
      </c>
      <c r="AU10" s="17" t="n">
        <f aca="false">IF($AT10="","",$AG10*(13-$AQ10)-(1-$AG10)*(13-$AR10))</f>
        <v>-1.209484</v>
      </c>
      <c r="AV10" s="10" t="n">
        <f aca="false">IF($AT10="","",($AG10*13+(1-$AG10)*$AR10)/$AT10)</f>
        <v>0.47280421301704</v>
      </c>
      <c r="AW10" s="17" t="n">
        <f aca="false">IF($Y10="","",IFERROR((SUMIFS(HLTV_Long!$B$2:$B$443,HLTV_Long!$A$2:$A$443,$A10&amp;"|A|"&amp;$Y10&amp;"|lw")+SUMIFS(HLTV_Long!$B$2:$B$443,HLTV_Long!$A$2:$A$443,$A10&amp;"|B|"&amp;$Y10&amp;"|wl"))/(COUNTIFS(HLTV_Long!$A$2:$A$443,$A10&amp;"|A|"&amp;$Y10&amp;"|lw")+COUNTIFS(HLTV_Long!$A$2:$A$443,$A10&amp;"|B|"&amp;$Y10&amp;"|wl")),IFERROR((SUMIFS(HLTV_Long!$B$2:$B$443,HLTV_Long!$A$2:$A$443,$A10&amp;"|A|"&amp;"ALL"&amp;"|lw")+SUMIFS(HLTV_Long!$B$2:$B$443,HLTV_Long!$A$2:$A$443,$A10&amp;"|B|"&amp;"ALL"&amp;"|wl"))/(COUNTIFS(HLTV_Long!$A$2:$A$443,$A10&amp;"|A|"&amp;"ALL"&amp;"|lw")+COUNTIFS(HLTV_Long!$A$2:$A$443,$A10&amp;"|B|"&amp;"ALL"&amp;"|wl")),"")))</f>
        <v>8.54</v>
      </c>
      <c r="AX10" s="17" t="n">
        <f aca="false">IF($Y10="","",IFERROR((SUMIFS(HLTV_Long!$B$2:$B$443,HLTV_Long!$A$2:$A$443,$A10&amp;"|B|"&amp;$Y10&amp;"|lw")+SUMIFS(HLTV_Long!$B$2:$B$443,HLTV_Long!$A$2:$A$443,$A10&amp;"|A|"&amp;$Y10&amp;"|wl"))/(COUNTIFS(HLTV_Long!$A$2:$A$443,$A10&amp;"|B|"&amp;$Y10&amp;"|lw")+COUNTIFS(HLTV_Long!$A$2:$A$443,$A10&amp;"|A|"&amp;$Y10&amp;"|wl")),IFERROR((SUMIFS(HLTV_Long!$B$2:$B$443,HLTV_Long!$A$2:$A$443,$A10&amp;"|B|"&amp;"ALL"&amp;"|lw")+SUMIFS(HLTV_Long!$B$2:$B$443,HLTV_Long!$A$2:$A$443,$A10&amp;"|A|"&amp;"ALL"&amp;"|wl"))/(COUNTIFS(HLTV_Long!$A$2:$A$443,$A10&amp;"|B|"&amp;"ALL"&amp;"|lw")+COUNTIFS(HLTV_Long!$A$2:$A$443,$A10&amp;"|A|"&amp;"ALL"&amp;"|wl")),"")))</f>
        <v>8.25</v>
      </c>
      <c r="AY10" s="9" t="n">
        <f aca="false">IF($Y10="","",COUNTIFS(HLTV_Long!$A$2:$A$443,$A10&amp;"|A|"&amp;$Y10&amp;"|lw")+COUNTIFS(HLTV_Long!$A$2:$A$443,$A10&amp;"|B|"&amp;$Y10&amp;"|wl")+COUNTIFS(HLTV_Long!$A$2:$A$443,$A10&amp;"|B|"&amp;$Y10&amp;"|lw")+COUNTIFS(HLTV_Long!$A$2:$A$443,$A10&amp;"|A|"&amp;$Y10&amp;"|wl"))</f>
        <v>4</v>
      </c>
      <c r="AZ10" s="17" t="n">
        <f aca="false">IF(OR($AW10="",$AX10="",$AH10=""),"",13+$AH10*$AW10+(1-$AH10)*$AX10)</f>
        <v>21.415387</v>
      </c>
      <c r="BA10" s="17" t="n">
        <f aca="false">IF($AZ10="","",$AH10*(13-$AW10)-(1-$AH10)*(13-$AX10))</f>
        <v>0.502463000000001</v>
      </c>
      <c r="BB10" s="10" t="n">
        <f aca="false">IF($AZ10="","",($AH10*13+(1-$AH10)*$AX10)/$AZ10)</f>
        <v>0.511731354656351</v>
      </c>
    </row>
    <row r="11" customFormat="false" ht="15" hidden="false" customHeight="false" outlineLevel="0" collapsed="false">
      <c r="A11" s="0" t="s">
        <v>1180</v>
      </c>
      <c r="B11" s="0" t="s">
        <v>1139</v>
      </c>
      <c r="C11" s="0" t="s">
        <v>1175</v>
      </c>
      <c r="D11" s="0" t="n">
        <v>3</v>
      </c>
      <c r="E11" s="0" t="s">
        <v>601</v>
      </c>
      <c r="F11" s="0" t="s">
        <v>602</v>
      </c>
      <c r="G11" s="10" t="n">
        <v>0.938824954572986</v>
      </c>
      <c r="H11" s="10" t="n">
        <v>0.781996259871652</v>
      </c>
      <c r="I11" s="10" t="n">
        <v>0.03503343244225</v>
      </c>
      <c r="J11" s="10" t="n">
        <v>0.182970307686098</v>
      </c>
      <c r="K11" s="9" t="s">
        <v>1181</v>
      </c>
      <c r="L11" s="9" t="s">
        <v>1182</v>
      </c>
      <c r="M11" s="9" t="s">
        <v>1183</v>
      </c>
      <c r="N11" s="9" t="s">
        <v>1144</v>
      </c>
      <c r="O11" s="11" t="n">
        <v>18.5582123758594</v>
      </c>
      <c r="P11" s="11" t="n">
        <v>18.5723699245829</v>
      </c>
      <c r="Q11" s="11"/>
      <c r="R11" s="10"/>
      <c r="S11" s="11" t="n">
        <v>7.33033303330333</v>
      </c>
      <c r="T11" s="11"/>
      <c r="U11" s="11"/>
      <c r="V11" s="0" t="n">
        <v>171</v>
      </c>
      <c r="W11" s="14" t="s">
        <v>108</v>
      </c>
      <c r="X11" s="14" t="s">
        <v>95</v>
      </c>
      <c r="Y11" s="14" t="s">
        <v>139</v>
      </c>
      <c r="Z11" s="15" t="n">
        <v>18.56</v>
      </c>
      <c r="AA11" s="15" t="n">
        <v>18.57</v>
      </c>
      <c r="AB11" s="15" t="n">
        <f aca="false">Config!$B$7</f>
        <v>21.5</v>
      </c>
      <c r="AC11" s="16" t="n">
        <v>0.183</v>
      </c>
      <c r="AD11" s="9" t="s">
        <v>1184</v>
      </c>
      <c r="AE11" s="9" t="s">
        <v>1185</v>
      </c>
      <c r="AF11" s="10" t="n">
        <v>0.884</v>
      </c>
      <c r="AG11" s="10" t="n">
        <v>0.8827</v>
      </c>
      <c r="AH11" s="10" t="n">
        <v>0.9388</v>
      </c>
      <c r="AI11" s="10" t="n">
        <f aca="false">IFERROR(INDEX(HLTV_Teams!$N$2:$N$35,MATCH($A11&amp;"|A",HLTV_Teams!$A$2:$A$35,0)),"")</f>
        <v>0.563121939403791</v>
      </c>
      <c r="AJ11" s="10" t="n">
        <f aca="false">IFERROR(INDEX(HLTV_Teams!$N$2:$N$35,MATCH($A11&amp;"|B",HLTV_Teams!$A$2:$A$35,0)),"")</f>
        <v>0.511728824661236</v>
      </c>
      <c r="AK11" s="17" t="n">
        <f aca="false">IF($W11="","",IFERROR((SUMIFS(HLTV_Long!$B$2:$B$443,HLTV_Long!$A$2:$A$443,$A11&amp;"|A|"&amp;$W11&amp;"|lw")+SUMIFS(HLTV_Long!$B$2:$B$443,HLTV_Long!$A$2:$A$443,$A11&amp;"|B|"&amp;$W11&amp;"|wl"))/(COUNTIFS(HLTV_Long!$A$2:$A$443,$A11&amp;"|A|"&amp;$W11&amp;"|lw")+COUNTIFS(HLTV_Long!$A$2:$A$443,$A11&amp;"|B|"&amp;$W11&amp;"|wl")),IFERROR((SUMIFS(HLTV_Long!$B$2:$B$443,HLTV_Long!$A$2:$A$443,$A11&amp;"|A|"&amp;"ALL"&amp;"|lw")+SUMIFS(HLTV_Long!$B$2:$B$443,HLTV_Long!$A$2:$A$443,$A11&amp;"|B|"&amp;"ALL"&amp;"|wl"))/(COUNTIFS(HLTV_Long!$A$2:$A$443,$A11&amp;"|A|"&amp;"ALL"&amp;"|lw")+COUNTIFS(HLTV_Long!$A$2:$A$443,$A11&amp;"|B|"&amp;"ALL"&amp;"|wl")),"")))</f>
        <v>7.375</v>
      </c>
      <c r="AL11" s="17" t="n">
        <f aca="false">IF($W11="","",IFERROR((SUMIFS(HLTV_Long!$B$2:$B$443,HLTV_Long!$A$2:$A$443,$A11&amp;"|B|"&amp;$W11&amp;"|lw")+SUMIFS(HLTV_Long!$B$2:$B$443,HLTV_Long!$A$2:$A$443,$A11&amp;"|A|"&amp;$W11&amp;"|wl"))/(COUNTIFS(HLTV_Long!$A$2:$A$443,$A11&amp;"|B|"&amp;$W11&amp;"|lw")+COUNTIFS(HLTV_Long!$A$2:$A$443,$A11&amp;"|A|"&amp;$W11&amp;"|wl")),IFERROR((SUMIFS(HLTV_Long!$B$2:$B$443,HLTV_Long!$A$2:$A$443,$A11&amp;"|B|"&amp;"ALL"&amp;"|lw")+SUMIFS(HLTV_Long!$B$2:$B$443,HLTV_Long!$A$2:$A$443,$A11&amp;"|A|"&amp;"ALL"&amp;"|wl"))/(COUNTIFS(HLTV_Long!$A$2:$A$443,$A11&amp;"|B|"&amp;"ALL"&amp;"|lw")+COUNTIFS(HLTV_Long!$A$2:$A$443,$A11&amp;"|A|"&amp;"ALL"&amp;"|wl")),"")))</f>
        <v>7.165</v>
      </c>
      <c r="AM11" s="9" t="n">
        <f aca="false">IF($W11="","",COUNTIFS(HLTV_Long!$A$2:$A$443,$A11&amp;"|A|"&amp;$W11&amp;"|lw")+COUNTIFS(HLTV_Long!$A$2:$A$443,$A11&amp;"|B|"&amp;$W11&amp;"|wl")+COUNTIFS(HLTV_Long!$A$2:$A$443,$A11&amp;"|B|"&amp;$W11&amp;"|lw")+COUNTIFS(HLTV_Long!$A$2:$A$443,$A11&amp;"|A|"&amp;$W11&amp;"|wl"))</f>
        <v>4</v>
      </c>
      <c r="AN11" s="17" t="n">
        <f aca="false">IF(OR($AK11="",$AL11="",$AF11=""),"",13+$AF11*$AK11+(1-$AF11)*$AL11)</f>
        <v>20.35064</v>
      </c>
      <c r="AO11" s="17" t="n">
        <f aca="false">IF($AN11="","",$AF11*(13-$AK11)-(1-$AF11)*(13-$AL11))</f>
        <v>4.29564</v>
      </c>
      <c r="AP11" s="10" t="n">
        <f aca="false">IF($AN11="","",($AF11*13+(1-$AF11)*$AL11)/$AN11)</f>
        <v>0.605540661129085</v>
      </c>
      <c r="AQ11" s="17" t="n">
        <f aca="false">IF($X11="","",IFERROR((SUMIFS(HLTV_Long!$B$2:$B$443,HLTV_Long!$A$2:$A$443,$A11&amp;"|A|"&amp;$X11&amp;"|lw")+SUMIFS(HLTV_Long!$B$2:$B$443,HLTV_Long!$A$2:$A$443,$A11&amp;"|B|"&amp;$X11&amp;"|wl"))/(COUNTIFS(HLTV_Long!$A$2:$A$443,$A11&amp;"|A|"&amp;$X11&amp;"|lw")+COUNTIFS(HLTV_Long!$A$2:$A$443,$A11&amp;"|B|"&amp;$X11&amp;"|wl")),IFERROR((SUMIFS(HLTV_Long!$B$2:$B$443,HLTV_Long!$A$2:$A$443,$A11&amp;"|A|"&amp;"ALL"&amp;"|lw")+SUMIFS(HLTV_Long!$B$2:$B$443,HLTV_Long!$A$2:$A$443,$A11&amp;"|B|"&amp;"ALL"&amp;"|wl"))/(COUNTIFS(HLTV_Long!$A$2:$A$443,$A11&amp;"|A|"&amp;"ALL"&amp;"|lw")+COUNTIFS(HLTV_Long!$A$2:$A$443,$A11&amp;"|B|"&amp;"ALL"&amp;"|wl")),"")))</f>
        <v>8.055</v>
      </c>
      <c r="AR11" s="17" t="n">
        <f aca="false">IF($X11="","",IFERROR((SUMIFS(HLTV_Long!$B$2:$B$443,HLTV_Long!$A$2:$A$443,$A11&amp;"|B|"&amp;$X11&amp;"|lw")+SUMIFS(HLTV_Long!$B$2:$B$443,HLTV_Long!$A$2:$A$443,$A11&amp;"|A|"&amp;$X11&amp;"|wl"))/(COUNTIFS(HLTV_Long!$A$2:$A$443,$A11&amp;"|B|"&amp;$X11&amp;"|lw")+COUNTIFS(HLTV_Long!$A$2:$A$443,$A11&amp;"|A|"&amp;$X11&amp;"|wl")),IFERROR((SUMIFS(HLTV_Long!$B$2:$B$443,HLTV_Long!$A$2:$A$443,$A11&amp;"|B|"&amp;"ALL"&amp;"|lw")+SUMIFS(HLTV_Long!$B$2:$B$443,HLTV_Long!$A$2:$A$443,$A11&amp;"|A|"&amp;"ALL"&amp;"|wl"))/(COUNTIFS(HLTV_Long!$A$2:$A$443,$A11&amp;"|B|"&amp;"ALL"&amp;"|lw")+COUNTIFS(HLTV_Long!$A$2:$A$443,$A11&amp;"|A|"&amp;"ALL"&amp;"|wl")),"")))</f>
        <v>8.125</v>
      </c>
      <c r="AS11" s="9" t="n">
        <f aca="false">IF($X11="","",COUNTIFS(HLTV_Long!$A$2:$A$443,$A11&amp;"|A|"&amp;$X11&amp;"|lw")+COUNTIFS(HLTV_Long!$A$2:$A$443,$A11&amp;"|B|"&amp;$X11&amp;"|wl")+COUNTIFS(HLTV_Long!$A$2:$A$443,$A11&amp;"|B|"&amp;$X11&amp;"|lw")+COUNTIFS(HLTV_Long!$A$2:$A$443,$A11&amp;"|A|"&amp;$X11&amp;"|wl"))</f>
        <v>4</v>
      </c>
      <c r="AT11" s="17" t="n">
        <f aca="false">IF(OR($AQ11="",$AR11="",$AG11=""),"",13+$AG11*$AQ11+(1-$AG11)*$AR11)</f>
        <v>21.063211</v>
      </c>
      <c r="AU11" s="17" t="n">
        <f aca="false">IF($AT11="","",$AG11*(13-$AQ11)-(1-$AG11)*(13-$AR11))</f>
        <v>3.793114</v>
      </c>
      <c r="AV11" s="10" t="n">
        <f aca="false">IF($AT11="","",($AG11*13+(1-$AG11)*$AR11)/$AT11)</f>
        <v>0.590041209766165</v>
      </c>
      <c r="AW11" s="17" t="n">
        <f aca="false">IF($Y11="","",IFERROR((SUMIFS(HLTV_Long!$B$2:$B$443,HLTV_Long!$A$2:$A$443,$A11&amp;"|A|"&amp;$Y11&amp;"|lw")+SUMIFS(HLTV_Long!$B$2:$B$443,HLTV_Long!$A$2:$A$443,$A11&amp;"|B|"&amp;$Y11&amp;"|wl"))/(COUNTIFS(HLTV_Long!$A$2:$A$443,$A11&amp;"|A|"&amp;$Y11&amp;"|lw")+COUNTIFS(HLTV_Long!$A$2:$A$443,$A11&amp;"|B|"&amp;$Y11&amp;"|wl")),IFERROR((SUMIFS(HLTV_Long!$B$2:$B$443,HLTV_Long!$A$2:$A$443,$A11&amp;"|A|"&amp;"ALL"&amp;"|lw")+SUMIFS(HLTV_Long!$B$2:$B$443,HLTV_Long!$A$2:$A$443,$A11&amp;"|B|"&amp;"ALL"&amp;"|wl"))/(COUNTIFS(HLTV_Long!$A$2:$A$443,$A11&amp;"|A|"&amp;"ALL"&amp;"|lw")+COUNTIFS(HLTV_Long!$A$2:$A$443,$A11&amp;"|B|"&amp;"ALL"&amp;"|wl")),"")))</f>
        <v>7.04</v>
      </c>
      <c r="AX11" s="17" t="n">
        <f aca="false">IF($Y11="","",IFERROR((SUMIFS(HLTV_Long!$B$2:$B$443,HLTV_Long!$A$2:$A$443,$A11&amp;"|B|"&amp;$Y11&amp;"|lw")+SUMIFS(HLTV_Long!$B$2:$B$443,HLTV_Long!$A$2:$A$443,$A11&amp;"|A|"&amp;$Y11&amp;"|wl"))/(COUNTIFS(HLTV_Long!$A$2:$A$443,$A11&amp;"|B|"&amp;$Y11&amp;"|lw")+COUNTIFS(HLTV_Long!$A$2:$A$443,$A11&amp;"|A|"&amp;$Y11&amp;"|wl")),IFERROR((SUMIFS(HLTV_Long!$B$2:$B$443,HLTV_Long!$A$2:$A$443,$A11&amp;"|B|"&amp;"ALL"&amp;"|lw")+SUMIFS(HLTV_Long!$B$2:$B$443,HLTV_Long!$A$2:$A$443,$A11&amp;"|A|"&amp;"ALL"&amp;"|wl"))/(COUNTIFS(HLTV_Long!$A$2:$A$443,$A11&amp;"|B|"&amp;"ALL"&amp;"|lw")+COUNTIFS(HLTV_Long!$A$2:$A$443,$A11&amp;"|A|"&amp;"ALL"&amp;"|wl")),"")))</f>
        <v>9.47</v>
      </c>
      <c r="AY11" s="9" t="n">
        <f aca="false">IF($Y11="","",COUNTIFS(HLTV_Long!$A$2:$A$443,$A11&amp;"|A|"&amp;$Y11&amp;"|lw")+COUNTIFS(HLTV_Long!$A$2:$A$443,$A11&amp;"|B|"&amp;$Y11&amp;"|wl")+COUNTIFS(HLTV_Long!$A$2:$A$443,$A11&amp;"|B|"&amp;$Y11&amp;"|lw")+COUNTIFS(HLTV_Long!$A$2:$A$443,$A11&amp;"|A|"&amp;$Y11&amp;"|wl"))</f>
        <v>4</v>
      </c>
      <c r="AZ11" s="17" t="n">
        <f aca="false">IF(OR($AW11="",$AX11="",$AH11=""),"",13+$AH11*$AW11+(1-$AH11)*$AX11)</f>
        <v>20.188716</v>
      </c>
      <c r="BA11" s="17" t="n">
        <f aca="false">IF($AZ11="","",$AH11*(13-$AW11)-(1-$AH11)*(13-$AX11))</f>
        <v>5.379212</v>
      </c>
      <c r="BB11" s="10" t="n">
        <f aca="false">IF($AZ11="","",($AH11*13+(1-$AH11)*$AX11)/$AZ11)</f>
        <v>0.633223232225368</v>
      </c>
    </row>
    <row r="12" customFormat="false" ht="15" hidden="false" customHeight="false" outlineLevel="0" collapsed="false">
      <c r="A12" s="0" t="s">
        <v>1186</v>
      </c>
      <c r="B12" s="0" t="s">
        <v>1139</v>
      </c>
      <c r="C12" s="0" t="s">
        <v>1175</v>
      </c>
      <c r="D12" s="0" t="n">
        <v>3</v>
      </c>
      <c r="E12" s="0" t="s">
        <v>660</v>
      </c>
      <c r="F12" s="0" t="s">
        <v>661</v>
      </c>
      <c r="G12" s="10"/>
      <c r="H12" s="10"/>
      <c r="I12" s="10"/>
      <c r="J12" s="10"/>
      <c r="K12" s="9" t="s">
        <v>1187</v>
      </c>
      <c r="L12" s="9" t="s">
        <v>1188</v>
      </c>
      <c r="M12" s="9" t="s">
        <v>1189</v>
      </c>
      <c r="N12" s="9" t="s">
        <v>1144</v>
      </c>
      <c r="O12" s="11"/>
      <c r="P12" s="11"/>
      <c r="Q12" s="11"/>
      <c r="R12" s="10"/>
      <c r="S12" s="11"/>
      <c r="T12" s="11"/>
      <c r="U12" s="11"/>
      <c r="V12" s="0" t="n">
        <v>0</v>
      </c>
      <c r="W12" s="14" t="s">
        <v>95</v>
      </c>
      <c r="X12" s="14" t="s">
        <v>81</v>
      </c>
      <c r="Y12" s="14" t="s">
        <v>145</v>
      </c>
      <c r="Z12" s="15" t="n">
        <f aca="false">Config!$B$7</f>
        <v>21.5</v>
      </c>
      <c r="AA12" s="15" t="n">
        <f aca="false">Config!$B$7</f>
        <v>21.5</v>
      </c>
      <c r="AB12" s="15" t="n">
        <f aca="false">Config!$B$7</f>
        <v>21.5</v>
      </c>
      <c r="AC12" s="16" t="n">
        <v>0</v>
      </c>
      <c r="AD12" s="9" t="s">
        <v>1190</v>
      </c>
      <c r="AE12" s="9" t="s">
        <v>1191</v>
      </c>
      <c r="AF12" s="10"/>
      <c r="AG12" s="10"/>
      <c r="AH12" s="10"/>
      <c r="AI12" s="10" t="n">
        <f aca="false">IFERROR(INDEX(HLTV_Teams!$N$2:$N$35,MATCH($A12&amp;"|A",HLTV_Teams!$A$2:$A$35,0)),"")</f>
        <v>0.542532661248843</v>
      </c>
      <c r="AJ12" s="10" t="str">
        <f aca="false">IFERROR(INDEX(HLTV_Teams!$N$2:$N$35,MATCH($A12&amp;"|B",HLTV_Teams!$A$2:$A$35,0)),"")</f>
        <v/>
      </c>
      <c r="AK12" s="17" t="n">
        <f aca="false">IF($W12="","",IFERROR((SUMIFS(HLTV_Long!$B$2:$B$443,HLTV_Long!$A$2:$A$443,$A12&amp;"|A|"&amp;$W12&amp;"|lw")+SUMIFS(HLTV_Long!$B$2:$B$443,HLTV_Long!$A$2:$A$443,$A12&amp;"|B|"&amp;$W12&amp;"|wl"))/(COUNTIFS(HLTV_Long!$A$2:$A$443,$A12&amp;"|A|"&amp;$W12&amp;"|lw")+COUNTIFS(HLTV_Long!$A$2:$A$443,$A12&amp;"|B|"&amp;$W12&amp;"|wl")),IFERROR((SUMIFS(HLTV_Long!$B$2:$B$443,HLTV_Long!$A$2:$A$443,$A12&amp;"|A|"&amp;"ALL"&amp;"|lw")+SUMIFS(HLTV_Long!$B$2:$B$443,HLTV_Long!$A$2:$A$443,$A12&amp;"|B|"&amp;"ALL"&amp;"|wl"))/(COUNTIFS(HLTV_Long!$A$2:$A$443,$A12&amp;"|A|"&amp;"ALL"&amp;"|lw")+COUNTIFS(HLTV_Long!$A$2:$A$443,$A12&amp;"|B|"&amp;"ALL"&amp;"|wl")),"")))</f>
        <v>6.08</v>
      </c>
      <c r="AL12" s="17" t="n">
        <f aca="false">IF($W12="","",IFERROR((SUMIFS(HLTV_Long!$B$2:$B$443,HLTV_Long!$A$2:$A$443,$A12&amp;"|B|"&amp;$W12&amp;"|lw")+SUMIFS(HLTV_Long!$B$2:$B$443,HLTV_Long!$A$2:$A$443,$A12&amp;"|A|"&amp;$W12&amp;"|wl"))/(COUNTIFS(HLTV_Long!$A$2:$A$443,$A12&amp;"|B|"&amp;$W12&amp;"|lw")+COUNTIFS(HLTV_Long!$A$2:$A$443,$A12&amp;"|A|"&amp;$W12&amp;"|wl")),IFERROR((SUMIFS(HLTV_Long!$B$2:$B$443,HLTV_Long!$A$2:$A$443,$A12&amp;"|B|"&amp;"ALL"&amp;"|lw")+SUMIFS(HLTV_Long!$B$2:$B$443,HLTV_Long!$A$2:$A$443,$A12&amp;"|A|"&amp;"ALL"&amp;"|wl"))/(COUNTIFS(HLTV_Long!$A$2:$A$443,$A12&amp;"|B|"&amp;"ALL"&amp;"|lw")+COUNTIFS(HLTV_Long!$A$2:$A$443,$A12&amp;"|A|"&amp;"ALL"&amp;"|wl")),"")))</f>
        <v>5</v>
      </c>
      <c r="AM12" s="9" t="n">
        <f aca="false">IF($W12="","",COUNTIFS(HLTV_Long!$A$2:$A$443,$A12&amp;"|A|"&amp;$W12&amp;"|lw")+COUNTIFS(HLTV_Long!$A$2:$A$443,$A12&amp;"|B|"&amp;$W12&amp;"|wl")+COUNTIFS(HLTV_Long!$A$2:$A$443,$A12&amp;"|B|"&amp;$W12&amp;"|lw")+COUNTIFS(HLTV_Long!$A$2:$A$443,$A12&amp;"|A|"&amp;$W12&amp;"|wl"))</f>
        <v>2</v>
      </c>
      <c r="AN12" s="17" t="str">
        <f aca="false">IF(OR($AK12="",$AL12="",$AF12=""),"",13+$AF12*$AK12+(1-$AF12)*$AL12)</f>
        <v/>
      </c>
      <c r="AO12" s="17" t="str">
        <f aca="false">IF($AN12="","",$AF12*(13-$AK12)-(1-$AF12)*(13-$AL12))</f>
        <v/>
      </c>
      <c r="AP12" s="10" t="str">
        <f aca="false">IF($AN12="","",($AF12*13+(1-$AF12)*$AL12)/$AN12)</f>
        <v/>
      </c>
      <c r="AQ12" s="17" t="n">
        <f aca="false">IF($X12="","",IFERROR((SUMIFS(HLTV_Long!$B$2:$B$443,HLTV_Long!$A$2:$A$443,$A12&amp;"|A|"&amp;$X12&amp;"|lw")+SUMIFS(HLTV_Long!$B$2:$B$443,HLTV_Long!$A$2:$A$443,$A12&amp;"|B|"&amp;$X12&amp;"|wl"))/(COUNTIFS(HLTV_Long!$A$2:$A$443,$A12&amp;"|A|"&amp;$X12&amp;"|lw")+COUNTIFS(HLTV_Long!$A$2:$A$443,$A12&amp;"|B|"&amp;$X12&amp;"|wl")),IFERROR((SUMIFS(HLTV_Long!$B$2:$B$443,HLTV_Long!$A$2:$A$443,$A12&amp;"|A|"&amp;"ALL"&amp;"|lw")+SUMIFS(HLTV_Long!$B$2:$B$443,HLTV_Long!$A$2:$A$443,$A12&amp;"|B|"&amp;"ALL"&amp;"|wl"))/(COUNTIFS(HLTV_Long!$A$2:$A$443,$A12&amp;"|A|"&amp;"ALL"&amp;"|lw")+COUNTIFS(HLTV_Long!$A$2:$A$443,$A12&amp;"|B|"&amp;"ALL"&amp;"|wl")),"")))</f>
        <v>7.75</v>
      </c>
      <c r="AR12" s="17" t="n">
        <f aca="false">IF($X12="","",IFERROR((SUMIFS(HLTV_Long!$B$2:$B$443,HLTV_Long!$A$2:$A$443,$A12&amp;"|B|"&amp;$X12&amp;"|lw")+SUMIFS(HLTV_Long!$B$2:$B$443,HLTV_Long!$A$2:$A$443,$A12&amp;"|A|"&amp;$X12&amp;"|wl"))/(COUNTIFS(HLTV_Long!$A$2:$A$443,$A12&amp;"|B|"&amp;$X12&amp;"|lw")+COUNTIFS(HLTV_Long!$A$2:$A$443,$A12&amp;"|A|"&amp;$X12&amp;"|wl")),IFERROR((SUMIFS(HLTV_Long!$B$2:$B$443,HLTV_Long!$A$2:$A$443,$A12&amp;"|B|"&amp;"ALL"&amp;"|lw")+SUMIFS(HLTV_Long!$B$2:$B$443,HLTV_Long!$A$2:$A$443,$A12&amp;"|A|"&amp;"ALL"&amp;"|wl"))/(COUNTIFS(HLTV_Long!$A$2:$A$443,$A12&amp;"|B|"&amp;"ALL"&amp;"|lw")+COUNTIFS(HLTV_Long!$A$2:$A$443,$A12&amp;"|A|"&amp;"ALL"&amp;"|wl")),"")))</f>
        <v>8.2</v>
      </c>
      <c r="AS12" s="9" t="n">
        <f aca="false">IF($X12="","",COUNTIFS(HLTV_Long!$A$2:$A$443,$A12&amp;"|A|"&amp;$X12&amp;"|lw")+COUNTIFS(HLTV_Long!$A$2:$A$443,$A12&amp;"|B|"&amp;$X12&amp;"|wl")+COUNTIFS(HLTV_Long!$A$2:$A$443,$A12&amp;"|B|"&amp;$X12&amp;"|lw")+COUNTIFS(HLTV_Long!$A$2:$A$443,$A12&amp;"|A|"&amp;$X12&amp;"|wl"))</f>
        <v>2</v>
      </c>
      <c r="AT12" s="17" t="str">
        <f aca="false">IF(OR($AQ12="",$AR12="",$AG12=""),"",13+$AG12*$AQ12+(1-$AG12)*$AR12)</f>
        <v/>
      </c>
      <c r="AU12" s="17" t="str">
        <f aca="false">IF($AT12="","",$AG12*(13-$AQ12)-(1-$AG12)*(13-$AR12))</f>
        <v/>
      </c>
      <c r="AV12" s="10" t="str">
        <f aca="false">IF($AT12="","",($AG12*13+(1-$AG12)*$AR12)/$AT12)</f>
        <v/>
      </c>
      <c r="AW12" s="17" t="n">
        <f aca="false">IF($Y12="","",IFERROR((SUMIFS(HLTV_Long!$B$2:$B$443,HLTV_Long!$A$2:$A$443,$A12&amp;"|A|"&amp;$Y12&amp;"|lw")+SUMIFS(HLTV_Long!$B$2:$B$443,HLTV_Long!$A$2:$A$443,$A12&amp;"|B|"&amp;$Y12&amp;"|wl"))/(COUNTIFS(HLTV_Long!$A$2:$A$443,$A12&amp;"|A|"&amp;$Y12&amp;"|lw")+COUNTIFS(HLTV_Long!$A$2:$A$443,$A12&amp;"|B|"&amp;$Y12&amp;"|wl")),IFERROR((SUMIFS(HLTV_Long!$B$2:$B$443,HLTV_Long!$A$2:$A$443,$A12&amp;"|A|"&amp;"ALL"&amp;"|lw")+SUMIFS(HLTV_Long!$B$2:$B$443,HLTV_Long!$A$2:$A$443,$A12&amp;"|B|"&amp;"ALL"&amp;"|wl"))/(COUNTIFS(HLTV_Long!$A$2:$A$443,$A12&amp;"|A|"&amp;"ALL"&amp;"|lw")+COUNTIFS(HLTV_Long!$A$2:$A$443,$A12&amp;"|B|"&amp;"ALL"&amp;"|wl")),"")))</f>
        <v>7</v>
      </c>
      <c r="AX12" s="17" t="n">
        <f aca="false">IF($Y12="","",IFERROR((SUMIFS(HLTV_Long!$B$2:$B$443,HLTV_Long!$A$2:$A$443,$A12&amp;"|B|"&amp;$Y12&amp;"|lw")+SUMIFS(HLTV_Long!$B$2:$B$443,HLTV_Long!$A$2:$A$443,$A12&amp;"|A|"&amp;$Y12&amp;"|wl"))/(COUNTIFS(HLTV_Long!$A$2:$A$443,$A12&amp;"|B|"&amp;$Y12&amp;"|lw")+COUNTIFS(HLTV_Long!$A$2:$A$443,$A12&amp;"|A|"&amp;$Y12&amp;"|wl")),IFERROR((SUMIFS(HLTV_Long!$B$2:$B$443,HLTV_Long!$A$2:$A$443,$A12&amp;"|B|"&amp;"ALL"&amp;"|lw")+SUMIFS(HLTV_Long!$B$2:$B$443,HLTV_Long!$A$2:$A$443,$A12&amp;"|A|"&amp;"ALL"&amp;"|wl"))/(COUNTIFS(HLTV_Long!$A$2:$A$443,$A12&amp;"|B|"&amp;"ALL"&amp;"|lw")+COUNTIFS(HLTV_Long!$A$2:$A$443,$A12&amp;"|A|"&amp;"ALL"&amp;"|wl")),"")))</f>
        <v>7.33</v>
      </c>
      <c r="AY12" s="9" t="n">
        <f aca="false">IF($Y12="","",COUNTIFS(HLTV_Long!$A$2:$A$443,$A12&amp;"|A|"&amp;$Y12&amp;"|lw")+COUNTIFS(HLTV_Long!$A$2:$A$443,$A12&amp;"|B|"&amp;$Y12&amp;"|wl")+COUNTIFS(HLTV_Long!$A$2:$A$443,$A12&amp;"|B|"&amp;$Y12&amp;"|lw")+COUNTIFS(HLTV_Long!$A$2:$A$443,$A12&amp;"|A|"&amp;$Y12&amp;"|wl"))</f>
        <v>2</v>
      </c>
      <c r="AZ12" s="17" t="str">
        <f aca="false">IF(OR($AW12="",$AX12="",$AH12=""),"",13+$AH12*$AW12+(1-$AH12)*$AX12)</f>
        <v/>
      </c>
      <c r="BA12" s="17" t="str">
        <f aca="false">IF($AZ12="","",$AH12*(13-$AW12)-(1-$AH12)*(13-$AX12))</f>
        <v/>
      </c>
      <c r="BB12" s="10" t="str">
        <f aca="false">IF($AZ12="","",($AH12*13+(1-$AH12)*$AX12)/$AZ12)</f>
        <v/>
      </c>
    </row>
    <row r="13" customFormat="false" ht="15" hidden="false" customHeight="false" outlineLevel="0" collapsed="false">
      <c r="A13" s="0" t="s">
        <v>1192</v>
      </c>
      <c r="B13" s="0" t="s">
        <v>1139</v>
      </c>
      <c r="C13" s="0" t="s">
        <v>1193</v>
      </c>
      <c r="D13" s="0" t="n">
        <v>3</v>
      </c>
      <c r="E13" s="0" t="s">
        <v>699</v>
      </c>
      <c r="F13" s="0" t="s">
        <v>700</v>
      </c>
      <c r="G13" s="10" t="n">
        <v>0.518918918918919</v>
      </c>
      <c r="H13" s="10" t="n">
        <v>0.26645501587381</v>
      </c>
      <c r="I13" s="10" t="n">
        <v>0.224383171262155</v>
      </c>
      <c r="J13" s="10" t="n">
        <v>0.509161812864035</v>
      </c>
      <c r="K13" s="9" t="s">
        <v>1194</v>
      </c>
      <c r="L13" s="9" t="s">
        <v>1195</v>
      </c>
      <c r="M13" s="9" t="s">
        <v>1196</v>
      </c>
      <c r="N13" s="9" t="s">
        <v>1144</v>
      </c>
      <c r="O13" s="11" t="n">
        <v>21.5</v>
      </c>
      <c r="P13" s="11" t="n">
        <v>21.5</v>
      </c>
      <c r="Q13" s="11" t="n">
        <v>21.5</v>
      </c>
      <c r="R13" s="10" t="n">
        <v>0.159420289855073</v>
      </c>
      <c r="S13" s="11" t="n">
        <v>1.36489569752281</v>
      </c>
      <c r="T13" s="11"/>
      <c r="U13" s="11" t="n">
        <v>12.5</v>
      </c>
      <c r="V13" s="0" t="n">
        <v>228</v>
      </c>
      <c r="W13" s="14" t="s">
        <v>81</v>
      </c>
      <c r="X13" s="14" t="s">
        <v>129</v>
      </c>
      <c r="Y13" s="14" t="s">
        <v>145</v>
      </c>
      <c r="Z13" s="15" t="n">
        <v>21.5</v>
      </c>
      <c r="AA13" s="15" t="n">
        <v>21.5</v>
      </c>
      <c r="AB13" s="15" t="n">
        <v>21.5</v>
      </c>
      <c r="AC13" s="16" t="n">
        <v>0.5092</v>
      </c>
      <c r="AD13" s="9" t="s">
        <v>1197</v>
      </c>
      <c r="AE13" s="9" t="s">
        <v>1198</v>
      </c>
      <c r="AF13" s="10" t="n">
        <v>0.5496</v>
      </c>
      <c r="AG13" s="10" t="n">
        <v>0.4811</v>
      </c>
      <c r="AH13" s="10" t="n">
        <v>0.5081</v>
      </c>
      <c r="AI13" s="10" t="n">
        <f aca="false">IFERROR(INDEX(HLTV_Teams!$N$2:$N$35,MATCH($A13&amp;"|A",HLTV_Teams!$A$2:$A$35,0)),"")</f>
        <v>0.537876844466004</v>
      </c>
      <c r="AJ13" s="10" t="n">
        <f aca="false">IFERROR(INDEX(HLTV_Teams!$N$2:$N$35,MATCH($A13&amp;"|B",HLTV_Teams!$A$2:$A$35,0)),"")</f>
        <v>0.506801307155743</v>
      </c>
      <c r="AK13" s="17" t="n">
        <f aca="false">IF($W13="","",IFERROR((SUMIFS(HLTV_Long!$B$2:$B$443,HLTV_Long!$A$2:$A$443,$A13&amp;"|A|"&amp;$W13&amp;"|lw")+SUMIFS(HLTV_Long!$B$2:$B$443,HLTV_Long!$A$2:$A$443,$A13&amp;"|B|"&amp;$W13&amp;"|wl"))/(COUNTIFS(HLTV_Long!$A$2:$A$443,$A13&amp;"|A|"&amp;$W13&amp;"|lw")+COUNTIFS(HLTV_Long!$A$2:$A$443,$A13&amp;"|B|"&amp;$W13&amp;"|wl")),IFERROR((SUMIFS(HLTV_Long!$B$2:$B$443,HLTV_Long!$A$2:$A$443,$A13&amp;"|A|"&amp;"ALL"&amp;"|lw")+SUMIFS(HLTV_Long!$B$2:$B$443,HLTV_Long!$A$2:$A$443,$A13&amp;"|B|"&amp;"ALL"&amp;"|wl"))/(COUNTIFS(HLTV_Long!$A$2:$A$443,$A13&amp;"|A|"&amp;"ALL"&amp;"|lw")+COUNTIFS(HLTV_Long!$A$2:$A$443,$A13&amp;"|B|"&amp;"ALL"&amp;"|wl")),"")))</f>
        <v>6.96</v>
      </c>
      <c r="AL13" s="17" t="n">
        <f aca="false">IF($W13="","",IFERROR((SUMIFS(HLTV_Long!$B$2:$B$443,HLTV_Long!$A$2:$A$443,$A13&amp;"|B|"&amp;$W13&amp;"|lw")+SUMIFS(HLTV_Long!$B$2:$B$443,HLTV_Long!$A$2:$A$443,$A13&amp;"|A|"&amp;$W13&amp;"|wl"))/(COUNTIFS(HLTV_Long!$A$2:$A$443,$A13&amp;"|B|"&amp;$W13&amp;"|lw")+COUNTIFS(HLTV_Long!$A$2:$A$443,$A13&amp;"|A|"&amp;$W13&amp;"|wl")),IFERROR((SUMIFS(HLTV_Long!$B$2:$B$443,HLTV_Long!$A$2:$A$443,$A13&amp;"|B|"&amp;"ALL"&amp;"|lw")+SUMIFS(HLTV_Long!$B$2:$B$443,HLTV_Long!$A$2:$A$443,$A13&amp;"|A|"&amp;"ALL"&amp;"|wl"))/(COUNTIFS(HLTV_Long!$A$2:$A$443,$A13&amp;"|B|"&amp;"ALL"&amp;"|lw")+COUNTIFS(HLTV_Long!$A$2:$A$443,$A13&amp;"|A|"&amp;"ALL"&amp;"|wl")),"")))</f>
        <v>7.625</v>
      </c>
      <c r="AM13" s="9" t="n">
        <f aca="false">IF($W13="","",COUNTIFS(HLTV_Long!$A$2:$A$443,$A13&amp;"|A|"&amp;$W13&amp;"|lw")+COUNTIFS(HLTV_Long!$A$2:$A$443,$A13&amp;"|B|"&amp;$W13&amp;"|wl")+COUNTIFS(HLTV_Long!$A$2:$A$443,$A13&amp;"|B|"&amp;$W13&amp;"|lw")+COUNTIFS(HLTV_Long!$A$2:$A$443,$A13&amp;"|A|"&amp;$W13&amp;"|wl"))</f>
        <v>4</v>
      </c>
      <c r="AN13" s="17" t="n">
        <f aca="false">IF(OR($AK13="",$AL13="",$AF13=""),"",13+$AF13*$AK13+(1-$AF13)*$AL13)</f>
        <v>20.259516</v>
      </c>
      <c r="AO13" s="17" t="n">
        <f aca="false">IF($AN13="","",$AF13*(13-$AK13)-(1-$AF13)*(13-$AL13))</f>
        <v>0.898684</v>
      </c>
      <c r="AP13" s="10" t="n">
        <f aca="false">IF($AN13="","",($AF13*13+(1-$AF13)*$AL13)/$AN13)</f>
        <v>0.522179305764264</v>
      </c>
      <c r="AQ13" s="17" t="n">
        <f aca="false">IF($X13="","",IFERROR((SUMIFS(HLTV_Long!$B$2:$B$443,HLTV_Long!$A$2:$A$443,$A13&amp;"|A|"&amp;$X13&amp;"|lw")+SUMIFS(HLTV_Long!$B$2:$B$443,HLTV_Long!$A$2:$A$443,$A13&amp;"|B|"&amp;$X13&amp;"|wl"))/(COUNTIFS(HLTV_Long!$A$2:$A$443,$A13&amp;"|A|"&amp;$X13&amp;"|lw")+COUNTIFS(HLTV_Long!$A$2:$A$443,$A13&amp;"|B|"&amp;$X13&amp;"|wl")),IFERROR((SUMIFS(HLTV_Long!$B$2:$B$443,HLTV_Long!$A$2:$A$443,$A13&amp;"|A|"&amp;"ALL"&amp;"|lw")+SUMIFS(HLTV_Long!$B$2:$B$443,HLTV_Long!$A$2:$A$443,$A13&amp;"|B|"&amp;"ALL"&amp;"|wl"))/(COUNTIFS(HLTV_Long!$A$2:$A$443,$A13&amp;"|A|"&amp;"ALL"&amp;"|lw")+COUNTIFS(HLTV_Long!$A$2:$A$443,$A13&amp;"|B|"&amp;"ALL"&amp;"|wl")),"")))</f>
        <v>6.69</v>
      </c>
      <c r="AR13" s="17" t="n">
        <f aca="false">IF($X13="","",IFERROR((SUMIFS(HLTV_Long!$B$2:$B$443,HLTV_Long!$A$2:$A$443,$A13&amp;"|B|"&amp;$X13&amp;"|lw")+SUMIFS(HLTV_Long!$B$2:$B$443,HLTV_Long!$A$2:$A$443,$A13&amp;"|A|"&amp;$X13&amp;"|wl"))/(COUNTIFS(HLTV_Long!$A$2:$A$443,$A13&amp;"|B|"&amp;$X13&amp;"|lw")+COUNTIFS(HLTV_Long!$A$2:$A$443,$A13&amp;"|A|"&amp;$X13&amp;"|wl")),IFERROR((SUMIFS(HLTV_Long!$B$2:$B$443,HLTV_Long!$A$2:$A$443,$A13&amp;"|B|"&amp;"ALL"&amp;"|lw")+SUMIFS(HLTV_Long!$B$2:$B$443,HLTV_Long!$A$2:$A$443,$A13&amp;"|A|"&amp;"ALL"&amp;"|wl"))/(COUNTIFS(HLTV_Long!$A$2:$A$443,$A13&amp;"|B|"&amp;"ALL"&amp;"|lw")+COUNTIFS(HLTV_Long!$A$2:$A$443,$A13&amp;"|A|"&amp;"ALL"&amp;"|wl")),"")))</f>
        <v>10.25</v>
      </c>
      <c r="AS13" s="9" t="n">
        <f aca="false">IF($X13="","",COUNTIFS(HLTV_Long!$A$2:$A$443,$A13&amp;"|A|"&amp;$X13&amp;"|lw")+COUNTIFS(HLTV_Long!$A$2:$A$443,$A13&amp;"|B|"&amp;$X13&amp;"|wl")+COUNTIFS(HLTV_Long!$A$2:$A$443,$A13&amp;"|B|"&amp;$X13&amp;"|lw")+COUNTIFS(HLTV_Long!$A$2:$A$443,$A13&amp;"|A|"&amp;$X13&amp;"|wl"))</f>
        <v>4</v>
      </c>
      <c r="AT13" s="17" t="n">
        <f aca="false">IF(OR($AQ13="",$AR13="",$AG13=""),"",13+$AG13*$AQ13+(1-$AG13)*$AR13)</f>
        <v>21.537284</v>
      </c>
      <c r="AU13" s="17" t="n">
        <f aca="false">IF($AT13="","",$AG13*(13-$AQ13)-(1-$AG13)*(13-$AR13))</f>
        <v>1.608766</v>
      </c>
      <c r="AV13" s="10" t="n">
        <f aca="false">IF($AT13="","",($AG13*13+(1-$AG13)*$AR13)/$AT13)</f>
        <v>0.537348395461563</v>
      </c>
      <c r="AW13" s="17" t="n">
        <f aca="false">IF($Y13="","",IFERROR((SUMIFS(HLTV_Long!$B$2:$B$443,HLTV_Long!$A$2:$A$443,$A13&amp;"|A|"&amp;$Y13&amp;"|lw")+SUMIFS(HLTV_Long!$B$2:$B$443,HLTV_Long!$A$2:$A$443,$A13&amp;"|B|"&amp;$Y13&amp;"|wl"))/(COUNTIFS(HLTV_Long!$A$2:$A$443,$A13&amp;"|A|"&amp;$Y13&amp;"|lw")+COUNTIFS(HLTV_Long!$A$2:$A$443,$A13&amp;"|B|"&amp;$Y13&amp;"|wl")),IFERROR((SUMIFS(HLTV_Long!$B$2:$B$443,HLTV_Long!$A$2:$A$443,$A13&amp;"|A|"&amp;"ALL"&amp;"|lw")+SUMIFS(HLTV_Long!$B$2:$B$443,HLTV_Long!$A$2:$A$443,$A13&amp;"|B|"&amp;"ALL"&amp;"|wl"))/(COUNTIFS(HLTV_Long!$A$2:$A$443,$A13&amp;"|A|"&amp;"ALL"&amp;"|lw")+COUNTIFS(HLTV_Long!$A$2:$A$443,$A13&amp;"|B|"&amp;"ALL"&amp;"|wl")),"")))</f>
        <v>7.25</v>
      </c>
      <c r="AX13" s="17" t="n">
        <f aca="false">IF($Y13="","",IFERROR((SUMIFS(HLTV_Long!$B$2:$B$443,HLTV_Long!$A$2:$A$443,$A13&amp;"|B|"&amp;$Y13&amp;"|lw")+SUMIFS(HLTV_Long!$B$2:$B$443,HLTV_Long!$A$2:$A$443,$A13&amp;"|A|"&amp;$Y13&amp;"|wl"))/(COUNTIFS(HLTV_Long!$A$2:$A$443,$A13&amp;"|B|"&amp;$Y13&amp;"|lw")+COUNTIFS(HLTV_Long!$A$2:$A$443,$A13&amp;"|A|"&amp;$Y13&amp;"|wl")),IFERROR((SUMIFS(HLTV_Long!$B$2:$B$443,HLTV_Long!$A$2:$A$443,$A13&amp;"|B|"&amp;"ALL"&amp;"|lw")+SUMIFS(HLTV_Long!$B$2:$B$443,HLTV_Long!$A$2:$A$443,$A13&amp;"|A|"&amp;"ALL"&amp;"|wl"))/(COUNTIFS(HLTV_Long!$A$2:$A$443,$A13&amp;"|B|"&amp;"ALL"&amp;"|lw")+COUNTIFS(HLTV_Long!$A$2:$A$443,$A13&amp;"|A|"&amp;"ALL"&amp;"|wl")),"")))</f>
        <v>8.2</v>
      </c>
      <c r="AY13" s="9" t="n">
        <f aca="false">IF($Y13="","",COUNTIFS(HLTV_Long!$A$2:$A$443,$A13&amp;"|A|"&amp;$Y13&amp;"|lw")+COUNTIFS(HLTV_Long!$A$2:$A$443,$A13&amp;"|B|"&amp;$Y13&amp;"|wl")+COUNTIFS(HLTV_Long!$A$2:$A$443,$A13&amp;"|B|"&amp;$Y13&amp;"|lw")+COUNTIFS(HLTV_Long!$A$2:$A$443,$A13&amp;"|A|"&amp;$Y13&amp;"|wl"))</f>
        <v>4</v>
      </c>
      <c r="AZ13" s="17" t="n">
        <f aca="false">IF(OR($AW13="",$AX13="",$AH13=""),"",13+$AH13*$AW13+(1-$AH13)*$AX13)</f>
        <v>20.717305</v>
      </c>
      <c r="BA13" s="17" t="n">
        <f aca="false">IF($AZ13="","",$AH13*(13-$AW13)-(1-$AH13)*(13-$AX13))</f>
        <v>0.560454999999999</v>
      </c>
      <c r="BB13" s="10" t="n">
        <f aca="false">IF($AZ13="","",($AH13*13+(1-$AH13)*$AX13)/$AZ13)</f>
        <v>0.513526252570013</v>
      </c>
    </row>
    <row r="14" customFormat="false" ht="15" hidden="false" customHeight="false" outlineLevel="0" collapsed="false">
      <c r="A14" s="0" t="s">
        <v>1199</v>
      </c>
      <c r="B14" s="0" t="s">
        <v>1139</v>
      </c>
      <c r="C14" s="0" t="s">
        <v>1200</v>
      </c>
      <c r="D14" s="0" t="n">
        <v>3</v>
      </c>
      <c r="E14" s="0" t="s">
        <v>749</v>
      </c>
      <c r="F14" s="0" t="s">
        <v>750</v>
      </c>
      <c r="G14" s="10" t="n">
        <v>0.615384615384615</v>
      </c>
      <c r="H14" s="10" t="n">
        <v>0.321701906862109</v>
      </c>
      <c r="I14" s="10" t="n">
        <v>0.180957322609937</v>
      </c>
      <c r="J14" s="10" t="n">
        <v>0.497340770527954</v>
      </c>
      <c r="K14" s="9" t="s">
        <v>1201</v>
      </c>
      <c r="L14" s="9" t="s">
        <v>1182</v>
      </c>
      <c r="M14" s="9" t="s">
        <v>1196</v>
      </c>
      <c r="N14" s="9" t="s">
        <v>1144</v>
      </c>
      <c r="O14" s="11" t="n">
        <v>21.3585329341317</v>
      </c>
      <c r="P14" s="11" t="n">
        <v>21.5</v>
      </c>
      <c r="Q14" s="11" t="n">
        <v>21.4231536926148</v>
      </c>
      <c r="R14" s="10" t="n">
        <v>0.146341463414634</v>
      </c>
      <c r="S14" s="11" t="n">
        <v>2.73972602739726</v>
      </c>
      <c r="T14" s="11"/>
      <c r="U14" s="11" t="n">
        <v>10.7141216991963</v>
      </c>
      <c r="V14" s="0" t="n">
        <v>511</v>
      </c>
      <c r="W14" s="14" t="s">
        <v>108</v>
      </c>
      <c r="X14" s="14" t="s">
        <v>95</v>
      </c>
      <c r="Y14" s="14" t="s">
        <v>145</v>
      </c>
      <c r="Z14" s="15" t="n">
        <v>21.36</v>
      </c>
      <c r="AA14" s="15" t="n">
        <v>21.5</v>
      </c>
      <c r="AB14" s="15" t="n">
        <v>21.42</v>
      </c>
      <c r="AC14" s="16" t="n">
        <v>0.4973</v>
      </c>
      <c r="AD14" s="9" t="s">
        <v>1202</v>
      </c>
      <c r="AE14" s="9" t="s">
        <v>1203</v>
      </c>
      <c r="AF14" s="10" t="n">
        <v>0.6154</v>
      </c>
      <c r="AG14" s="10" t="n">
        <v>0.5376</v>
      </c>
      <c r="AH14" s="10" t="n">
        <v>0.5703</v>
      </c>
      <c r="AI14" s="10" t="n">
        <f aca="false">IFERROR(INDEX(HLTV_Teams!$N$2:$N$35,MATCH($A14&amp;"|A",HLTV_Teams!$A$2:$A$35,0)),"")</f>
        <v>0.547063407003162</v>
      </c>
      <c r="AJ14" s="10" t="n">
        <f aca="false">IFERROR(INDEX(HLTV_Teams!$N$2:$N$35,MATCH($A14&amp;"|B",HLTV_Teams!$A$2:$A$35,0)),"")</f>
        <v>0.526743277654201</v>
      </c>
      <c r="AK14" s="17" t="n">
        <f aca="false">IF($W14="","",IFERROR((SUMIFS(HLTV_Long!$B$2:$B$443,HLTV_Long!$A$2:$A$443,$A14&amp;"|A|"&amp;$W14&amp;"|lw")+SUMIFS(HLTV_Long!$B$2:$B$443,HLTV_Long!$A$2:$A$443,$A14&amp;"|B|"&amp;$W14&amp;"|wl"))/(COUNTIFS(HLTV_Long!$A$2:$A$443,$A14&amp;"|A|"&amp;$W14&amp;"|lw")+COUNTIFS(HLTV_Long!$A$2:$A$443,$A14&amp;"|B|"&amp;$W14&amp;"|wl")),IFERROR((SUMIFS(HLTV_Long!$B$2:$B$443,HLTV_Long!$A$2:$A$443,$A14&amp;"|A|"&amp;"ALL"&amp;"|lw")+SUMIFS(HLTV_Long!$B$2:$B$443,HLTV_Long!$A$2:$A$443,$A14&amp;"|B|"&amp;"ALL"&amp;"|wl"))/(COUNTIFS(HLTV_Long!$A$2:$A$443,$A14&amp;"|A|"&amp;"ALL"&amp;"|lw")+COUNTIFS(HLTV_Long!$A$2:$A$443,$A14&amp;"|B|"&amp;"ALL"&amp;"|wl")),"")))</f>
        <v>7.43</v>
      </c>
      <c r="AL14" s="17" t="n">
        <f aca="false">IF($W14="","",IFERROR((SUMIFS(HLTV_Long!$B$2:$B$443,HLTV_Long!$A$2:$A$443,$A14&amp;"|B|"&amp;$W14&amp;"|lw")+SUMIFS(HLTV_Long!$B$2:$B$443,HLTV_Long!$A$2:$A$443,$A14&amp;"|A|"&amp;$W14&amp;"|wl"))/(COUNTIFS(HLTV_Long!$A$2:$A$443,$A14&amp;"|B|"&amp;$W14&amp;"|lw")+COUNTIFS(HLTV_Long!$A$2:$A$443,$A14&amp;"|A|"&amp;$W14&amp;"|wl")),IFERROR((SUMIFS(HLTV_Long!$B$2:$B$443,HLTV_Long!$A$2:$A$443,$A14&amp;"|B|"&amp;"ALL"&amp;"|lw")+SUMIFS(HLTV_Long!$B$2:$B$443,HLTV_Long!$A$2:$A$443,$A14&amp;"|A|"&amp;"ALL"&amp;"|wl"))/(COUNTIFS(HLTV_Long!$A$2:$A$443,$A14&amp;"|B|"&amp;"ALL"&amp;"|lw")+COUNTIFS(HLTV_Long!$A$2:$A$443,$A14&amp;"|A|"&amp;"ALL"&amp;"|wl")),"")))</f>
        <v>9.445</v>
      </c>
      <c r="AM14" s="9" t="n">
        <f aca="false">IF($W14="","",COUNTIFS(HLTV_Long!$A$2:$A$443,$A14&amp;"|A|"&amp;$W14&amp;"|lw")+COUNTIFS(HLTV_Long!$A$2:$A$443,$A14&amp;"|B|"&amp;$W14&amp;"|wl")+COUNTIFS(HLTV_Long!$A$2:$A$443,$A14&amp;"|B|"&amp;$W14&amp;"|lw")+COUNTIFS(HLTV_Long!$A$2:$A$443,$A14&amp;"|A|"&amp;$W14&amp;"|wl"))</f>
        <v>4</v>
      </c>
      <c r="AN14" s="17" t="n">
        <f aca="false">IF(OR($AK14="",$AL14="",$AF14=""),"",13+$AF14*$AK14+(1-$AF14)*$AL14)</f>
        <v>21.204969</v>
      </c>
      <c r="AO14" s="17" t="n">
        <f aca="false">IF($AN14="","",$AF14*(13-$AK14)-(1-$AF14)*(13-$AL14))</f>
        <v>2.060525</v>
      </c>
      <c r="AP14" s="10" t="n">
        <f aca="false">IF($AN14="","",($AF14*13+(1-$AF14)*$AL14)/$AN14)</f>
        <v>0.548585899842627</v>
      </c>
      <c r="AQ14" s="17" t="n">
        <f aca="false">IF($X14="","",IFERROR((SUMIFS(HLTV_Long!$B$2:$B$443,HLTV_Long!$A$2:$A$443,$A14&amp;"|A|"&amp;$X14&amp;"|lw")+SUMIFS(HLTV_Long!$B$2:$B$443,HLTV_Long!$A$2:$A$443,$A14&amp;"|B|"&amp;$X14&amp;"|wl"))/(COUNTIFS(HLTV_Long!$A$2:$A$443,$A14&amp;"|A|"&amp;$X14&amp;"|lw")+COUNTIFS(HLTV_Long!$A$2:$A$443,$A14&amp;"|B|"&amp;$X14&amp;"|wl")),IFERROR((SUMIFS(HLTV_Long!$B$2:$B$443,HLTV_Long!$A$2:$A$443,$A14&amp;"|A|"&amp;"ALL"&amp;"|lw")+SUMIFS(HLTV_Long!$B$2:$B$443,HLTV_Long!$A$2:$A$443,$A14&amp;"|B|"&amp;"ALL"&amp;"|wl"))/(COUNTIFS(HLTV_Long!$A$2:$A$443,$A14&amp;"|A|"&amp;"ALL"&amp;"|lw")+COUNTIFS(HLTV_Long!$A$2:$A$443,$A14&amp;"|B|"&amp;"ALL"&amp;"|wl")),"")))</f>
        <v>7.875</v>
      </c>
      <c r="AR14" s="17" t="n">
        <f aca="false">IF($X14="","",IFERROR((SUMIFS(HLTV_Long!$B$2:$B$443,HLTV_Long!$A$2:$A$443,$A14&amp;"|B|"&amp;$X14&amp;"|lw")+SUMIFS(HLTV_Long!$B$2:$B$443,HLTV_Long!$A$2:$A$443,$A14&amp;"|A|"&amp;$X14&amp;"|wl"))/(COUNTIFS(HLTV_Long!$A$2:$A$443,$A14&amp;"|B|"&amp;$X14&amp;"|lw")+COUNTIFS(HLTV_Long!$A$2:$A$443,$A14&amp;"|A|"&amp;$X14&amp;"|wl")),IFERROR((SUMIFS(HLTV_Long!$B$2:$B$443,HLTV_Long!$A$2:$A$443,$A14&amp;"|B|"&amp;"ALL"&amp;"|lw")+SUMIFS(HLTV_Long!$B$2:$B$443,HLTV_Long!$A$2:$A$443,$A14&amp;"|A|"&amp;"ALL"&amp;"|wl"))/(COUNTIFS(HLTV_Long!$A$2:$A$443,$A14&amp;"|B|"&amp;"ALL"&amp;"|lw")+COUNTIFS(HLTV_Long!$A$2:$A$443,$A14&amp;"|A|"&amp;"ALL"&amp;"|wl")),"")))</f>
        <v>9.5</v>
      </c>
      <c r="AS14" s="9" t="n">
        <f aca="false">IF($X14="","",COUNTIFS(HLTV_Long!$A$2:$A$443,$A14&amp;"|A|"&amp;$X14&amp;"|lw")+COUNTIFS(HLTV_Long!$A$2:$A$443,$A14&amp;"|B|"&amp;$X14&amp;"|wl")+COUNTIFS(HLTV_Long!$A$2:$A$443,$A14&amp;"|B|"&amp;$X14&amp;"|lw")+COUNTIFS(HLTV_Long!$A$2:$A$443,$A14&amp;"|A|"&amp;$X14&amp;"|wl"))</f>
        <v>4</v>
      </c>
      <c r="AT14" s="17" t="n">
        <f aca="false">IF(OR($AQ14="",$AR14="",$AG14=""),"",13+$AG14*$AQ14+(1-$AG14)*$AR14)</f>
        <v>21.6264</v>
      </c>
      <c r="AU14" s="17" t="n">
        <f aca="false">IF($AT14="","",$AG14*(13-$AQ14)-(1-$AG14)*(13-$AR14))</f>
        <v>1.1368</v>
      </c>
      <c r="AV14" s="10" t="n">
        <f aca="false">IF($AT14="","",($AG14*13+(1-$AG14)*$AR14)/$AT14)</f>
        <v>0.526282691525173</v>
      </c>
      <c r="AW14" s="17" t="n">
        <f aca="false">IF($Y14="","",IFERROR((SUMIFS(HLTV_Long!$B$2:$B$443,HLTV_Long!$A$2:$A$443,$A14&amp;"|A|"&amp;$Y14&amp;"|lw")+SUMIFS(HLTV_Long!$B$2:$B$443,HLTV_Long!$A$2:$A$443,$A14&amp;"|B|"&amp;$Y14&amp;"|wl"))/(COUNTIFS(HLTV_Long!$A$2:$A$443,$A14&amp;"|A|"&amp;$Y14&amp;"|lw")+COUNTIFS(HLTV_Long!$A$2:$A$443,$A14&amp;"|B|"&amp;$Y14&amp;"|wl")),IFERROR((SUMIFS(HLTV_Long!$B$2:$B$443,HLTV_Long!$A$2:$A$443,$A14&amp;"|A|"&amp;"ALL"&amp;"|lw")+SUMIFS(HLTV_Long!$B$2:$B$443,HLTV_Long!$A$2:$A$443,$A14&amp;"|B|"&amp;"ALL"&amp;"|wl"))/(COUNTIFS(HLTV_Long!$A$2:$A$443,$A14&amp;"|A|"&amp;"ALL"&amp;"|lw")+COUNTIFS(HLTV_Long!$A$2:$A$443,$A14&amp;"|B|"&amp;"ALL"&amp;"|wl")),"")))</f>
        <v>6.915</v>
      </c>
      <c r="AX14" s="17" t="n">
        <f aca="false">IF($Y14="","",IFERROR((SUMIFS(HLTV_Long!$B$2:$B$443,HLTV_Long!$A$2:$A$443,$A14&amp;"|B|"&amp;$Y14&amp;"|lw")+SUMIFS(HLTV_Long!$B$2:$B$443,HLTV_Long!$A$2:$A$443,$A14&amp;"|A|"&amp;$Y14&amp;"|wl"))/(COUNTIFS(HLTV_Long!$A$2:$A$443,$A14&amp;"|B|"&amp;$Y14&amp;"|lw")+COUNTIFS(HLTV_Long!$A$2:$A$443,$A14&amp;"|A|"&amp;$Y14&amp;"|wl")),IFERROR((SUMIFS(HLTV_Long!$B$2:$B$443,HLTV_Long!$A$2:$A$443,$A14&amp;"|B|"&amp;"ALL"&amp;"|lw")+SUMIFS(HLTV_Long!$B$2:$B$443,HLTV_Long!$A$2:$A$443,$A14&amp;"|A|"&amp;"ALL"&amp;"|wl"))/(COUNTIFS(HLTV_Long!$A$2:$A$443,$A14&amp;"|B|"&amp;"ALL"&amp;"|lw")+COUNTIFS(HLTV_Long!$A$2:$A$443,$A14&amp;"|A|"&amp;"ALL"&amp;"|wl")),"")))</f>
        <v>7.135</v>
      </c>
      <c r="AY14" s="9" t="n">
        <f aca="false">IF($Y14="","",COUNTIFS(HLTV_Long!$A$2:$A$443,$A14&amp;"|A|"&amp;$Y14&amp;"|lw")+COUNTIFS(HLTV_Long!$A$2:$A$443,$A14&amp;"|B|"&amp;$Y14&amp;"|wl")+COUNTIFS(HLTV_Long!$A$2:$A$443,$A14&amp;"|B|"&amp;$Y14&amp;"|lw")+COUNTIFS(HLTV_Long!$A$2:$A$443,$A14&amp;"|A|"&amp;$Y14&amp;"|wl"))</f>
        <v>4</v>
      </c>
      <c r="AZ14" s="17" t="n">
        <f aca="false">IF(OR($AW14="",$AX14="",$AH14=""),"",13+$AH14*$AW14+(1-$AH14)*$AX14)</f>
        <v>20.009534</v>
      </c>
      <c r="BA14" s="17" t="n">
        <f aca="false">IF($AZ14="","",$AH14*(13-$AW14)-(1-$AH14)*(13-$AX14))</f>
        <v>0.950085</v>
      </c>
      <c r="BB14" s="10" t="n">
        <f aca="false">IF($AZ14="","",($AH14*13+(1-$AH14)*$AX14)/$AZ14)</f>
        <v>0.523740807756942</v>
      </c>
    </row>
    <row r="15" customFormat="false" ht="15" hidden="false" customHeight="false" outlineLevel="0" collapsed="false">
      <c r="A15" s="0" t="s">
        <v>1204</v>
      </c>
      <c r="B15" s="0" t="s">
        <v>1139</v>
      </c>
      <c r="C15" s="0" t="s">
        <v>1200</v>
      </c>
      <c r="D15" s="0" t="n">
        <v>1</v>
      </c>
      <c r="E15" s="0" t="s">
        <v>793</v>
      </c>
      <c r="F15" s="0" t="s">
        <v>794</v>
      </c>
      <c r="G15" s="10"/>
      <c r="H15" s="10"/>
      <c r="I15" s="10"/>
      <c r="J15" s="10" t="n">
        <v>0</v>
      </c>
      <c r="K15" s="9" t="s">
        <v>1205</v>
      </c>
      <c r="L15" s="9" t="s">
        <v>1206</v>
      </c>
      <c r="M15" s="9" t="s">
        <v>1207</v>
      </c>
      <c r="N15" s="9" t="s">
        <v>1144</v>
      </c>
      <c r="O15" s="11"/>
      <c r="P15" s="11"/>
      <c r="Q15" s="11"/>
      <c r="R15" s="10"/>
      <c r="S15" s="11"/>
      <c r="T15" s="11"/>
      <c r="U15" s="11"/>
      <c r="V15" s="0" t="n">
        <v>0</v>
      </c>
      <c r="W15" s="14" t="s">
        <v>81</v>
      </c>
      <c r="X15" s="14" t="s">
        <v>139</v>
      </c>
      <c r="Y15" s="14"/>
      <c r="Z15" s="15" t="n">
        <f aca="false">Config!$B$7</f>
        <v>21.5</v>
      </c>
      <c r="AA15" s="15" t="n">
        <f aca="false">Config!$B$7</f>
        <v>21.5</v>
      </c>
      <c r="AB15" s="15"/>
      <c r="AC15" s="16" t="n">
        <v>0</v>
      </c>
      <c r="AD15" s="9" t="s">
        <v>1208</v>
      </c>
      <c r="AE15" s="9" t="s">
        <v>1209</v>
      </c>
      <c r="AF15" s="10"/>
      <c r="AG15" s="10"/>
      <c r="AH15" s="10"/>
      <c r="AI15" s="10" t="n">
        <f aca="false">IFERROR(INDEX(HLTV_Teams!$N$2:$N$35,MATCH($A15&amp;"|A",HLTV_Teams!$A$2:$A$35,0)),"")</f>
        <v>0.511015173639769</v>
      </c>
      <c r="AJ15" s="10" t="n">
        <f aca="false">IFERROR(INDEX(HLTV_Teams!$N$2:$N$35,MATCH($A15&amp;"|B",HLTV_Teams!$A$2:$A$35,0)),"")</f>
        <v>0.511786892975012</v>
      </c>
      <c r="AK15" s="17" t="n">
        <f aca="false">IF($W15="","",IFERROR((SUMIFS(HLTV_Long!$B$2:$B$443,HLTV_Long!$A$2:$A$443,$A15&amp;"|A|"&amp;$W15&amp;"|lw")+SUMIFS(HLTV_Long!$B$2:$B$443,HLTV_Long!$A$2:$A$443,$A15&amp;"|B|"&amp;$W15&amp;"|wl"))/(COUNTIFS(HLTV_Long!$A$2:$A$443,$A15&amp;"|A|"&amp;$W15&amp;"|lw")+COUNTIFS(HLTV_Long!$A$2:$A$443,$A15&amp;"|B|"&amp;$W15&amp;"|wl")),IFERROR((SUMIFS(HLTV_Long!$B$2:$B$443,HLTV_Long!$A$2:$A$443,$A15&amp;"|A|"&amp;"ALL"&amp;"|lw")+SUMIFS(HLTV_Long!$B$2:$B$443,HLTV_Long!$A$2:$A$443,$A15&amp;"|B|"&amp;"ALL"&amp;"|wl"))/(COUNTIFS(HLTV_Long!$A$2:$A$443,$A15&amp;"|A|"&amp;"ALL"&amp;"|lw")+COUNTIFS(HLTV_Long!$A$2:$A$443,$A15&amp;"|B|"&amp;"ALL"&amp;"|wl")),"")))</f>
        <v>8.355</v>
      </c>
      <c r="AL15" s="17" t="n">
        <f aca="false">IF($W15="","",IFERROR((SUMIFS(HLTV_Long!$B$2:$B$443,HLTV_Long!$A$2:$A$443,$A15&amp;"|B|"&amp;$W15&amp;"|lw")+SUMIFS(HLTV_Long!$B$2:$B$443,HLTV_Long!$A$2:$A$443,$A15&amp;"|A|"&amp;$W15&amp;"|wl"))/(COUNTIFS(HLTV_Long!$A$2:$A$443,$A15&amp;"|B|"&amp;$W15&amp;"|lw")+COUNTIFS(HLTV_Long!$A$2:$A$443,$A15&amp;"|A|"&amp;$W15&amp;"|wl")),IFERROR((SUMIFS(HLTV_Long!$B$2:$B$443,HLTV_Long!$A$2:$A$443,$A15&amp;"|B|"&amp;"ALL"&amp;"|lw")+SUMIFS(HLTV_Long!$B$2:$B$443,HLTV_Long!$A$2:$A$443,$A15&amp;"|A|"&amp;"ALL"&amp;"|wl"))/(COUNTIFS(HLTV_Long!$A$2:$A$443,$A15&amp;"|B|"&amp;"ALL"&amp;"|lw")+COUNTIFS(HLTV_Long!$A$2:$A$443,$A15&amp;"|A|"&amp;"ALL"&amp;"|wl")),"")))</f>
        <v>8.5</v>
      </c>
      <c r="AM15" s="9" t="n">
        <f aca="false">IF($W15="","",COUNTIFS(HLTV_Long!$A$2:$A$443,$A15&amp;"|A|"&amp;$W15&amp;"|lw")+COUNTIFS(HLTV_Long!$A$2:$A$443,$A15&amp;"|B|"&amp;$W15&amp;"|wl")+COUNTIFS(HLTV_Long!$A$2:$A$443,$A15&amp;"|B|"&amp;$W15&amp;"|lw")+COUNTIFS(HLTV_Long!$A$2:$A$443,$A15&amp;"|A|"&amp;$W15&amp;"|wl"))</f>
        <v>4</v>
      </c>
      <c r="AN15" s="17" t="str">
        <f aca="false">IF(OR($AK15="",$AL15="",$AF15=""),"",13+$AF15*$AK15+(1-$AF15)*$AL15)</f>
        <v/>
      </c>
      <c r="AO15" s="17" t="str">
        <f aca="false">IF($AN15="","",$AF15*(13-$AK15)-(1-$AF15)*(13-$AL15))</f>
        <v/>
      </c>
      <c r="AP15" s="10" t="str">
        <f aca="false">IF($AN15="","",($AF15*13+(1-$AF15)*$AL15)/$AN15)</f>
        <v/>
      </c>
      <c r="AQ15" s="17" t="n">
        <f aca="false">IF($X15="","",IFERROR((SUMIFS(HLTV_Long!$B$2:$B$443,HLTV_Long!$A$2:$A$443,$A15&amp;"|A|"&amp;$X15&amp;"|lw")+SUMIFS(HLTV_Long!$B$2:$B$443,HLTV_Long!$A$2:$A$443,$A15&amp;"|B|"&amp;$X15&amp;"|wl"))/(COUNTIFS(HLTV_Long!$A$2:$A$443,$A15&amp;"|A|"&amp;$X15&amp;"|lw")+COUNTIFS(HLTV_Long!$A$2:$A$443,$A15&amp;"|B|"&amp;$X15&amp;"|wl")),IFERROR((SUMIFS(HLTV_Long!$B$2:$B$443,HLTV_Long!$A$2:$A$443,$A15&amp;"|A|"&amp;"ALL"&amp;"|lw")+SUMIFS(HLTV_Long!$B$2:$B$443,HLTV_Long!$A$2:$A$443,$A15&amp;"|B|"&amp;"ALL"&amp;"|wl"))/(COUNTIFS(HLTV_Long!$A$2:$A$443,$A15&amp;"|A|"&amp;"ALL"&amp;"|lw")+COUNTIFS(HLTV_Long!$A$2:$A$443,$A15&amp;"|B|"&amp;"ALL"&amp;"|wl")),"")))</f>
        <v>9.215</v>
      </c>
      <c r="AR15" s="17" t="n">
        <f aca="false">IF($X15="","",IFERROR((SUMIFS(HLTV_Long!$B$2:$B$443,HLTV_Long!$A$2:$A$443,$A15&amp;"|B|"&amp;$X15&amp;"|lw")+SUMIFS(HLTV_Long!$B$2:$B$443,HLTV_Long!$A$2:$A$443,$A15&amp;"|A|"&amp;$X15&amp;"|wl"))/(COUNTIFS(HLTV_Long!$A$2:$A$443,$A15&amp;"|B|"&amp;$X15&amp;"|lw")+COUNTIFS(HLTV_Long!$A$2:$A$443,$A15&amp;"|A|"&amp;$X15&amp;"|wl")),IFERROR((SUMIFS(HLTV_Long!$B$2:$B$443,HLTV_Long!$A$2:$A$443,$A15&amp;"|B|"&amp;"ALL"&amp;"|lw")+SUMIFS(HLTV_Long!$B$2:$B$443,HLTV_Long!$A$2:$A$443,$A15&amp;"|A|"&amp;"ALL"&amp;"|wl"))/(COUNTIFS(HLTV_Long!$A$2:$A$443,$A15&amp;"|B|"&amp;"ALL"&amp;"|lw")+COUNTIFS(HLTV_Long!$A$2:$A$443,$A15&amp;"|A|"&amp;"ALL"&amp;"|wl")),"")))</f>
        <v>7.625</v>
      </c>
      <c r="AS15" s="9" t="n">
        <f aca="false">IF($X15="","",COUNTIFS(HLTV_Long!$A$2:$A$443,$A15&amp;"|A|"&amp;$X15&amp;"|lw")+COUNTIFS(HLTV_Long!$A$2:$A$443,$A15&amp;"|B|"&amp;$X15&amp;"|wl")+COUNTIFS(HLTV_Long!$A$2:$A$443,$A15&amp;"|B|"&amp;$X15&amp;"|lw")+COUNTIFS(HLTV_Long!$A$2:$A$443,$A15&amp;"|A|"&amp;$X15&amp;"|wl"))</f>
        <v>4</v>
      </c>
      <c r="AT15" s="17" t="str">
        <f aca="false">IF(OR($AQ15="",$AR15="",$AG15=""),"",13+$AG15*$AQ15+(1-$AG15)*$AR15)</f>
        <v/>
      </c>
      <c r="AU15" s="17" t="str">
        <f aca="false">IF($AT15="","",$AG15*(13-$AQ15)-(1-$AG15)*(13-$AR15))</f>
        <v/>
      </c>
      <c r="AV15" s="10" t="str">
        <f aca="false">IF($AT15="","",($AG15*13+(1-$AG15)*$AR15)/$AT15)</f>
        <v/>
      </c>
      <c r="AW15" s="17" t="str">
        <f aca="false">IF($Y15="","",IFERROR((SUMIFS(HLTV_Long!$B$2:$B$443,HLTV_Long!$A$2:$A$443,$A15&amp;"|A|"&amp;$Y15&amp;"|lw")+SUMIFS(HLTV_Long!$B$2:$B$443,HLTV_Long!$A$2:$A$443,$A15&amp;"|B|"&amp;$Y15&amp;"|wl"))/(COUNTIFS(HLTV_Long!$A$2:$A$443,$A15&amp;"|A|"&amp;$Y15&amp;"|lw")+COUNTIFS(HLTV_Long!$A$2:$A$443,$A15&amp;"|B|"&amp;$Y15&amp;"|wl")),IFERROR((SUMIFS(HLTV_Long!$B$2:$B$443,HLTV_Long!$A$2:$A$443,$A15&amp;"|A|"&amp;"ALL"&amp;"|lw")+SUMIFS(HLTV_Long!$B$2:$B$443,HLTV_Long!$A$2:$A$443,$A15&amp;"|B|"&amp;"ALL"&amp;"|wl"))/(COUNTIFS(HLTV_Long!$A$2:$A$443,$A15&amp;"|A|"&amp;"ALL"&amp;"|lw")+COUNTIFS(HLTV_Long!$A$2:$A$443,$A15&amp;"|B|"&amp;"ALL"&amp;"|wl")),"")))</f>
        <v/>
      </c>
      <c r="AX15" s="17" t="str">
        <f aca="false">IF($Y15="","",IFERROR((SUMIFS(HLTV_Long!$B$2:$B$443,HLTV_Long!$A$2:$A$443,$A15&amp;"|B|"&amp;$Y15&amp;"|lw")+SUMIFS(HLTV_Long!$B$2:$B$443,HLTV_Long!$A$2:$A$443,$A15&amp;"|A|"&amp;$Y15&amp;"|wl"))/(COUNTIFS(HLTV_Long!$A$2:$A$443,$A15&amp;"|B|"&amp;$Y15&amp;"|lw")+COUNTIFS(HLTV_Long!$A$2:$A$443,$A15&amp;"|A|"&amp;$Y15&amp;"|wl")),IFERROR((SUMIFS(HLTV_Long!$B$2:$B$443,HLTV_Long!$A$2:$A$443,$A15&amp;"|B|"&amp;"ALL"&amp;"|lw")+SUMIFS(HLTV_Long!$B$2:$B$443,HLTV_Long!$A$2:$A$443,$A15&amp;"|A|"&amp;"ALL"&amp;"|wl"))/(COUNTIFS(HLTV_Long!$A$2:$A$443,$A15&amp;"|B|"&amp;"ALL"&amp;"|lw")+COUNTIFS(HLTV_Long!$A$2:$A$443,$A15&amp;"|A|"&amp;"ALL"&amp;"|wl")),"")))</f>
        <v/>
      </c>
      <c r="AY15" s="0" t="str">
        <f aca="false">IF($Y15="","",COUNTIFS(HLTV_Long!$A$2:$A$443,$A15&amp;"|A|"&amp;$Y15&amp;"|lw")+COUNTIFS(HLTV_Long!$A$2:$A$443,$A15&amp;"|B|"&amp;$Y15&amp;"|wl")+COUNTIFS(HLTV_Long!$A$2:$A$443,$A15&amp;"|B|"&amp;$Y15&amp;"|lw")+COUNTIFS(HLTV_Long!$A$2:$A$443,$A15&amp;"|A|"&amp;$Y15&amp;"|wl"))</f>
        <v/>
      </c>
      <c r="AZ15" s="17" t="str">
        <f aca="false">IF(OR($AW15="",$AX15="",$AH15=""),"",13+$AH15*$AW15+(1-$AH15)*$AX15)</f>
        <v/>
      </c>
      <c r="BA15" s="17" t="str">
        <f aca="false">IF($AZ15="","",$AH15*(13-$AW15)-(1-$AH15)*(13-$AX15))</f>
        <v/>
      </c>
      <c r="BB15" s="10" t="str">
        <f aca="false">IF($AZ15="","",($AH15*13+(1-$AH15)*$AX15)/$AZ15)</f>
        <v/>
      </c>
    </row>
    <row r="16" customFormat="false" ht="15" hidden="false" customHeight="false" outlineLevel="0" collapsed="false">
      <c r="A16" s="0" t="s">
        <v>1210</v>
      </c>
      <c r="B16" s="0" t="s">
        <v>1139</v>
      </c>
      <c r="C16" s="0" t="s">
        <v>1211</v>
      </c>
      <c r="D16" s="0" t="n">
        <v>3</v>
      </c>
      <c r="E16" s="0" t="s">
        <v>828</v>
      </c>
      <c r="F16" s="0" t="s">
        <v>829</v>
      </c>
      <c r="G16" s="10" t="n">
        <v>0.938256658595642</v>
      </c>
      <c r="H16" s="10" t="n">
        <v>0.781969839354501</v>
      </c>
      <c r="I16" s="10" t="n">
        <v>0.0353450367388234</v>
      </c>
      <c r="J16" s="10" t="n">
        <v>0.182685123906675</v>
      </c>
      <c r="K16" s="9" t="s">
        <v>1207</v>
      </c>
      <c r="L16" s="9" t="s">
        <v>1182</v>
      </c>
      <c r="M16" s="9" t="s">
        <v>1212</v>
      </c>
      <c r="N16" s="9" t="s">
        <v>1144</v>
      </c>
      <c r="O16" s="11" t="n">
        <v>18.5291351227346</v>
      </c>
      <c r="P16" s="11" t="n">
        <v>18.5429634641407</v>
      </c>
      <c r="Q16" s="11"/>
      <c r="R16" s="10"/>
      <c r="S16" s="11" t="n">
        <v>7.46928438285112</v>
      </c>
      <c r="T16" s="11"/>
      <c r="U16" s="11"/>
      <c r="V16" s="0" t="n">
        <v>63</v>
      </c>
      <c r="W16" s="14" t="s">
        <v>108</v>
      </c>
      <c r="X16" s="14" t="s">
        <v>95</v>
      </c>
      <c r="Y16" s="14" t="s">
        <v>129</v>
      </c>
      <c r="Z16" s="15" t="n">
        <v>18.53</v>
      </c>
      <c r="AA16" s="15" t="n">
        <v>18.54</v>
      </c>
      <c r="AB16" s="15" t="n">
        <f aca="false">Config!$B$7</f>
        <v>21.5</v>
      </c>
      <c r="AC16" s="16" t="n">
        <v>0.1827</v>
      </c>
      <c r="AD16" s="9" t="s">
        <v>1213</v>
      </c>
      <c r="AE16" s="9" t="s">
        <v>1214</v>
      </c>
      <c r="AF16" s="10" t="n">
        <v>0.8852</v>
      </c>
      <c r="AG16" s="10" t="n">
        <v>0.884</v>
      </c>
      <c r="AH16" s="10" t="n">
        <v>0.9383</v>
      </c>
      <c r="AI16" s="10" t="n">
        <f aca="false">IFERROR(INDEX(HLTV_Teams!$N$2:$N$35,MATCH($A16&amp;"|A",HLTV_Teams!$A$2:$A$35,0)),"")</f>
        <v>0.485519775727063</v>
      </c>
      <c r="AJ16" s="10" t="n">
        <f aca="false">IFERROR(INDEX(HLTV_Teams!$N$2:$N$35,MATCH($A16&amp;"|B",HLTV_Teams!$A$2:$A$35,0)),"")</f>
        <v>0.567116005316119</v>
      </c>
      <c r="AK16" s="17" t="n">
        <f aca="false">IF($W16="","",IFERROR((SUMIFS(HLTV_Long!$B$2:$B$443,HLTV_Long!$A$2:$A$443,$A16&amp;"|A|"&amp;$W16&amp;"|lw")+SUMIFS(HLTV_Long!$B$2:$B$443,HLTV_Long!$A$2:$A$443,$A16&amp;"|B|"&amp;$W16&amp;"|wl"))/(COUNTIFS(HLTV_Long!$A$2:$A$443,$A16&amp;"|A|"&amp;$W16&amp;"|lw")+COUNTIFS(HLTV_Long!$A$2:$A$443,$A16&amp;"|B|"&amp;$W16&amp;"|wl")),IFERROR((SUMIFS(HLTV_Long!$B$2:$B$443,HLTV_Long!$A$2:$A$443,$A16&amp;"|A|"&amp;"ALL"&amp;"|lw")+SUMIFS(HLTV_Long!$B$2:$B$443,HLTV_Long!$A$2:$A$443,$A16&amp;"|B|"&amp;"ALL"&amp;"|wl"))/(COUNTIFS(HLTV_Long!$A$2:$A$443,$A16&amp;"|A|"&amp;"ALL"&amp;"|lw")+COUNTIFS(HLTV_Long!$A$2:$A$443,$A16&amp;"|B|"&amp;"ALL"&amp;"|wl")),"")))</f>
        <v>9.6</v>
      </c>
      <c r="AL16" s="17" t="n">
        <f aca="false">IF($W16="","",IFERROR((SUMIFS(HLTV_Long!$B$2:$B$443,HLTV_Long!$A$2:$A$443,$A16&amp;"|B|"&amp;$W16&amp;"|lw")+SUMIFS(HLTV_Long!$B$2:$B$443,HLTV_Long!$A$2:$A$443,$A16&amp;"|A|"&amp;$W16&amp;"|wl"))/(COUNTIFS(HLTV_Long!$A$2:$A$443,$A16&amp;"|B|"&amp;$W16&amp;"|lw")+COUNTIFS(HLTV_Long!$A$2:$A$443,$A16&amp;"|A|"&amp;$W16&amp;"|wl")),IFERROR((SUMIFS(HLTV_Long!$B$2:$B$443,HLTV_Long!$A$2:$A$443,$A16&amp;"|B|"&amp;"ALL"&amp;"|lw")+SUMIFS(HLTV_Long!$B$2:$B$443,HLTV_Long!$A$2:$A$443,$A16&amp;"|A|"&amp;"ALL"&amp;"|wl"))/(COUNTIFS(HLTV_Long!$A$2:$A$443,$A16&amp;"|B|"&amp;"ALL"&amp;"|lw")+COUNTIFS(HLTV_Long!$A$2:$A$443,$A16&amp;"|A|"&amp;"ALL"&amp;"|wl")),"")))</f>
        <v>7.8</v>
      </c>
      <c r="AM16" s="9" t="n">
        <f aca="false">IF($W16="","",COUNTIFS(HLTV_Long!$A$2:$A$443,$A16&amp;"|A|"&amp;$W16&amp;"|lw")+COUNTIFS(HLTV_Long!$A$2:$A$443,$A16&amp;"|B|"&amp;$W16&amp;"|wl")+COUNTIFS(HLTV_Long!$A$2:$A$443,$A16&amp;"|B|"&amp;$W16&amp;"|lw")+COUNTIFS(HLTV_Long!$A$2:$A$443,$A16&amp;"|A|"&amp;$W16&amp;"|wl"))</f>
        <v>4</v>
      </c>
      <c r="AN16" s="17" t="n">
        <f aca="false">IF(OR($AK16="",$AL16="",$AF16=""),"",13+$AF16*$AK16+(1-$AF16)*$AL16)</f>
        <v>22.39336</v>
      </c>
      <c r="AO16" s="17" t="n">
        <f aca="false">IF($AN16="","",$AF16*(13-$AK16)-(1-$AF16)*(13-$AL16))</f>
        <v>2.41272</v>
      </c>
      <c r="AP16" s="10" t="n">
        <f aca="false">IF($AN16="","",($AF16*13+(1-$AF16)*$AL16)/$AN16)</f>
        <v>0.553871326143107</v>
      </c>
      <c r="AQ16" s="17" t="n">
        <f aca="false">IF($X16="","",IFERROR((SUMIFS(HLTV_Long!$B$2:$B$443,HLTV_Long!$A$2:$A$443,$A16&amp;"|A|"&amp;$X16&amp;"|lw")+SUMIFS(HLTV_Long!$B$2:$B$443,HLTV_Long!$A$2:$A$443,$A16&amp;"|B|"&amp;$X16&amp;"|wl"))/(COUNTIFS(HLTV_Long!$A$2:$A$443,$A16&amp;"|A|"&amp;$X16&amp;"|lw")+COUNTIFS(HLTV_Long!$A$2:$A$443,$A16&amp;"|B|"&amp;$X16&amp;"|wl")),IFERROR((SUMIFS(HLTV_Long!$B$2:$B$443,HLTV_Long!$A$2:$A$443,$A16&amp;"|A|"&amp;"ALL"&amp;"|lw")+SUMIFS(HLTV_Long!$B$2:$B$443,HLTV_Long!$A$2:$A$443,$A16&amp;"|B|"&amp;"ALL"&amp;"|wl"))/(COUNTIFS(HLTV_Long!$A$2:$A$443,$A16&amp;"|A|"&amp;"ALL"&amp;"|lw")+COUNTIFS(HLTV_Long!$A$2:$A$443,$A16&amp;"|B|"&amp;"ALL"&amp;"|wl")),"")))</f>
        <v>7.75</v>
      </c>
      <c r="AR16" s="17" t="n">
        <f aca="false">IF($X16="","",IFERROR((SUMIFS(HLTV_Long!$B$2:$B$443,HLTV_Long!$A$2:$A$443,$A16&amp;"|B|"&amp;$X16&amp;"|lw")+SUMIFS(HLTV_Long!$B$2:$B$443,HLTV_Long!$A$2:$A$443,$A16&amp;"|A|"&amp;$X16&amp;"|wl"))/(COUNTIFS(HLTV_Long!$A$2:$A$443,$A16&amp;"|B|"&amp;$X16&amp;"|lw")+COUNTIFS(HLTV_Long!$A$2:$A$443,$A16&amp;"|A|"&amp;$X16&amp;"|wl")),IFERROR((SUMIFS(HLTV_Long!$B$2:$B$443,HLTV_Long!$A$2:$A$443,$A16&amp;"|B|"&amp;"ALL"&amp;"|lw")+SUMIFS(HLTV_Long!$B$2:$B$443,HLTV_Long!$A$2:$A$443,$A16&amp;"|A|"&amp;"ALL"&amp;"|wl"))/(COUNTIFS(HLTV_Long!$A$2:$A$443,$A16&amp;"|B|"&amp;"ALL"&amp;"|lw")+COUNTIFS(HLTV_Long!$A$2:$A$443,$A16&amp;"|A|"&amp;"ALL"&amp;"|wl")),"")))</f>
        <v>5</v>
      </c>
      <c r="AS16" s="9" t="n">
        <f aca="false">IF($X16="","",COUNTIFS(HLTV_Long!$A$2:$A$443,$A16&amp;"|A|"&amp;$X16&amp;"|lw")+COUNTIFS(HLTV_Long!$A$2:$A$443,$A16&amp;"|B|"&amp;$X16&amp;"|wl")+COUNTIFS(HLTV_Long!$A$2:$A$443,$A16&amp;"|B|"&amp;$X16&amp;"|lw")+COUNTIFS(HLTV_Long!$A$2:$A$443,$A16&amp;"|A|"&amp;$X16&amp;"|wl"))</f>
        <v>4</v>
      </c>
      <c r="AT16" s="17" t="n">
        <f aca="false">IF(OR($AQ16="",$AR16="",$AG16=""),"",13+$AG16*$AQ16+(1-$AG16)*$AR16)</f>
        <v>20.431</v>
      </c>
      <c r="AU16" s="17" t="n">
        <f aca="false">IF($AT16="","",$AG16*(13-$AQ16)-(1-$AG16)*(13-$AR16))</f>
        <v>3.713</v>
      </c>
      <c r="AV16" s="10" t="n">
        <f aca="false">IF($AT16="","",($AG16*13+(1-$AG16)*$AR16)/$AT16)</f>
        <v>0.590866820028388</v>
      </c>
      <c r="AW16" s="17" t="n">
        <f aca="false">IF($Y16="","",IFERROR((SUMIFS(HLTV_Long!$B$2:$B$443,HLTV_Long!$A$2:$A$443,$A16&amp;"|A|"&amp;$Y16&amp;"|lw")+SUMIFS(HLTV_Long!$B$2:$B$443,HLTV_Long!$A$2:$A$443,$A16&amp;"|B|"&amp;$Y16&amp;"|wl"))/(COUNTIFS(HLTV_Long!$A$2:$A$443,$A16&amp;"|A|"&amp;$Y16&amp;"|lw")+COUNTIFS(HLTV_Long!$A$2:$A$443,$A16&amp;"|B|"&amp;$Y16&amp;"|wl")),IFERROR((SUMIFS(HLTV_Long!$B$2:$B$443,HLTV_Long!$A$2:$A$443,$A16&amp;"|A|"&amp;"ALL"&amp;"|lw")+SUMIFS(HLTV_Long!$B$2:$B$443,HLTV_Long!$A$2:$A$443,$A16&amp;"|B|"&amp;"ALL"&amp;"|wl"))/(COUNTIFS(HLTV_Long!$A$2:$A$443,$A16&amp;"|A|"&amp;"ALL"&amp;"|lw")+COUNTIFS(HLTV_Long!$A$2:$A$443,$A16&amp;"|B|"&amp;"ALL"&amp;"|wl")),"")))</f>
        <v>5.5</v>
      </c>
      <c r="AX16" s="17" t="n">
        <f aca="false">IF($Y16="","",IFERROR((SUMIFS(HLTV_Long!$B$2:$B$443,HLTV_Long!$A$2:$A$443,$A16&amp;"|B|"&amp;$Y16&amp;"|lw")+SUMIFS(HLTV_Long!$B$2:$B$443,HLTV_Long!$A$2:$A$443,$A16&amp;"|A|"&amp;$Y16&amp;"|wl"))/(COUNTIFS(HLTV_Long!$A$2:$A$443,$A16&amp;"|B|"&amp;$Y16&amp;"|lw")+COUNTIFS(HLTV_Long!$A$2:$A$443,$A16&amp;"|A|"&amp;$Y16&amp;"|wl")),IFERROR((SUMIFS(HLTV_Long!$B$2:$B$443,HLTV_Long!$A$2:$A$443,$A16&amp;"|B|"&amp;"ALL"&amp;"|lw")+SUMIFS(HLTV_Long!$B$2:$B$443,HLTV_Long!$A$2:$A$443,$A16&amp;"|A|"&amp;"ALL"&amp;"|wl"))/(COUNTIFS(HLTV_Long!$A$2:$A$443,$A16&amp;"|B|"&amp;"ALL"&amp;"|lw")+COUNTIFS(HLTV_Long!$A$2:$A$443,$A16&amp;"|A|"&amp;"ALL"&amp;"|wl")),"")))</f>
        <v>6.6</v>
      </c>
      <c r="AY16" s="9" t="n">
        <f aca="false">IF($Y16="","",COUNTIFS(HLTV_Long!$A$2:$A$443,$A16&amp;"|A|"&amp;$Y16&amp;"|lw")+COUNTIFS(HLTV_Long!$A$2:$A$443,$A16&amp;"|B|"&amp;$Y16&amp;"|wl")+COUNTIFS(HLTV_Long!$A$2:$A$443,$A16&amp;"|B|"&amp;$Y16&amp;"|lw")+COUNTIFS(HLTV_Long!$A$2:$A$443,$A16&amp;"|A|"&amp;$Y16&amp;"|wl"))</f>
        <v>4</v>
      </c>
      <c r="AZ16" s="17" t="n">
        <f aca="false">IF(OR($AW16="",$AX16="",$AH16=""),"",13+$AH16*$AW16+(1-$AH16)*$AX16)</f>
        <v>18.56787</v>
      </c>
      <c r="BA16" s="17" t="n">
        <f aca="false">IF($AZ16="","",$AH16*(13-$AW16)-(1-$AH16)*(13-$AX16))</f>
        <v>6.64237</v>
      </c>
      <c r="BB16" s="10" t="n">
        <f aca="false">IF($AZ16="","",($AH16*13+(1-$AH16)*$AX16)/$AZ16)</f>
        <v>0.678867312190359</v>
      </c>
    </row>
    <row r="17" customFormat="false" ht="15" hidden="false" customHeight="false" outlineLevel="0" collapsed="false">
      <c r="A17" s="0" t="s">
        <v>1215</v>
      </c>
      <c r="B17" s="0" t="s">
        <v>1139</v>
      </c>
      <c r="C17" s="0" t="s">
        <v>1216</v>
      </c>
      <c r="D17" s="0" t="n">
        <v>3</v>
      </c>
      <c r="E17" s="0" t="s">
        <v>856</v>
      </c>
      <c r="F17" s="0" t="s">
        <v>857</v>
      </c>
      <c r="G17" s="10" t="n">
        <v>0.44</v>
      </c>
      <c r="H17" s="10" t="n">
        <v>0.211762809784158</v>
      </c>
      <c r="I17" s="10" t="n">
        <v>0.292086634185046</v>
      </c>
      <c r="J17" s="10" t="n">
        <v>0.496150556030796</v>
      </c>
      <c r="K17" s="9" t="s">
        <v>1217</v>
      </c>
      <c r="L17" s="9" t="s">
        <v>1218</v>
      </c>
      <c r="M17" s="9" t="s">
        <v>1219</v>
      </c>
      <c r="N17" s="9" t="s">
        <v>1144</v>
      </c>
      <c r="O17" s="11" t="n">
        <v>21.4231536926148</v>
      </c>
      <c r="P17" s="11" t="n">
        <v>21.5</v>
      </c>
      <c r="Q17" s="11" t="n">
        <v>21.5</v>
      </c>
      <c r="R17" s="10" t="n">
        <v>0.159420289855073</v>
      </c>
      <c r="S17" s="11" t="n">
        <v>-2.10727969348659</v>
      </c>
      <c r="T17" s="11" t="n">
        <v>11.2858783008037</v>
      </c>
      <c r="U17" s="11"/>
      <c r="V17" s="0" t="n">
        <v>485</v>
      </c>
      <c r="W17" s="14" t="s">
        <v>108</v>
      </c>
      <c r="X17" s="14" t="s">
        <v>145</v>
      </c>
      <c r="Y17" s="14" t="s">
        <v>81</v>
      </c>
      <c r="Z17" s="15" t="n">
        <v>21.42</v>
      </c>
      <c r="AA17" s="15" t="n">
        <v>21.5</v>
      </c>
      <c r="AB17" s="15" t="n">
        <v>21.5</v>
      </c>
      <c r="AC17" s="16" t="n">
        <v>0.4962</v>
      </c>
      <c r="AD17" s="9" t="s">
        <v>1220</v>
      </c>
      <c r="AE17" s="9" t="s">
        <v>1221</v>
      </c>
      <c r="AF17" s="10" t="n">
        <v>0.4297</v>
      </c>
      <c r="AG17" s="10" t="n">
        <v>0.5</v>
      </c>
      <c r="AH17" s="10" t="n">
        <v>0.4624</v>
      </c>
      <c r="AI17" s="10" t="n">
        <f aca="false">IFERROR(INDEX(HLTV_Teams!$N$2:$N$35,MATCH($A17&amp;"|A",HLTV_Teams!$A$2:$A$35,0)),"")</f>
        <v>0.504737583235877</v>
      </c>
      <c r="AJ17" s="10" t="n">
        <f aca="false">IFERROR(INDEX(HLTV_Teams!$N$2:$N$35,MATCH($A17&amp;"|B",HLTV_Teams!$A$2:$A$35,0)),"")</f>
        <v>0.532105570388234</v>
      </c>
      <c r="AK17" s="17" t="n">
        <f aca="false">IF($W17="","",IFERROR((SUMIFS(HLTV_Long!$B$2:$B$443,HLTV_Long!$A$2:$A$443,$A17&amp;"|A|"&amp;$W17&amp;"|lw")+SUMIFS(HLTV_Long!$B$2:$B$443,HLTV_Long!$A$2:$A$443,$A17&amp;"|B|"&amp;$W17&amp;"|wl"))/(COUNTIFS(HLTV_Long!$A$2:$A$443,$A17&amp;"|A|"&amp;$W17&amp;"|lw")+COUNTIFS(HLTV_Long!$A$2:$A$443,$A17&amp;"|B|"&amp;$W17&amp;"|wl")),IFERROR((SUMIFS(HLTV_Long!$B$2:$B$443,HLTV_Long!$A$2:$A$443,$A17&amp;"|A|"&amp;"ALL"&amp;"|lw")+SUMIFS(HLTV_Long!$B$2:$B$443,HLTV_Long!$A$2:$A$443,$A17&amp;"|B|"&amp;"ALL"&amp;"|wl"))/(COUNTIFS(HLTV_Long!$A$2:$A$443,$A17&amp;"|A|"&amp;"ALL"&amp;"|lw")+COUNTIFS(HLTV_Long!$A$2:$A$443,$A17&amp;"|B|"&amp;"ALL"&amp;"|wl")),"")))</f>
        <v>9.785</v>
      </c>
      <c r="AL17" s="17" t="n">
        <f aca="false">IF($W17="","",IFERROR((SUMIFS(HLTV_Long!$B$2:$B$443,HLTV_Long!$A$2:$A$443,$A17&amp;"|B|"&amp;$W17&amp;"|lw")+SUMIFS(HLTV_Long!$B$2:$B$443,HLTV_Long!$A$2:$A$443,$A17&amp;"|A|"&amp;$W17&amp;"|wl"))/(COUNTIFS(HLTV_Long!$A$2:$A$443,$A17&amp;"|B|"&amp;$W17&amp;"|lw")+COUNTIFS(HLTV_Long!$A$2:$A$443,$A17&amp;"|A|"&amp;$W17&amp;"|wl")),IFERROR((SUMIFS(HLTV_Long!$B$2:$B$443,HLTV_Long!$A$2:$A$443,$A17&amp;"|B|"&amp;"ALL"&amp;"|lw")+SUMIFS(HLTV_Long!$B$2:$B$443,HLTV_Long!$A$2:$A$443,$A17&amp;"|A|"&amp;"ALL"&amp;"|wl"))/(COUNTIFS(HLTV_Long!$A$2:$A$443,$A17&amp;"|B|"&amp;"ALL"&amp;"|lw")+COUNTIFS(HLTV_Long!$A$2:$A$443,$A17&amp;"|A|"&amp;"ALL"&amp;"|wl")),"")))</f>
        <v>6.595</v>
      </c>
      <c r="AM17" s="9" t="n">
        <f aca="false">IF($W17="","",COUNTIFS(HLTV_Long!$A$2:$A$443,$A17&amp;"|A|"&amp;$W17&amp;"|lw")+COUNTIFS(HLTV_Long!$A$2:$A$443,$A17&amp;"|B|"&amp;$W17&amp;"|wl")+COUNTIFS(HLTV_Long!$A$2:$A$443,$A17&amp;"|B|"&amp;$W17&amp;"|lw")+COUNTIFS(HLTV_Long!$A$2:$A$443,$A17&amp;"|A|"&amp;$W17&amp;"|wl"))</f>
        <v>4</v>
      </c>
      <c r="AN17" s="17" t="n">
        <f aca="false">IF(OR($AK17="",$AL17="",$AF17=""),"",13+$AF17*$AK17+(1-$AF17)*$AL17)</f>
        <v>20.965743</v>
      </c>
      <c r="AO17" s="17" t="n">
        <f aca="false">IF($AN17="","",$AF17*(13-$AK17)-(1-$AF17)*(13-$AL17))</f>
        <v>-2.271286</v>
      </c>
      <c r="AP17" s="10" t="n">
        <f aca="false">IF($AN17="","",($AF17*13+(1-$AF17)*$AL17)/$AN17)</f>
        <v>0.445833400705141</v>
      </c>
      <c r="AQ17" s="17" t="n">
        <f aca="false">IF($X17="","",IFERROR((SUMIFS(HLTV_Long!$B$2:$B$443,HLTV_Long!$A$2:$A$443,$A17&amp;"|A|"&amp;$X17&amp;"|lw")+SUMIFS(HLTV_Long!$B$2:$B$443,HLTV_Long!$A$2:$A$443,$A17&amp;"|B|"&amp;$X17&amp;"|wl"))/(COUNTIFS(HLTV_Long!$A$2:$A$443,$A17&amp;"|A|"&amp;$X17&amp;"|lw")+COUNTIFS(HLTV_Long!$A$2:$A$443,$A17&amp;"|B|"&amp;$X17&amp;"|wl")),IFERROR((SUMIFS(HLTV_Long!$B$2:$B$443,HLTV_Long!$A$2:$A$443,$A17&amp;"|A|"&amp;"ALL"&amp;"|lw")+SUMIFS(HLTV_Long!$B$2:$B$443,HLTV_Long!$A$2:$A$443,$A17&amp;"|B|"&amp;"ALL"&amp;"|wl"))/(COUNTIFS(HLTV_Long!$A$2:$A$443,$A17&amp;"|A|"&amp;"ALL"&amp;"|lw")+COUNTIFS(HLTV_Long!$A$2:$A$443,$A17&amp;"|B|"&amp;"ALL"&amp;"|wl")),"")))</f>
        <v>9.75</v>
      </c>
      <c r="AR17" s="17" t="n">
        <f aca="false">IF($X17="","",IFERROR((SUMIFS(HLTV_Long!$B$2:$B$443,HLTV_Long!$A$2:$A$443,$A17&amp;"|B|"&amp;$X17&amp;"|lw")+SUMIFS(HLTV_Long!$B$2:$B$443,HLTV_Long!$A$2:$A$443,$A17&amp;"|A|"&amp;$X17&amp;"|wl"))/(COUNTIFS(HLTV_Long!$A$2:$A$443,$A17&amp;"|B|"&amp;$X17&amp;"|lw")+COUNTIFS(HLTV_Long!$A$2:$A$443,$A17&amp;"|A|"&amp;$X17&amp;"|wl")),IFERROR((SUMIFS(HLTV_Long!$B$2:$B$443,HLTV_Long!$A$2:$A$443,$A17&amp;"|B|"&amp;"ALL"&amp;"|lw")+SUMIFS(HLTV_Long!$B$2:$B$443,HLTV_Long!$A$2:$A$443,$A17&amp;"|A|"&amp;"ALL"&amp;"|wl"))/(COUNTIFS(HLTV_Long!$A$2:$A$443,$A17&amp;"|B|"&amp;"ALL"&amp;"|lw")+COUNTIFS(HLTV_Long!$A$2:$A$443,$A17&amp;"|A|"&amp;"ALL"&amp;"|wl")),"")))</f>
        <v>5.19</v>
      </c>
      <c r="AS17" s="9" t="n">
        <f aca="false">IF($X17="","",COUNTIFS(HLTV_Long!$A$2:$A$443,$A17&amp;"|A|"&amp;$X17&amp;"|lw")+COUNTIFS(HLTV_Long!$A$2:$A$443,$A17&amp;"|B|"&amp;$X17&amp;"|wl")+COUNTIFS(HLTV_Long!$A$2:$A$443,$A17&amp;"|B|"&amp;$X17&amp;"|lw")+COUNTIFS(HLTV_Long!$A$2:$A$443,$A17&amp;"|A|"&amp;$X17&amp;"|wl"))</f>
        <v>4</v>
      </c>
      <c r="AT17" s="17" t="n">
        <f aca="false">IF(OR($AQ17="",$AR17="",$AG17=""),"",13+$AG17*$AQ17+(1-$AG17)*$AR17)</f>
        <v>20.47</v>
      </c>
      <c r="AU17" s="17" t="n">
        <f aca="false">IF($AT17="","",$AG17*(13-$AQ17)-(1-$AG17)*(13-$AR17))</f>
        <v>-2.28</v>
      </c>
      <c r="AV17" s="10" t="n">
        <f aca="false">IF($AT17="","",($AG17*13+(1-$AG17)*$AR17)/$AT17)</f>
        <v>0.444308744504152</v>
      </c>
      <c r="AW17" s="17" t="n">
        <f aca="false">IF($Y17="","",IFERROR((SUMIFS(HLTV_Long!$B$2:$B$443,HLTV_Long!$A$2:$A$443,$A17&amp;"|A|"&amp;$Y17&amp;"|lw")+SUMIFS(HLTV_Long!$B$2:$B$443,HLTV_Long!$A$2:$A$443,$A17&amp;"|B|"&amp;$Y17&amp;"|wl"))/(COUNTIFS(HLTV_Long!$A$2:$A$443,$A17&amp;"|A|"&amp;$Y17&amp;"|lw")+COUNTIFS(HLTV_Long!$A$2:$A$443,$A17&amp;"|B|"&amp;$Y17&amp;"|wl")),IFERROR((SUMIFS(HLTV_Long!$B$2:$B$443,HLTV_Long!$A$2:$A$443,$A17&amp;"|A|"&amp;"ALL"&amp;"|lw")+SUMIFS(HLTV_Long!$B$2:$B$443,HLTV_Long!$A$2:$A$443,$A17&amp;"|B|"&amp;"ALL"&amp;"|wl"))/(COUNTIFS(HLTV_Long!$A$2:$A$443,$A17&amp;"|A|"&amp;"ALL"&amp;"|lw")+COUNTIFS(HLTV_Long!$A$2:$A$443,$A17&amp;"|B|"&amp;"ALL"&amp;"|wl")),"")))</f>
        <v>9.335</v>
      </c>
      <c r="AX17" s="17" t="n">
        <f aca="false">IF($Y17="","",IFERROR((SUMIFS(HLTV_Long!$B$2:$B$443,HLTV_Long!$A$2:$A$443,$A17&amp;"|B|"&amp;$Y17&amp;"|lw")+SUMIFS(HLTV_Long!$B$2:$B$443,HLTV_Long!$A$2:$A$443,$A17&amp;"|A|"&amp;$Y17&amp;"|wl"))/(COUNTIFS(HLTV_Long!$A$2:$A$443,$A17&amp;"|B|"&amp;$Y17&amp;"|lw")+COUNTIFS(HLTV_Long!$A$2:$A$443,$A17&amp;"|A|"&amp;$Y17&amp;"|wl")),IFERROR((SUMIFS(HLTV_Long!$B$2:$B$443,HLTV_Long!$A$2:$A$443,$A17&amp;"|B|"&amp;"ALL"&amp;"|lw")+SUMIFS(HLTV_Long!$B$2:$B$443,HLTV_Long!$A$2:$A$443,$A17&amp;"|A|"&amp;"ALL"&amp;"|wl"))/(COUNTIFS(HLTV_Long!$A$2:$A$443,$A17&amp;"|B|"&amp;"ALL"&amp;"|lw")+COUNTIFS(HLTV_Long!$A$2:$A$443,$A17&amp;"|A|"&amp;"ALL"&amp;"|wl")),"")))</f>
        <v>8.145</v>
      </c>
      <c r="AY17" s="9" t="n">
        <f aca="false">IF($Y17="","",COUNTIFS(HLTV_Long!$A$2:$A$443,$A17&amp;"|A|"&amp;$Y17&amp;"|lw")+COUNTIFS(HLTV_Long!$A$2:$A$443,$A17&amp;"|B|"&amp;$Y17&amp;"|wl")+COUNTIFS(HLTV_Long!$A$2:$A$443,$A17&amp;"|B|"&amp;$Y17&amp;"|lw")+COUNTIFS(HLTV_Long!$A$2:$A$443,$A17&amp;"|A|"&amp;$Y17&amp;"|wl"))</f>
        <v>4</v>
      </c>
      <c r="AZ17" s="17" t="n">
        <f aca="false">IF(OR($AW17="",$AX17="",$AH17=""),"",13+$AH17*$AW17+(1-$AH17)*$AX17)</f>
        <v>21.695256</v>
      </c>
      <c r="BA17" s="17" t="n">
        <f aca="false">IF($AZ17="","",$AH17*(13-$AW17)-(1-$AH17)*(13-$AX17))</f>
        <v>-0.915352000000001</v>
      </c>
      <c r="BB17" s="10" t="n">
        <f aca="false">IF($AZ17="","",($AH17*13+(1-$AH17)*$AX17)/$AZ17)</f>
        <v>0.478904328208895</v>
      </c>
    </row>
    <row r="18" customFormat="false" ht="15" hidden="false" customHeight="false" outlineLevel="0" collapsed="false">
      <c r="A18" s="0" t="s">
        <v>1222</v>
      </c>
      <c r="B18" s="0" t="s">
        <v>1139</v>
      </c>
      <c r="C18" s="0" t="s">
        <v>1223</v>
      </c>
      <c r="D18" s="0" t="n">
        <v>3</v>
      </c>
      <c r="E18" s="0" t="s">
        <v>903</v>
      </c>
      <c r="F18" s="0" t="s">
        <v>904</v>
      </c>
      <c r="G18" s="10" t="n">
        <v>0.756972111553785</v>
      </c>
      <c r="H18" s="10"/>
      <c r="I18" s="10"/>
      <c r="J18" s="10"/>
      <c r="K18" s="9" t="s">
        <v>1224</v>
      </c>
      <c r="L18" s="9" t="s">
        <v>1225</v>
      </c>
      <c r="M18" s="9" t="s">
        <v>1226</v>
      </c>
      <c r="N18" s="9" t="s">
        <v>1144</v>
      </c>
      <c r="O18" s="11"/>
      <c r="P18" s="11"/>
      <c r="Q18" s="11"/>
      <c r="R18" s="10"/>
      <c r="S18" s="11"/>
      <c r="T18" s="11"/>
      <c r="U18" s="11"/>
      <c r="V18" s="0" t="n">
        <v>7</v>
      </c>
      <c r="W18" s="14" t="s">
        <v>81</v>
      </c>
      <c r="X18" s="14" t="s">
        <v>95</v>
      </c>
      <c r="Y18" s="14" t="s">
        <v>139</v>
      </c>
      <c r="Z18" s="15" t="n">
        <f aca="false">Config!$B$7</f>
        <v>21.5</v>
      </c>
      <c r="AA18" s="15" t="n">
        <f aca="false">Config!$B$7</f>
        <v>21.5</v>
      </c>
      <c r="AB18" s="15" t="n">
        <f aca="false">Config!$B$7</f>
        <v>21.5</v>
      </c>
      <c r="AC18" s="16" t="n">
        <v>0</v>
      </c>
      <c r="AD18" s="9" t="s">
        <v>1227</v>
      </c>
      <c r="AE18" s="9" t="s">
        <v>1228</v>
      </c>
      <c r="AF18" s="10" t="n">
        <v>0.6699</v>
      </c>
      <c r="AG18" s="10" t="n">
        <v>0.7014</v>
      </c>
      <c r="AH18" s="10" t="n">
        <v>0.6699</v>
      </c>
      <c r="AI18" s="10" t="n">
        <f aca="false">IFERROR(INDEX(HLTV_Teams!$N$2:$N$35,MATCH($A18&amp;"|A",HLTV_Teams!$A$2:$A$35,0)),"")</f>
        <v>0.542138318980539</v>
      </c>
      <c r="AJ18" s="10" t="n">
        <f aca="false">IFERROR(INDEX(HLTV_Teams!$N$2:$N$35,MATCH($A18&amp;"|B",HLTV_Teams!$A$2:$A$35,0)),"")</f>
        <v>0.535600953528311</v>
      </c>
      <c r="AK18" s="17" t="n">
        <f aca="false">IF($W18="","",IFERROR((SUMIFS(HLTV_Long!$B$2:$B$443,HLTV_Long!$A$2:$A$443,$A18&amp;"|A|"&amp;$W18&amp;"|lw")+SUMIFS(HLTV_Long!$B$2:$B$443,HLTV_Long!$A$2:$A$443,$A18&amp;"|B|"&amp;$W18&amp;"|wl"))/(COUNTIFS(HLTV_Long!$A$2:$A$443,$A18&amp;"|A|"&amp;$W18&amp;"|lw")+COUNTIFS(HLTV_Long!$A$2:$A$443,$A18&amp;"|B|"&amp;$W18&amp;"|wl")),IFERROR((SUMIFS(HLTV_Long!$B$2:$B$443,HLTV_Long!$A$2:$A$443,$A18&amp;"|A|"&amp;"ALL"&amp;"|lw")+SUMIFS(HLTV_Long!$B$2:$B$443,HLTV_Long!$A$2:$A$443,$A18&amp;"|B|"&amp;"ALL"&amp;"|wl"))/(COUNTIFS(HLTV_Long!$A$2:$A$443,$A18&amp;"|A|"&amp;"ALL"&amp;"|lw")+COUNTIFS(HLTV_Long!$A$2:$A$443,$A18&amp;"|B|"&amp;"ALL"&amp;"|wl")),"")))</f>
        <v>7.44</v>
      </c>
      <c r="AL18" s="17" t="n">
        <f aca="false">IF($W18="","",IFERROR((SUMIFS(HLTV_Long!$B$2:$B$443,HLTV_Long!$A$2:$A$443,$A18&amp;"|B|"&amp;$W18&amp;"|lw")+SUMIFS(HLTV_Long!$B$2:$B$443,HLTV_Long!$A$2:$A$443,$A18&amp;"|A|"&amp;$W18&amp;"|wl"))/(COUNTIFS(HLTV_Long!$A$2:$A$443,$A18&amp;"|B|"&amp;$W18&amp;"|lw")+COUNTIFS(HLTV_Long!$A$2:$A$443,$A18&amp;"|A|"&amp;$W18&amp;"|wl")),IFERROR((SUMIFS(HLTV_Long!$B$2:$B$443,HLTV_Long!$A$2:$A$443,$A18&amp;"|B|"&amp;"ALL"&amp;"|lw")+SUMIFS(HLTV_Long!$B$2:$B$443,HLTV_Long!$A$2:$A$443,$A18&amp;"|A|"&amp;"ALL"&amp;"|wl"))/(COUNTIFS(HLTV_Long!$A$2:$A$443,$A18&amp;"|B|"&amp;"ALL"&amp;"|lw")+COUNTIFS(HLTV_Long!$A$2:$A$443,$A18&amp;"|A|"&amp;"ALL"&amp;"|wl")),"")))</f>
        <v>10</v>
      </c>
      <c r="AM18" s="9" t="n">
        <f aca="false">IF($W18="","",COUNTIFS(HLTV_Long!$A$2:$A$443,$A18&amp;"|A|"&amp;$W18&amp;"|lw")+COUNTIFS(HLTV_Long!$A$2:$A$443,$A18&amp;"|B|"&amp;$W18&amp;"|wl")+COUNTIFS(HLTV_Long!$A$2:$A$443,$A18&amp;"|B|"&amp;$W18&amp;"|lw")+COUNTIFS(HLTV_Long!$A$2:$A$443,$A18&amp;"|A|"&amp;$W18&amp;"|wl"))</f>
        <v>4</v>
      </c>
      <c r="AN18" s="17" t="n">
        <f aca="false">IF(OR($AK18="",$AL18="",$AF18=""),"",13+$AF18*$AK18+(1-$AF18)*$AL18)</f>
        <v>21.285056</v>
      </c>
      <c r="AO18" s="17" t="n">
        <f aca="false">IF($AN18="","",$AF18*(13-$AK18)-(1-$AF18)*(13-$AL18))</f>
        <v>2.734344</v>
      </c>
      <c r="AP18" s="10" t="n">
        <f aca="false">IF($AN18="","",($AF18*13+(1-$AF18)*$AL18)/$AN18)</f>
        <v>0.564231543482902</v>
      </c>
      <c r="AQ18" s="17" t="n">
        <f aca="false">IF($X18="","",IFERROR((SUMIFS(HLTV_Long!$B$2:$B$443,HLTV_Long!$A$2:$A$443,$A18&amp;"|A|"&amp;$X18&amp;"|lw")+SUMIFS(HLTV_Long!$B$2:$B$443,HLTV_Long!$A$2:$A$443,$A18&amp;"|B|"&amp;$X18&amp;"|wl"))/(COUNTIFS(HLTV_Long!$A$2:$A$443,$A18&amp;"|A|"&amp;$X18&amp;"|lw")+COUNTIFS(HLTV_Long!$A$2:$A$443,$A18&amp;"|B|"&amp;$X18&amp;"|wl")),IFERROR((SUMIFS(HLTV_Long!$B$2:$B$443,HLTV_Long!$A$2:$A$443,$A18&amp;"|A|"&amp;"ALL"&amp;"|lw")+SUMIFS(HLTV_Long!$B$2:$B$443,HLTV_Long!$A$2:$A$443,$A18&amp;"|B|"&amp;"ALL"&amp;"|wl"))/(COUNTIFS(HLTV_Long!$A$2:$A$443,$A18&amp;"|A|"&amp;"ALL"&amp;"|lw")+COUNTIFS(HLTV_Long!$A$2:$A$443,$A18&amp;"|B|"&amp;"ALL"&amp;"|wl")),"")))</f>
        <v>7.475</v>
      </c>
      <c r="AR18" s="17" t="n">
        <f aca="false">IF($X18="","",IFERROR((SUMIFS(HLTV_Long!$B$2:$B$443,HLTV_Long!$A$2:$A$443,$A18&amp;"|B|"&amp;$X18&amp;"|lw")+SUMIFS(HLTV_Long!$B$2:$B$443,HLTV_Long!$A$2:$A$443,$A18&amp;"|A|"&amp;$X18&amp;"|wl"))/(COUNTIFS(HLTV_Long!$A$2:$A$443,$A18&amp;"|B|"&amp;$X18&amp;"|lw")+COUNTIFS(HLTV_Long!$A$2:$A$443,$A18&amp;"|A|"&amp;$X18&amp;"|wl")),IFERROR((SUMIFS(HLTV_Long!$B$2:$B$443,HLTV_Long!$A$2:$A$443,$A18&amp;"|B|"&amp;"ALL"&amp;"|lw")+SUMIFS(HLTV_Long!$B$2:$B$443,HLTV_Long!$A$2:$A$443,$A18&amp;"|A|"&amp;"ALL"&amp;"|wl"))/(COUNTIFS(HLTV_Long!$A$2:$A$443,$A18&amp;"|B|"&amp;"ALL"&amp;"|lw")+COUNTIFS(HLTV_Long!$A$2:$A$443,$A18&amp;"|A|"&amp;"ALL"&amp;"|wl")),"")))</f>
        <v>7.425</v>
      </c>
      <c r="AS18" s="9" t="n">
        <f aca="false">IF($X18="","",COUNTIFS(HLTV_Long!$A$2:$A$443,$A18&amp;"|A|"&amp;$X18&amp;"|lw")+COUNTIFS(HLTV_Long!$A$2:$A$443,$A18&amp;"|B|"&amp;$X18&amp;"|wl")+COUNTIFS(HLTV_Long!$A$2:$A$443,$A18&amp;"|B|"&amp;$X18&amp;"|lw")+COUNTIFS(HLTV_Long!$A$2:$A$443,$A18&amp;"|A|"&amp;$X18&amp;"|wl"))</f>
        <v>4</v>
      </c>
      <c r="AT18" s="17" t="n">
        <f aca="false">IF(OR($AQ18="",$AR18="",$AG18=""),"",13+$AG18*$AQ18+(1-$AG18)*$AR18)</f>
        <v>20.46007</v>
      </c>
      <c r="AU18" s="17" t="n">
        <f aca="false">IF($AT18="","",$AG18*(13-$AQ18)-(1-$AG18)*(13-$AR18))</f>
        <v>2.21054</v>
      </c>
      <c r="AV18" s="10" t="n">
        <f aca="false">IF($AT18="","",($AG18*13+(1-$AG18)*$AR18)/$AT18)</f>
        <v>0.554020831795786</v>
      </c>
      <c r="AW18" s="17" t="n">
        <f aca="false">IF($Y18="","",IFERROR((SUMIFS(HLTV_Long!$B$2:$B$443,HLTV_Long!$A$2:$A$443,$A18&amp;"|A|"&amp;$Y18&amp;"|lw")+SUMIFS(HLTV_Long!$B$2:$B$443,HLTV_Long!$A$2:$A$443,$A18&amp;"|B|"&amp;$Y18&amp;"|wl"))/(COUNTIFS(HLTV_Long!$A$2:$A$443,$A18&amp;"|A|"&amp;$Y18&amp;"|lw")+COUNTIFS(HLTV_Long!$A$2:$A$443,$A18&amp;"|B|"&amp;$Y18&amp;"|wl")),IFERROR((SUMIFS(HLTV_Long!$B$2:$B$443,HLTV_Long!$A$2:$A$443,$A18&amp;"|A|"&amp;"ALL"&amp;"|lw")+SUMIFS(HLTV_Long!$B$2:$B$443,HLTV_Long!$A$2:$A$443,$A18&amp;"|B|"&amp;"ALL"&amp;"|wl"))/(COUNTIFS(HLTV_Long!$A$2:$A$443,$A18&amp;"|A|"&amp;"ALL"&amp;"|lw")+COUNTIFS(HLTV_Long!$A$2:$A$443,$A18&amp;"|B|"&amp;"ALL"&amp;"|wl")),"")))</f>
        <v>8.585</v>
      </c>
      <c r="AX18" s="17" t="n">
        <f aca="false">IF($Y18="","",IFERROR((SUMIFS(HLTV_Long!$B$2:$B$443,HLTV_Long!$A$2:$A$443,$A18&amp;"|B|"&amp;$Y18&amp;"|lw")+SUMIFS(HLTV_Long!$B$2:$B$443,HLTV_Long!$A$2:$A$443,$A18&amp;"|A|"&amp;$Y18&amp;"|wl"))/(COUNTIFS(HLTV_Long!$A$2:$A$443,$A18&amp;"|B|"&amp;$Y18&amp;"|lw")+COUNTIFS(HLTV_Long!$A$2:$A$443,$A18&amp;"|A|"&amp;$Y18&amp;"|wl")),IFERROR((SUMIFS(HLTV_Long!$B$2:$B$443,HLTV_Long!$A$2:$A$443,$A18&amp;"|B|"&amp;"ALL"&amp;"|lw")+SUMIFS(HLTV_Long!$B$2:$B$443,HLTV_Long!$A$2:$A$443,$A18&amp;"|A|"&amp;"ALL"&amp;"|wl"))/(COUNTIFS(HLTV_Long!$A$2:$A$443,$A18&amp;"|B|"&amp;"ALL"&amp;"|lw")+COUNTIFS(HLTV_Long!$A$2:$A$443,$A18&amp;"|A|"&amp;"ALL"&amp;"|wl")),"")))</f>
        <v>7.525</v>
      </c>
      <c r="AY18" s="9" t="n">
        <f aca="false">IF($Y18="","",COUNTIFS(HLTV_Long!$A$2:$A$443,$A18&amp;"|A|"&amp;$Y18&amp;"|lw")+COUNTIFS(HLTV_Long!$A$2:$A$443,$A18&amp;"|B|"&amp;$Y18&amp;"|wl")+COUNTIFS(HLTV_Long!$A$2:$A$443,$A18&amp;"|B|"&amp;$Y18&amp;"|lw")+COUNTIFS(HLTV_Long!$A$2:$A$443,$A18&amp;"|A|"&amp;$Y18&amp;"|wl"))</f>
        <v>4</v>
      </c>
      <c r="AZ18" s="17" t="n">
        <f aca="false">IF(OR($AW18="",$AX18="",$AH18=""),"",13+$AH18*$AW18+(1-$AH18)*$AX18)</f>
        <v>21.235094</v>
      </c>
      <c r="BA18" s="17" t="n">
        <f aca="false">IF($AZ18="","",$AH18*(13-$AW18)-(1-$AH18)*(13-$AX18))</f>
        <v>1.150311</v>
      </c>
      <c r="BB18" s="10" t="n">
        <f aca="false">IF($AZ18="","",($AH18*13+(1-$AH18)*$AX18)/$AZ18)</f>
        <v>0.527085140287112</v>
      </c>
    </row>
    <row r="19" customFormat="false" ht="15" hidden="false" customHeight="false" outlineLevel="0" collapsed="false">
      <c r="A19" s="0" t="s">
        <v>1229</v>
      </c>
      <c r="B19" s="0" t="s">
        <v>1139</v>
      </c>
      <c r="C19" s="0" t="s">
        <v>1223</v>
      </c>
      <c r="D19" s="0" t="n">
        <v>3</v>
      </c>
      <c r="E19" s="0" t="s">
        <v>955</v>
      </c>
      <c r="F19" s="0" t="s">
        <v>956</v>
      </c>
      <c r="G19" s="10" t="n">
        <v>0.922863954472045</v>
      </c>
      <c r="H19" s="10"/>
      <c r="I19" s="10"/>
      <c r="J19" s="10"/>
      <c r="K19" s="9" t="s">
        <v>1230</v>
      </c>
      <c r="L19" s="9" t="s">
        <v>1231</v>
      </c>
      <c r="M19" s="9" t="s">
        <v>1232</v>
      </c>
      <c r="N19" s="9" t="s">
        <v>1144</v>
      </c>
      <c r="O19" s="11"/>
      <c r="P19" s="11"/>
      <c r="Q19" s="11"/>
      <c r="R19" s="10"/>
      <c r="S19" s="11"/>
      <c r="T19" s="11"/>
      <c r="U19" s="11"/>
      <c r="V19" s="0" t="n">
        <v>7</v>
      </c>
      <c r="W19" s="14" t="s">
        <v>129</v>
      </c>
      <c r="X19" s="14" t="s">
        <v>108</v>
      </c>
      <c r="Y19" s="14" t="s">
        <v>139</v>
      </c>
      <c r="Z19" s="15" t="n">
        <f aca="false">Config!$B$7</f>
        <v>21.5</v>
      </c>
      <c r="AA19" s="15" t="n">
        <f aca="false">Config!$B$7</f>
        <v>21.5</v>
      </c>
      <c r="AB19" s="15" t="n">
        <f aca="false">Config!$B$7</f>
        <v>21.5</v>
      </c>
      <c r="AC19" s="16" t="n">
        <v>0</v>
      </c>
      <c r="AD19" s="9" t="s">
        <v>1233</v>
      </c>
      <c r="AE19" s="9" t="s">
        <v>1234</v>
      </c>
      <c r="AF19" s="10" t="n">
        <v>0.8685</v>
      </c>
      <c r="AG19" s="10" t="n">
        <v>0.885</v>
      </c>
      <c r="AH19" s="10" t="n">
        <v>0.8772</v>
      </c>
      <c r="AI19" s="10" t="n">
        <f aca="false">IFERROR(INDEX(HLTV_Teams!$N$2:$N$35,MATCH($A19&amp;"|A",HLTV_Teams!$A$2:$A$35,0)),"")</f>
        <v>0.536265306122449</v>
      </c>
      <c r="AJ19" s="10" t="str">
        <f aca="false">IFERROR(INDEX(HLTV_Teams!$N$2:$N$35,MATCH($A19&amp;"|B",HLTV_Teams!$A$2:$A$35,0)),"")</f>
        <v/>
      </c>
      <c r="AK19" s="17" t="n">
        <f aca="false">IF($W19="","",IFERROR((SUMIFS(HLTV_Long!$B$2:$B$443,HLTV_Long!$A$2:$A$443,$A19&amp;"|A|"&amp;$W19&amp;"|lw")+SUMIFS(HLTV_Long!$B$2:$B$443,HLTV_Long!$A$2:$A$443,$A19&amp;"|B|"&amp;$W19&amp;"|wl"))/(COUNTIFS(HLTV_Long!$A$2:$A$443,$A19&amp;"|A|"&amp;$W19&amp;"|lw")+COUNTIFS(HLTV_Long!$A$2:$A$443,$A19&amp;"|B|"&amp;$W19&amp;"|wl")),IFERROR((SUMIFS(HLTV_Long!$B$2:$B$443,HLTV_Long!$A$2:$A$443,$A19&amp;"|A|"&amp;"ALL"&amp;"|lw")+SUMIFS(HLTV_Long!$B$2:$B$443,HLTV_Long!$A$2:$A$443,$A19&amp;"|B|"&amp;"ALL"&amp;"|wl"))/(COUNTIFS(HLTV_Long!$A$2:$A$443,$A19&amp;"|A|"&amp;"ALL"&amp;"|lw")+COUNTIFS(HLTV_Long!$A$2:$A$443,$A19&amp;"|B|"&amp;"ALL"&amp;"|wl")),"")))</f>
        <v>5</v>
      </c>
      <c r="AL19" s="17" t="n">
        <f aca="false">IF($W19="","",IFERROR((SUMIFS(HLTV_Long!$B$2:$B$443,HLTV_Long!$A$2:$A$443,$A19&amp;"|B|"&amp;$W19&amp;"|lw")+SUMIFS(HLTV_Long!$B$2:$B$443,HLTV_Long!$A$2:$A$443,$A19&amp;"|A|"&amp;$W19&amp;"|wl"))/(COUNTIFS(HLTV_Long!$A$2:$A$443,$A19&amp;"|B|"&amp;$W19&amp;"|lw")+COUNTIFS(HLTV_Long!$A$2:$A$443,$A19&amp;"|A|"&amp;$W19&amp;"|wl")),IFERROR((SUMIFS(HLTV_Long!$B$2:$B$443,HLTV_Long!$A$2:$A$443,$A19&amp;"|B|"&amp;"ALL"&amp;"|lw")+SUMIFS(HLTV_Long!$B$2:$B$443,HLTV_Long!$A$2:$A$443,$A19&amp;"|A|"&amp;"ALL"&amp;"|wl"))/(COUNTIFS(HLTV_Long!$A$2:$A$443,$A19&amp;"|B|"&amp;"ALL"&amp;"|lw")+COUNTIFS(HLTV_Long!$A$2:$A$443,$A19&amp;"|A|"&amp;"ALL"&amp;"|wl")),"")))</f>
        <v>7</v>
      </c>
      <c r="AM19" s="9" t="n">
        <f aca="false">IF($W19="","",COUNTIFS(HLTV_Long!$A$2:$A$443,$A19&amp;"|A|"&amp;$W19&amp;"|lw")+COUNTIFS(HLTV_Long!$A$2:$A$443,$A19&amp;"|B|"&amp;$W19&amp;"|wl")+COUNTIFS(HLTV_Long!$A$2:$A$443,$A19&amp;"|B|"&amp;$W19&amp;"|lw")+COUNTIFS(HLTV_Long!$A$2:$A$443,$A19&amp;"|A|"&amp;$W19&amp;"|wl"))</f>
        <v>2</v>
      </c>
      <c r="AN19" s="17" t="n">
        <f aca="false">IF(OR($AK19="",$AL19="",$AF19=""),"",13+$AF19*$AK19+(1-$AF19)*$AL19)</f>
        <v>18.263</v>
      </c>
      <c r="AO19" s="17" t="n">
        <f aca="false">IF($AN19="","",$AF19*(13-$AK19)-(1-$AF19)*(13-$AL19))</f>
        <v>6.159</v>
      </c>
      <c r="AP19" s="10" t="n">
        <f aca="false">IF($AN19="","",($AF19*13+(1-$AF19)*$AL19)/$AN19)</f>
        <v>0.668619613426053</v>
      </c>
      <c r="AQ19" s="17" t="n">
        <f aca="false">IF($X19="","",IFERROR((SUMIFS(HLTV_Long!$B$2:$B$443,HLTV_Long!$A$2:$A$443,$A19&amp;"|A|"&amp;$X19&amp;"|lw")+SUMIFS(HLTV_Long!$B$2:$B$443,HLTV_Long!$A$2:$A$443,$A19&amp;"|B|"&amp;$X19&amp;"|wl"))/(COUNTIFS(HLTV_Long!$A$2:$A$443,$A19&amp;"|A|"&amp;$X19&amp;"|lw")+COUNTIFS(HLTV_Long!$A$2:$A$443,$A19&amp;"|B|"&amp;$X19&amp;"|wl")),IFERROR((SUMIFS(HLTV_Long!$B$2:$B$443,HLTV_Long!$A$2:$A$443,$A19&amp;"|A|"&amp;"ALL"&amp;"|lw")+SUMIFS(HLTV_Long!$B$2:$B$443,HLTV_Long!$A$2:$A$443,$A19&amp;"|B|"&amp;"ALL"&amp;"|wl"))/(COUNTIFS(HLTV_Long!$A$2:$A$443,$A19&amp;"|A|"&amp;"ALL"&amp;"|lw")+COUNTIFS(HLTV_Long!$A$2:$A$443,$A19&amp;"|B|"&amp;"ALL"&amp;"|wl")),"")))</f>
        <v>6.5</v>
      </c>
      <c r="AR19" s="17" t="n">
        <f aca="false">IF($X19="","",IFERROR((SUMIFS(HLTV_Long!$B$2:$B$443,HLTV_Long!$A$2:$A$443,$A19&amp;"|B|"&amp;$X19&amp;"|lw")+SUMIFS(HLTV_Long!$B$2:$B$443,HLTV_Long!$A$2:$A$443,$A19&amp;"|A|"&amp;$X19&amp;"|wl"))/(COUNTIFS(HLTV_Long!$A$2:$A$443,$A19&amp;"|B|"&amp;$X19&amp;"|lw")+COUNTIFS(HLTV_Long!$A$2:$A$443,$A19&amp;"|A|"&amp;$X19&amp;"|wl")),IFERROR((SUMIFS(HLTV_Long!$B$2:$B$443,HLTV_Long!$A$2:$A$443,$A19&amp;"|B|"&amp;"ALL"&amp;"|lw")+SUMIFS(HLTV_Long!$B$2:$B$443,HLTV_Long!$A$2:$A$443,$A19&amp;"|A|"&amp;"ALL"&amp;"|wl"))/(COUNTIFS(HLTV_Long!$A$2:$A$443,$A19&amp;"|B|"&amp;"ALL"&amp;"|lw")+COUNTIFS(HLTV_Long!$A$2:$A$443,$A19&amp;"|A|"&amp;"ALL"&amp;"|wl")),"")))</f>
        <v>12.33</v>
      </c>
      <c r="AS19" s="9" t="n">
        <f aca="false">IF($X19="","",COUNTIFS(HLTV_Long!$A$2:$A$443,$A19&amp;"|A|"&amp;$X19&amp;"|lw")+COUNTIFS(HLTV_Long!$A$2:$A$443,$A19&amp;"|B|"&amp;$X19&amp;"|wl")+COUNTIFS(HLTV_Long!$A$2:$A$443,$A19&amp;"|B|"&amp;$X19&amp;"|lw")+COUNTIFS(HLTV_Long!$A$2:$A$443,$A19&amp;"|A|"&amp;$X19&amp;"|wl"))</f>
        <v>2</v>
      </c>
      <c r="AT19" s="17" t="n">
        <f aca="false">IF(OR($AQ19="",$AR19="",$AG19=""),"",13+$AG19*$AQ19+(1-$AG19)*$AR19)</f>
        <v>20.17045</v>
      </c>
      <c r="AU19" s="17" t="n">
        <f aca="false">IF($AT19="","",$AG19*(13-$AQ19)-(1-$AG19)*(13-$AR19))</f>
        <v>5.67545</v>
      </c>
      <c r="AV19" s="10" t="n">
        <f aca="false">IF($AT19="","",($AG19*13+(1-$AG19)*$AR19)/$AT19)</f>
        <v>0.640687242971773</v>
      </c>
      <c r="AW19" s="17" t="n">
        <f aca="false">IF($Y19="","",IFERROR((SUMIFS(HLTV_Long!$B$2:$B$443,HLTV_Long!$A$2:$A$443,$A19&amp;"|A|"&amp;$Y19&amp;"|lw")+SUMIFS(HLTV_Long!$B$2:$B$443,HLTV_Long!$A$2:$A$443,$A19&amp;"|B|"&amp;$Y19&amp;"|wl"))/(COUNTIFS(HLTV_Long!$A$2:$A$443,$A19&amp;"|A|"&amp;$Y19&amp;"|lw")+COUNTIFS(HLTV_Long!$A$2:$A$443,$A19&amp;"|B|"&amp;$Y19&amp;"|wl")),IFERROR((SUMIFS(HLTV_Long!$B$2:$B$443,HLTV_Long!$A$2:$A$443,$A19&amp;"|A|"&amp;"ALL"&amp;"|lw")+SUMIFS(HLTV_Long!$B$2:$B$443,HLTV_Long!$A$2:$A$443,$A19&amp;"|B|"&amp;"ALL"&amp;"|wl"))/(COUNTIFS(HLTV_Long!$A$2:$A$443,$A19&amp;"|A|"&amp;"ALL"&amp;"|lw")+COUNTIFS(HLTV_Long!$A$2:$A$443,$A19&amp;"|B|"&amp;"ALL"&amp;"|wl")),"")))</f>
        <v>6.33</v>
      </c>
      <c r="AX19" s="17" t="n">
        <f aca="false">IF($Y19="","",IFERROR((SUMIFS(HLTV_Long!$B$2:$B$443,HLTV_Long!$A$2:$A$443,$A19&amp;"|B|"&amp;$Y19&amp;"|lw")+SUMIFS(HLTV_Long!$B$2:$B$443,HLTV_Long!$A$2:$A$443,$A19&amp;"|A|"&amp;$Y19&amp;"|wl"))/(COUNTIFS(HLTV_Long!$A$2:$A$443,$A19&amp;"|B|"&amp;$Y19&amp;"|lw")+COUNTIFS(HLTV_Long!$A$2:$A$443,$A19&amp;"|A|"&amp;$Y19&amp;"|wl")),IFERROR((SUMIFS(HLTV_Long!$B$2:$B$443,HLTV_Long!$A$2:$A$443,$A19&amp;"|B|"&amp;"ALL"&amp;"|lw")+SUMIFS(HLTV_Long!$B$2:$B$443,HLTV_Long!$A$2:$A$443,$A19&amp;"|A|"&amp;"ALL"&amp;"|wl"))/(COUNTIFS(HLTV_Long!$A$2:$A$443,$A19&amp;"|B|"&amp;"ALL"&amp;"|lw")+COUNTIFS(HLTV_Long!$A$2:$A$443,$A19&amp;"|A|"&amp;"ALL"&amp;"|wl")),"")))</f>
        <v>6.5</v>
      </c>
      <c r="AY19" s="9" t="n">
        <f aca="false">IF($Y19="","",COUNTIFS(HLTV_Long!$A$2:$A$443,$A19&amp;"|A|"&amp;$Y19&amp;"|lw")+COUNTIFS(HLTV_Long!$A$2:$A$443,$A19&amp;"|B|"&amp;$Y19&amp;"|wl")+COUNTIFS(HLTV_Long!$A$2:$A$443,$A19&amp;"|B|"&amp;$Y19&amp;"|lw")+COUNTIFS(HLTV_Long!$A$2:$A$443,$A19&amp;"|A|"&amp;$Y19&amp;"|wl"))</f>
        <v>2</v>
      </c>
      <c r="AZ19" s="17" t="n">
        <f aca="false">IF(OR($AW19="",$AX19="",$AH19=""),"",13+$AH19*$AW19+(1-$AH19)*$AX19)</f>
        <v>19.350876</v>
      </c>
      <c r="BA19" s="17" t="n">
        <f aca="false">IF($AZ19="","",$AH19*(13-$AW19)-(1-$AH19)*(13-$AX19))</f>
        <v>5.052724</v>
      </c>
      <c r="BB19" s="10" t="n">
        <f aca="false">IF($AZ19="","",($AH19*13+(1-$AH19)*$AX19)/$AZ19)</f>
        <v>0.630555433252737</v>
      </c>
    </row>
    <row r="20" customFormat="false" ht="15" hidden="false" customHeight="false" outlineLevel="0" collapsed="false">
      <c r="A20" s="0" t="s">
        <v>1235</v>
      </c>
      <c r="B20" s="0" t="s">
        <v>1139</v>
      </c>
      <c r="C20" s="0" t="s">
        <v>1236</v>
      </c>
      <c r="D20" s="0" t="n">
        <v>3</v>
      </c>
      <c r="E20" s="0" t="s">
        <v>974</v>
      </c>
      <c r="F20" s="0" t="s">
        <v>975</v>
      </c>
      <c r="G20" s="10" t="n">
        <v>0.897308075772682</v>
      </c>
      <c r="H20" s="10" t="n">
        <v>0.705224825215036</v>
      </c>
      <c r="I20" s="10" t="n">
        <v>0.0495672305722568</v>
      </c>
      <c r="J20" s="10" t="n">
        <v>0.245207944212708</v>
      </c>
      <c r="K20" s="9" t="s">
        <v>1150</v>
      </c>
      <c r="L20" s="9" t="s">
        <v>1151</v>
      </c>
      <c r="M20" s="9" t="s">
        <v>1188</v>
      </c>
      <c r="N20" s="9" t="s">
        <v>1144</v>
      </c>
      <c r="O20" s="11" t="n">
        <v>19.337323943662</v>
      </c>
      <c r="P20" s="11" t="n">
        <v>19.337323943662</v>
      </c>
      <c r="Q20" s="11"/>
      <c r="R20" s="10"/>
      <c r="S20" s="11" t="n">
        <v>6.44897130481863</v>
      </c>
      <c r="T20" s="11"/>
      <c r="U20" s="11"/>
      <c r="V20" s="0" t="n">
        <v>202</v>
      </c>
      <c r="W20" s="14" t="s">
        <v>129</v>
      </c>
      <c r="X20" s="14" t="s">
        <v>108</v>
      </c>
      <c r="Y20" s="14" t="s">
        <v>81</v>
      </c>
      <c r="Z20" s="15" t="n">
        <v>19.34</v>
      </c>
      <c r="AA20" s="15" t="n">
        <v>19.34</v>
      </c>
      <c r="AB20" s="15" t="n">
        <f aca="false">Config!$B$7</f>
        <v>21.5</v>
      </c>
      <c r="AC20" s="16" t="n">
        <v>0.2452</v>
      </c>
      <c r="AD20" s="9" t="s">
        <v>1237</v>
      </c>
      <c r="AE20" s="9" t="s">
        <v>1238</v>
      </c>
      <c r="AF20" s="10" t="n">
        <v>0.8451</v>
      </c>
      <c r="AG20" s="10" t="n">
        <v>0.8429</v>
      </c>
      <c r="AH20" s="10" t="n">
        <v>0.8973</v>
      </c>
      <c r="AI20" s="10" t="n">
        <f aca="false">IFERROR(INDEX(HLTV_Teams!$N$2:$N$35,MATCH($A20&amp;"|A",HLTV_Teams!$A$2:$A$35,0)),"")</f>
        <v>0.520088972606857</v>
      </c>
      <c r="AJ20" s="10" t="str">
        <f aca="false">IFERROR(INDEX(HLTV_Teams!$N$2:$N$35,MATCH($A20&amp;"|B",HLTV_Teams!$A$2:$A$35,0)),"")</f>
        <v/>
      </c>
      <c r="AK20" s="17" t="n">
        <f aca="false">IF($W20="","",IFERROR((SUMIFS(HLTV_Long!$B$2:$B$443,HLTV_Long!$A$2:$A$443,$A20&amp;"|A|"&amp;$W20&amp;"|lw")+SUMIFS(HLTV_Long!$B$2:$B$443,HLTV_Long!$A$2:$A$443,$A20&amp;"|B|"&amp;$W20&amp;"|wl"))/(COUNTIFS(HLTV_Long!$A$2:$A$443,$A20&amp;"|A|"&amp;$W20&amp;"|lw")+COUNTIFS(HLTV_Long!$A$2:$A$443,$A20&amp;"|B|"&amp;$W20&amp;"|wl")),IFERROR((SUMIFS(HLTV_Long!$B$2:$B$443,HLTV_Long!$A$2:$A$443,$A20&amp;"|A|"&amp;"ALL"&amp;"|lw")+SUMIFS(HLTV_Long!$B$2:$B$443,HLTV_Long!$A$2:$A$443,$A20&amp;"|B|"&amp;"ALL"&amp;"|wl"))/(COUNTIFS(HLTV_Long!$A$2:$A$443,$A20&amp;"|A|"&amp;"ALL"&amp;"|lw")+COUNTIFS(HLTV_Long!$A$2:$A$443,$A20&amp;"|B|"&amp;"ALL"&amp;"|wl")),"")))</f>
        <v>6</v>
      </c>
      <c r="AL20" s="17" t="n">
        <f aca="false">IF($W20="","",IFERROR((SUMIFS(HLTV_Long!$B$2:$B$443,HLTV_Long!$A$2:$A$443,$A20&amp;"|B|"&amp;$W20&amp;"|lw")+SUMIFS(HLTV_Long!$B$2:$B$443,HLTV_Long!$A$2:$A$443,$A20&amp;"|A|"&amp;$W20&amp;"|wl"))/(COUNTIFS(HLTV_Long!$A$2:$A$443,$A20&amp;"|B|"&amp;$W20&amp;"|lw")+COUNTIFS(HLTV_Long!$A$2:$A$443,$A20&amp;"|A|"&amp;$W20&amp;"|wl")),IFERROR((SUMIFS(HLTV_Long!$B$2:$B$443,HLTV_Long!$A$2:$A$443,$A20&amp;"|B|"&amp;"ALL"&amp;"|lw")+SUMIFS(HLTV_Long!$B$2:$B$443,HLTV_Long!$A$2:$A$443,$A20&amp;"|A|"&amp;"ALL"&amp;"|wl"))/(COUNTIFS(HLTV_Long!$A$2:$A$443,$A20&amp;"|B|"&amp;"ALL"&amp;"|lw")+COUNTIFS(HLTV_Long!$A$2:$A$443,$A20&amp;"|A|"&amp;"ALL"&amp;"|wl")),"")))</f>
        <v>8.4</v>
      </c>
      <c r="AM20" s="9" t="n">
        <f aca="false">IF($W20="","",COUNTIFS(HLTV_Long!$A$2:$A$443,$A20&amp;"|A|"&amp;$W20&amp;"|lw")+COUNTIFS(HLTV_Long!$A$2:$A$443,$A20&amp;"|B|"&amp;$W20&amp;"|wl")+COUNTIFS(HLTV_Long!$A$2:$A$443,$A20&amp;"|B|"&amp;$W20&amp;"|lw")+COUNTIFS(HLTV_Long!$A$2:$A$443,$A20&amp;"|A|"&amp;$W20&amp;"|wl"))</f>
        <v>2</v>
      </c>
      <c r="AN20" s="17" t="n">
        <f aca="false">IF(OR($AK20="",$AL20="",$AF20=""),"",13+$AF20*$AK20+(1-$AF20)*$AL20)</f>
        <v>19.37176</v>
      </c>
      <c r="AO20" s="17" t="n">
        <f aca="false">IF($AN20="","",$AF20*(13-$AK20)-(1-$AF20)*(13-$AL20))</f>
        <v>5.20316</v>
      </c>
      <c r="AP20" s="10" t="n">
        <f aca="false">IF($AN20="","",($AF20*13+(1-$AF20)*$AL20)/$AN20)</f>
        <v>0.634297554791098</v>
      </c>
      <c r="AQ20" s="17" t="n">
        <f aca="false">IF($X20="","",IFERROR((SUMIFS(HLTV_Long!$B$2:$B$443,HLTV_Long!$A$2:$A$443,$A20&amp;"|A|"&amp;$X20&amp;"|lw")+SUMIFS(HLTV_Long!$B$2:$B$443,HLTV_Long!$A$2:$A$443,$A20&amp;"|B|"&amp;$X20&amp;"|wl"))/(COUNTIFS(HLTV_Long!$A$2:$A$443,$A20&amp;"|A|"&amp;$X20&amp;"|lw")+COUNTIFS(HLTV_Long!$A$2:$A$443,$A20&amp;"|B|"&amp;$X20&amp;"|wl")),IFERROR((SUMIFS(HLTV_Long!$B$2:$B$443,HLTV_Long!$A$2:$A$443,$A20&amp;"|A|"&amp;"ALL"&amp;"|lw")+SUMIFS(HLTV_Long!$B$2:$B$443,HLTV_Long!$A$2:$A$443,$A20&amp;"|B|"&amp;"ALL"&amp;"|wl"))/(COUNTIFS(HLTV_Long!$A$2:$A$443,$A20&amp;"|A|"&amp;"ALL"&amp;"|lw")+COUNTIFS(HLTV_Long!$A$2:$A$443,$A20&amp;"|B|"&amp;"ALL"&amp;"|wl")),"")))</f>
        <v>9.5</v>
      </c>
      <c r="AR20" s="17" t="n">
        <f aca="false">IF($X20="","",IFERROR((SUMIFS(HLTV_Long!$B$2:$B$443,HLTV_Long!$A$2:$A$443,$A20&amp;"|B|"&amp;$X20&amp;"|lw")+SUMIFS(HLTV_Long!$B$2:$B$443,HLTV_Long!$A$2:$A$443,$A20&amp;"|A|"&amp;$X20&amp;"|wl"))/(COUNTIFS(HLTV_Long!$A$2:$A$443,$A20&amp;"|B|"&amp;$X20&amp;"|lw")+COUNTIFS(HLTV_Long!$A$2:$A$443,$A20&amp;"|A|"&amp;$X20&amp;"|wl")),IFERROR((SUMIFS(HLTV_Long!$B$2:$B$443,HLTV_Long!$A$2:$A$443,$A20&amp;"|B|"&amp;"ALL"&amp;"|lw")+SUMIFS(HLTV_Long!$B$2:$B$443,HLTV_Long!$A$2:$A$443,$A20&amp;"|A|"&amp;"ALL"&amp;"|wl"))/(COUNTIFS(HLTV_Long!$A$2:$A$443,$A20&amp;"|B|"&amp;"ALL"&amp;"|lw")+COUNTIFS(HLTV_Long!$A$2:$A$443,$A20&amp;"|A|"&amp;"ALL"&amp;"|wl")),"")))</f>
        <v>10.83</v>
      </c>
      <c r="AS20" s="9" t="n">
        <f aca="false">IF($X20="","",COUNTIFS(HLTV_Long!$A$2:$A$443,$A20&amp;"|A|"&amp;$X20&amp;"|lw")+COUNTIFS(HLTV_Long!$A$2:$A$443,$A20&amp;"|B|"&amp;$X20&amp;"|wl")+COUNTIFS(HLTV_Long!$A$2:$A$443,$A20&amp;"|B|"&amp;$X20&amp;"|lw")+COUNTIFS(HLTV_Long!$A$2:$A$443,$A20&amp;"|A|"&amp;$X20&amp;"|wl"))</f>
        <v>2</v>
      </c>
      <c r="AT20" s="17" t="n">
        <f aca="false">IF(OR($AQ20="",$AR20="",$AG20=""),"",13+$AG20*$AQ20+(1-$AG20)*$AR20)</f>
        <v>22.708943</v>
      </c>
      <c r="AU20" s="17" t="n">
        <f aca="false">IF($AT20="","",$AG20*(13-$AQ20)-(1-$AG20)*(13-$AR20))</f>
        <v>2.609243</v>
      </c>
      <c r="AV20" s="10" t="n">
        <f aca="false">IF($AT20="","",($AG20*13+(1-$AG20)*$AR20)/$AT20)</f>
        <v>0.557449679626216</v>
      </c>
      <c r="AW20" s="17" t="n">
        <f aca="false">IF($Y20="","",IFERROR((SUMIFS(HLTV_Long!$B$2:$B$443,HLTV_Long!$A$2:$A$443,$A20&amp;"|A|"&amp;$Y20&amp;"|lw")+SUMIFS(HLTV_Long!$B$2:$B$443,HLTV_Long!$A$2:$A$443,$A20&amp;"|B|"&amp;$Y20&amp;"|wl"))/(COUNTIFS(HLTV_Long!$A$2:$A$443,$A20&amp;"|A|"&amp;$Y20&amp;"|lw")+COUNTIFS(HLTV_Long!$A$2:$A$443,$A20&amp;"|B|"&amp;$Y20&amp;"|wl")),IFERROR((SUMIFS(HLTV_Long!$B$2:$B$443,HLTV_Long!$A$2:$A$443,$A20&amp;"|A|"&amp;"ALL"&amp;"|lw")+SUMIFS(HLTV_Long!$B$2:$B$443,HLTV_Long!$A$2:$A$443,$A20&amp;"|B|"&amp;"ALL"&amp;"|wl"))/(COUNTIFS(HLTV_Long!$A$2:$A$443,$A20&amp;"|A|"&amp;"ALL"&amp;"|lw")+COUNTIFS(HLTV_Long!$A$2:$A$443,$A20&amp;"|B|"&amp;"ALL"&amp;"|wl")),"")))</f>
        <v>10.67</v>
      </c>
      <c r="AX20" s="17" t="n">
        <f aca="false">IF($Y20="","",IFERROR((SUMIFS(HLTV_Long!$B$2:$B$443,HLTV_Long!$A$2:$A$443,$A20&amp;"|B|"&amp;$Y20&amp;"|lw")+SUMIFS(HLTV_Long!$B$2:$B$443,HLTV_Long!$A$2:$A$443,$A20&amp;"|A|"&amp;$Y20&amp;"|wl"))/(COUNTIFS(HLTV_Long!$A$2:$A$443,$A20&amp;"|B|"&amp;$Y20&amp;"|lw")+COUNTIFS(HLTV_Long!$A$2:$A$443,$A20&amp;"|A|"&amp;$Y20&amp;"|wl")),IFERROR((SUMIFS(HLTV_Long!$B$2:$B$443,HLTV_Long!$A$2:$A$443,$A20&amp;"|B|"&amp;"ALL"&amp;"|lw")+SUMIFS(HLTV_Long!$B$2:$B$443,HLTV_Long!$A$2:$A$443,$A20&amp;"|A|"&amp;"ALL"&amp;"|wl"))/(COUNTIFS(HLTV_Long!$A$2:$A$443,$A20&amp;"|B|"&amp;"ALL"&amp;"|lw")+COUNTIFS(HLTV_Long!$A$2:$A$443,$A20&amp;"|A|"&amp;"ALL"&amp;"|wl")),"")))</f>
        <v>9</v>
      </c>
      <c r="AY20" s="9" t="n">
        <f aca="false">IF($Y20="","",COUNTIFS(HLTV_Long!$A$2:$A$443,$A20&amp;"|A|"&amp;$Y20&amp;"|lw")+COUNTIFS(HLTV_Long!$A$2:$A$443,$A20&amp;"|B|"&amp;$Y20&amp;"|wl")+COUNTIFS(HLTV_Long!$A$2:$A$443,$A20&amp;"|B|"&amp;$Y20&amp;"|lw")+COUNTIFS(HLTV_Long!$A$2:$A$443,$A20&amp;"|A|"&amp;$Y20&amp;"|wl"))</f>
        <v>2</v>
      </c>
      <c r="AZ20" s="17" t="n">
        <f aca="false">IF(OR($AW20="",$AX20="",$AH20=""),"",13+$AH20*$AW20+(1-$AH20)*$AX20)</f>
        <v>23.498491</v>
      </c>
      <c r="BA20" s="17" t="n">
        <f aca="false">IF($AZ20="","",$AH20*(13-$AW20)-(1-$AH20)*(13-$AX20))</f>
        <v>1.679909</v>
      </c>
      <c r="BB20" s="10" t="n">
        <f aca="false">IF($AZ20="","",($AH20*13+(1-$AH20)*$AX20)/$AZ20)</f>
        <v>0.535745039968737</v>
      </c>
    </row>
    <row r="21" customFormat="false" ht="15" hidden="false" customHeight="false" outlineLevel="0" collapsed="false">
      <c r="A21" s="0" t="s">
        <v>1239</v>
      </c>
      <c r="B21" s="0" t="s">
        <v>1139</v>
      </c>
      <c r="C21" s="0" t="s">
        <v>1240</v>
      </c>
      <c r="D21" s="0" t="n">
        <v>3</v>
      </c>
      <c r="E21" s="0" t="s">
        <v>1007</v>
      </c>
      <c r="F21" s="0" t="s">
        <v>1008</v>
      </c>
      <c r="G21" s="10" t="n">
        <v>0.72354211663067</v>
      </c>
      <c r="H21" s="10" t="n">
        <v>0.442037801523444</v>
      </c>
      <c r="I21" s="10" t="n">
        <v>0.147091889127629</v>
      </c>
      <c r="J21" s="10" t="n">
        <v>0.410870309348928</v>
      </c>
      <c r="K21" s="9" t="s">
        <v>1241</v>
      </c>
      <c r="L21" s="9" t="s">
        <v>1242</v>
      </c>
      <c r="M21" s="9" t="s">
        <v>1243</v>
      </c>
      <c r="N21" s="9" t="s">
        <v>1144</v>
      </c>
      <c r="O21" s="11" t="n">
        <v>20.804203539823</v>
      </c>
      <c r="P21" s="11" t="n">
        <v>20.804203539823</v>
      </c>
      <c r="Q21" s="11"/>
      <c r="R21" s="10"/>
      <c r="S21" s="11" t="n">
        <v>3.62677484787018</v>
      </c>
      <c r="T21" s="11"/>
      <c r="U21" s="11"/>
      <c r="V21" s="0" t="n">
        <v>208</v>
      </c>
      <c r="W21" s="14" t="s">
        <v>81</v>
      </c>
      <c r="X21" s="14" t="s">
        <v>95</v>
      </c>
      <c r="Y21" s="14" t="s">
        <v>145</v>
      </c>
      <c r="Z21" s="15" t="n">
        <v>20.8</v>
      </c>
      <c r="AA21" s="15" t="n">
        <v>20.8</v>
      </c>
      <c r="AB21" s="15" t="n">
        <f aca="false">Config!$B$7</f>
        <v>21.5</v>
      </c>
      <c r="AC21" s="16" t="n">
        <v>0.4109</v>
      </c>
      <c r="AD21" s="9" t="s">
        <v>1244</v>
      </c>
      <c r="AE21" s="9" t="s">
        <v>1245</v>
      </c>
      <c r="AF21" s="10" t="n">
        <v>0.6746</v>
      </c>
      <c r="AG21" s="10" t="n">
        <v>0.6691</v>
      </c>
      <c r="AH21" s="10" t="n">
        <v>0.7235</v>
      </c>
      <c r="AI21" s="10" t="n">
        <f aca="false">IFERROR(INDEX(HLTV_Teams!$N$2:$N$35,MATCH($A21&amp;"|A",HLTV_Teams!$A$2:$A$35,0)),"")</f>
        <v>0.515636268922114</v>
      </c>
      <c r="AJ21" s="10" t="n">
        <f aca="false">IFERROR(INDEX(HLTV_Teams!$N$2:$N$35,MATCH($A21&amp;"|B",HLTV_Teams!$A$2:$A$35,0)),"")</f>
        <v>0.491965863115539</v>
      </c>
      <c r="AK21" s="17" t="n">
        <f aca="false">IF($W21="","",IFERROR((SUMIFS(HLTV_Long!$B$2:$B$443,HLTV_Long!$A$2:$A$443,$A21&amp;"|A|"&amp;$W21&amp;"|lw")+SUMIFS(HLTV_Long!$B$2:$B$443,HLTV_Long!$A$2:$A$443,$A21&amp;"|B|"&amp;$W21&amp;"|wl"))/(COUNTIFS(HLTV_Long!$A$2:$A$443,$A21&amp;"|A|"&amp;$W21&amp;"|lw")+COUNTIFS(HLTV_Long!$A$2:$A$443,$A21&amp;"|B|"&amp;$W21&amp;"|wl")),IFERROR((SUMIFS(HLTV_Long!$B$2:$B$443,HLTV_Long!$A$2:$A$443,$A21&amp;"|A|"&amp;"ALL"&amp;"|lw")+SUMIFS(HLTV_Long!$B$2:$B$443,HLTV_Long!$A$2:$A$443,$A21&amp;"|B|"&amp;"ALL"&amp;"|wl"))/(COUNTIFS(HLTV_Long!$A$2:$A$443,$A21&amp;"|A|"&amp;"ALL"&amp;"|lw")+COUNTIFS(HLTV_Long!$A$2:$A$443,$A21&amp;"|B|"&amp;"ALL"&amp;"|wl")),"")))</f>
        <v>8.81</v>
      </c>
      <c r="AL21" s="17" t="n">
        <f aca="false">IF($W21="","",IFERROR((SUMIFS(HLTV_Long!$B$2:$B$443,HLTV_Long!$A$2:$A$443,$A21&amp;"|B|"&amp;$W21&amp;"|lw")+SUMIFS(HLTV_Long!$B$2:$B$443,HLTV_Long!$A$2:$A$443,$A21&amp;"|A|"&amp;$W21&amp;"|wl"))/(COUNTIFS(HLTV_Long!$A$2:$A$443,$A21&amp;"|B|"&amp;$W21&amp;"|lw")+COUNTIFS(HLTV_Long!$A$2:$A$443,$A21&amp;"|A|"&amp;$W21&amp;"|wl")),IFERROR((SUMIFS(HLTV_Long!$B$2:$B$443,HLTV_Long!$A$2:$A$443,$A21&amp;"|B|"&amp;"ALL"&amp;"|lw")+SUMIFS(HLTV_Long!$B$2:$B$443,HLTV_Long!$A$2:$A$443,$A21&amp;"|A|"&amp;"ALL"&amp;"|wl"))/(COUNTIFS(HLTV_Long!$A$2:$A$443,$A21&amp;"|B|"&amp;"ALL"&amp;"|lw")+COUNTIFS(HLTV_Long!$A$2:$A$443,$A21&amp;"|A|"&amp;"ALL"&amp;"|wl")),"")))</f>
        <v>9.34</v>
      </c>
      <c r="AM21" s="9" t="n">
        <f aca="false">IF($W21="","",COUNTIFS(HLTV_Long!$A$2:$A$443,$A21&amp;"|A|"&amp;$W21&amp;"|lw")+COUNTIFS(HLTV_Long!$A$2:$A$443,$A21&amp;"|B|"&amp;$W21&amp;"|wl")+COUNTIFS(HLTV_Long!$A$2:$A$443,$A21&amp;"|B|"&amp;$W21&amp;"|lw")+COUNTIFS(HLTV_Long!$A$2:$A$443,$A21&amp;"|A|"&amp;$W21&amp;"|wl"))</f>
        <v>4</v>
      </c>
      <c r="AN21" s="17" t="n">
        <f aca="false">IF(OR($AK21="",$AL21="",$AF21=""),"",13+$AF21*$AK21+(1-$AF21)*$AL21)</f>
        <v>21.982462</v>
      </c>
      <c r="AO21" s="17" t="n">
        <f aca="false">IF($AN21="","",$AF21*(13-$AK21)-(1-$AF21)*(13-$AL21))</f>
        <v>1.63561</v>
      </c>
      <c r="AP21" s="10" t="n">
        <f aca="false">IF($AN21="","",($AF21*13+(1-$AF21)*$AL21)/$AN21)</f>
        <v>0.537202611791164</v>
      </c>
      <c r="AQ21" s="17" t="n">
        <f aca="false">IF($X21="","",IFERROR((SUMIFS(HLTV_Long!$B$2:$B$443,HLTV_Long!$A$2:$A$443,$A21&amp;"|A|"&amp;$X21&amp;"|lw")+SUMIFS(HLTV_Long!$B$2:$B$443,HLTV_Long!$A$2:$A$443,$A21&amp;"|B|"&amp;$X21&amp;"|wl"))/(COUNTIFS(HLTV_Long!$A$2:$A$443,$A21&amp;"|A|"&amp;$X21&amp;"|lw")+COUNTIFS(HLTV_Long!$A$2:$A$443,$A21&amp;"|B|"&amp;$X21&amp;"|wl")),IFERROR((SUMIFS(HLTV_Long!$B$2:$B$443,HLTV_Long!$A$2:$A$443,$A21&amp;"|A|"&amp;"ALL"&amp;"|lw")+SUMIFS(HLTV_Long!$B$2:$B$443,HLTV_Long!$A$2:$A$443,$A21&amp;"|B|"&amp;"ALL"&amp;"|wl"))/(COUNTIFS(HLTV_Long!$A$2:$A$443,$A21&amp;"|A|"&amp;"ALL"&amp;"|lw")+COUNTIFS(HLTV_Long!$A$2:$A$443,$A21&amp;"|B|"&amp;"ALL"&amp;"|wl")),"")))</f>
        <v>7.28</v>
      </c>
      <c r="AR21" s="17" t="n">
        <f aca="false">IF($X21="","",IFERROR((SUMIFS(HLTV_Long!$B$2:$B$443,HLTV_Long!$A$2:$A$443,$A21&amp;"|B|"&amp;$X21&amp;"|lw")+SUMIFS(HLTV_Long!$B$2:$B$443,HLTV_Long!$A$2:$A$443,$A21&amp;"|A|"&amp;$X21&amp;"|wl"))/(COUNTIFS(HLTV_Long!$A$2:$A$443,$A21&amp;"|B|"&amp;$X21&amp;"|lw")+COUNTIFS(HLTV_Long!$A$2:$A$443,$A21&amp;"|A|"&amp;$X21&amp;"|wl")),IFERROR((SUMIFS(HLTV_Long!$B$2:$B$443,HLTV_Long!$A$2:$A$443,$A21&amp;"|B|"&amp;"ALL"&amp;"|lw")+SUMIFS(HLTV_Long!$B$2:$B$443,HLTV_Long!$A$2:$A$443,$A21&amp;"|A|"&amp;"ALL"&amp;"|wl"))/(COUNTIFS(HLTV_Long!$A$2:$A$443,$A21&amp;"|B|"&amp;"ALL"&amp;"|lw")+COUNTIFS(HLTV_Long!$A$2:$A$443,$A21&amp;"|A|"&amp;"ALL"&amp;"|wl")),"")))</f>
        <v>7.19</v>
      </c>
      <c r="AS21" s="9" t="n">
        <f aca="false">IF($X21="","",COUNTIFS(HLTV_Long!$A$2:$A$443,$A21&amp;"|A|"&amp;$X21&amp;"|lw")+COUNTIFS(HLTV_Long!$A$2:$A$443,$A21&amp;"|B|"&amp;$X21&amp;"|wl")+COUNTIFS(HLTV_Long!$A$2:$A$443,$A21&amp;"|B|"&amp;$X21&amp;"|lw")+COUNTIFS(HLTV_Long!$A$2:$A$443,$A21&amp;"|A|"&amp;$X21&amp;"|wl"))</f>
        <v>4</v>
      </c>
      <c r="AT21" s="17" t="n">
        <f aca="false">IF(OR($AQ21="",$AR21="",$AG21=""),"",13+$AG21*$AQ21+(1-$AG21)*$AR21)</f>
        <v>20.250219</v>
      </c>
      <c r="AU21" s="17" t="n">
        <f aca="false">IF($AT21="","",$AG21*(13-$AQ21)-(1-$AG21)*(13-$AR21))</f>
        <v>1.904723</v>
      </c>
      <c r="AV21" s="10" t="n">
        <f aca="false">IF($AT21="","",($AG21*13+(1-$AG21)*$AR21)/$AT21)</f>
        <v>0.547029688913488</v>
      </c>
      <c r="AW21" s="17" t="n">
        <f aca="false">IF($Y21="","",IFERROR((SUMIFS(HLTV_Long!$B$2:$B$443,HLTV_Long!$A$2:$A$443,$A21&amp;"|A|"&amp;$Y21&amp;"|lw")+SUMIFS(HLTV_Long!$B$2:$B$443,HLTV_Long!$A$2:$A$443,$A21&amp;"|B|"&amp;$Y21&amp;"|wl"))/(COUNTIFS(HLTV_Long!$A$2:$A$443,$A21&amp;"|A|"&amp;$Y21&amp;"|lw")+COUNTIFS(HLTV_Long!$A$2:$A$443,$A21&amp;"|B|"&amp;$Y21&amp;"|wl")),IFERROR((SUMIFS(HLTV_Long!$B$2:$B$443,HLTV_Long!$A$2:$A$443,$A21&amp;"|A|"&amp;"ALL"&amp;"|lw")+SUMIFS(HLTV_Long!$B$2:$B$443,HLTV_Long!$A$2:$A$443,$A21&amp;"|B|"&amp;"ALL"&amp;"|wl"))/(COUNTIFS(HLTV_Long!$A$2:$A$443,$A21&amp;"|A|"&amp;"ALL"&amp;"|lw")+COUNTIFS(HLTV_Long!$A$2:$A$443,$A21&amp;"|B|"&amp;"ALL"&amp;"|wl")),"")))</f>
        <v>10.15</v>
      </c>
      <c r="AX21" s="17" t="n">
        <f aca="false">IF($Y21="","",IFERROR((SUMIFS(HLTV_Long!$B$2:$B$443,HLTV_Long!$A$2:$A$443,$A21&amp;"|B|"&amp;$Y21&amp;"|lw")+SUMIFS(HLTV_Long!$B$2:$B$443,HLTV_Long!$A$2:$A$443,$A21&amp;"|A|"&amp;$Y21&amp;"|wl"))/(COUNTIFS(HLTV_Long!$A$2:$A$443,$A21&amp;"|B|"&amp;$Y21&amp;"|lw")+COUNTIFS(HLTV_Long!$A$2:$A$443,$A21&amp;"|A|"&amp;$Y21&amp;"|wl")),IFERROR((SUMIFS(HLTV_Long!$B$2:$B$443,HLTV_Long!$A$2:$A$443,$A21&amp;"|B|"&amp;"ALL"&amp;"|lw")+SUMIFS(HLTV_Long!$B$2:$B$443,HLTV_Long!$A$2:$A$443,$A21&amp;"|A|"&amp;"ALL"&amp;"|wl"))/(COUNTIFS(HLTV_Long!$A$2:$A$443,$A21&amp;"|B|"&amp;"ALL"&amp;"|lw")+COUNTIFS(HLTV_Long!$A$2:$A$443,$A21&amp;"|A|"&amp;"ALL"&amp;"|wl")),"")))</f>
        <v>10.75</v>
      </c>
      <c r="AY21" s="9" t="n">
        <f aca="false">IF($Y21="","",COUNTIFS(HLTV_Long!$A$2:$A$443,$A21&amp;"|A|"&amp;$Y21&amp;"|lw")+COUNTIFS(HLTV_Long!$A$2:$A$443,$A21&amp;"|B|"&amp;$Y21&amp;"|wl")+COUNTIFS(HLTV_Long!$A$2:$A$443,$A21&amp;"|B|"&amp;$Y21&amp;"|lw")+COUNTIFS(HLTV_Long!$A$2:$A$443,$A21&amp;"|A|"&amp;$Y21&amp;"|wl"))</f>
        <v>4</v>
      </c>
      <c r="AZ21" s="17" t="n">
        <f aca="false">IF(OR($AW21="",$AX21="",$AH21=""),"",13+$AH21*$AW21+(1-$AH21)*$AX21)</f>
        <v>23.3159</v>
      </c>
      <c r="BA21" s="17" t="n">
        <f aca="false">IF($AZ21="","",$AH21*(13-$AW21)-(1-$AH21)*(13-$AX21))</f>
        <v>1.43985</v>
      </c>
      <c r="BB21" s="10" t="n">
        <f aca="false">IF($AZ21="","",($AH21*13+(1-$AH21)*$AX21)/$AZ21)</f>
        <v>0.530876998100009</v>
      </c>
    </row>
    <row r="22" customFormat="false" ht="15" hidden="false" customHeight="false" outlineLevel="0" collapsed="false">
      <c r="A22" s="0" t="s">
        <v>1246</v>
      </c>
      <c r="B22" s="0" t="s">
        <v>1247</v>
      </c>
      <c r="C22" s="0" t="s">
        <v>1148</v>
      </c>
      <c r="D22" s="0" t="n">
        <v>3</v>
      </c>
      <c r="E22" s="0" t="s">
        <v>239</v>
      </c>
      <c r="F22" s="0" t="s">
        <v>240</v>
      </c>
      <c r="G22" s="10" t="n">
        <v>0.574074074074074</v>
      </c>
      <c r="H22" s="10" t="n">
        <v>0.315424290799714</v>
      </c>
      <c r="I22" s="10" t="n">
        <v>0.233551865592138</v>
      </c>
      <c r="J22" s="10" t="n">
        <v>0.451023843608148</v>
      </c>
      <c r="K22" s="9" t="s">
        <v>1248</v>
      </c>
      <c r="L22" s="9" t="s">
        <v>1249</v>
      </c>
      <c r="M22" s="9" t="s">
        <v>1250</v>
      </c>
      <c r="N22" s="9" t="s">
        <v>1251</v>
      </c>
      <c r="O22" s="11" t="n">
        <v>21.396589063346</v>
      </c>
      <c r="P22" s="11" t="n">
        <v>21.3586604613517</v>
      </c>
      <c r="Q22" s="11"/>
      <c r="R22" s="10" t="n">
        <v>0.153737658674189</v>
      </c>
      <c r="S22" s="11" t="n">
        <v>0.883090447814031</v>
      </c>
      <c r="T22" s="11"/>
      <c r="U22" s="11" t="n">
        <v>11.95</v>
      </c>
      <c r="V22" s="0" t="n">
        <v>121</v>
      </c>
      <c r="W22" s="14" t="s">
        <v>265</v>
      </c>
      <c r="X22" s="14" t="s">
        <v>1252</v>
      </c>
      <c r="Y22" s="14" t="s">
        <v>271</v>
      </c>
      <c r="Z22" s="15" t="n">
        <v>21.4</v>
      </c>
      <c r="AA22" s="15" t="n">
        <v>21.36</v>
      </c>
      <c r="AB22" s="15" t="n">
        <f aca="false">Config!$B$8</f>
        <v>22.5</v>
      </c>
      <c r="AC22" s="16" t="n">
        <v>0.451</v>
      </c>
      <c r="AD22" s="9" t="s">
        <v>1253</v>
      </c>
      <c r="AE22" s="9" t="s">
        <v>1254</v>
      </c>
      <c r="AF22" s="10" t="n">
        <v>0.5442</v>
      </c>
      <c r="AG22" s="10" t="n">
        <v>0.5442</v>
      </c>
      <c r="AH22" s="10" t="n">
        <v>0.5741</v>
      </c>
      <c r="AI22" s="10"/>
      <c r="AJ22" s="10"/>
      <c r="AK22" s="17"/>
      <c r="AL22" s="17"/>
      <c r="AN22" s="17"/>
      <c r="AO22" s="17"/>
      <c r="AP22" s="10"/>
      <c r="AQ22" s="17"/>
      <c r="AR22" s="17"/>
      <c r="AT22" s="17"/>
      <c r="AU22" s="17"/>
      <c r="AV22" s="10"/>
      <c r="AW22" s="17"/>
      <c r="AX22" s="17"/>
      <c r="AZ22" s="17"/>
      <c r="BA22" s="17"/>
      <c r="BB22" s="10"/>
    </row>
    <row r="23" customFormat="false" ht="15" hidden="false" customHeight="false" outlineLevel="0" collapsed="false">
      <c r="A23" s="0" t="s">
        <v>1255</v>
      </c>
      <c r="B23" s="0" t="s">
        <v>1247</v>
      </c>
      <c r="C23" s="0" t="s">
        <v>1155</v>
      </c>
      <c r="D23" s="0" t="n">
        <v>3</v>
      </c>
      <c r="E23" s="0" t="s">
        <v>462</v>
      </c>
      <c r="F23" s="0" t="s">
        <v>463</v>
      </c>
      <c r="G23" s="10" t="n">
        <v>0.616368286445013</v>
      </c>
      <c r="H23" s="10" t="n">
        <v>0.359507567052953</v>
      </c>
      <c r="I23" s="10" t="n">
        <v>0.207676701355832</v>
      </c>
      <c r="J23" s="10" t="n">
        <v>0.432815731591215</v>
      </c>
      <c r="K23" s="9" t="s">
        <v>1256</v>
      </c>
      <c r="L23" s="9" t="s">
        <v>1257</v>
      </c>
      <c r="M23" s="9" t="s">
        <v>1258</v>
      </c>
      <c r="N23" s="9" t="s">
        <v>1251</v>
      </c>
      <c r="O23" s="11" t="n">
        <v>21.2774592428848</v>
      </c>
      <c r="P23" s="11" t="n">
        <v>21.2366398882291</v>
      </c>
      <c r="Q23" s="11"/>
      <c r="R23" s="10" t="n">
        <v>0.151599443671766</v>
      </c>
      <c r="S23" s="11" t="n">
        <v>1.74500370096225</v>
      </c>
      <c r="T23" s="11"/>
      <c r="U23" s="11" t="n">
        <v>11.0574719879139</v>
      </c>
      <c r="V23" s="0" t="n">
        <v>122</v>
      </c>
      <c r="W23" s="14" t="s">
        <v>271</v>
      </c>
      <c r="X23" s="14" t="s">
        <v>296</v>
      </c>
      <c r="Y23" s="14" t="s">
        <v>1259</v>
      </c>
      <c r="Z23" s="15" t="n">
        <v>21.28</v>
      </c>
      <c r="AA23" s="15" t="n">
        <v>21.24</v>
      </c>
      <c r="AB23" s="15" t="n">
        <f aca="false">Config!$B$8</f>
        <v>22.5</v>
      </c>
      <c r="AC23" s="16" t="n">
        <v>0.4328</v>
      </c>
      <c r="AD23" s="9" t="s">
        <v>1260</v>
      </c>
      <c r="AE23" s="9" t="s">
        <v>1261</v>
      </c>
      <c r="AF23" s="10" t="n">
        <v>0.5827</v>
      </c>
      <c r="AG23" s="10" t="n">
        <v>0.5827</v>
      </c>
      <c r="AH23" s="10" t="n">
        <v>0.6164</v>
      </c>
      <c r="AI23" s="10"/>
      <c r="AJ23" s="10"/>
      <c r="AK23" s="17"/>
      <c r="AL23" s="17"/>
      <c r="AN23" s="17"/>
      <c r="AO23" s="17"/>
      <c r="AP23" s="10"/>
      <c r="AQ23" s="17"/>
      <c r="AR23" s="17"/>
      <c r="AT23" s="17"/>
      <c r="AU23" s="17"/>
      <c r="AV23" s="10"/>
      <c r="AW23" s="17"/>
      <c r="AX23" s="17"/>
      <c r="AZ23" s="17"/>
      <c r="BA23" s="17"/>
      <c r="BB23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21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22:Y23" type="list">
      <formula1>Config!$F$4:$F$15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1102</v>
      </c>
      <c r="B1" s="12" t="s">
        <v>1101</v>
      </c>
      <c r="C1" s="12" t="s">
        <v>1077</v>
      </c>
      <c r="D1" s="12" t="s">
        <v>1076</v>
      </c>
      <c r="E1" s="12" t="s">
        <v>1262</v>
      </c>
      <c r="F1" s="12" t="s">
        <v>1263</v>
      </c>
      <c r="G1" s="12" t="s">
        <v>1264</v>
      </c>
      <c r="H1" s="12" t="s">
        <v>1265</v>
      </c>
      <c r="I1" s="12" t="s">
        <v>1086</v>
      </c>
      <c r="J1" s="12" t="s">
        <v>1266</v>
      </c>
      <c r="K1" s="12" t="s">
        <v>1267</v>
      </c>
      <c r="L1" s="12" t="s">
        <v>1268</v>
      </c>
      <c r="M1" s="12" t="s">
        <v>1269</v>
      </c>
      <c r="N1" s="12" t="s">
        <v>1270</v>
      </c>
      <c r="O1" s="12" t="s">
        <v>1271</v>
      </c>
      <c r="P1" s="12" t="s">
        <v>1089</v>
      </c>
      <c r="Q1" s="12" t="s">
        <v>1272</v>
      </c>
      <c r="R1" s="12" t="s">
        <v>1273</v>
      </c>
      <c r="S1" s="12" t="s">
        <v>1274</v>
      </c>
      <c r="T1" s="12" t="s">
        <v>1275</v>
      </c>
      <c r="U1" s="12" t="s">
        <v>1276</v>
      </c>
      <c r="V1" s="12" t="s">
        <v>1095</v>
      </c>
      <c r="W1" s="12" t="s">
        <v>1277</v>
      </c>
      <c r="X1" s="12" t="s">
        <v>1278</v>
      </c>
      <c r="Y1" s="12" t="s">
        <v>1279</v>
      </c>
      <c r="Z1" s="12" t="s">
        <v>1280</v>
      </c>
      <c r="AA1" s="12" t="s">
        <v>1281</v>
      </c>
      <c r="AB1" s="12" t="s">
        <v>1282</v>
      </c>
      <c r="AC1" s="12" t="s">
        <v>1283</v>
      </c>
      <c r="AD1" s="12" t="s">
        <v>1284</v>
      </c>
      <c r="AE1" s="12" t="s">
        <v>1083</v>
      </c>
    </row>
    <row r="2" customFormat="false" ht="15" hidden="false" customHeight="false" outlineLevel="0" collapsed="false">
      <c r="A2" s="0" t="s">
        <v>1139</v>
      </c>
      <c r="B2" s="0" t="s">
        <v>1186</v>
      </c>
      <c r="C2" s="0" t="s">
        <v>1285</v>
      </c>
      <c r="D2" s="0" t="s">
        <v>1190</v>
      </c>
      <c r="E2" s="0" t="s">
        <v>1286</v>
      </c>
      <c r="F2" s="0" t="n">
        <v>10.5</v>
      </c>
      <c r="G2" s="11" t="n">
        <f aca="false">IFERROR(INDEX(CHOOSE(MATCH($X2,{"K1","K2","K3","K12","K13","H1","H2","H3","H12","H13"},0),Calc!$V$2:$V$137,Calc!$AC$2:$AC$137,Calc!$AJ$2:$AJ$137,Calc!$AL$2:$AL$137,Calc!$AM$2:$AM$137,Calc!$W$2:$W$137,Calc!$AD$2:$AD$137,Calc!$AK$2:$AK$137,Calc!$AN$2:$AN$137,Calc!$AO$2:$AO$137),MATCH($W2,Calc!$A$2:$A$137,0)),"")</f>
        <v>11.4275820382805</v>
      </c>
      <c r="H2" s="11" t="n">
        <f aca="false">IF(G2="","",IF(LEFT($X2,1)="H",SQRT(G2*(IFERROR(INDEX(Calc!$AP$2:$AP$137,MATCH($W2,Calc!$A$2:$A$137,0)),0.5)*Config!$B$5+1-IFERROR(INDEX(Calc!$AP$2:$AP$137,MATCH($W2,Calc!$A$2:$A$137,0)),0.5))),SQRT(G2*Config!$B$5)))</f>
        <v>3.5956240940288</v>
      </c>
      <c r="I2" s="10" t="n">
        <f aca="false">IF(OR(F2="",G2="",N(H2)&lt;=0),"",1-NORMDIST(FLOOR(F2,1)+0.5,G2,H2,TRUE()))</f>
        <v>0.601786997220055</v>
      </c>
      <c r="J2" s="10" t="n">
        <f aca="false">IF(I2="","",NORMDIST(CEILING(F2,1)-0.5,G2,H2,TRUE()))</f>
        <v>0.398213002779945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OVER</v>
      </c>
      <c r="N2" s="0" t="n">
        <v>10.2</v>
      </c>
      <c r="O2" s="10" t="n">
        <v>0.4</v>
      </c>
      <c r="P2" s="10" t="n">
        <v>0.3</v>
      </c>
      <c r="Q2" s="10" t="n">
        <v>0.33</v>
      </c>
      <c r="R2" s="9" t="s">
        <v>1287</v>
      </c>
      <c r="S2" s="0" t="n">
        <v>1</v>
      </c>
      <c r="T2" s="0" t="str">
        <f aca="false">INDEX(Calc!$G$2:$G$137,MATCH($W2,Calc!$A$2:$A$137,0))&amp;" / "&amp;INDEX(Calc!$H$2:$H$137,MATCH($W2,Calc!$A$2:$A$137,0))</f>
        <v>Dust2 / Ancient</v>
      </c>
      <c r="U2" s="0" t="str">
        <f aca="false">TEXT(INDEX(Calc!$J$2:$J$137,MATCH($W2,Calc!$A$2:$A$137,0)),"0.0")&amp;" / "&amp;TEXT(INDEX(Calc!$K$2:$K$137,MATCH($W2,Calc!$A$2:$A$137,0)),"0.0")</f>
        <v>21.5 / 21.5</v>
      </c>
      <c r="V2" s="0" t="str">
        <f aca="false">IFERROR(INDEX(Calc!$AQ$2:$AQ$137,MATCH($W2,Calc!$A$2:$A$137,0)),"")</f>
        <v/>
      </c>
      <c r="W2" s="9" t="s">
        <v>1288</v>
      </c>
      <c r="X2" s="9" t="s">
        <v>1289</v>
      </c>
      <c r="Y2" s="0" t="str">
        <f aca="false">W2&amp;"|"&amp;X2</f>
        <v>yoqtwbv6uc6leni|CS2 [NO MARKET] · 100T vs Arena Pro|H12</v>
      </c>
      <c r="Z2" s="11" t="n">
        <f aca="false">IFERROR(INDEX(CHOOSE(MATCH($X2,{"K1","K2","K3","K12","K13","H1","H2","H3","H12","H13"},0),Calc!$BA$2:$BA$137,Calc!$BB$2:$BB$137,Calc!$BC$2:$BC$137,Calc!$BD$2:$BD$137,Calc!$BE$2:$BE$137,Calc!$BF$2:$BF$137,Calc!$BG$2:$BG$137,Calc!$BH$2:$BH$137,Calc!$BI$2:$BI$137,Calc!$BJ$2:$BJ$137),MATCH($W2,Calc!$A$2:$A$137,0)),"")</f>
        <v>11.4275820382805</v>
      </c>
      <c r="AA2" s="11" t="n">
        <f aca="false">IF(Z2="","",IF(LEFT($X2,1)="H",SQRT(Z2*(IFERROR(INDEX(Calc!$AP$2:$AP$137,MATCH($W2,Calc!$A$2:$A$137,0)),0.5)*Config!$B$5+1-IFERROR(INDEX(Calc!$AP$2:$AP$137,MATCH($W2,Calc!$A$2:$A$137,0)),0.5))),SQRT(Z2*Config!$B$5)))</f>
        <v>3.5956240940288</v>
      </c>
      <c r="AB2" s="10" t="n">
        <f aca="false">IF(OR(F2="",Z2="",N(AA2)&lt;=0),"",1-NORMDIST(FLOOR(F2,1)+0.5,Z2,AA2,TRUE()))</f>
        <v>0.601786997220055</v>
      </c>
      <c r="AC2" s="10" t="n">
        <f aca="false">IF(AB2="","",NORMDIST(CEILING(F2,1)-0.5,Z2,AA2,TRUE()))</f>
        <v>0.398213002779945</v>
      </c>
      <c r="AD2" s="0" t="str">
        <f aca="false">IF(AB2="","",IF(AB2&gt;=0.5+Config!$B$6,"OVER",IF(AC2&gt;=0.5+Config!$B$6,"UNDER","—")))</f>
        <v>OVER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1139</v>
      </c>
      <c r="B3" s="0" t="s">
        <v>1186</v>
      </c>
      <c r="C3" s="0" t="s">
        <v>1285</v>
      </c>
      <c r="D3" s="0" t="s">
        <v>1190</v>
      </c>
      <c r="E3" s="0" t="s">
        <v>1290</v>
      </c>
      <c r="F3" s="0" t="n">
        <v>32.5</v>
      </c>
      <c r="G3" s="11" t="n">
        <f aca="false">IFERROR(INDEX(CHOOSE(MATCH($X3,{"K1","K2","K3","K12","K13","H1","H2","H3","H12","H13"},0),Calc!$V$2:$V$137,Calc!$AC$2:$AC$137,Calc!$AJ$2:$AJ$137,Calc!$AL$2:$AL$137,Calc!$AM$2:$AM$137,Calc!$W$2:$W$137,Calc!$AD$2:$AD$137,Calc!$AK$2:$AK$137,Calc!$AN$2:$AN$137,Calc!$AO$2:$AO$137),MATCH($W3,Calc!$A$2:$A$137,0)),"")</f>
        <v>34.8023106060606</v>
      </c>
      <c r="H3" s="11" t="n">
        <f aca="false">IF(G3="","",IF(LEFT($X3,1)="H",SQRT(G3*(IFERROR(INDEX(Calc!$AP$2:$AP$137,MATCH($W3,Calc!$A$2:$A$137,0)),0.5)*Config!$B$5+1-IFERROR(INDEX(Calc!$AP$2:$AP$137,MATCH($W3,Calc!$A$2:$A$137,0)),0.5))),SQRT(G3*Config!$B$5)))</f>
        <v>6.98020306642184</v>
      </c>
      <c r="I3" s="10" t="n">
        <f aca="false">IF(OR(F3="",G3="",N(H3)&lt;=0),"",1-NORMDIST(FLOOR(F3,1)+0.5,G3,H3,TRUE()))</f>
        <v>0.629237427229152</v>
      </c>
      <c r="J3" s="10" t="n">
        <f aca="false">IF(I3="","",NORMDIST(CEILING(F3,1)-0.5,G3,H3,TRUE()))</f>
        <v>0.370762572770848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OVER</v>
      </c>
      <c r="N3" s="0" t="n">
        <v>31.5</v>
      </c>
      <c r="O3" s="10" t="n">
        <v>0.2</v>
      </c>
      <c r="P3" s="10" t="n">
        <v>0.4</v>
      </c>
      <c r="Q3" s="10" t="n">
        <v>0.33</v>
      </c>
      <c r="R3" s="9" t="s">
        <v>1287</v>
      </c>
      <c r="S3" s="0" t="n">
        <v>-2</v>
      </c>
      <c r="T3" s="0" t="str">
        <f aca="false">INDEX(Calc!$G$2:$G$137,MATCH($W3,Calc!$A$2:$A$137,0))&amp;" / "&amp;INDEX(Calc!$H$2:$H$137,MATCH($W3,Calc!$A$2:$A$137,0))</f>
        <v>Dust2 / Ancient</v>
      </c>
      <c r="U3" s="0" t="str">
        <f aca="false">TEXT(INDEX(Calc!$J$2:$J$137,MATCH($W3,Calc!$A$2:$A$137,0)),"0.0")&amp;" / "&amp;TEXT(INDEX(Calc!$K$2:$K$137,MATCH($W3,Calc!$A$2:$A$137,0)),"0.0")</f>
        <v>21.5 / 21.5</v>
      </c>
      <c r="V3" s="0" t="str">
        <f aca="false">IFERROR(INDEX(Calc!$AQ$2:$AQ$137,MATCH($W3,Calc!$A$2:$A$137,0)),"")</f>
        <v/>
      </c>
      <c r="W3" s="9" t="s">
        <v>1288</v>
      </c>
      <c r="X3" s="9" t="s">
        <v>1291</v>
      </c>
      <c r="Y3" s="0" t="str">
        <f aca="false">W3&amp;"|"&amp;X3</f>
        <v>yoqtwbv6uc6leni|CS2 [NO MARKET] · 100T vs Arena Pro|K12</v>
      </c>
      <c r="Z3" s="11" t="n">
        <f aca="false">IFERROR(INDEX(CHOOSE(MATCH($X3,{"K1","K2","K3","K12","K13","H1","H2","H3","H12","H13"},0),Calc!$BA$2:$BA$137,Calc!$BB$2:$BB$137,Calc!$BC$2:$BC$137,Calc!$BD$2:$BD$137,Calc!$BE$2:$BE$137,Calc!$BF$2:$BF$137,Calc!$BG$2:$BG$137,Calc!$BH$2:$BH$137,Calc!$BI$2:$BI$137,Calc!$BJ$2:$BJ$137),MATCH($W3,Calc!$A$2:$A$137,0)),"")</f>
        <v>34.8023106060606</v>
      </c>
      <c r="AA3" s="11" t="n">
        <f aca="false">IF(Z3="","",IF(LEFT($X3,1)="H",SQRT(Z3*(IFERROR(INDEX(Calc!$AP$2:$AP$137,MATCH($W3,Calc!$A$2:$A$137,0)),0.5)*Config!$B$5+1-IFERROR(INDEX(Calc!$AP$2:$AP$137,MATCH($W3,Calc!$A$2:$A$137,0)),0.5))),SQRT(Z3*Config!$B$5)))</f>
        <v>6.98020306642184</v>
      </c>
      <c r="AB3" s="10" t="n">
        <f aca="false">IF(OR(F3="",Z3="",N(AA3)&lt;=0),"",1-NORMDIST(FLOOR(F3,1)+0.5,Z3,AA3,TRUE()))</f>
        <v>0.629237427229152</v>
      </c>
      <c r="AC3" s="10" t="n">
        <f aca="false">IF(AB3="","",NORMDIST(CEILING(F3,1)-0.5,Z3,AA3,TRUE()))</f>
        <v>0.370762572770848</v>
      </c>
      <c r="AD3" s="0" t="str">
        <f aca="false">IF(AB3="","",IF(AB3&gt;=0.5+Config!$B$6,"OVER",IF(AC3&gt;=0.5+Config!$B$6,"UNDER","—")))</f>
        <v>OVER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1139</v>
      </c>
      <c r="B4" s="0" t="s">
        <v>1186</v>
      </c>
      <c r="C4" s="0" t="s">
        <v>1292</v>
      </c>
      <c r="D4" s="0" t="s">
        <v>1190</v>
      </c>
      <c r="E4" s="0" t="s">
        <v>1286</v>
      </c>
      <c r="F4" s="0" t="n">
        <v>13.5</v>
      </c>
      <c r="G4" s="11" t="n">
        <f aca="false">IFERROR(INDEX(CHOOSE(MATCH($X4,{"K1","K2","K3","K12","K13","H1","H2","H3","H12","H13"},0),Calc!$V$2:$V$137,Calc!$AC$2:$AC$137,Calc!$AJ$2:$AJ$137,Calc!$AL$2:$AL$137,Calc!$AM$2:$AM$137,Calc!$W$2:$W$137,Calc!$AD$2:$AD$137,Calc!$AK$2:$AK$137,Calc!$AN$2:$AN$137,Calc!$AO$2:$AO$137),MATCH($W4,Calc!$A$2:$A$137,0)),"")</f>
        <v>12.0981525889578</v>
      </c>
      <c r="H4" s="11" t="n">
        <f aca="false">IF(G4="","",IF(LEFT($X4,1)="H",SQRT(G4*(IFERROR(INDEX(Calc!$AP$2:$AP$137,MATCH($W4,Calc!$A$2:$A$137,0)),0.5)*Config!$B$5+1-IFERROR(INDEX(Calc!$AP$2:$AP$137,MATCH($W4,Calc!$A$2:$A$137,0)),0.5))),SQRT(G4*Config!$B$5)))</f>
        <v>3.79530800893847</v>
      </c>
      <c r="I4" s="10" t="n">
        <f aca="false">IF(OR(F4="",G4="",N(H4)&lt;=0),"",1-NORMDIST(FLOOR(F4,1)+0.5,G4,H4,TRUE()))</f>
        <v>0.355928482461258</v>
      </c>
      <c r="J4" s="10" t="n">
        <f aca="false">IF(I4="","",NORMDIST(CEILING(F4,1)-0.5,G4,H4,TRUE()))</f>
        <v>0.644071517538742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UNDER</v>
      </c>
      <c r="N4" s="0" t="n">
        <v>11</v>
      </c>
      <c r="O4" s="10" t="n">
        <v>0.2</v>
      </c>
      <c r="P4" s="10" t="n">
        <v>0.2</v>
      </c>
      <c r="Q4" s="10" t="n">
        <v>0.33</v>
      </c>
      <c r="R4" s="9" t="s">
        <v>1287</v>
      </c>
      <c r="S4" s="0" t="n">
        <v>-1</v>
      </c>
      <c r="T4" s="0" t="str">
        <f aca="false">INDEX(Calc!$G$2:$G$137,MATCH($W4,Calc!$A$2:$A$137,0))&amp;" / "&amp;INDEX(Calc!$H$2:$H$137,MATCH($W4,Calc!$A$2:$A$137,0))</f>
        <v>Dust2 / Ancient</v>
      </c>
      <c r="U4" s="0" t="str">
        <f aca="false">TEXT(INDEX(Calc!$J$2:$J$137,MATCH($W4,Calc!$A$2:$A$137,0)),"0.0")&amp;" / "&amp;TEXT(INDEX(Calc!$K$2:$K$137,MATCH($W4,Calc!$A$2:$A$137,0)),"0.0")</f>
        <v>21.5 / 21.5</v>
      </c>
      <c r="V4" s="0" t="str">
        <f aca="false">IFERROR(INDEX(Calc!$AQ$2:$AQ$137,MATCH($W4,Calc!$A$2:$A$137,0)),"")</f>
        <v/>
      </c>
      <c r="W4" s="9" t="s">
        <v>1293</v>
      </c>
      <c r="X4" s="9" t="s">
        <v>1289</v>
      </c>
      <c r="Y4" s="0" t="str">
        <f aca="false">W4&amp;"|"&amp;X4</f>
        <v>acphdzip9ah477u|CS2 [NO MARKET] · 100T vs Arena Pro|H12</v>
      </c>
      <c r="Z4" s="11" t="n">
        <f aca="false">IFERROR(INDEX(CHOOSE(MATCH($X4,{"K1","K2","K3","K12","K13","H1","H2","H3","H12","H13"},0),Calc!$BA$2:$BA$137,Calc!$BB$2:$BB$137,Calc!$BC$2:$BC$137,Calc!$BD$2:$BD$137,Calc!$BE$2:$BE$137,Calc!$BF$2:$BF$137,Calc!$BG$2:$BG$137,Calc!$BH$2:$BH$137,Calc!$BI$2:$BI$137,Calc!$BJ$2:$BJ$137),MATCH($W4,Calc!$A$2:$A$137,0)),"")</f>
        <v>12.0981525889578</v>
      </c>
      <c r="AA4" s="11" t="n">
        <f aca="false">IF(Z4="","",IF(LEFT($X4,1)="H",SQRT(Z4*(IFERROR(INDEX(Calc!$AP$2:$AP$137,MATCH($W4,Calc!$A$2:$A$137,0)),0.5)*Config!$B$5+1-IFERROR(INDEX(Calc!$AP$2:$AP$137,MATCH($W4,Calc!$A$2:$A$137,0)),0.5))),SQRT(Z4*Config!$B$5)))</f>
        <v>3.79530800893847</v>
      </c>
      <c r="AB4" s="10" t="n">
        <f aca="false">IF(OR(F4="",Z4="",N(AA4)&lt;=0),"",1-NORMDIST(FLOOR(F4,1)+0.5,Z4,AA4,TRUE()))</f>
        <v>0.355928482461258</v>
      </c>
      <c r="AC4" s="10" t="n">
        <f aca="false">IF(AB4="","",NORMDIST(CEILING(F4,1)-0.5,Z4,AA4,TRUE()))</f>
        <v>0.644071517538742</v>
      </c>
      <c r="AD4" s="0" t="str">
        <f aca="false">IF(AB4="","",IF(AB4&gt;=0.5+Config!$B$6,"OVER",IF(AC4&gt;=0.5+Config!$B$6,"UNDER","—")))</f>
        <v>UNDER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1139</v>
      </c>
      <c r="B5" s="0" t="s">
        <v>1186</v>
      </c>
      <c r="C5" s="0" t="s">
        <v>1292</v>
      </c>
      <c r="D5" s="0" t="s">
        <v>1190</v>
      </c>
      <c r="E5" s="0" t="s">
        <v>1290</v>
      </c>
      <c r="F5" s="0" t="n">
        <v>26.5</v>
      </c>
      <c r="G5" s="11" t="n">
        <f aca="false">IFERROR(INDEX(CHOOSE(MATCH($X5,{"K1","K2","K3","K12","K13","H1","H2","H3","H12","H13"},0),Calc!$V$2:$V$137,Calc!$AC$2:$AC$137,Calc!$AJ$2:$AJ$137,Calc!$AL$2:$AL$137,Calc!$AM$2:$AM$137,Calc!$W$2:$W$137,Calc!$AD$2:$AD$137,Calc!$AK$2:$AK$137,Calc!$AN$2:$AN$137,Calc!$AO$2:$AO$137),MATCH($W5,Calc!$A$2:$A$137,0)),"")</f>
        <v>25.3862878787879</v>
      </c>
      <c r="H5" s="11" t="n">
        <f aca="false">IF(G5="","",IF(LEFT($X5,1)="H",SQRT(G5*(IFERROR(INDEX(Calc!$AP$2:$AP$137,MATCH($W5,Calc!$A$2:$A$137,0)),0.5)*Config!$B$5+1-IFERROR(INDEX(Calc!$AP$2:$AP$137,MATCH($W5,Calc!$A$2:$A$137,0)),0.5))),SQRT(G5*Config!$B$5)))</f>
        <v>5.96161077480768</v>
      </c>
      <c r="I5" s="10" t="n">
        <f aca="false">IF(OR(F5="",G5="",N(H5)&lt;=0),"",1-NORMDIST(FLOOR(F5,1)+0.5,G5,H5,TRUE()))</f>
        <v>0.425903250266805</v>
      </c>
      <c r="J5" s="10" t="n">
        <f aca="false">IF(I5="","",NORMDIST(CEILING(F5,1)-0.5,G5,H5,TRUE()))</f>
        <v>0.574096749733195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UNDER</v>
      </c>
      <c r="N5" s="0" t="n">
        <v>22.8</v>
      </c>
      <c r="O5" s="10" t="n">
        <v>0</v>
      </c>
      <c r="P5" s="10" t="n">
        <v>0.2</v>
      </c>
      <c r="Q5" s="10" t="n">
        <v>0.33</v>
      </c>
      <c r="R5" s="9" t="s">
        <v>1287</v>
      </c>
      <c r="S5" s="0" t="n">
        <v>-7</v>
      </c>
      <c r="T5" s="0" t="str">
        <f aca="false">INDEX(Calc!$G$2:$G$137,MATCH($W5,Calc!$A$2:$A$137,0))&amp;" / "&amp;INDEX(Calc!$H$2:$H$137,MATCH($W5,Calc!$A$2:$A$137,0))</f>
        <v>Dust2 / Ancient</v>
      </c>
      <c r="U5" s="0" t="str">
        <f aca="false">TEXT(INDEX(Calc!$J$2:$J$137,MATCH($W5,Calc!$A$2:$A$137,0)),"0.0")&amp;" / "&amp;TEXT(INDEX(Calc!$K$2:$K$137,MATCH($W5,Calc!$A$2:$A$137,0)),"0.0")</f>
        <v>21.5 / 21.5</v>
      </c>
      <c r="V5" s="0" t="str">
        <f aca="false">IFERROR(INDEX(Calc!$AQ$2:$AQ$137,MATCH($W5,Calc!$A$2:$A$137,0)),"")</f>
        <v/>
      </c>
      <c r="W5" s="9" t="s">
        <v>1293</v>
      </c>
      <c r="X5" s="9" t="s">
        <v>1291</v>
      </c>
      <c r="Y5" s="0" t="str">
        <f aca="false">W5&amp;"|"&amp;X5</f>
        <v>acphdzip9ah477u|CS2 [NO MARKET] · 100T vs Arena Pro|K12</v>
      </c>
      <c r="Z5" s="11" t="n">
        <f aca="false">IFERROR(INDEX(CHOOSE(MATCH($X5,{"K1","K2","K3","K12","K13","H1","H2","H3","H12","H13"},0),Calc!$BA$2:$BA$137,Calc!$BB$2:$BB$137,Calc!$BC$2:$BC$137,Calc!$BD$2:$BD$137,Calc!$BE$2:$BE$137,Calc!$BF$2:$BF$137,Calc!$BG$2:$BG$137,Calc!$BH$2:$BH$137,Calc!$BI$2:$BI$137,Calc!$BJ$2:$BJ$137),MATCH($W5,Calc!$A$2:$A$137,0)),"")</f>
        <v>25.3862878787879</v>
      </c>
      <c r="AA5" s="11" t="n">
        <f aca="false">IF(Z5="","",IF(LEFT($X5,1)="H",SQRT(Z5*(IFERROR(INDEX(Calc!$AP$2:$AP$137,MATCH($W5,Calc!$A$2:$A$137,0)),0.5)*Config!$B$5+1-IFERROR(INDEX(Calc!$AP$2:$AP$137,MATCH($W5,Calc!$A$2:$A$137,0)),0.5))),SQRT(Z5*Config!$B$5)))</f>
        <v>5.96161077480768</v>
      </c>
      <c r="AB5" s="10" t="n">
        <f aca="false">IF(OR(F5="",Z5="",N(AA5)&lt;=0),"",1-NORMDIST(FLOOR(F5,1)+0.5,Z5,AA5,TRUE()))</f>
        <v>0.425903250266805</v>
      </c>
      <c r="AC5" s="10" t="n">
        <f aca="false">IF(AB5="","",NORMDIST(CEILING(F5,1)-0.5,Z5,AA5,TRUE()))</f>
        <v>0.574096749733195</v>
      </c>
      <c r="AD5" s="0" t="str">
        <f aca="false">IF(AB5="","",IF(AB5&gt;=0.5+Config!$B$6,"OVER",IF(AC5&gt;=0.5+Config!$B$6,"UNDER","—")))</f>
        <v>UNDER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1139</v>
      </c>
      <c r="B6" s="0" t="s">
        <v>1186</v>
      </c>
      <c r="C6" s="0" t="s">
        <v>1294</v>
      </c>
      <c r="D6" s="0" t="s">
        <v>1190</v>
      </c>
      <c r="E6" s="0" t="s">
        <v>1286</v>
      </c>
      <c r="F6" s="0" t="n">
        <v>18</v>
      </c>
      <c r="G6" s="11" t="n">
        <f aca="false">IFERROR(INDEX(CHOOSE(MATCH($X6,{"K1","K2","K3","K12","K13","H1","H2","H3","H12","H13"},0),Calc!$V$2:$V$137,Calc!$AC$2:$AC$137,Calc!$AJ$2:$AJ$137,Calc!$AL$2:$AL$137,Calc!$AM$2:$AM$137,Calc!$W$2:$W$137,Calc!$AD$2:$AD$137,Calc!$AK$2:$AK$137,Calc!$AN$2:$AN$137,Calc!$AO$2:$AO$137),MATCH($W6,Calc!$A$2:$A$137,0)),"")</f>
        <v>18.7696713929063</v>
      </c>
      <c r="H6" s="11" t="n">
        <f aca="false">IF(G6="","",IF(LEFT($X6,1)="H",SQRT(G6*(IFERROR(INDEX(Calc!$AP$2:$AP$137,MATCH($W6,Calc!$A$2:$A$137,0)),0.5)*Config!$B$5+1-IFERROR(INDEX(Calc!$AP$2:$AP$137,MATCH($W6,Calc!$A$2:$A$137,0)),0.5))),SQRT(G6*Config!$B$5)))</f>
        <v>4.78484121383628</v>
      </c>
      <c r="I6" s="10" t="n">
        <f aca="false">IF(OR(F6="",G6="",N(H6)&lt;=0),"",1-NORMDIST(FLOOR(F6,1)+0.5,G6,H6,TRUE()))</f>
        <v>0.522472301215549</v>
      </c>
      <c r="J6" s="10" t="n">
        <f aca="false">IF(I6="","",NORMDIST(CEILING(F6,1)-0.5,G6,H6,TRUE()))</f>
        <v>0.395368816115938</v>
      </c>
      <c r="K6" s="10" t="n">
        <f aca="false">IF(I6="","",MAX(0,1-I6-J6))</f>
        <v>0.0821588826685124</v>
      </c>
      <c r="L6" s="0" t="str">
        <f aca="false">IF(I6="","",IF(I6&gt;=0.5+Config!$B$6,"OVER",IF(J6&gt;=0.5+Config!$B$6,"UNDER","—")))</f>
        <v>—</v>
      </c>
      <c r="N6" s="0" t="n">
        <v>18.9</v>
      </c>
      <c r="O6" s="10" t="n">
        <v>0.6</v>
      </c>
      <c r="P6" s="10" t="n">
        <v>0.7</v>
      </c>
      <c r="Q6" s="10" t="n">
        <v>0.6</v>
      </c>
      <c r="R6" s="9" t="s">
        <v>1287</v>
      </c>
      <c r="S6" s="0" t="n">
        <v>-1</v>
      </c>
      <c r="T6" s="0" t="str">
        <f aca="false">INDEX(Calc!$G$2:$G$137,MATCH($W6,Calc!$A$2:$A$137,0))&amp;" / "&amp;INDEX(Calc!$H$2:$H$137,MATCH($W6,Calc!$A$2:$A$137,0))</f>
        <v>Dust2 / Ancient</v>
      </c>
      <c r="U6" s="0" t="str">
        <f aca="false">TEXT(INDEX(Calc!$J$2:$J$137,MATCH($W6,Calc!$A$2:$A$137,0)),"0.0")&amp;" / "&amp;TEXT(INDEX(Calc!$K$2:$K$137,MATCH($W6,Calc!$A$2:$A$137,0)),"0.0")</f>
        <v>21.5 / 21.5</v>
      </c>
      <c r="V6" s="0" t="str">
        <f aca="false">IFERROR(INDEX(Calc!$AQ$2:$AQ$137,MATCH($W6,Calc!$A$2:$A$137,0)),"")</f>
        <v/>
      </c>
      <c r="W6" s="9" t="s">
        <v>1295</v>
      </c>
      <c r="X6" s="9" t="s">
        <v>1289</v>
      </c>
      <c r="Y6" s="0" t="str">
        <f aca="false">W6&amp;"|"&amp;X6</f>
        <v>irrertmif0zjlof|CS2 [NO MARKET] · 100T vs Arena Pro|H12</v>
      </c>
      <c r="Z6" s="11" t="n">
        <f aca="false">IFERROR(INDEX(CHOOSE(MATCH($X6,{"K1","K2","K3","K12","K13","H1","H2","H3","H12","H13"},0),Calc!$BA$2:$BA$137,Calc!$BB$2:$BB$137,Calc!$BC$2:$BC$137,Calc!$BD$2:$BD$137,Calc!$BE$2:$BE$137,Calc!$BF$2:$BF$137,Calc!$BG$2:$BG$137,Calc!$BH$2:$BH$137,Calc!$BI$2:$BI$137,Calc!$BJ$2:$BJ$137),MATCH($W6,Calc!$A$2:$A$137,0)),"")</f>
        <v>18.7696713929063</v>
      </c>
      <c r="AA6" s="11" t="n">
        <f aca="false">IF(Z6="","",IF(LEFT($X6,1)="H",SQRT(Z6*(IFERROR(INDEX(Calc!$AP$2:$AP$137,MATCH($W6,Calc!$A$2:$A$137,0)),0.5)*Config!$B$5+1-IFERROR(INDEX(Calc!$AP$2:$AP$137,MATCH($W6,Calc!$A$2:$A$137,0)),0.5))),SQRT(Z6*Config!$B$5)))</f>
        <v>4.78484121383628</v>
      </c>
      <c r="AB6" s="10" t="n">
        <f aca="false">IF(OR(F6="",Z6="",N(AA6)&lt;=0),"",1-NORMDIST(FLOOR(F6,1)+0.5,Z6,AA6,TRUE()))</f>
        <v>0.522472301215549</v>
      </c>
      <c r="AC6" s="10" t="n">
        <f aca="false">IF(AB6="","",NORMDIST(CEILING(F6,1)-0.5,Z6,AA6,TRUE()))</f>
        <v>0.395368816115938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1139</v>
      </c>
      <c r="B7" s="0" t="s">
        <v>1186</v>
      </c>
      <c r="C7" s="0" t="s">
        <v>1294</v>
      </c>
      <c r="D7" s="0" t="s">
        <v>1190</v>
      </c>
      <c r="E7" s="0" t="s">
        <v>1290</v>
      </c>
      <c r="F7" s="0" t="n">
        <v>31.5</v>
      </c>
      <c r="G7" s="11" t="n">
        <f aca="false">IFERROR(INDEX(CHOOSE(MATCH($X7,{"K1","K2","K3","K12","K13","H1","H2","H3","H12","H13"},0),Calc!$V$2:$V$137,Calc!$AC$2:$AC$137,Calc!$AJ$2:$AJ$137,Calc!$AL$2:$AL$137,Calc!$AM$2:$AM$137,Calc!$W$2:$W$137,Calc!$AD$2:$AD$137,Calc!$AK$2:$AK$137,Calc!$AN$2:$AN$137,Calc!$AO$2:$AO$137),MATCH($W7,Calc!$A$2:$A$137,0)),"")</f>
        <v>34.162196969697</v>
      </c>
      <c r="H7" s="11" t="n">
        <f aca="false">IF(G7="","",IF(LEFT($X7,1)="H",SQRT(G7*(IFERROR(INDEX(Calc!$AP$2:$AP$137,MATCH($W7,Calc!$A$2:$A$137,0)),0.5)*Config!$B$5+1-IFERROR(INDEX(Calc!$AP$2:$AP$137,MATCH($W7,Calc!$A$2:$A$137,0)),0.5))),SQRT(G7*Config!$B$5)))</f>
        <v>6.91571223790983</v>
      </c>
      <c r="I7" s="10" t="n">
        <f aca="false">IF(OR(F7="",G7="",N(H7)&lt;=0),"",1-NORMDIST(FLOOR(F7,1)+0.5,G7,H7,TRUE()))</f>
        <v>0.649862423978164</v>
      </c>
      <c r="J7" s="10" t="n">
        <f aca="false">IF(I7="","",NORMDIST(CEILING(F7,1)-0.5,G7,H7,TRUE()))</f>
        <v>0.350137576021836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OVER</v>
      </c>
      <c r="N7" s="0" t="n">
        <v>31.5</v>
      </c>
      <c r="O7" s="10" t="n">
        <v>0.2</v>
      </c>
      <c r="P7" s="10" t="n">
        <v>0.3</v>
      </c>
      <c r="Q7" s="10" t="n">
        <v>0.47</v>
      </c>
      <c r="R7" s="9" t="s">
        <v>1287</v>
      </c>
      <c r="S7" s="0" t="n">
        <v>-2</v>
      </c>
      <c r="T7" s="0" t="str">
        <f aca="false">INDEX(Calc!$G$2:$G$137,MATCH($W7,Calc!$A$2:$A$137,0))&amp;" / "&amp;INDEX(Calc!$H$2:$H$137,MATCH($W7,Calc!$A$2:$A$137,0))</f>
        <v>Dust2 / Ancient</v>
      </c>
      <c r="U7" s="0" t="str">
        <f aca="false">TEXT(INDEX(Calc!$J$2:$J$137,MATCH($W7,Calc!$A$2:$A$137,0)),"0.0")&amp;" / "&amp;TEXT(INDEX(Calc!$K$2:$K$137,MATCH($W7,Calc!$A$2:$A$137,0)),"0.0")</f>
        <v>21.5 / 21.5</v>
      </c>
      <c r="V7" s="0" t="str">
        <f aca="false">IFERROR(INDEX(Calc!$AQ$2:$AQ$137,MATCH($W7,Calc!$A$2:$A$137,0)),"")</f>
        <v/>
      </c>
      <c r="W7" s="9" t="s">
        <v>1295</v>
      </c>
      <c r="X7" s="9" t="s">
        <v>1291</v>
      </c>
      <c r="Y7" s="0" t="str">
        <f aca="false">W7&amp;"|"&amp;X7</f>
        <v>irrertmif0zjlof|CS2 [NO MARKET] · 100T vs Arena Pro|K12</v>
      </c>
      <c r="Z7" s="11" t="n">
        <f aca="false">IFERROR(INDEX(CHOOSE(MATCH($X7,{"K1","K2","K3","K12","K13","H1","H2","H3","H12","H13"},0),Calc!$BA$2:$BA$137,Calc!$BB$2:$BB$137,Calc!$BC$2:$BC$137,Calc!$BD$2:$BD$137,Calc!$BE$2:$BE$137,Calc!$BF$2:$BF$137,Calc!$BG$2:$BG$137,Calc!$BH$2:$BH$137,Calc!$BI$2:$BI$137,Calc!$BJ$2:$BJ$137),MATCH($W7,Calc!$A$2:$A$137,0)),"")</f>
        <v>34.162196969697</v>
      </c>
      <c r="AA7" s="11" t="n">
        <f aca="false">IF(Z7="","",IF(LEFT($X7,1)="H",SQRT(Z7*(IFERROR(INDEX(Calc!$AP$2:$AP$137,MATCH($W7,Calc!$A$2:$A$137,0)),0.5)*Config!$B$5+1-IFERROR(INDEX(Calc!$AP$2:$AP$137,MATCH($W7,Calc!$A$2:$A$137,0)),0.5))),SQRT(Z7*Config!$B$5)))</f>
        <v>6.91571223790983</v>
      </c>
      <c r="AB7" s="10" t="n">
        <f aca="false">IF(OR(F7="",Z7="",N(AA7)&lt;=0),"",1-NORMDIST(FLOOR(F7,1)+0.5,Z7,AA7,TRUE()))</f>
        <v>0.649862423978164</v>
      </c>
      <c r="AC7" s="10" t="n">
        <f aca="false">IF(AB7="","",NORMDIST(CEILING(F7,1)-0.5,Z7,AA7,TRUE()))</f>
        <v>0.350137576021836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1139</v>
      </c>
      <c r="B8" s="0" t="s">
        <v>1186</v>
      </c>
      <c r="C8" s="0" t="s">
        <v>1296</v>
      </c>
      <c r="D8" s="0" t="s">
        <v>1190</v>
      </c>
      <c r="E8" s="0" t="s">
        <v>1286</v>
      </c>
      <c r="F8" s="0" t="n">
        <v>16.5</v>
      </c>
      <c r="G8" s="11" t="n">
        <f aca="false">IFERROR(INDEX(CHOOSE(MATCH($X8,{"K1","K2","K3","K12","K13","H1","H2","H3","H12","H13"},0),Calc!$V$2:$V$137,Calc!$AC$2:$AC$137,Calc!$AJ$2:$AJ$137,Calc!$AL$2:$AL$137,Calc!$AM$2:$AM$137,Calc!$W$2:$W$137,Calc!$AD$2:$AD$137,Calc!$AK$2:$AK$137,Calc!$AN$2:$AN$137,Calc!$AO$2:$AO$137),MATCH($W8,Calc!$A$2:$A$137,0)),"")</f>
        <v>16.2835453607094</v>
      </c>
      <c r="H8" s="11" t="n">
        <f aca="false">IF(G8="","",IF(LEFT($X8,1)="H",SQRT(G8*(IFERROR(INDEX(Calc!$AP$2:$AP$137,MATCH($W8,Calc!$A$2:$A$137,0)),0.5)*Config!$B$5+1-IFERROR(INDEX(Calc!$AP$2:$AP$137,MATCH($W8,Calc!$A$2:$A$137,0)),0.5))),SQRT(G8*Config!$B$5)))</f>
        <v>4.46987653905148</v>
      </c>
      <c r="I8" s="10" t="n">
        <f aca="false">IF(OR(F8="",G8="",N(H8)&lt;=0),"",1-NORMDIST(FLOOR(F8,1)+0.5,G8,H8,TRUE()))</f>
        <v>0.480688690407978</v>
      </c>
      <c r="J8" s="10" t="n">
        <f aca="false">IF(I8="","",NORMDIST(CEILING(F8,1)-0.5,G8,H8,TRUE()))</f>
        <v>0.519311309592022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—</v>
      </c>
      <c r="N8" s="0" t="n">
        <v>16.6</v>
      </c>
      <c r="O8" s="10" t="n">
        <v>0.6</v>
      </c>
      <c r="P8" s="10" t="n">
        <v>0.5</v>
      </c>
      <c r="Q8" s="10" t="n">
        <v>0.53</v>
      </c>
      <c r="R8" s="9" t="s">
        <v>1287</v>
      </c>
      <c r="S8" s="0" t="n">
        <v>1</v>
      </c>
      <c r="T8" s="0" t="str">
        <f aca="false">INDEX(Calc!$G$2:$G$137,MATCH($W8,Calc!$A$2:$A$137,0))&amp;" / "&amp;INDEX(Calc!$H$2:$H$137,MATCH($W8,Calc!$A$2:$A$137,0))</f>
        <v>Dust2 / Ancient</v>
      </c>
      <c r="U8" s="0" t="str">
        <f aca="false">TEXT(INDEX(Calc!$J$2:$J$137,MATCH($W8,Calc!$A$2:$A$137,0)),"0.0")&amp;" / "&amp;TEXT(INDEX(Calc!$K$2:$K$137,MATCH($W8,Calc!$A$2:$A$137,0)),"0.0")</f>
        <v>21.5 / 21.5</v>
      </c>
      <c r="V8" s="0" t="str">
        <f aca="false">IFERROR(INDEX(Calc!$AQ$2:$AQ$137,MATCH($W8,Calc!$A$2:$A$137,0)),"")</f>
        <v/>
      </c>
      <c r="W8" s="9" t="s">
        <v>1297</v>
      </c>
      <c r="X8" s="9" t="s">
        <v>1289</v>
      </c>
      <c r="Y8" s="0" t="str">
        <f aca="false">W8&amp;"|"&amp;X8</f>
        <v>cy7qneakzvjx5w7|CS2 [NO MARKET] · 100T vs Arena Pro|H12</v>
      </c>
      <c r="Z8" s="11" t="n">
        <f aca="false">IFERROR(INDEX(CHOOSE(MATCH($X8,{"K1","K2","K3","K12","K13","H1","H2","H3","H12","H13"},0),Calc!$BA$2:$BA$137,Calc!$BB$2:$BB$137,Calc!$BC$2:$BC$137,Calc!$BD$2:$BD$137,Calc!$BE$2:$BE$137,Calc!$BF$2:$BF$137,Calc!$BG$2:$BG$137,Calc!$BH$2:$BH$137,Calc!$BI$2:$BI$137,Calc!$BJ$2:$BJ$137),MATCH($W8,Calc!$A$2:$A$137,0)),"")</f>
        <v>16.2835453607094</v>
      </c>
      <c r="AA8" s="11" t="n">
        <f aca="false">IF(Z8="","",IF(LEFT($X8,1)="H",SQRT(Z8*(IFERROR(INDEX(Calc!$AP$2:$AP$137,MATCH($W8,Calc!$A$2:$A$137,0)),0.5)*Config!$B$5+1-IFERROR(INDEX(Calc!$AP$2:$AP$137,MATCH($W8,Calc!$A$2:$A$137,0)),0.5))),SQRT(Z8*Config!$B$5)))</f>
        <v>4.46987653905148</v>
      </c>
      <c r="AB8" s="10" t="n">
        <f aca="false">IF(OR(F8="",Z8="",N(AA8)&lt;=0),"",1-NORMDIST(FLOOR(F8,1)+0.5,Z8,AA8,TRUE()))</f>
        <v>0.480688690407978</v>
      </c>
      <c r="AC8" s="10" t="n">
        <f aca="false">IF(AB8="","",NORMDIST(CEILING(F8,1)-0.5,Z8,AA8,TRUE()))</f>
        <v>0.519311309592022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1139</v>
      </c>
      <c r="B9" s="0" t="s">
        <v>1186</v>
      </c>
      <c r="C9" s="0" t="s">
        <v>1296</v>
      </c>
      <c r="D9" s="0" t="s">
        <v>1190</v>
      </c>
      <c r="E9" s="0" t="s">
        <v>1290</v>
      </c>
      <c r="F9" s="0" t="n">
        <v>29.5</v>
      </c>
      <c r="G9" s="11" t="n">
        <f aca="false">IFERROR(INDEX(CHOOSE(MATCH($X9,{"K1","K2","K3","K12","K13","H1","H2","H3","H12","H13"},0),Calc!$V$2:$V$137,Calc!$AC$2:$AC$137,Calc!$AJ$2:$AJ$137,Calc!$AL$2:$AL$137,Calc!$AM$2:$AM$137,Calc!$W$2:$W$137,Calc!$AD$2:$AD$137,Calc!$AK$2:$AK$137,Calc!$AN$2:$AN$137,Calc!$AO$2:$AO$137),MATCH($W9,Calc!$A$2:$A$137,0)),"")</f>
        <v>28.6943560606061</v>
      </c>
      <c r="H9" s="11" t="n">
        <f aca="false">IF(G9="","",IF(LEFT($X9,1)="H",SQRT(G9*(IFERROR(INDEX(Calc!$AP$2:$AP$137,MATCH($W9,Calc!$A$2:$A$137,0)),0.5)*Config!$B$5+1-IFERROR(INDEX(Calc!$AP$2:$AP$137,MATCH($W9,Calc!$A$2:$A$137,0)),0.5))),SQRT(G9*Config!$B$5)))</f>
        <v>6.33814629721092</v>
      </c>
      <c r="I9" s="10" t="n">
        <f aca="false">IF(OR(F9="",G9="",N(H9)&lt;=0),"",1-NORMDIST(FLOOR(F9,1)+0.5,G9,H9,TRUE()))</f>
        <v>0.449426533319602</v>
      </c>
      <c r="J9" s="10" t="n">
        <f aca="false">IF(I9="","",NORMDIST(CEILING(F9,1)-0.5,G9,H9,TRUE()))</f>
        <v>0.550573466680399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UNDER</v>
      </c>
      <c r="N9" s="0" t="n">
        <v>29.6</v>
      </c>
      <c r="O9" s="10" t="n">
        <v>0.4</v>
      </c>
      <c r="P9" s="10" t="n">
        <v>0.5</v>
      </c>
      <c r="Q9" s="10" t="n">
        <v>0.53</v>
      </c>
      <c r="R9" s="9" t="s">
        <v>1287</v>
      </c>
      <c r="S9" s="0" t="n">
        <v>-3</v>
      </c>
      <c r="T9" s="0" t="str">
        <f aca="false">INDEX(Calc!$G$2:$G$137,MATCH($W9,Calc!$A$2:$A$137,0))&amp;" / "&amp;INDEX(Calc!$H$2:$H$137,MATCH($W9,Calc!$A$2:$A$137,0))</f>
        <v>Dust2 / Ancient</v>
      </c>
      <c r="U9" s="0" t="str">
        <f aca="false">TEXT(INDEX(Calc!$J$2:$J$137,MATCH($W9,Calc!$A$2:$A$137,0)),"0.0")&amp;" / "&amp;TEXT(INDEX(Calc!$K$2:$K$137,MATCH($W9,Calc!$A$2:$A$137,0)),"0.0")</f>
        <v>21.5 / 21.5</v>
      </c>
      <c r="V9" s="0" t="str">
        <f aca="false">IFERROR(INDEX(Calc!$AQ$2:$AQ$137,MATCH($W9,Calc!$A$2:$A$137,0)),"")</f>
        <v/>
      </c>
      <c r="W9" s="9" t="s">
        <v>1297</v>
      </c>
      <c r="X9" s="9" t="s">
        <v>1291</v>
      </c>
      <c r="Y9" s="0" t="str">
        <f aca="false">W9&amp;"|"&amp;X9</f>
        <v>cy7qneakzvjx5w7|CS2 [NO MARKET] · 100T vs Arena Pro|K12</v>
      </c>
      <c r="Z9" s="11" t="n">
        <f aca="false">IFERROR(INDEX(CHOOSE(MATCH($X9,{"K1","K2","K3","K12","K13","H1","H2","H3","H12","H13"},0),Calc!$BA$2:$BA$137,Calc!$BB$2:$BB$137,Calc!$BC$2:$BC$137,Calc!$BD$2:$BD$137,Calc!$BE$2:$BE$137,Calc!$BF$2:$BF$137,Calc!$BG$2:$BG$137,Calc!$BH$2:$BH$137,Calc!$BI$2:$BI$137,Calc!$BJ$2:$BJ$137),MATCH($W9,Calc!$A$2:$A$137,0)),"")</f>
        <v>28.6943560606061</v>
      </c>
      <c r="AA9" s="11" t="n">
        <f aca="false">IF(Z9="","",IF(LEFT($X9,1)="H",SQRT(Z9*(IFERROR(INDEX(Calc!$AP$2:$AP$137,MATCH($W9,Calc!$A$2:$A$137,0)),0.5)*Config!$B$5+1-IFERROR(INDEX(Calc!$AP$2:$AP$137,MATCH($W9,Calc!$A$2:$A$137,0)),0.5))),SQRT(Z9*Config!$B$5)))</f>
        <v>6.33814629721092</v>
      </c>
      <c r="AB9" s="10" t="n">
        <f aca="false">IF(OR(F9="",Z9="",N(AA9)&lt;=0),"",1-NORMDIST(FLOOR(F9,1)+0.5,Z9,AA9,TRUE()))</f>
        <v>0.449426533319602</v>
      </c>
      <c r="AC9" s="10" t="n">
        <f aca="false">IF(AB9="","",NORMDIST(CEILING(F9,1)-0.5,Z9,AA9,TRUE()))</f>
        <v>0.550573466680399</v>
      </c>
      <c r="AD9" s="0" t="str">
        <f aca="false">IF(AB9="","",IF(AB9&gt;=0.5+Config!$B$6,"OVER",IF(AC9&gt;=0.5+Config!$B$6,"UNDER","—")))</f>
        <v>UNDER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1139</v>
      </c>
      <c r="B10" s="0" t="s">
        <v>1186</v>
      </c>
      <c r="C10" s="0" t="s">
        <v>1298</v>
      </c>
      <c r="D10" s="0" t="s">
        <v>1190</v>
      </c>
      <c r="E10" s="0" t="s">
        <v>1286</v>
      </c>
      <c r="F10" s="0" t="n">
        <v>16.5</v>
      </c>
      <c r="G10" s="11" t="n">
        <f aca="false">IFERROR(INDEX(CHOOSE(MATCH($X10,{"K1","K2","K3","K12","K13","H1","H2","H3","H12","H13"},0),Calc!$V$2:$V$137,Calc!$AC$2:$AC$137,Calc!$AJ$2:$AJ$137,Calc!$AL$2:$AL$137,Calc!$AM$2:$AM$137,Calc!$W$2:$W$137,Calc!$AD$2:$AD$137,Calc!$AK$2:$AK$137,Calc!$AN$2:$AN$137,Calc!$AO$2:$AO$137),MATCH($W10,Calc!$A$2:$A$137,0)),"")</f>
        <v>17.1336871590909</v>
      </c>
      <c r="H10" s="11" t="n">
        <f aca="false">IF(G10="","",IF(LEFT($X10,1)="H",SQRT(G10*(IFERROR(INDEX(Calc!$AP$2:$AP$137,MATCH($W10,Calc!$A$2:$A$137,0)),0.5)*Config!$B$5+1-IFERROR(INDEX(Calc!$AP$2:$AP$137,MATCH($W10,Calc!$A$2:$A$137,0)),0.5))),SQRT(G10*Config!$B$5)))</f>
        <v>4.63154298212588</v>
      </c>
      <c r="I10" s="10" t="n">
        <f aca="false">IF(OR(F10="",G10="",N(H10)&lt;=0),"",1-NORMDIST(FLOOR(F10,1)+0.5,G10,H10,TRUE()))</f>
        <v>0.554413415621587</v>
      </c>
      <c r="J10" s="10" t="n">
        <f aca="false">IF(I10="","",NORMDIST(CEILING(F10,1)-0.5,G10,H10,TRUE()))</f>
        <v>0.445586584378414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OVER</v>
      </c>
      <c r="N10" s="0" t="n">
        <v>15.9</v>
      </c>
      <c r="O10" s="10" t="n">
        <v>0.2</v>
      </c>
      <c r="P10" s="10" t="n">
        <v>0.5</v>
      </c>
      <c r="Q10" s="10" t="n">
        <v>0.47</v>
      </c>
      <c r="R10" s="9" t="s">
        <v>1287</v>
      </c>
      <c r="S10" s="0" t="n">
        <v>-4</v>
      </c>
      <c r="T10" s="0" t="str">
        <f aca="false">INDEX(Calc!$G$2:$G$137,MATCH($W10,Calc!$A$2:$A$137,0))&amp;" / "&amp;INDEX(Calc!$H$2:$H$137,MATCH($W10,Calc!$A$2:$A$137,0))</f>
        <v>Dust2 / Ancient</v>
      </c>
      <c r="U10" s="0" t="str">
        <f aca="false">TEXT(INDEX(Calc!$J$2:$J$137,MATCH($W10,Calc!$A$2:$A$137,0)),"0.0")&amp;" / "&amp;TEXT(INDEX(Calc!$K$2:$K$137,MATCH($W10,Calc!$A$2:$A$137,0)),"0.0")</f>
        <v>21.5 / 21.5</v>
      </c>
      <c r="V10" s="0" t="str">
        <f aca="false">IFERROR(INDEX(Calc!$AQ$2:$AQ$137,MATCH($W10,Calc!$A$2:$A$137,0)),"")</f>
        <v/>
      </c>
      <c r="W10" s="9" t="s">
        <v>1299</v>
      </c>
      <c r="X10" s="9" t="s">
        <v>1289</v>
      </c>
      <c r="Y10" s="0" t="str">
        <f aca="false">W10&amp;"|"&amp;X10</f>
        <v>v1kk02jq1q269h8|CS2 [NO MARKET] · 100T vs Arena Pro|H12</v>
      </c>
      <c r="Z10" s="11" t="n">
        <f aca="false">IFERROR(INDEX(CHOOSE(MATCH($X10,{"K1","K2","K3","K12","K13","H1","H2","H3","H12","H13"},0),Calc!$BA$2:$BA$137,Calc!$BB$2:$BB$137,Calc!$BC$2:$BC$137,Calc!$BD$2:$BD$137,Calc!$BE$2:$BE$137,Calc!$BF$2:$BF$137,Calc!$BG$2:$BG$137,Calc!$BH$2:$BH$137,Calc!$BI$2:$BI$137,Calc!$BJ$2:$BJ$137),MATCH($W10,Calc!$A$2:$A$137,0)),"")</f>
        <v>17.1336871590909</v>
      </c>
      <c r="AA10" s="11" t="n">
        <f aca="false">IF(Z10="","",IF(LEFT($X10,1)="H",SQRT(Z10*(IFERROR(INDEX(Calc!$AP$2:$AP$137,MATCH($W10,Calc!$A$2:$A$137,0)),0.5)*Config!$B$5+1-IFERROR(INDEX(Calc!$AP$2:$AP$137,MATCH($W10,Calc!$A$2:$A$137,0)),0.5))),SQRT(Z10*Config!$B$5)))</f>
        <v>4.63154298212588</v>
      </c>
      <c r="AB10" s="10" t="n">
        <f aca="false">IF(OR(F10="",Z10="",N(AA10)&lt;=0),"",1-NORMDIST(FLOOR(F10,1)+0.5,Z10,AA10,TRUE()))</f>
        <v>0.554413415621587</v>
      </c>
      <c r="AC10" s="10" t="n">
        <f aca="false">IF(AB10="","",NORMDIST(CEILING(F10,1)-0.5,Z10,AA10,TRUE()))</f>
        <v>0.445586584378414</v>
      </c>
      <c r="AD10" s="0" t="str">
        <f aca="false">IF(AB10="","",IF(AB10&gt;=0.5+Config!$B$6,"OVER",IF(AC10&gt;=0.5+Config!$B$6,"UNDER","—")))</f>
        <v>OVER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1139</v>
      </c>
      <c r="B11" s="0" t="s">
        <v>1186</v>
      </c>
      <c r="C11" s="0" t="s">
        <v>1298</v>
      </c>
      <c r="D11" s="0" t="s">
        <v>1190</v>
      </c>
      <c r="E11" s="0" t="s">
        <v>1290</v>
      </c>
      <c r="F11" s="0" t="n">
        <v>27.5</v>
      </c>
      <c r="G11" s="11" t="n">
        <f aca="false">IFERROR(INDEX(CHOOSE(MATCH($X11,{"K1","K2","K3","K12","K13","H1","H2","H3","H12","H13"},0),Calc!$V$2:$V$137,Calc!$AC$2:$AC$137,Calc!$AJ$2:$AJ$137,Calc!$AL$2:$AL$137,Calc!$AM$2:$AM$137,Calc!$W$2:$W$137,Calc!$AD$2:$AD$137,Calc!$AK$2:$AK$137,Calc!$AN$2:$AN$137,Calc!$AO$2:$AO$137),MATCH($W11,Calc!$A$2:$A$137,0)),"")</f>
        <v>27.1975</v>
      </c>
      <c r="H11" s="11" t="n">
        <f aca="false">IF(G11="","",IF(LEFT($X11,1)="H",SQRT(G11*(IFERROR(INDEX(Calc!$AP$2:$AP$137,MATCH($W11,Calc!$A$2:$A$137,0)),0.5)*Config!$B$5+1-IFERROR(INDEX(Calc!$AP$2:$AP$137,MATCH($W11,Calc!$A$2:$A$137,0)),0.5))),SQRT(G11*Config!$B$5)))</f>
        <v>6.17061585257096</v>
      </c>
      <c r="I11" s="10" t="n">
        <f aca="false">IF(OR(F11="",G11="",N(H11)&lt;=0),"",1-NORMDIST(FLOOR(F11,1)+0.5,G11,H11,TRUE()))</f>
        <v>0.480450618978843</v>
      </c>
      <c r="J11" s="10" t="n">
        <f aca="false">IF(I11="","",NORMDIST(CEILING(F11,1)-0.5,G11,H11,TRUE()))</f>
        <v>0.519549381021157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—</v>
      </c>
      <c r="N11" s="0" t="n">
        <v>26.8</v>
      </c>
      <c r="O11" s="10" t="n">
        <v>0.2</v>
      </c>
      <c r="P11" s="10" t="n">
        <v>0.5</v>
      </c>
      <c r="Q11" s="10" t="n">
        <v>0.53</v>
      </c>
      <c r="R11" s="9" t="s">
        <v>1287</v>
      </c>
      <c r="S11" s="0" t="n">
        <v>-4</v>
      </c>
      <c r="T11" s="0" t="str">
        <f aca="false">INDEX(Calc!$G$2:$G$137,MATCH($W11,Calc!$A$2:$A$137,0))&amp;" / "&amp;INDEX(Calc!$H$2:$H$137,MATCH($W11,Calc!$A$2:$A$137,0))</f>
        <v>Dust2 / Ancient</v>
      </c>
      <c r="U11" s="0" t="str">
        <f aca="false">TEXT(INDEX(Calc!$J$2:$J$137,MATCH($W11,Calc!$A$2:$A$137,0)),"0.0")&amp;" / "&amp;TEXT(INDEX(Calc!$K$2:$K$137,MATCH($W11,Calc!$A$2:$A$137,0)),"0.0")</f>
        <v>21.5 / 21.5</v>
      </c>
      <c r="V11" s="0" t="str">
        <f aca="false">IFERROR(INDEX(Calc!$AQ$2:$AQ$137,MATCH($W11,Calc!$A$2:$A$137,0)),"")</f>
        <v/>
      </c>
      <c r="W11" s="9" t="s">
        <v>1299</v>
      </c>
      <c r="X11" s="9" t="s">
        <v>1291</v>
      </c>
      <c r="Y11" s="0" t="str">
        <f aca="false">W11&amp;"|"&amp;X11</f>
        <v>v1kk02jq1q269h8|CS2 [NO MARKET] · 100T vs Arena Pro|K12</v>
      </c>
      <c r="Z11" s="11" t="n">
        <f aca="false">IFERROR(INDEX(CHOOSE(MATCH($X11,{"K1","K2","K3","K12","K13","H1","H2","H3","H12","H13"},0),Calc!$BA$2:$BA$137,Calc!$BB$2:$BB$137,Calc!$BC$2:$BC$137,Calc!$BD$2:$BD$137,Calc!$BE$2:$BE$137,Calc!$BF$2:$BF$137,Calc!$BG$2:$BG$137,Calc!$BH$2:$BH$137,Calc!$BI$2:$BI$137,Calc!$BJ$2:$BJ$137),MATCH($W11,Calc!$A$2:$A$137,0)),"")</f>
        <v>27.1975</v>
      </c>
      <c r="AA11" s="11" t="n">
        <f aca="false">IF(Z11="","",IF(LEFT($X11,1)="H",SQRT(Z11*(IFERROR(INDEX(Calc!$AP$2:$AP$137,MATCH($W11,Calc!$A$2:$A$137,0)),0.5)*Config!$B$5+1-IFERROR(INDEX(Calc!$AP$2:$AP$137,MATCH($W11,Calc!$A$2:$A$137,0)),0.5))),SQRT(Z11*Config!$B$5)))</f>
        <v>6.17061585257096</v>
      </c>
      <c r="AB11" s="10" t="n">
        <f aca="false">IF(OR(F11="",Z11="",N(AA11)&lt;=0),"",1-NORMDIST(FLOOR(F11,1)+0.5,Z11,AA11,TRUE()))</f>
        <v>0.480450618978843</v>
      </c>
      <c r="AC11" s="10" t="n">
        <f aca="false">IF(AB11="","",NORMDIST(CEILING(F11,1)-0.5,Z11,AA11,TRUE()))</f>
        <v>0.519549381021157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1139</v>
      </c>
      <c r="B12" s="0" t="s">
        <v>1204</v>
      </c>
      <c r="C12" s="0" t="s">
        <v>1300</v>
      </c>
      <c r="D12" s="0" t="s">
        <v>1208</v>
      </c>
      <c r="E12" s="0" t="s">
        <v>1301</v>
      </c>
      <c r="F12" s="0" t="n">
        <v>7</v>
      </c>
      <c r="G12" s="11" t="n">
        <f aca="false">IFERROR(INDEX(CHOOSE(MATCH($X12,{"K1","K2","K3","K12","K13","H1","H2","H3","H12","H13"},0),Calc!$V$2:$V$137,Calc!$AC$2:$AC$137,Calc!$AJ$2:$AJ$137,Calc!$AL$2:$AL$137,Calc!$AM$2:$AM$137,Calc!$W$2:$W$137,Calc!$AD$2:$AD$137,Calc!$AK$2:$AK$137,Calc!$AN$2:$AN$137,Calc!$AO$2:$AO$137),MATCH($W12,Calc!$A$2:$A$137,0)),"")</f>
        <v>8.62355444444445</v>
      </c>
      <c r="H12" s="11" t="n">
        <f aca="false">IF(G12="","",IF(LEFT($X12,1)="H",SQRT(G12*(IFERROR(INDEX(Calc!$AP$2:$AP$137,MATCH($W12,Calc!$A$2:$A$137,0)),0.5)*Config!$B$5+1-IFERROR(INDEX(Calc!$AP$2:$AP$137,MATCH($W12,Calc!$A$2:$A$137,0)),0.5))),SQRT(G12*Config!$B$5)))</f>
        <v>3.26695168663407</v>
      </c>
      <c r="I12" s="10" t="n">
        <f aca="false">IF(OR(F12="",G12="",N(H12)&lt;=0),"",1-NORMDIST(FLOOR(F12,1)+0.5,G12,H12,TRUE()))</f>
        <v>0.634544981499722</v>
      </c>
      <c r="J12" s="10" t="n">
        <f aca="false">IF(I12="","",NORMDIST(CEILING(F12,1)-0.5,G12,H12,TRUE()))</f>
        <v>0.25784256685551</v>
      </c>
      <c r="K12" s="10" t="n">
        <f aca="false">IF(I12="","",MAX(0,1-I12-J12))</f>
        <v>0.107612451644768</v>
      </c>
      <c r="L12" s="0" t="str">
        <f aca="false">IF(I12="","",IF(I12&gt;=0.5+Config!$B$6,"OVER",IF(J12&gt;=0.5+Config!$B$6,"UNDER","—")))</f>
        <v>OVER</v>
      </c>
      <c r="N12" s="0" t="n">
        <v>7.4</v>
      </c>
      <c r="O12" s="10" t="n">
        <v>0.6</v>
      </c>
      <c r="P12" s="10" t="n">
        <v>0.5</v>
      </c>
      <c r="Q12" s="10" t="n">
        <v>0.47</v>
      </c>
      <c r="R12" s="9" t="s">
        <v>1287</v>
      </c>
      <c r="S12" s="0" t="n">
        <v>1</v>
      </c>
      <c r="T12" s="0" t="str">
        <f aca="false">INDEX(Calc!$G$2:$G$137,MATCH($W12,Calc!$A$2:$A$137,0))</f>
        <v>Ancient</v>
      </c>
      <c r="U12" s="0" t="str">
        <f aca="false">TEXT(INDEX(Calc!$J$2:$J$137,MATCH($W12,Calc!$A$2:$A$137,0)),"0.0")</f>
        <v>21.5</v>
      </c>
      <c r="V12" s="0" t="str">
        <f aca="false">IFERROR(INDEX(Calc!$AQ$2:$AQ$137,MATCH($W12,Calc!$A$2:$A$137,0)),"")</f>
        <v/>
      </c>
      <c r="W12" s="9" t="s">
        <v>1302</v>
      </c>
      <c r="X12" s="9" t="s">
        <v>1303</v>
      </c>
      <c r="Y12" s="0" t="str">
        <f aca="false">W12&amp;"|"&amp;X12</f>
        <v>wdrf4z5snuwpkf2|CS2 [NO MARKET] · IS vs ZOTIX|H1</v>
      </c>
      <c r="Z12" s="11" t="n">
        <f aca="false">IFERROR(INDEX(CHOOSE(MATCH($X12,{"K1","K2","K3","K12","K13","H1","H2","H3","H12","H13"},0),Calc!$BA$2:$BA$137,Calc!$BB$2:$BB$137,Calc!$BC$2:$BC$137,Calc!$BD$2:$BD$137,Calc!$BE$2:$BE$137,Calc!$BF$2:$BF$137,Calc!$BG$2:$BG$137,Calc!$BH$2:$BH$137,Calc!$BI$2:$BI$137,Calc!$BJ$2:$BJ$137),MATCH($W12,Calc!$A$2:$A$137,0)),"")</f>
        <v>8.62355444444445</v>
      </c>
      <c r="AA12" s="11" t="n">
        <f aca="false">IF(Z12="","",IF(LEFT($X12,1)="H",SQRT(Z12*(IFERROR(INDEX(Calc!$AP$2:$AP$137,MATCH($W12,Calc!$A$2:$A$137,0)),0.5)*Config!$B$5+1-IFERROR(INDEX(Calc!$AP$2:$AP$137,MATCH($W12,Calc!$A$2:$A$137,0)),0.5))),SQRT(Z12*Config!$B$5)))</f>
        <v>3.26695168663407</v>
      </c>
      <c r="AB12" s="10" t="n">
        <f aca="false">IF(OR(F12="",Z12="",N(AA12)&lt;=0),"",1-NORMDIST(FLOOR(F12,1)+0.5,Z12,AA12,TRUE()))</f>
        <v>0.634544981499722</v>
      </c>
      <c r="AC12" s="10" t="n">
        <f aca="false">IF(AB12="","",NORMDIST(CEILING(F12,1)-0.5,Z12,AA12,TRUE()))</f>
        <v>0.25784256685551</v>
      </c>
      <c r="AD12" s="0" t="str">
        <f aca="false">IF(AB12="","",IF(AB12&gt;=0.5+Config!$B$6,"OVER",IF(AC12&gt;=0.5+Config!$B$6,"UNDER","—")))</f>
        <v>OVER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1139</v>
      </c>
      <c r="B13" s="0" t="s">
        <v>1204</v>
      </c>
      <c r="C13" s="0" t="s">
        <v>1300</v>
      </c>
      <c r="D13" s="0" t="s">
        <v>1208</v>
      </c>
      <c r="E13" s="0" t="s">
        <v>1304</v>
      </c>
      <c r="F13" s="0" t="n">
        <v>13.5</v>
      </c>
      <c r="G13" s="11" t="n">
        <f aca="false">IFERROR(INDEX(CHOOSE(MATCH($X13,{"K1","K2","K3","K12","K13","H1","H2","H3","H12","H13"},0),Calc!$V$2:$V$137,Calc!$AC$2:$AC$137,Calc!$AJ$2:$AJ$137,Calc!$AL$2:$AL$137,Calc!$AM$2:$AM$137,Calc!$W$2:$W$137,Calc!$AD$2:$AD$137,Calc!$AK$2:$AK$137,Calc!$AN$2:$AN$137,Calc!$AO$2:$AO$137),MATCH($W13,Calc!$A$2:$A$137,0)),"")</f>
        <v>14.2616666666667</v>
      </c>
      <c r="H13" s="11" t="n">
        <f aca="false">IF(G13="","",IF(LEFT($X13,1)="H",SQRT(G13*(IFERROR(INDEX(Calc!$AP$2:$AP$137,MATCH($W13,Calc!$A$2:$A$137,0)),0.5)*Config!$B$5+1-IFERROR(INDEX(Calc!$AP$2:$AP$137,MATCH($W13,Calc!$A$2:$A$137,0)),0.5))),SQRT(G13*Config!$B$5)))</f>
        <v>4.46837032186605</v>
      </c>
      <c r="I13" s="10" t="n">
        <f aca="false">IF(OR(F13="",G13="",N(H13)&lt;=0),"",1-NORMDIST(FLOOR(F13,1)+0.5,G13,H13,TRUE()))</f>
        <v>0.567674772438339</v>
      </c>
      <c r="J13" s="10" t="n">
        <f aca="false">IF(I13="","",NORMDIST(CEILING(F13,1)-0.5,G13,H13,TRUE()))</f>
        <v>0.432325227561661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14</v>
      </c>
      <c r="O13" s="10" t="n">
        <v>0.8</v>
      </c>
      <c r="P13" s="10" t="n">
        <v>0.7</v>
      </c>
      <c r="Q13" s="10" t="n">
        <v>0.6</v>
      </c>
      <c r="R13" s="9" t="s">
        <v>1287</v>
      </c>
      <c r="S13" s="0" t="n">
        <v>4</v>
      </c>
      <c r="T13" s="0" t="str">
        <f aca="false">INDEX(Calc!$G$2:$G$137,MATCH($W13,Calc!$A$2:$A$137,0))</f>
        <v>Ancient</v>
      </c>
      <c r="U13" s="0" t="str">
        <f aca="false">TEXT(INDEX(Calc!$J$2:$J$137,MATCH($W13,Calc!$A$2:$A$137,0)),"0.0")</f>
        <v>21.5</v>
      </c>
      <c r="V13" s="0" t="str">
        <f aca="false">IFERROR(INDEX(Calc!$AQ$2:$AQ$137,MATCH($W13,Calc!$A$2:$A$137,0)),"")</f>
        <v/>
      </c>
      <c r="W13" s="9" t="s">
        <v>1302</v>
      </c>
      <c r="X13" s="9" t="s">
        <v>1305</v>
      </c>
      <c r="Y13" s="0" t="str">
        <f aca="false">W13&amp;"|"&amp;X13</f>
        <v>wdrf4z5snuwpkf2|CS2 [NO MARKET] · IS vs ZOTIX|K1</v>
      </c>
      <c r="Z13" s="11" t="n">
        <f aca="false">IFERROR(INDEX(CHOOSE(MATCH($X13,{"K1","K2","K3","K12","K13","H1","H2","H3","H12","H13"},0),Calc!$BA$2:$BA$137,Calc!$BB$2:$BB$137,Calc!$BC$2:$BC$137,Calc!$BD$2:$BD$137,Calc!$BE$2:$BE$137,Calc!$BF$2:$BF$137,Calc!$BG$2:$BG$137,Calc!$BH$2:$BH$137,Calc!$BI$2:$BI$137,Calc!$BJ$2:$BJ$137),MATCH($W13,Calc!$A$2:$A$137,0)),"")</f>
        <v>14.2616666666667</v>
      </c>
      <c r="AA13" s="11" t="n">
        <f aca="false">IF(Z13="","",IF(LEFT($X13,1)="H",SQRT(Z13*(IFERROR(INDEX(Calc!$AP$2:$AP$137,MATCH($W13,Calc!$A$2:$A$137,0)),0.5)*Config!$B$5+1-IFERROR(INDEX(Calc!$AP$2:$AP$137,MATCH($W13,Calc!$A$2:$A$137,0)),0.5))),SQRT(Z13*Config!$B$5)))</f>
        <v>4.46837032186605</v>
      </c>
      <c r="AB13" s="10" t="n">
        <f aca="false">IF(OR(F13="",Z13="",N(AA13)&lt;=0),"",1-NORMDIST(FLOOR(F13,1)+0.5,Z13,AA13,TRUE()))</f>
        <v>0.567674772438339</v>
      </c>
      <c r="AC13" s="10" t="n">
        <f aca="false">IF(AB13="","",NORMDIST(CEILING(F13,1)-0.5,Z13,AA13,TRUE()))</f>
        <v>0.432325227561661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1139</v>
      </c>
      <c r="B14" s="0" t="s">
        <v>1204</v>
      </c>
      <c r="C14" s="0" t="s">
        <v>1306</v>
      </c>
      <c r="D14" s="0" t="s">
        <v>1208</v>
      </c>
      <c r="E14" s="0" t="s">
        <v>1301</v>
      </c>
      <c r="F14" s="0" t="n">
        <v>6.5</v>
      </c>
      <c r="G14" s="11" t="n">
        <f aca="false">IFERROR(INDEX(CHOOSE(MATCH($X14,{"K1","K2","K3","K12","K13","H1","H2","H3","H12","H13"},0),Calc!$V$2:$V$137,Calc!$AC$2:$AC$137,Calc!$AJ$2:$AJ$137,Calc!$AL$2:$AL$137,Calc!$AM$2:$AM$137,Calc!$W$2:$W$137,Calc!$AD$2:$AD$137,Calc!$AK$2:$AK$137,Calc!$AN$2:$AN$137,Calc!$AO$2:$AO$137),MATCH($W14,Calc!$A$2:$A$137,0)),"")</f>
        <v>6.15466166666667</v>
      </c>
      <c r="H14" s="11" t="n">
        <f aca="false">IF(G14="","",IF(LEFT($X14,1)="H",SQRT(G14*(IFERROR(INDEX(Calc!$AP$2:$AP$137,MATCH($W14,Calc!$A$2:$A$137,0)),0.5)*Config!$B$5+1-IFERROR(INDEX(Calc!$AP$2:$AP$137,MATCH($W14,Calc!$A$2:$A$137,0)),0.5))),SQRT(G14*Config!$B$5)))</f>
        <v>2.7251127628123</v>
      </c>
      <c r="I14" s="10" t="n">
        <f aca="false">IF(OR(F14="",G14="",N(H14)&lt;=0),"",1-NORMDIST(FLOOR(F14,1)+0.5,G14,H14,TRUE()))</f>
        <v>0.449579258786428</v>
      </c>
      <c r="J14" s="10" t="n">
        <f aca="false">IF(I14="","",NORMDIST(CEILING(F14,1)-0.5,G14,H14,TRUE()))</f>
        <v>0.550420741213572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UNDER</v>
      </c>
      <c r="N14" s="0" t="n">
        <v>6.3</v>
      </c>
      <c r="O14" s="10" t="n">
        <v>0.4</v>
      </c>
      <c r="P14" s="10" t="n">
        <v>0.4</v>
      </c>
      <c r="Q14" s="10" t="n">
        <v>0.47</v>
      </c>
      <c r="R14" s="9" t="s">
        <v>1287</v>
      </c>
      <c r="S14" s="0" t="n">
        <v>1</v>
      </c>
      <c r="T14" s="0" t="str">
        <f aca="false">INDEX(Calc!$G$2:$G$137,MATCH($W14,Calc!$A$2:$A$137,0))</f>
        <v>Ancient</v>
      </c>
      <c r="U14" s="0" t="str">
        <f aca="false">TEXT(INDEX(Calc!$J$2:$J$137,MATCH($W14,Calc!$A$2:$A$137,0)),"0.0")</f>
        <v>21.5</v>
      </c>
      <c r="V14" s="0" t="str">
        <f aca="false">IFERROR(INDEX(Calc!$AQ$2:$AQ$137,MATCH($W14,Calc!$A$2:$A$137,0)),"")</f>
        <v/>
      </c>
      <c r="W14" s="9" t="s">
        <v>1307</v>
      </c>
      <c r="X14" s="9" t="s">
        <v>1303</v>
      </c>
      <c r="Y14" s="0" t="str">
        <f aca="false">W14&amp;"|"&amp;X14</f>
        <v>phl4oe3cm0dori9|CS2 [NO MARKET] · IS vs ZOTIX|H1</v>
      </c>
      <c r="Z14" s="11" t="n">
        <f aca="false">IFERROR(INDEX(CHOOSE(MATCH($X14,{"K1","K2","K3","K12","K13","H1","H2","H3","H12","H13"},0),Calc!$BA$2:$BA$137,Calc!$BB$2:$BB$137,Calc!$BC$2:$BC$137,Calc!$BD$2:$BD$137,Calc!$BE$2:$BE$137,Calc!$BF$2:$BF$137,Calc!$BG$2:$BG$137,Calc!$BH$2:$BH$137,Calc!$BI$2:$BI$137,Calc!$BJ$2:$BJ$137),MATCH($W14,Calc!$A$2:$A$137,0)),"")</f>
        <v>6.15466166666667</v>
      </c>
      <c r="AA14" s="11" t="n">
        <f aca="false">IF(Z14="","",IF(LEFT($X14,1)="H",SQRT(Z14*(IFERROR(INDEX(Calc!$AP$2:$AP$137,MATCH($W14,Calc!$A$2:$A$137,0)),0.5)*Config!$B$5+1-IFERROR(INDEX(Calc!$AP$2:$AP$137,MATCH($W14,Calc!$A$2:$A$137,0)),0.5))),SQRT(Z14*Config!$B$5)))</f>
        <v>2.7251127628123</v>
      </c>
      <c r="AB14" s="10" t="n">
        <f aca="false">IF(OR(F14="",Z14="",N(AA14)&lt;=0),"",1-NORMDIST(FLOOR(F14,1)+0.5,Z14,AA14,TRUE()))</f>
        <v>0.449579258786428</v>
      </c>
      <c r="AC14" s="10" t="n">
        <f aca="false">IF(AB14="","",NORMDIST(CEILING(F14,1)-0.5,Z14,AA14,TRUE()))</f>
        <v>0.550420741213572</v>
      </c>
      <c r="AD14" s="0" t="str">
        <f aca="false">IF(AB14="","",IF(AB14&gt;=0.5+Config!$B$6,"OVER",IF(AC14&gt;=0.5+Config!$B$6,"UNDER","—")))</f>
        <v>UNDER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1139</v>
      </c>
      <c r="B15" s="0" t="s">
        <v>1204</v>
      </c>
      <c r="C15" s="0" t="s">
        <v>1306</v>
      </c>
      <c r="D15" s="0" t="s">
        <v>1208</v>
      </c>
      <c r="E15" s="0" t="s">
        <v>1304</v>
      </c>
      <c r="F15" s="0" t="n">
        <v>13.5</v>
      </c>
      <c r="G15" s="11" t="n">
        <f aca="false">IFERROR(INDEX(CHOOSE(MATCH($X15,{"K1","K2","K3","K12","K13","H1","H2","H3","H12","H13"},0),Calc!$V$2:$V$137,Calc!$AC$2:$AC$137,Calc!$AJ$2:$AJ$137,Calc!$AL$2:$AL$137,Calc!$AM$2:$AM$137,Calc!$W$2:$W$137,Calc!$AD$2:$AD$137,Calc!$AK$2:$AK$137,Calc!$AN$2:$AN$137,Calc!$AO$2:$AO$137),MATCH($W15,Calc!$A$2:$A$137,0)),"")</f>
        <v>13.0672222222222</v>
      </c>
      <c r="H15" s="11" t="n">
        <f aca="false">IF(G15="","",IF(LEFT($X15,1)="H",SQRT(G15*(IFERROR(INDEX(Calc!$AP$2:$AP$137,MATCH($W15,Calc!$A$2:$A$137,0)),0.5)*Config!$B$5+1-IFERROR(INDEX(Calc!$AP$2:$AP$137,MATCH($W15,Calc!$A$2:$A$137,0)),0.5))),SQRT(G15*Config!$B$5)))</f>
        <v>4.27716157177995</v>
      </c>
      <c r="I15" s="10" t="n">
        <f aca="false">IF(OR(F15="",G15="",N(H15)&lt;=0),"",1-NORMDIST(FLOOR(F15,1)+0.5,G15,H15,TRUE()))</f>
        <v>0.459702434421361</v>
      </c>
      <c r="J15" s="10" t="n">
        <f aca="false">IF(I15="","",NORMDIST(CEILING(F15,1)-0.5,G15,H15,TRUE()))</f>
        <v>0.540297565578639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UNDER</v>
      </c>
      <c r="N15" s="0" t="n">
        <v>12.5</v>
      </c>
      <c r="O15" s="10" t="n">
        <v>0.4</v>
      </c>
      <c r="P15" s="10" t="n">
        <v>0.4</v>
      </c>
      <c r="Q15" s="10" t="n">
        <v>0.47</v>
      </c>
      <c r="R15" s="9" t="s">
        <v>1287</v>
      </c>
      <c r="S15" s="0" t="n">
        <v>1</v>
      </c>
      <c r="T15" s="0" t="str">
        <f aca="false">INDEX(Calc!$G$2:$G$137,MATCH($W15,Calc!$A$2:$A$137,0))</f>
        <v>Ancient</v>
      </c>
      <c r="U15" s="0" t="str">
        <f aca="false">TEXT(INDEX(Calc!$J$2:$J$137,MATCH($W15,Calc!$A$2:$A$137,0)),"0.0")</f>
        <v>21.5</v>
      </c>
      <c r="V15" s="0" t="str">
        <f aca="false">IFERROR(INDEX(Calc!$AQ$2:$AQ$137,MATCH($W15,Calc!$A$2:$A$137,0)),"")</f>
        <v/>
      </c>
      <c r="W15" s="9" t="s">
        <v>1307</v>
      </c>
      <c r="X15" s="9" t="s">
        <v>1305</v>
      </c>
      <c r="Y15" s="0" t="str">
        <f aca="false">W15&amp;"|"&amp;X15</f>
        <v>phl4oe3cm0dori9|CS2 [NO MARKET] · IS vs ZOTIX|K1</v>
      </c>
      <c r="Z15" s="11" t="n">
        <f aca="false">IFERROR(INDEX(CHOOSE(MATCH($X15,{"K1","K2","K3","K12","K13","H1","H2","H3","H12","H13"},0),Calc!$BA$2:$BA$137,Calc!$BB$2:$BB$137,Calc!$BC$2:$BC$137,Calc!$BD$2:$BD$137,Calc!$BE$2:$BE$137,Calc!$BF$2:$BF$137,Calc!$BG$2:$BG$137,Calc!$BH$2:$BH$137,Calc!$BI$2:$BI$137,Calc!$BJ$2:$BJ$137),MATCH($W15,Calc!$A$2:$A$137,0)),"")</f>
        <v>13.0672222222222</v>
      </c>
      <c r="AA15" s="11" t="n">
        <f aca="false">IF(Z15="","",IF(LEFT($X15,1)="H",SQRT(Z15*(IFERROR(INDEX(Calc!$AP$2:$AP$137,MATCH($W15,Calc!$A$2:$A$137,0)),0.5)*Config!$B$5+1-IFERROR(INDEX(Calc!$AP$2:$AP$137,MATCH($W15,Calc!$A$2:$A$137,0)),0.5))),SQRT(Z15*Config!$B$5)))</f>
        <v>4.27716157177995</v>
      </c>
      <c r="AB15" s="10" t="n">
        <f aca="false">IF(OR(F15="",Z15="",N(AA15)&lt;=0),"",1-NORMDIST(FLOOR(F15,1)+0.5,Z15,AA15,TRUE()))</f>
        <v>0.459702434421361</v>
      </c>
      <c r="AC15" s="10" t="n">
        <f aca="false">IF(AB15="","",NORMDIST(CEILING(F15,1)-0.5,Z15,AA15,TRUE()))</f>
        <v>0.540297565578639</v>
      </c>
      <c r="AD15" s="0" t="str">
        <f aca="false">IF(AB15="","",IF(AB15&gt;=0.5+Config!$B$6,"OVER",IF(AC15&gt;=0.5+Config!$B$6,"UNDER","—")))</f>
        <v>UNDER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1139</v>
      </c>
      <c r="B16" s="0" t="s">
        <v>1204</v>
      </c>
      <c r="C16" s="0" t="s">
        <v>1308</v>
      </c>
      <c r="D16" s="0" t="s">
        <v>1208</v>
      </c>
      <c r="E16" s="0" t="s">
        <v>1301</v>
      </c>
      <c r="F16" s="0" t="n">
        <v>5.5</v>
      </c>
      <c r="G16" s="11" t="n">
        <f aca="false">IFERROR(INDEX(CHOOSE(MATCH($X16,{"K1","K2","K3","K12","K13","H1","H2","H3","H12","H13"},0),Calc!$V$2:$V$137,Calc!$AC$2:$AC$137,Calc!$AJ$2:$AJ$137,Calc!$AL$2:$AL$137,Calc!$AM$2:$AM$137,Calc!$W$2:$W$137,Calc!$AD$2:$AD$137,Calc!$AK$2:$AK$137,Calc!$AN$2:$AN$137,Calc!$AO$2:$AO$137),MATCH($W16,Calc!$A$2:$A$137,0)),"")</f>
        <v>4.72256790123457</v>
      </c>
      <c r="H16" s="11" t="n">
        <f aca="false">IF(G16="","",IF(LEFT($X16,1)="H",SQRT(G16*(IFERROR(INDEX(Calc!$AP$2:$AP$137,MATCH($W16,Calc!$A$2:$A$137,0)),0.5)*Config!$B$5+1-IFERROR(INDEX(Calc!$AP$2:$AP$137,MATCH($W16,Calc!$A$2:$A$137,0)),0.5))),SQRT(G16*Config!$B$5)))</f>
        <v>2.3139531183309</v>
      </c>
      <c r="I16" s="10" t="n">
        <f aca="false">IF(OR(F16="",G16="",N(H16)&lt;=0),"",1-NORMDIST(FLOOR(F16,1)+0.5,G16,H16,TRUE()))</f>
        <v>0.368444582459146</v>
      </c>
      <c r="J16" s="10" t="n">
        <f aca="false">IF(I16="","",NORMDIST(CEILING(F16,1)-0.5,G16,H16,TRUE()))</f>
        <v>0.631555417540854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UNDER</v>
      </c>
      <c r="N16" s="0" t="n">
        <v>3.4</v>
      </c>
      <c r="O16" s="10" t="n">
        <v>0</v>
      </c>
      <c r="P16" s="10" t="n">
        <v>0.1</v>
      </c>
      <c r="Q16" s="10" t="n">
        <v>0.33</v>
      </c>
      <c r="R16" s="9" t="s">
        <v>1287</v>
      </c>
      <c r="S16" s="0" t="n">
        <v>-8</v>
      </c>
      <c r="T16" s="0" t="str">
        <f aca="false">INDEX(Calc!$G$2:$G$137,MATCH($W16,Calc!$A$2:$A$137,0))</f>
        <v>Ancient</v>
      </c>
      <c r="U16" s="0" t="str">
        <f aca="false">TEXT(INDEX(Calc!$J$2:$J$137,MATCH($W16,Calc!$A$2:$A$137,0)),"0.0")</f>
        <v>21.5</v>
      </c>
      <c r="V16" s="0" t="str">
        <f aca="false">IFERROR(INDEX(Calc!$AQ$2:$AQ$137,MATCH($W16,Calc!$A$2:$A$137,0)),"")</f>
        <v/>
      </c>
      <c r="W16" s="9" t="s">
        <v>1309</v>
      </c>
      <c r="X16" s="9" t="s">
        <v>1303</v>
      </c>
      <c r="Y16" s="0" t="str">
        <f aca="false">W16&amp;"|"&amp;X16</f>
        <v>fcuzodaqfntg95o|CS2 [NO MARKET] · IS vs ZOTIX|H1</v>
      </c>
      <c r="Z16" s="11" t="n">
        <f aca="false">IFERROR(INDEX(CHOOSE(MATCH($X16,{"K1","K2","K3","K12","K13","H1","H2","H3","H12","H13"},0),Calc!$BA$2:$BA$137,Calc!$BB$2:$BB$137,Calc!$BC$2:$BC$137,Calc!$BD$2:$BD$137,Calc!$BE$2:$BE$137,Calc!$BF$2:$BF$137,Calc!$BG$2:$BG$137,Calc!$BH$2:$BH$137,Calc!$BI$2:$BI$137,Calc!$BJ$2:$BJ$137),MATCH($W16,Calc!$A$2:$A$137,0)),"")</f>
        <v>4.72256790123457</v>
      </c>
      <c r="AA16" s="11" t="n">
        <f aca="false">IF(Z16="","",IF(LEFT($X16,1)="H",SQRT(Z16*(IFERROR(INDEX(Calc!$AP$2:$AP$137,MATCH($W16,Calc!$A$2:$A$137,0)),0.5)*Config!$B$5+1-IFERROR(INDEX(Calc!$AP$2:$AP$137,MATCH($W16,Calc!$A$2:$A$137,0)),0.5))),SQRT(Z16*Config!$B$5)))</f>
        <v>2.3139531183309</v>
      </c>
      <c r="AB16" s="10" t="n">
        <f aca="false">IF(OR(F16="",Z16="",N(AA16)&lt;=0),"",1-NORMDIST(FLOOR(F16,1)+0.5,Z16,AA16,TRUE()))</f>
        <v>0.368444582459146</v>
      </c>
      <c r="AC16" s="10" t="n">
        <f aca="false">IF(AB16="","",NORMDIST(CEILING(F16,1)-0.5,Z16,AA16,TRUE()))</f>
        <v>0.631555417540854</v>
      </c>
      <c r="AD16" s="0" t="str">
        <f aca="false">IF(AB16="","",IF(AB16&gt;=0.5+Config!$B$6,"OVER",IF(AC16&gt;=0.5+Config!$B$6,"UNDER","—")))</f>
        <v>UNDER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1139</v>
      </c>
      <c r="B17" s="0" t="s">
        <v>1204</v>
      </c>
      <c r="C17" s="0" t="s">
        <v>1308</v>
      </c>
      <c r="D17" s="0" t="s">
        <v>1208</v>
      </c>
      <c r="E17" s="0" t="s">
        <v>1304</v>
      </c>
      <c r="F17" s="0" t="n">
        <v>14</v>
      </c>
      <c r="G17" s="11" t="n">
        <f aca="false">IFERROR(INDEX(CHOOSE(MATCH($X17,{"K1","K2","K3","K12","K13","H1","H2","H3","H12","H13"},0),Calc!$V$2:$V$137,Calc!$AC$2:$AC$137,Calc!$AJ$2:$AJ$137,Calc!$AL$2:$AL$137,Calc!$AM$2:$AM$137,Calc!$W$2:$W$137,Calc!$AD$2:$AD$137,Calc!$AK$2:$AK$137,Calc!$AN$2:$AN$137,Calc!$AO$2:$AO$137),MATCH($W17,Calc!$A$2:$A$137,0)),"")</f>
        <v>13.2822222222222</v>
      </c>
      <c r="H17" s="11" t="n">
        <f aca="false">IF(G17="","",IF(LEFT($X17,1)="H",SQRT(G17*(IFERROR(INDEX(Calc!$AP$2:$AP$137,MATCH($W17,Calc!$A$2:$A$137,0)),0.5)*Config!$B$5+1-IFERROR(INDEX(Calc!$AP$2:$AP$137,MATCH($W17,Calc!$A$2:$A$137,0)),0.5))),SQRT(G17*Config!$B$5)))</f>
        <v>4.31220490133657</v>
      </c>
      <c r="I17" s="10" t="n">
        <f aca="false">IF(OR(F17="",G17="",N(H17)&lt;=0),"",1-NORMDIST(FLOOR(F17,1)+0.5,G17,H17,TRUE()))</f>
        <v>0.388817419514377</v>
      </c>
      <c r="J17" s="10" t="n">
        <f aca="false">IF(I17="","",NORMDIST(CEILING(F17,1)-0.5,G17,H17,TRUE()))</f>
        <v>0.520139081416187</v>
      </c>
      <c r="K17" s="10" t="n">
        <f aca="false">IF(I17="","",MAX(0,1-I17-J17))</f>
        <v>0.0910434990694359</v>
      </c>
      <c r="L17" s="0" t="str">
        <f aca="false">IF(I17="","",IF(I17&gt;=0.5+Config!$B$6,"OVER",IF(J17&gt;=0.5+Config!$B$6,"UNDER","—")))</f>
        <v>—</v>
      </c>
      <c r="N17" s="0" t="n">
        <v>13.1</v>
      </c>
      <c r="O17" s="10" t="n">
        <v>0.6</v>
      </c>
      <c r="P17" s="10" t="n">
        <v>0.5</v>
      </c>
      <c r="Q17" s="10" t="n">
        <v>0.6</v>
      </c>
      <c r="R17" s="9" t="s">
        <v>1287</v>
      </c>
      <c r="S17" s="0" t="n">
        <v>2</v>
      </c>
      <c r="T17" s="0" t="str">
        <f aca="false">INDEX(Calc!$G$2:$G$137,MATCH($W17,Calc!$A$2:$A$137,0))</f>
        <v>Ancient</v>
      </c>
      <c r="U17" s="0" t="str">
        <f aca="false">TEXT(INDEX(Calc!$J$2:$J$137,MATCH($W17,Calc!$A$2:$A$137,0)),"0.0")</f>
        <v>21.5</v>
      </c>
      <c r="V17" s="0" t="str">
        <f aca="false">IFERROR(INDEX(Calc!$AQ$2:$AQ$137,MATCH($W17,Calc!$A$2:$A$137,0)),"")</f>
        <v/>
      </c>
      <c r="W17" s="9" t="s">
        <v>1309</v>
      </c>
      <c r="X17" s="9" t="s">
        <v>1305</v>
      </c>
      <c r="Y17" s="0" t="str">
        <f aca="false">W17&amp;"|"&amp;X17</f>
        <v>fcuzodaqfntg95o|CS2 [NO MARKET] · IS vs ZOTIX|K1</v>
      </c>
      <c r="Z17" s="11" t="n">
        <f aca="false">IFERROR(INDEX(CHOOSE(MATCH($X17,{"K1","K2","K3","K12","K13","H1","H2","H3","H12","H13"},0),Calc!$BA$2:$BA$137,Calc!$BB$2:$BB$137,Calc!$BC$2:$BC$137,Calc!$BD$2:$BD$137,Calc!$BE$2:$BE$137,Calc!$BF$2:$BF$137,Calc!$BG$2:$BG$137,Calc!$BH$2:$BH$137,Calc!$BI$2:$BI$137,Calc!$BJ$2:$BJ$137),MATCH($W17,Calc!$A$2:$A$137,0)),"")</f>
        <v>13.2822222222222</v>
      </c>
      <c r="AA17" s="11" t="n">
        <f aca="false">IF(Z17="","",IF(LEFT($X17,1)="H",SQRT(Z17*(IFERROR(INDEX(Calc!$AP$2:$AP$137,MATCH($W17,Calc!$A$2:$A$137,0)),0.5)*Config!$B$5+1-IFERROR(INDEX(Calc!$AP$2:$AP$137,MATCH($W17,Calc!$A$2:$A$137,0)),0.5))),SQRT(Z17*Config!$B$5)))</f>
        <v>4.31220490133657</v>
      </c>
      <c r="AB17" s="10" t="n">
        <f aca="false">IF(OR(F17="",Z17="",N(AA17)&lt;=0),"",1-NORMDIST(FLOOR(F17,1)+0.5,Z17,AA17,TRUE()))</f>
        <v>0.388817419514377</v>
      </c>
      <c r="AC17" s="10" t="n">
        <f aca="false">IF(AB17="","",NORMDIST(CEILING(F17,1)-0.5,Z17,AA17,TRUE()))</f>
        <v>0.520139081416187</v>
      </c>
      <c r="AD17" s="0" t="str">
        <f aca="false">IF(AB17="","",IF(AB17&gt;=0.5+Config!$B$6,"OVER",IF(AC17&gt;=0.5+Config!$B$6,"UNDER","—")))</f>
        <v>—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1139</v>
      </c>
      <c r="B18" s="0" t="s">
        <v>1204</v>
      </c>
      <c r="C18" s="0" t="s">
        <v>1310</v>
      </c>
      <c r="D18" s="0" t="s">
        <v>1208</v>
      </c>
      <c r="E18" s="0" t="s">
        <v>1301</v>
      </c>
      <c r="F18" s="0" t="n">
        <v>8</v>
      </c>
      <c r="G18" s="11" t="n">
        <f aca="false">IFERROR(INDEX(CHOOSE(MATCH($X18,{"K1","K2","K3","K12","K13","H1","H2","H3","H12","H13"},0),Calc!$V$2:$V$137,Calc!$AC$2:$AC$137,Calc!$AJ$2:$AJ$137,Calc!$AL$2:$AL$137,Calc!$AM$2:$AM$137,Calc!$W$2:$W$137,Calc!$AD$2:$AD$137,Calc!$AK$2:$AK$137,Calc!$AN$2:$AN$137,Calc!$AO$2:$AO$137),MATCH($W18,Calc!$A$2:$A$137,0)),"")</f>
        <v>9.30911777777778</v>
      </c>
      <c r="H18" s="11" t="n">
        <f aca="false">IF(G18="","",IF(LEFT($X18,1)="H",SQRT(G18*(IFERROR(INDEX(Calc!$AP$2:$AP$137,MATCH($W18,Calc!$A$2:$A$137,0)),0.5)*Config!$B$5+1-IFERROR(INDEX(Calc!$AP$2:$AP$137,MATCH($W18,Calc!$A$2:$A$137,0)),0.5))),SQRT(G18*Config!$B$5)))</f>
        <v>3.38047807529419</v>
      </c>
      <c r="I18" s="10" t="n">
        <f aca="false">IF(OR(F18="",G18="",N(H18)&lt;=0),"",1-NORMDIST(FLOOR(F18,1)+0.5,G18,H18,TRUE()))</f>
        <v>0.594582941453222</v>
      </c>
      <c r="J18" s="10" t="n">
        <f aca="false">IF(I18="","",NORMDIST(CEILING(F18,1)-0.5,G18,H18,TRUE()))</f>
        <v>0.296267450626859</v>
      </c>
      <c r="K18" s="10" t="n">
        <f aca="false">IF(I18="","",MAX(0,1-I18-J18))</f>
        <v>0.109149607919919</v>
      </c>
      <c r="L18" s="0" t="str">
        <f aca="false">IF(I18="","",IF(I18&gt;=0.5+Config!$B$6,"OVER",IF(J18&gt;=0.5+Config!$B$6,"UNDER","—")))</f>
        <v>OVER</v>
      </c>
      <c r="N18" s="0" t="n">
        <v>8.7</v>
      </c>
      <c r="O18" s="10" t="n">
        <v>0.8</v>
      </c>
      <c r="P18" s="10" t="n">
        <v>0.8</v>
      </c>
      <c r="Q18" s="10" t="n">
        <v>0.73</v>
      </c>
      <c r="R18" s="9" t="s">
        <v>1287</v>
      </c>
      <c r="S18" s="0" t="n">
        <v>1</v>
      </c>
      <c r="T18" s="0" t="str">
        <f aca="false">INDEX(Calc!$G$2:$G$137,MATCH($W18,Calc!$A$2:$A$137,0))</f>
        <v>Ancient</v>
      </c>
      <c r="U18" s="0" t="str">
        <f aca="false">TEXT(INDEX(Calc!$J$2:$J$137,MATCH($W18,Calc!$A$2:$A$137,0)),"0.0")</f>
        <v>21.5</v>
      </c>
      <c r="V18" s="0" t="str">
        <f aca="false">IFERROR(INDEX(Calc!$AQ$2:$AQ$137,MATCH($W18,Calc!$A$2:$A$137,0)),"")</f>
        <v/>
      </c>
      <c r="W18" s="9" t="s">
        <v>1311</v>
      </c>
      <c r="X18" s="9" t="s">
        <v>1303</v>
      </c>
      <c r="Y18" s="0" t="str">
        <f aca="false">W18&amp;"|"&amp;X18</f>
        <v>8y2vu0o81k1ojys|CS2 [NO MARKET] · IS vs ZOTIX|H1</v>
      </c>
      <c r="Z18" s="11" t="n">
        <f aca="false">IFERROR(INDEX(CHOOSE(MATCH($X18,{"K1","K2","K3","K12","K13","H1","H2","H3","H12","H13"},0),Calc!$BA$2:$BA$137,Calc!$BB$2:$BB$137,Calc!$BC$2:$BC$137,Calc!$BD$2:$BD$137,Calc!$BE$2:$BE$137,Calc!$BF$2:$BF$137,Calc!$BG$2:$BG$137,Calc!$BH$2:$BH$137,Calc!$BI$2:$BI$137,Calc!$BJ$2:$BJ$137),MATCH($W18,Calc!$A$2:$A$137,0)),"")</f>
        <v>9.30911777777778</v>
      </c>
      <c r="AA18" s="11" t="n">
        <f aca="false">IF(Z18="","",IF(LEFT($X18,1)="H",SQRT(Z18*(IFERROR(INDEX(Calc!$AP$2:$AP$137,MATCH($W18,Calc!$A$2:$A$137,0)),0.5)*Config!$B$5+1-IFERROR(INDEX(Calc!$AP$2:$AP$137,MATCH($W18,Calc!$A$2:$A$137,0)),0.5))),SQRT(Z18*Config!$B$5)))</f>
        <v>3.38047807529419</v>
      </c>
      <c r="AB18" s="10" t="n">
        <f aca="false">IF(OR(F18="",Z18="",N(AA18)&lt;=0),"",1-NORMDIST(FLOOR(F18,1)+0.5,Z18,AA18,TRUE()))</f>
        <v>0.594582941453222</v>
      </c>
      <c r="AC18" s="10" t="n">
        <f aca="false">IF(AB18="","",NORMDIST(CEILING(F18,1)-0.5,Z18,AA18,TRUE()))</f>
        <v>0.296267450626859</v>
      </c>
      <c r="AD18" s="0" t="str">
        <f aca="false">IF(AB18="","",IF(AB18&gt;=0.5+Config!$B$6,"OVER",IF(AC18&gt;=0.5+Config!$B$6,"UNDER","—")))</f>
        <v>OVER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1139</v>
      </c>
      <c r="B19" s="0" t="s">
        <v>1204</v>
      </c>
      <c r="C19" s="0" t="s">
        <v>1310</v>
      </c>
      <c r="D19" s="0" t="s">
        <v>1208</v>
      </c>
      <c r="E19" s="0" t="s">
        <v>1304</v>
      </c>
      <c r="F19" s="0" t="n">
        <v>14</v>
      </c>
      <c r="G19" s="11" t="n">
        <f aca="false">IFERROR(INDEX(CHOOSE(MATCH($X19,{"K1","K2","K3","K12","K13","H1","H2","H3","H12","H13"},0),Calc!$V$2:$V$137,Calc!$AC$2:$AC$137,Calc!$AJ$2:$AJ$137,Calc!$AL$2:$AL$137,Calc!$AM$2:$AM$137,Calc!$W$2:$W$137,Calc!$AD$2:$AD$137,Calc!$AK$2:$AK$137,Calc!$AN$2:$AN$137,Calc!$AO$2:$AO$137),MATCH($W19,Calc!$A$2:$A$137,0)),"")</f>
        <v>15.91</v>
      </c>
      <c r="H19" s="11" t="n">
        <f aca="false">IF(G19="","",IF(LEFT($X19,1)="H",SQRT(G19*(IFERROR(INDEX(Calc!$AP$2:$AP$137,MATCH($W19,Calc!$A$2:$A$137,0)),0.5)*Config!$B$5+1-IFERROR(INDEX(Calc!$AP$2:$AP$137,MATCH($W19,Calc!$A$2:$A$137,0)),0.5))),SQRT(G19*Config!$B$5)))</f>
        <v>4.71953387528896</v>
      </c>
      <c r="I19" s="10" t="n">
        <f aca="false">IF(OR(F19="",G19="",N(H19)&lt;=0),"",1-NORMDIST(FLOOR(F19,1)+0.5,G19,H19,TRUE()))</f>
        <v>0.617437771524179</v>
      </c>
      <c r="J19" s="10" t="n">
        <f aca="false">IF(I19="","",NORMDIST(CEILING(F19,1)-0.5,G19,H19,TRUE()))</f>
        <v>0.304800302871882</v>
      </c>
      <c r="K19" s="10" t="n">
        <f aca="false">IF(I19="","",MAX(0,1-I19-J19))</f>
        <v>0.0777619256039389</v>
      </c>
      <c r="L19" s="0" t="str">
        <f aca="false">IF(I19="","",IF(I19&gt;=0.5+Config!$B$6,"OVER",IF(J19&gt;=0.5+Config!$B$6,"UNDER","—")))</f>
        <v>OVER</v>
      </c>
      <c r="N19" s="0" t="n">
        <v>15</v>
      </c>
      <c r="O19" s="10" t="n">
        <v>0.8</v>
      </c>
      <c r="P19" s="10" t="n">
        <v>0.8</v>
      </c>
      <c r="Q19" s="10" t="n">
        <v>0.8</v>
      </c>
      <c r="R19" s="9" t="s">
        <v>1287</v>
      </c>
      <c r="S19" s="0" t="n">
        <v>3</v>
      </c>
      <c r="T19" s="0" t="str">
        <f aca="false">INDEX(Calc!$G$2:$G$137,MATCH($W19,Calc!$A$2:$A$137,0))</f>
        <v>Ancient</v>
      </c>
      <c r="U19" s="0" t="str">
        <f aca="false">TEXT(INDEX(Calc!$J$2:$J$137,MATCH($W19,Calc!$A$2:$A$137,0)),"0.0")</f>
        <v>21.5</v>
      </c>
      <c r="V19" s="0" t="str">
        <f aca="false">IFERROR(INDEX(Calc!$AQ$2:$AQ$137,MATCH($W19,Calc!$A$2:$A$137,0)),"")</f>
        <v/>
      </c>
      <c r="W19" s="9" t="s">
        <v>1311</v>
      </c>
      <c r="X19" s="9" t="s">
        <v>1305</v>
      </c>
      <c r="Y19" s="0" t="str">
        <f aca="false">W19&amp;"|"&amp;X19</f>
        <v>8y2vu0o81k1ojys|CS2 [NO MARKET] · IS vs ZOTIX|K1</v>
      </c>
      <c r="Z19" s="11" t="n">
        <f aca="false">IFERROR(INDEX(CHOOSE(MATCH($X19,{"K1","K2","K3","K12","K13","H1","H2","H3","H12","H13"},0),Calc!$BA$2:$BA$137,Calc!$BB$2:$BB$137,Calc!$BC$2:$BC$137,Calc!$BD$2:$BD$137,Calc!$BE$2:$BE$137,Calc!$BF$2:$BF$137,Calc!$BG$2:$BG$137,Calc!$BH$2:$BH$137,Calc!$BI$2:$BI$137,Calc!$BJ$2:$BJ$137),MATCH($W19,Calc!$A$2:$A$137,0)),"")</f>
        <v>15.91</v>
      </c>
      <c r="AA19" s="11" t="n">
        <f aca="false">IF(Z19="","",IF(LEFT($X19,1)="H",SQRT(Z19*(IFERROR(INDEX(Calc!$AP$2:$AP$137,MATCH($W19,Calc!$A$2:$A$137,0)),0.5)*Config!$B$5+1-IFERROR(INDEX(Calc!$AP$2:$AP$137,MATCH($W19,Calc!$A$2:$A$137,0)),0.5))),SQRT(Z19*Config!$B$5)))</f>
        <v>4.71953387528896</v>
      </c>
      <c r="AB19" s="10" t="n">
        <f aca="false">IF(OR(F19="",Z19="",N(AA19)&lt;=0),"",1-NORMDIST(FLOOR(F19,1)+0.5,Z19,AA19,TRUE()))</f>
        <v>0.617437771524179</v>
      </c>
      <c r="AC19" s="10" t="n">
        <f aca="false">IF(AB19="","",NORMDIST(CEILING(F19,1)-0.5,Z19,AA19,TRUE()))</f>
        <v>0.304800302871882</v>
      </c>
      <c r="AD19" s="0" t="str">
        <f aca="false">IF(AB19="","",IF(AB19&gt;=0.5+Config!$B$6,"OVER",IF(AC19&gt;=0.5+Config!$B$6,"UNDER","—")))</f>
        <v>OVER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1139</v>
      </c>
      <c r="B20" s="0" t="s">
        <v>1204</v>
      </c>
      <c r="C20" s="0" t="s">
        <v>1312</v>
      </c>
      <c r="D20" s="0" t="s">
        <v>1208</v>
      </c>
      <c r="E20" s="0" t="s">
        <v>1301</v>
      </c>
      <c r="F20" s="0" t="n">
        <v>8</v>
      </c>
      <c r="G20" s="11" t="n">
        <f aca="false">IFERROR(INDEX(CHOOSE(MATCH($X20,{"K1","K2","K3","K12","K13","H1","H2","H3","H12","H13"},0),Calc!$V$2:$V$137,Calc!$AC$2:$AC$137,Calc!$AJ$2:$AJ$137,Calc!$AL$2:$AL$137,Calc!$AM$2:$AM$137,Calc!$W$2:$W$137,Calc!$AD$2:$AD$137,Calc!$AK$2:$AK$137,Calc!$AN$2:$AN$137,Calc!$AO$2:$AO$137),MATCH($W20,Calc!$A$2:$A$137,0)),"")</f>
        <v>7.50058024691358</v>
      </c>
      <c r="H20" s="11" t="n">
        <f aca="false">IF(G20="","",IF(LEFT($X20,1)="H",SQRT(G20*(IFERROR(INDEX(Calc!$AP$2:$AP$137,MATCH($W20,Calc!$A$2:$A$137,0)),0.5)*Config!$B$5+1-IFERROR(INDEX(Calc!$AP$2:$AP$137,MATCH($W20,Calc!$A$2:$A$137,0)),0.5))),SQRT(G20*Config!$B$5)))</f>
        <v>3.02878183500804</v>
      </c>
      <c r="I20" s="10" t="n">
        <f aca="false">IF(OR(F20="",G20="",N(H20)&lt;=0),"",1-NORMDIST(FLOOR(F20,1)+0.5,G20,H20,TRUE()))</f>
        <v>0.370709742066352</v>
      </c>
      <c r="J20" s="10" t="n">
        <f aca="false">IF(I20="","",NORMDIST(CEILING(F20,1)-0.5,G20,H20,TRUE()))</f>
        <v>0.499923571574946</v>
      </c>
      <c r="K20" s="10" t="n">
        <f aca="false">IF(I20="","",MAX(0,1-I20-J20))</f>
        <v>0.129366686358702</v>
      </c>
      <c r="L20" s="0" t="str">
        <f aca="false">IF(I20="","",IF(I20&gt;=0.5+Config!$B$6,"OVER",IF(J20&gt;=0.5+Config!$B$6,"UNDER","—")))</f>
        <v>—</v>
      </c>
      <c r="N20" s="0" t="n">
        <v>8.3</v>
      </c>
      <c r="O20" s="10" t="n">
        <v>0.8</v>
      </c>
      <c r="P20" s="10" t="n">
        <v>0.6</v>
      </c>
      <c r="Q20" s="10" t="n">
        <v>0.47</v>
      </c>
      <c r="R20" s="9" t="s">
        <v>1287</v>
      </c>
      <c r="S20" s="0" t="n">
        <v>-1</v>
      </c>
      <c r="T20" s="0" t="str">
        <f aca="false">INDEX(Calc!$G$2:$G$137,MATCH($W20,Calc!$A$2:$A$137,0))</f>
        <v>Ancient</v>
      </c>
      <c r="U20" s="0" t="str">
        <f aca="false">TEXT(INDEX(Calc!$J$2:$J$137,MATCH($W20,Calc!$A$2:$A$137,0)),"0.0")</f>
        <v>21.5</v>
      </c>
      <c r="V20" s="0" t="str">
        <f aca="false">IFERROR(INDEX(Calc!$AQ$2:$AQ$137,MATCH($W20,Calc!$A$2:$A$137,0)),"")</f>
        <v/>
      </c>
      <c r="W20" s="9" t="s">
        <v>1313</v>
      </c>
      <c r="X20" s="9" t="s">
        <v>1303</v>
      </c>
      <c r="Y20" s="0" t="str">
        <f aca="false">W20&amp;"|"&amp;X20</f>
        <v>ltwiotm7m8sg32v|CS2 [NO MARKET] · IS vs ZOTIX|H1</v>
      </c>
      <c r="Z20" s="11" t="n">
        <f aca="false">IFERROR(INDEX(CHOOSE(MATCH($X20,{"K1","K2","K3","K12","K13","H1","H2","H3","H12","H13"},0),Calc!$BA$2:$BA$137,Calc!$BB$2:$BB$137,Calc!$BC$2:$BC$137,Calc!$BD$2:$BD$137,Calc!$BE$2:$BE$137,Calc!$BF$2:$BF$137,Calc!$BG$2:$BG$137,Calc!$BH$2:$BH$137,Calc!$BI$2:$BI$137,Calc!$BJ$2:$BJ$137),MATCH($W20,Calc!$A$2:$A$137,0)),"")</f>
        <v>7.50058024691358</v>
      </c>
      <c r="AA20" s="11" t="n">
        <f aca="false">IF(Z20="","",IF(LEFT($X20,1)="H",SQRT(Z20*(IFERROR(INDEX(Calc!$AP$2:$AP$137,MATCH($W20,Calc!$A$2:$A$137,0)),0.5)*Config!$B$5+1-IFERROR(INDEX(Calc!$AP$2:$AP$137,MATCH($W20,Calc!$A$2:$A$137,0)),0.5))),SQRT(Z20*Config!$B$5)))</f>
        <v>3.02878183500804</v>
      </c>
      <c r="AB20" s="10" t="n">
        <f aca="false">IF(OR(F20="",Z20="",N(AA20)&lt;=0),"",1-NORMDIST(FLOOR(F20,1)+0.5,Z20,AA20,TRUE()))</f>
        <v>0.370709742066352</v>
      </c>
      <c r="AC20" s="10" t="n">
        <f aca="false">IF(AB20="","",NORMDIST(CEILING(F20,1)-0.5,Z20,AA20,TRUE()))</f>
        <v>0.499923571574946</v>
      </c>
      <c r="AD20" s="0" t="str">
        <f aca="false">IF(AB20="","",IF(AB20&gt;=0.5+Config!$B$6,"OVER",IF(AC20&gt;=0.5+Config!$B$6,"UNDER","—")))</f>
        <v>—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1139</v>
      </c>
      <c r="B21" s="0" t="s">
        <v>1204</v>
      </c>
      <c r="C21" s="0" t="s">
        <v>1312</v>
      </c>
      <c r="D21" s="0" t="s">
        <v>1208</v>
      </c>
      <c r="E21" s="0" t="s">
        <v>1304</v>
      </c>
      <c r="F21" s="0" t="n">
        <v>14.5</v>
      </c>
      <c r="G21" s="11" t="n">
        <f aca="false">IFERROR(INDEX(CHOOSE(MATCH($X21,{"K1","K2","K3","K12","K13","H1","H2","H3","H12","H13"},0),Calc!$V$2:$V$137,Calc!$AC$2:$AC$137,Calc!$AJ$2:$AJ$137,Calc!$AL$2:$AL$137,Calc!$AM$2:$AM$137,Calc!$W$2:$W$137,Calc!$AD$2:$AD$137,Calc!$AK$2:$AK$137,Calc!$AN$2:$AN$137,Calc!$AO$2:$AO$137),MATCH($W21,Calc!$A$2:$A$137,0)),"")</f>
        <v>13.5688888888889</v>
      </c>
      <c r="H21" s="11" t="n">
        <f aca="false">IF(G21="","",IF(LEFT($X21,1)="H",SQRT(G21*(IFERROR(INDEX(Calc!$AP$2:$AP$137,MATCH($W21,Calc!$A$2:$A$137,0)),0.5)*Config!$B$5+1-IFERROR(INDEX(Calc!$AP$2:$AP$137,MATCH($W21,Calc!$A$2:$A$137,0)),0.5))),SQRT(G21*Config!$B$5)))</f>
        <v>4.35849107426463</v>
      </c>
      <c r="I21" s="10" t="n">
        <f aca="false">IF(OR(F21="",G21="",N(H21)&lt;=0),"",1-NORMDIST(FLOOR(F21,1)+0.5,G21,H21,TRUE()))</f>
        <v>0.415417205290495</v>
      </c>
      <c r="J21" s="10" t="n">
        <f aca="false">IF(I21="","",NORMDIST(CEILING(F21,1)-0.5,G21,H21,TRUE()))</f>
        <v>0.584582794709505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14.7</v>
      </c>
      <c r="O21" s="10" t="n">
        <v>1</v>
      </c>
      <c r="P21" s="10" t="n">
        <v>0.6</v>
      </c>
      <c r="Q21" s="10" t="n">
        <v>0.6</v>
      </c>
      <c r="R21" s="9" t="s">
        <v>1287</v>
      </c>
      <c r="S21" s="0" t="n">
        <v>6</v>
      </c>
      <c r="T21" s="0" t="str">
        <f aca="false">INDEX(Calc!$G$2:$G$137,MATCH($W21,Calc!$A$2:$A$137,0))</f>
        <v>Ancient</v>
      </c>
      <c r="U21" s="0" t="str">
        <f aca="false">TEXT(INDEX(Calc!$J$2:$J$137,MATCH($W21,Calc!$A$2:$A$137,0)),"0.0")</f>
        <v>21.5</v>
      </c>
      <c r="V21" s="0" t="str">
        <f aca="false">IFERROR(INDEX(Calc!$AQ$2:$AQ$137,MATCH($W21,Calc!$A$2:$A$137,0)),"")</f>
        <v/>
      </c>
      <c r="W21" s="9" t="s">
        <v>1313</v>
      </c>
      <c r="X21" s="9" t="s">
        <v>1305</v>
      </c>
      <c r="Y21" s="0" t="str">
        <f aca="false">W21&amp;"|"&amp;X21</f>
        <v>ltwiotm7m8sg32v|CS2 [NO MARKET] · IS vs ZOTIX|K1</v>
      </c>
      <c r="Z21" s="11" t="n">
        <f aca="false">IFERROR(INDEX(CHOOSE(MATCH($X21,{"K1","K2","K3","K12","K13","H1","H2","H3","H12","H13"},0),Calc!$BA$2:$BA$137,Calc!$BB$2:$BB$137,Calc!$BC$2:$BC$137,Calc!$BD$2:$BD$137,Calc!$BE$2:$BE$137,Calc!$BF$2:$BF$137,Calc!$BG$2:$BG$137,Calc!$BH$2:$BH$137,Calc!$BI$2:$BI$137,Calc!$BJ$2:$BJ$137),MATCH($W21,Calc!$A$2:$A$137,0)),"")</f>
        <v>13.5688888888889</v>
      </c>
      <c r="AA21" s="11" t="n">
        <f aca="false">IF(Z21="","",IF(LEFT($X21,1)="H",SQRT(Z21*(IFERROR(INDEX(Calc!$AP$2:$AP$137,MATCH($W21,Calc!$A$2:$A$137,0)),0.5)*Config!$B$5+1-IFERROR(INDEX(Calc!$AP$2:$AP$137,MATCH($W21,Calc!$A$2:$A$137,0)),0.5))),SQRT(Z21*Config!$B$5)))</f>
        <v>4.35849107426463</v>
      </c>
      <c r="AB21" s="10" t="n">
        <f aca="false">IF(OR(F21="",Z21="",N(AA21)&lt;=0),"",1-NORMDIST(FLOOR(F21,1)+0.5,Z21,AA21,TRUE()))</f>
        <v>0.415417205290495</v>
      </c>
      <c r="AC21" s="10" t="n">
        <f aca="false">IF(AB21="","",NORMDIST(CEILING(F21,1)-0.5,Z21,AA21,TRUE()))</f>
        <v>0.584582794709505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1</v>
      </c>
    </row>
    <row r="22" customFormat="false" ht="15" hidden="false" customHeight="false" outlineLevel="0" collapsed="false">
      <c r="A22" s="0" t="s">
        <v>1139</v>
      </c>
      <c r="B22" s="0" t="s">
        <v>1192</v>
      </c>
      <c r="C22" s="0" t="s">
        <v>1314</v>
      </c>
      <c r="D22" s="0" t="s">
        <v>1197</v>
      </c>
      <c r="E22" s="0" t="s">
        <v>1290</v>
      </c>
      <c r="F22" s="0" t="n">
        <v>29.5</v>
      </c>
      <c r="G22" s="11" t="n">
        <f aca="false">IFERROR(INDEX(CHOOSE(MATCH($X22,{"K1","K2","K3","K12","K13","H1","H2","H3","H12","H13"},0),Calc!$V$2:$V$137,Calc!$AC$2:$AC$137,Calc!$AJ$2:$AJ$137,Calc!$AL$2:$AL$137,Calc!$AM$2:$AM$137,Calc!$W$2:$W$137,Calc!$AD$2:$AD$137,Calc!$AK$2:$AK$137,Calc!$AN$2:$AN$137,Calc!$AO$2:$AO$137),MATCH($W22,Calc!$A$2:$A$137,0)),"")</f>
        <v>29.2355208333333</v>
      </c>
      <c r="H22" s="11" t="n">
        <f aca="false">IF(G22="","",IF(LEFT($X22,1)="H",SQRT(G22*(IFERROR(INDEX(Calc!$AP$2:$AP$137,MATCH($W22,Calc!$A$2:$A$137,0)),0.5)*Config!$B$5+1-IFERROR(INDEX(Calc!$AP$2:$AP$137,MATCH($W22,Calc!$A$2:$A$137,0)),0.5))),SQRT(G22*Config!$B$5)))</f>
        <v>6.39763465404728</v>
      </c>
      <c r="I22" s="10" t="n">
        <f aca="false">IF(OR(F22="",G22="",N(H22)&lt;=0),"",1-NORMDIST(FLOOR(F22,1)+0.5,G22,H22,TRUE()))</f>
        <v>0.483512363267937</v>
      </c>
      <c r="J22" s="10" t="n">
        <f aca="false">IF(I22="","",NORMDIST(CEILING(F22,1)-0.5,G22,H22,TRUE()))</f>
        <v>0.516487636732063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—</v>
      </c>
      <c r="N22" s="0" t="n">
        <v>31.4</v>
      </c>
      <c r="O22" s="10" t="n">
        <v>0.4</v>
      </c>
      <c r="P22" s="10" t="n">
        <v>0.4</v>
      </c>
      <c r="Q22" s="10" t="n">
        <v>0.47</v>
      </c>
      <c r="R22" s="9" t="s">
        <v>1287</v>
      </c>
      <c r="S22" s="0" t="n">
        <v>-2</v>
      </c>
      <c r="T22" s="0" t="str">
        <f aca="false">INDEX(Calc!$G$2:$G$137,MATCH($W22,Calc!$A$2:$A$137,0))&amp;" / "&amp;INDEX(Calc!$H$2:$H$137,MATCH($W22,Calc!$A$2:$A$137,0))</f>
        <v>Ancient / Cache</v>
      </c>
      <c r="U22" s="0" t="str">
        <f aca="false">TEXT(INDEX(Calc!$J$2:$J$137,MATCH($W22,Calc!$A$2:$A$137,0)),"0.0")&amp;" / "&amp;TEXT(INDEX(Calc!$K$2:$K$137,MATCH($W22,Calc!$A$2:$A$137,0)),"0.0")</f>
        <v>21.5 / 21.5</v>
      </c>
      <c r="V22" s="0" t="str">
        <f aca="false">IFERROR(INDEX(Calc!$AQ$2:$AQ$137,MATCH($W22,Calc!$A$2:$A$137,0)),"")</f>
        <v/>
      </c>
      <c r="W22" s="9" t="s">
        <v>1315</v>
      </c>
      <c r="X22" s="9" t="s">
        <v>1291</v>
      </c>
      <c r="Y22" s="0" t="str">
        <f aca="false">W22&amp;"|"&amp;X22</f>
        <v>u4e5uoowjf17ffu|CS2 · AST vs ICE|K12</v>
      </c>
      <c r="Z22" s="11" t="n">
        <f aca="false">IFERROR(INDEX(CHOOSE(MATCH($X22,{"K1","K2","K3","K12","K13","H1","H2","H3","H12","H13"},0),Calc!$BA$2:$BA$137,Calc!$BB$2:$BB$137,Calc!$BC$2:$BC$137,Calc!$BD$2:$BD$137,Calc!$BE$2:$BE$137,Calc!$BF$2:$BF$137,Calc!$BG$2:$BG$137,Calc!$BH$2:$BH$137,Calc!$BI$2:$BI$137,Calc!$BJ$2:$BJ$137),MATCH($W22,Calc!$A$2:$A$137,0)),"")</f>
        <v>29.03705347109</v>
      </c>
      <c r="AA22" s="11" t="n">
        <f aca="false">IF(Z22="","",IF(LEFT($X22,1)="H",SQRT(Z22*(IFERROR(INDEX(Calc!$AP$2:$AP$137,MATCH($W22,Calc!$A$2:$A$137,0)),0.5)*Config!$B$5+1-IFERROR(INDEX(Calc!$AP$2:$AP$137,MATCH($W22,Calc!$A$2:$A$137,0)),0.5))),SQRT(Z22*Config!$B$5)))</f>
        <v>6.37588228087109</v>
      </c>
      <c r="AB22" s="10" t="n">
        <f aca="false">IF(OR(F22="",Z22="",N(AA22)&lt;=0),"",1-NORMDIST(FLOOR(F22,1)+0.5,Z22,AA22,TRUE()))</f>
        <v>0.47105862656646</v>
      </c>
      <c r="AC22" s="10" t="n">
        <f aca="false">IF(AB22="","",NORMDIST(CEILING(F22,1)-0.5,Z22,AA22,TRUE()))</f>
        <v>0.52894137343354</v>
      </c>
      <c r="AD22" s="0" t="str">
        <f aca="false">IF(AB22="","",IF(AB22&gt;=0.5+Config!$B$6,"OVER",IF(AC22&gt;=0.5+Config!$B$6,"UNDER","—")))</f>
        <v>—</v>
      </c>
      <c r="AE22" s="13" t="n">
        <f aca="false">IFERROR(Z22/G22,"")</f>
        <v>0.993211430595857</v>
      </c>
    </row>
    <row r="23" customFormat="false" ht="15" hidden="false" customHeight="false" outlineLevel="0" collapsed="false">
      <c r="A23" s="0" t="s">
        <v>1139</v>
      </c>
      <c r="B23" s="0" t="s">
        <v>1192</v>
      </c>
      <c r="C23" s="0" t="s">
        <v>1316</v>
      </c>
      <c r="D23" s="0" t="s">
        <v>1197</v>
      </c>
      <c r="E23" s="0" t="s">
        <v>1286</v>
      </c>
      <c r="F23" s="0" t="n">
        <v>15.5</v>
      </c>
      <c r="G23" s="11" t="n">
        <f aca="false">IFERROR(INDEX(CHOOSE(MATCH($X23,{"K1","K2","K3","K12","K13","H1","H2","H3","H12","H13"},0),Calc!$V$2:$V$137,Calc!$AC$2:$AC$137,Calc!$AJ$2:$AJ$137,Calc!$AL$2:$AL$137,Calc!$AM$2:$AM$137,Calc!$W$2:$W$137,Calc!$AD$2:$AD$137,Calc!$AK$2:$AK$137,Calc!$AN$2:$AN$137,Calc!$AO$2:$AO$137),MATCH($W23,Calc!$A$2:$A$137,0)),"")</f>
        <v>17.0293174348958</v>
      </c>
      <c r="H23" s="11" t="n">
        <f aca="false">IF(G23="","",IF(LEFT($X23,1)="H",SQRT(G23*(IFERROR(INDEX(Calc!$AP$2:$AP$137,MATCH($W23,Calc!$A$2:$A$137,0)),0.5)*Config!$B$5+1-IFERROR(INDEX(Calc!$AP$2:$AP$137,MATCH($W23,Calc!$A$2:$A$137,0)),0.5))),SQRT(G23*Config!$B$5)))</f>
        <v>4.52990201224965</v>
      </c>
      <c r="I23" s="10" t="n">
        <f aca="false">IF(OR(F23="",G23="",N(H23)&lt;=0),"",1-NORMDIST(FLOOR(F23,1)+0.5,G23,H23,TRUE()))</f>
        <v>0.63216955198261</v>
      </c>
      <c r="J23" s="10" t="n">
        <f aca="false">IF(I23="","",NORMDIST(CEILING(F23,1)-0.5,G23,H23,TRUE()))</f>
        <v>0.36783044801739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OVER</v>
      </c>
      <c r="N23" s="0" t="n">
        <v>16.7</v>
      </c>
      <c r="O23" s="10" t="n">
        <v>0.8</v>
      </c>
      <c r="P23" s="10" t="n">
        <v>0.6</v>
      </c>
      <c r="Q23" s="10" t="n">
        <v>0.67</v>
      </c>
      <c r="R23" s="9" t="s">
        <v>1317</v>
      </c>
      <c r="S23" s="0" t="n">
        <v>1</v>
      </c>
      <c r="T23" s="0" t="str">
        <f aca="false">INDEX(Calc!$G$2:$G$137,MATCH($W23,Calc!$A$2:$A$137,0))&amp;" / "&amp;INDEX(Calc!$H$2:$H$137,MATCH($W23,Calc!$A$2:$A$137,0))</f>
        <v>Ancient / Cache</v>
      </c>
      <c r="U23" s="0" t="str">
        <f aca="false">TEXT(INDEX(Calc!$J$2:$J$137,MATCH($W23,Calc!$A$2:$A$137,0)),"0.0")&amp;" / "&amp;TEXT(INDEX(Calc!$K$2:$K$137,MATCH($W23,Calc!$A$2:$A$137,0)),"0.0")</f>
        <v>21.5 / 21.5</v>
      </c>
      <c r="V23" s="0" t="str">
        <f aca="false">IFERROR(INDEX(Calc!$AQ$2:$AQ$137,MATCH($W23,Calc!$A$2:$A$137,0)),"")</f>
        <v/>
      </c>
      <c r="W23" s="9" t="s">
        <v>1318</v>
      </c>
      <c r="X23" s="9" t="s">
        <v>1289</v>
      </c>
      <c r="Y23" s="0" t="str">
        <f aca="false">W23&amp;"|"&amp;X23</f>
        <v>bfampq2da0guhkz|CS2 · AST vs ICE|H12</v>
      </c>
      <c r="Z23" s="11" t="n">
        <f aca="false">IFERROR(INDEX(CHOOSE(MATCH($X23,{"K1","K2","K3","K12","K13","H1","H2","H3","H12","H13"},0),Calc!$BA$2:$BA$137,Calc!$BB$2:$BB$137,Calc!$BC$2:$BC$137,Calc!$BD$2:$BD$137,Calc!$BE$2:$BE$137,Calc!$BF$2:$BF$137,Calc!$BG$2:$BG$137,Calc!$BH$2:$BH$137,Calc!$BI$2:$BI$137,Calc!$BJ$2:$BJ$137),MATCH($W23,Calc!$A$2:$A$137,0)),"")</f>
        <v>16.9104295366755</v>
      </c>
      <c r="AA23" s="11" t="n">
        <f aca="false">IF(Z23="","",IF(LEFT($X23,1)="H",SQRT(Z23*(IFERROR(INDEX(Calc!$AP$2:$AP$137,MATCH($W23,Calc!$A$2:$A$137,0)),0.5)*Config!$B$5+1-IFERROR(INDEX(Calc!$AP$2:$AP$137,MATCH($W23,Calc!$A$2:$A$137,0)),0.5))),SQRT(Z23*Config!$B$5)))</f>
        <v>4.51406186535282</v>
      </c>
      <c r="AB23" s="10" t="n">
        <f aca="false">IF(OR(F23="",Z23="",N(AA23)&lt;=0),"",1-NORMDIST(FLOOR(F23,1)+0.5,Z23,AA23,TRUE()))</f>
        <v>0.622651639791227</v>
      </c>
      <c r="AC23" s="10" t="n">
        <f aca="false">IF(AB23="","",NORMDIST(CEILING(F23,1)-0.5,Z23,AA23,TRUE()))</f>
        <v>0.377348360208773</v>
      </c>
      <c r="AD23" s="0" t="str">
        <f aca="false">IF(AB23="","",IF(AB23&gt;=0.5+Config!$B$6,"OVER",IF(AC23&gt;=0.5+Config!$B$6,"UNDER","—")))</f>
        <v>OVER</v>
      </c>
      <c r="AE23" s="13" t="n">
        <f aca="false">IFERROR(Z23/G23,"")</f>
        <v>0.993018633971984</v>
      </c>
    </row>
    <row r="24" customFormat="false" ht="15" hidden="false" customHeight="false" outlineLevel="0" collapsed="false">
      <c r="A24" s="0" t="s">
        <v>1139</v>
      </c>
      <c r="B24" s="0" t="s">
        <v>1192</v>
      </c>
      <c r="C24" s="0" t="s">
        <v>1316</v>
      </c>
      <c r="D24" s="0" t="s">
        <v>1197</v>
      </c>
      <c r="E24" s="0" t="s">
        <v>1290</v>
      </c>
      <c r="F24" s="0" t="n">
        <v>30.5</v>
      </c>
      <c r="G24" s="11" t="n">
        <f aca="false">IFERROR(INDEX(CHOOSE(MATCH($X24,{"K1","K2","K3","K12","K13","H1","H2","H3","H12","H13"},0),Calc!$V$2:$V$137,Calc!$AC$2:$AC$137,Calc!$AJ$2:$AJ$137,Calc!$AL$2:$AL$137,Calc!$AM$2:$AM$137,Calc!$W$2:$W$137,Calc!$AD$2:$AD$137,Calc!$AK$2:$AK$137,Calc!$AN$2:$AN$137,Calc!$AO$2:$AO$137),MATCH($W24,Calc!$A$2:$A$137,0)),"")</f>
        <v>33.2309375</v>
      </c>
      <c r="H24" s="11" t="n">
        <f aca="false">IF(G24="","",IF(LEFT($X24,1)="H",SQRT(G24*(IFERROR(INDEX(Calc!$AP$2:$AP$137,MATCH($W24,Calc!$A$2:$A$137,0)),0.5)*Config!$B$5+1-IFERROR(INDEX(Calc!$AP$2:$AP$137,MATCH($W24,Calc!$A$2:$A$137,0)),0.5))),SQRT(G24*Config!$B$5)))</f>
        <v>6.82079998973727</v>
      </c>
      <c r="I24" s="10" t="n">
        <f aca="false">IF(OR(F24="",G24="",N(H24)&lt;=0),"",1-NORMDIST(FLOOR(F24,1)+0.5,G24,H24,TRUE()))</f>
        <v>0.655563055620693</v>
      </c>
      <c r="J24" s="10" t="n">
        <f aca="false">IF(I24="","",NORMDIST(CEILING(F24,1)-0.5,G24,H24,TRUE()))</f>
        <v>0.344436944379307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34.1</v>
      </c>
      <c r="O24" s="10" t="n">
        <v>0.8</v>
      </c>
      <c r="P24" s="10" t="n">
        <v>0.6</v>
      </c>
      <c r="Q24" s="10" t="n">
        <v>0.6</v>
      </c>
      <c r="R24" s="9" t="s">
        <v>1317</v>
      </c>
      <c r="S24" s="0" t="n">
        <v>1</v>
      </c>
      <c r="T24" s="0" t="str">
        <f aca="false">INDEX(Calc!$G$2:$G$137,MATCH($W24,Calc!$A$2:$A$137,0))&amp;" / "&amp;INDEX(Calc!$H$2:$H$137,MATCH($W24,Calc!$A$2:$A$137,0))</f>
        <v>Ancient / Cache</v>
      </c>
      <c r="U24" s="0" t="str">
        <f aca="false">TEXT(INDEX(Calc!$J$2:$J$137,MATCH($W24,Calc!$A$2:$A$137,0)),"0.0")&amp;" / "&amp;TEXT(INDEX(Calc!$K$2:$K$137,MATCH($W24,Calc!$A$2:$A$137,0)),"0.0")</f>
        <v>21.5 / 21.5</v>
      </c>
      <c r="V24" s="0" t="str">
        <f aca="false">IFERROR(INDEX(Calc!$AQ$2:$AQ$137,MATCH($W24,Calc!$A$2:$A$137,0)),"")</f>
        <v/>
      </c>
      <c r="W24" s="9" t="s">
        <v>1318</v>
      </c>
      <c r="X24" s="9" t="s">
        <v>1291</v>
      </c>
      <c r="Y24" s="0" t="str">
        <f aca="false">W24&amp;"|"&amp;X24</f>
        <v>bfampq2da0guhkz|CS2 · AST vs ICE|K12</v>
      </c>
      <c r="Z24" s="11" t="n">
        <f aca="false">IFERROR(INDEX(CHOOSE(MATCH($X24,{"K1","K2","K3","K12","K13","H1","H2","H3","H12","H13"},0),Calc!$BA$2:$BA$137,Calc!$BB$2:$BB$137,Calc!$BC$2:$BC$137,Calc!$BD$2:$BD$137,Calc!$BE$2:$BE$137,Calc!$BF$2:$BF$137,Calc!$BG$2:$BG$137,Calc!$BH$2:$BH$137,Calc!$BI$2:$BI$137,Calc!$BJ$2:$BJ$137),MATCH($W24,Calc!$A$2:$A$137,0)),"")</f>
        <v>32.9846017052357</v>
      </c>
      <c r="AA24" s="11" t="n">
        <f aca="false">IF(Z24="","",IF(LEFT($X24,1)="H",SQRT(Z24*(IFERROR(INDEX(Calc!$AP$2:$AP$137,MATCH($W24,Calc!$A$2:$A$137,0)),0.5)*Config!$B$5+1-IFERROR(INDEX(Calc!$AP$2:$AP$137,MATCH($W24,Calc!$A$2:$A$137,0)),0.5))),SQRT(Z24*Config!$B$5)))</f>
        <v>6.79547219752461</v>
      </c>
      <c r="AB24" s="10" t="n">
        <f aca="false">IF(OR(F24="",Z24="",N(AA24)&lt;=0),"",1-NORMDIST(FLOOR(F24,1)+0.5,Z24,AA24,TRUE()))</f>
        <v>0.642677935626472</v>
      </c>
      <c r="AC24" s="10" t="n">
        <f aca="false">IF(AB24="","",NORMDIST(CEILING(F24,1)-0.5,Z24,AA24,TRUE()))</f>
        <v>0.357322064373528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0.992587154823294</v>
      </c>
    </row>
    <row r="25" customFormat="false" ht="15" hidden="false" customHeight="false" outlineLevel="0" collapsed="false">
      <c r="A25" s="0" t="s">
        <v>1139</v>
      </c>
      <c r="B25" s="0" t="s">
        <v>1192</v>
      </c>
      <c r="C25" s="0" t="s">
        <v>1319</v>
      </c>
      <c r="D25" s="0" t="s">
        <v>1197</v>
      </c>
      <c r="E25" s="0" t="s">
        <v>1290</v>
      </c>
      <c r="F25" s="0" t="n">
        <v>24.5</v>
      </c>
      <c r="G25" s="11" t="n">
        <f aca="false">IFERROR(INDEX(CHOOSE(MATCH($X25,{"K1","K2","K3","K12","K13","H1","H2","H3","H12","H13"},0),Calc!$V$2:$V$137,Calc!$AC$2:$AC$137,Calc!$AJ$2:$AJ$137,Calc!$AL$2:$AL$137,Calc!$AM$2:$AM$137,Calc!$W$2:$W$137,Calc!$AD$2:$AD$137,Calc!$AK$2:$AK$137,Calc!$AN$2:$AN$137,Calc!$AO$2:$AO$137),MATCH($W25,Calc!$A$2:$A$137,0)),"")</f>
        <v>24.3815972222222</v>
      </c>
      <c r="H25" s="11" t="n">
        <f aca="false">IF(G25="","",IF(LEFT($X25,1)="H",SQRT(G25*(IFERROR(INDEX(Calc!$AP$2:$AP$137,MATCH($W25,Calc!$A$2:$A$137,0)),0.5)*Config!$B$5+1-IFERROR(INDEX(Calc!$AP$2:$AP$137,MATCH($W25,Calc!$A$2:$A$137,0)),0.5))),SQRT(G25*Config!$B$5)))</f>
        <v>5.84245120742237</v>
      </c>
      <c r="I25" s="10" t="n">
        <f aca="false">IF(OR(F25="",G25="",N(H25)&lt;=0),"",1-NORMDIST(FLOOR(F25,1)+0.5,G25,H25,TRUE()))</f>
        <v>0.491915612243381</v>
      </c>
      <c r="J25" s="10" t="n">
        <f aca="false">IF(I25="","",NORMDIST(CEILING(F25,1)-0.5,G25,H25,TRUE()))</f>
        <v>0.508084387756619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—</v>
      </c>
      <c r="N25" s="0" t="n">
        <v>23.6</v>
      </c>
      <c r="O25" s="10" t="n">
        <v>0.4</v>
      </c>
      <c r="P25" s="10" t="n">
        <v>0.4</v>
      </c>
      <c r="Q25" s="10" t="n">
        <v>0.33</v>
      </c>
      <c r="R25" s="9" t="s">
        <v>1320</v>
      </c>
      <c r="S25" s="0" t="n">
        <v>-2</v>
      </c>
      <c r="T25" s="0" t="str">
        <f aca="false">INDEX(Calc!$G$2:$G$137,MATCH($W25,Calc!$A$2:$A$137,0))&amp;" / "&amp;INDEX(Calc!$H$2:$H$137,MATCH($W25,Calc!$A$2:$A$137,0))</f>
        <v>Ancient / Cache</v>
      </c>
      <c r="U25" s="0" t="str">
        <f aca="false">TEXT(INDEX(Calc!$J$2:$J$137,MATCH($W25,Calc!$A$2:$A$137,0)),"0.0")&amp;" / "&amp;TEXT(INDEX(Calc!$K$2:$K$137,MATCH($W25,Calc!$A$2:$A$137,0)),"0.0")</f>
        <v>21.5 / 21.5</v>
      </c>
      <c r="V25" s="0" t="str">
        <f aca="false">IFERROR(INDEX(Calc!$AQ$2:$AQ$137,MATCH($W25,Calc!$A$2:$A$137,0)),"")</f>
        <v/>
      </c>
      <c r="W25" s="9" t="s">
        <v>1321</v>
      </c>
      <c r="X25" s="9" t="s">
        <v>1291</v>
      </c>
      <c r="Y25" s="0" t="str">
        <f aca="false">W25&amp;"|"&amp;X25</f>
        <v>gffaqp23gkmuw6v|CS2 · AST vs ICE|K12</v>
      </c>
      <c r="Z25" s="11" t="n">
        <f aca="false">IFERROR(INDEX(CHOOSE(MATCH($X25,{"K1","K2","K3","K12","K13","H1","H2","H3","H12","H13"},0),Calc!$BA$2:$BA$137,Calc!$BB$2:$BB$137,Calc!$BC$2:$BC$137,Calc!$BD$2:$BD$137,Calc!$BE$2:$BE$137,Calc!$BF$2:$BF$137,Calc!$BG$2:$BG$137,Calc!$BH$2:$BH$137,Calc!$BI$2:$BI$137,Calc!$BJ$2:$BJ$137),MATCH($W25,Calc!$A$2:$A$137,0)),"")</f>
        <v>24.2075856594483</v>
      </c>
      <c r="AA25" s="11" t="n">
        <f aca="false">IF(Z25="","",IF(LEFT($X25,1)="H",SQRT(Z25*(IFERROR(INDEX(Calc!$AP$2:$AP$137,MATCH($W25,Calc!$A$2:$A$137,0)),0.5)*Config!$B$5+1-IFERROR(INDEX(Calc!$AP$2:$AP$137,MATCH($W25,Calc!$A$2:$A$137,0)),0.5))),SQRT(Z25*Config!$B$5)))</f>
        <v>5.82156507506595</v>
      </c>
      <c r="AB25" s="10" t="n">
        <f aca="false">IF(OR(F25="",Z25="",N(AA25)&lt;=0),"",1-NORMDIST(FLOOR(F25,1)+0.5,Z25,AA25,TRUE()))</f>
        <v>0.479969749234441</v>
      </c>
      <c r="AC25" s="10" t="n">
        <f aca="false">IF(AB25="","",NORMDIST(CEILING(F25,1)-0.5,Z25,AA25,TRUE()))</f>
        <v>0.520030250765559</v>
      </c>
      <c r="AD25" s="0" t="str">
        <f aca="false">IF(AB25="","",IF(AB25&gt;=0.5+Config!$B$6,"OVER",IF(AC25&gt;=0.5+Config!$B$6,"UNDER","—")))</f>
        <v>—</v>
      </c>
      <c r="AE25" s="13" t="n">
        <f aca="false">IFERROR(Z25/G25,"")</f>
        <v>0.99286299575914</v>
      </c>
    </row>
    <row r="26" customFormat="false" ht="15" hidden="false" customHeight="false" outlineLevel="0" collapsed="false">
      <c r="A26" s="0" t="s">
        <v>1139</v>
      </c>
      <c r="B26" s="0" t="s">
        <v>1192</v>
      </c>
      <c r="C26" s="0" t="s">
        <v>1322</v>
      </c>
      <c r="D26" s="0" t="s">
        <v>1197</v>
      </c>
      <c r="E26" s="0" t="s">
        <v>1286</v>
      </c>
      <c r="F26" s="0" t="n">
        <v>17.5</v>
      </c>
      <c r="G26" s="11" t="n">
        <f aca="false">IFERROR(INDEX(CHOOSE(MATCH($X26,{"K1","K2","K3","K12","K13","H1","H2","H3","H12","H13"},0),Calc!$V$2:$V$137,Calc!$AC$2:$AC$137,Calc!$AJ$2:$AJ$137,Calc!$AL$2:$AL$137,Calc!$AM$2:$AM$137,Calc!$W$2:$W$137,Calc!$AD$2:$AD$137,Calc!$AK$2:$AK$137,Calc!$AN$2:$AN$137,Calc!$AO$2:$AO$137),MATCH($W26,Calc!$A$2:$A$137,0)),"")</f>
        <v>17.7391712890625</v>
      </c>
      <c r="H26" s="11" t="n">
        <f aca="false">IF(G26="","",IF(LEFT($X26,1)="H",SQRT(G26*(IFERROR(INDEX(Calc!$AP$2:$AP$137,MATCH($W26,Calc!$A$2:$A$137,0)),0.5)*Config!$B$5+1-IFERROR(INDEX(Calc!$AP$2:$AP$137,MATCH($W26,Calc!$A$2:$A$137,0)),0.5))),SQRT(G26*Config!$B$5)))</f>
        <v>4.6501988799973</v>
      </c>
      <c r="I26" s="10" t="n">
        <f aca="false">IF(OR(F26="",G26="",N(H26)&lt;=0),"",1-NORMDIST(FLOOR(F26,1)+0.5,G26,H26,TRUE()))</f>
        <v>0.520509550555178</v>
      </c>
      <c r="J26" s="10" t="n">
        <f aca="false">IF(I26="","",NORMDIST(CEILING(F26,1)-0.5,G26,H26,TRUE()))</f>
        <v>0.479490449444822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—</v>
      </c>
      <c r="N26" s="0" t="n">
        <v>17.3</v>
      </c>
      <c r="O26" s="10" t="n">
        <v>0.4</v>
      </c>
      <c r="P26" s="10" t="n">
        <v>0.4</v>
      </c>
      <c r="Q26" s="10" t="n">
        <v>0.47</v>
      </c>
      <c r="R26" s="9" t="s">
        <v>1287</v>
      </c>
      <c r="S26" s="0" t="n">
        <v>1</v>
      </c>
      <c r="T26" s="0" t="str">
        <f aca="false">INDEX(Calc!$G$2:$G$137,MATCH($W26,Calc!$A$2:$A$137,0))&amp;" / "&amp;INDEX(Calc!$H$2:$H$137,MATCH($W26,Calc!$A$2:$A$137,0))</f>
        <v>Ancient / Cache</v>
      </c>
      <c r="U26" s="0" t="str">
        <f aca="false">TEXT(INDEX(Calc!$J$2:$J$137,MATCH($W26,Calc!$A$2:$A$137,0)),"0.0")&amp;" / "&amp;TEXT(INDEX(Calc!$K$2:$K$137,MATCH($W26,Calc!$A$2:$A$137,0)),"0.0")</f>
        <v>21.5 / 21.5</v>
      </c>
      <c r="V26" s="0" t="str">
        <f aca="false">IFERROR(INDEX(Calc!$AQ$2:$AQ$137,MATCH($W26,Calc!$A$2:$A$137,0)),"")</f>
        <v/>
      </c>
      <c r="W26" s="9" t="s">
        <v>1323</v>
      </c>
      <c r="X26" s="9" t="s">
        <v>1289</v>
      </c>
      <c r="Y26" s="0" t="str">
        <f aca="false">W26&amp;"|"&amp;X26</f>
        <v>t0obepfwbzppr9o|CS2 · AST vs ICE|H12</v>
      </c>
      <c r="Z26" s="11" t="n">
        <f aca="false">IFERROR(INDEX(CHOOSE(MATCH($X26,{"K1","K2","K3","K12","K13","H1","H2","H3","H12","H13"},0),Calc!$BA$2:$BA$137,Calc!$BB$2:$BB$137,Calc!$BC$2:$BC$137,Calc!$BD$2:$BD$137,Calc!$BE$2:$BE$137,Calc!$BF$2:$BF$137,Calc!$BG$2:$BG$137,Calc!$BH$2:$BH$137,Calc!$BI$2:$BI$137,Calc!$BJ$2:$BJ$137),MATCH($W26,Calc!$A$2:$A$137,0)),"")</f>
        <v>17.6143625229271</v>
      </c>
      <c r="AA26" s="11" t="n">
        <f aca="false">IF(Z26="","",IF(LEFT($X26,1)="H",SQRT(Z26*(IFERROR(INDEX(Calc!$AP$2:$AP$137,MATCH($W26,Calc!$A$2:$A$137,0)),0.5)*Config!$B$5+1-IFERROR(INDEX(Calc!$AP$2:$AP$137,MATCH($W26,Calc!$A$2:$A$137,0)),0.5))),SQRT(Z26*Config!$B$5)))</f>
        <v>4.63381113427476</v>
      </c>
      <c r="AB26" s="10" t="n">
        <f aca="false">IF(OR(F26="",Z26="",N(AA26)&lt;=0),"",1-NORMDIST(FLOOR(F26,1)+0.5,Z26,AA26,TRUE()))</f>
        <v>0.509844901564985</v>
      </c>
      <c r="AC26" s="10" t="n">
        <f aca="false">IF(AB26="","",NORMDIST(CEILING(F26,1)-0.5,Z26,AA26,TRUE()))</f>
        <v>0.490155098435015</v>
      </c>
      <c r="AD26" s="0" t="str">
        <f aca="false">IF(AB26="","",IF(AB26&gt;=0.5+Config!$B$6,"OVER",IF(AC26&gt;=0.5+Config!$B$6,"UNDER","—")))</f>
        <v>—</v>
      </c>
      <c r="AE26" s="13" t="n">
        <f aca="false">IFERROR(Z26/G26,"")</f>
        <v>0.992964227916762</v>
      </c>
    </row>
    <row r="27" customFormat="false" ht="15" hidden="false" customHeight="false" outlineLevel="0" collapsed="false">
      <c r="A27" s="0" t="s">
        <v>1139</v>
      </c>
      <c r="B27" s="0" t="s">
        <v>1192</v>
      </c>
      <c r="C27" s="0" t="s">
        <v>1322</v>
      </c>
      <c r="D27" s="0" t="s">
        <v>1197</v>
      </c>
      <c r="E27" s="0" t="s">
        <v>1290</v>
      </c>
      <c r="F27" s="0" t="n">
        <v>31.5</v>
      </c>
      <c r="G27" s="11" t="n">
        <f aca="false">IFERROR(INDEX(CHOOSE(MATCH($X27,{"K1","K2","K3","K12","K13","H1","H2","H3","H12","H13"},0),Calc!$V$2:$V$137,Calc!$AC$2:$AC$137,Calc!$AJ$2:$AJ$137,Calc!$AL$2:$AL$137,Calc!$AM$2:$AM$137,Calc!$W$2:$W$137,Calc!$AD$2:$AD$137,Calc!$AK$2:$AK$137,Calc!$AN$2:$AN$137,Calc!$AO$2:$AO$137),MATCH($W27,Calc!$A$2:$A$137,0)),"")</f>
        <v>32.3978125</v>
      </c>
      <c r="H27" s="11" t="n">
        <f aca="false">IF(G27="","",IF(LEFT($X27,1)="H",SQRT(G27*(IFERROR(INDEX(Calc!$AP$2:$AP$137,MATCH($W27,Calc!$A$2:$A$137,0)),0.5)*Config!$B$5+1-IFERROR(INDEX(Calc!$AP$2:$AP$137,MATCH($W27,Calc!$A$2:$A$137,0)),0.5))),SQRT(G27*Config!$B$5)))</f>
        <v>6.73475593470172</v>
      </c>
      <c r="I27" s="10" t="n">
        <f aca="false">IF(OR(F27="",G27="",N(H27)&lt;=0),"",1-NORMDIST(FLOOR(F27,1)+0.5,G27,H27,TRUE()))</f>
        <v>0.553026018698331</v>
      </c>
      <c r="J27" s="10" t="n">
        <f aca="false">IF(I27="","",NORMDIST(CEILING(F27,1)-0.5,G27,H27,TRUE()))</f>
        <v>0.446973981301669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OVER</v>
      </c>
      <c r="N27" s="0" t="n">
        <v>32.4</v>
      </c>
      <c r="O27" s="10" t="n">
        <v>0.6</v>
      </c>
      <c r="P27" s="10" t="n">
        <v>0.5</v>
      </c>
      <c r="Q27" s="10" t="n">
        <v>0.53</v>
      </c>
      <c r="R27" s="9" t="s">
        <v>1287</v>
      </c>
      <c r="S27" s="0" t="n">
        <v>1</v>
      </c>
      <c r="T27" s="0" t="str">
        <f aca="false">INDEX(Calc!$G$2:$G$137,MATCH($W27,Calc!$A$2:$A$137,0))&amp;" / "&amp;INDEX(Calc!$H$2:$H$137,MATCH($W27,Calc!$A$2:$A$137,0))</f>
        <v>Ancient / Cache</v>
      </c>
      <c r="U27" s="0" t="str">
        <f aca="false">TEXT(INDEX(Calc!$J$2:$J$137,MATCH($W27,Calc!$A$2:$A$137,0)),"0.0")&amp;" / "&amp;TEXT(INDEX(Calc!$K$2:$K$137,MATCH($W27,Calc!$A$2:$A$137,0)),"0.0")</f>
        <v>21.5 / 21.5</v>
      </c>
      <c r="V27" s="0" t="str">
        <f aca="false">IFERROR(INDEX(Calc!$AQ$2:$AQ$137,MATCH($W27,Calc!$A$2:$A$137,0)),"")</f>
        <v/>
      </c>
      <c r="W27" s="9" t="s">
        <v>1323</v>
      </c>
      <c r="X27" s="9" t="s">
        <v>1291</v>
      </c>
      <c r="Y27" s="0" t="str">
        <f aca="false">W27&amp;"|"&amp;X27</f>
        <v>t0obepfwbzppr9o|CS2 · AST vs ICE|K12</v>
      </c>
      <c r="Z27" s="11" t="n">
        <f aca="false">IFERROR(INDEX(CHOOSE(MATCH($X27,{"K1","K2","K3","K12","K13","H1","H2","H3","H12","H13"},0),Calc!$BA$2:$BA$137,Calc!$BB$2:$BB$137,Calc!$BC$2:$BC$137,Calc!$BD$2:$BD$137,Calc!$BE$2:$BE$137,Calc!$BF$2:$BF$137,Calc!$BG$2:$BG$137,Calc!$BH$2:$BH$137,Calc!$BI$2:$BI$137,Calc!$BJ$2:$BJ$137),MATCH($W27,Calc!$A$2:$A$137,0)),"")</f>
        <v>32.1715901567229</v>
      </c>
      <c r="AA27" s="11" t="n">
        <f aca="false">IF(Z27="","",IF(LEFT($X27,1)="H",SQRT(Z27*(IFERROR(INDEX(Calc!$AP$2:$AP$137,MATCH($W27,Calc!$A$2:$A$137,0)),0.5)*Config!$B$5+1-IFERROR(INDEX(Calc!$AP$2:$AP$137,MATCH($W27,Calc!$A$2:$A$137,0)),0.5))),SQRT(Z27*Config!$B$5)))</f>
        <v>6.71120154811433</v>
      </c>
      <c r="AB27" s="10" t="n">
        <f aca="false">IF(OR(F27="",Z27="",N(AA27)&lt;=0),"",1-NORMDIST(FLOOR(F27,1)+0.5,Z27,AA27,TRUE()))</f>
        <v>0.539855636740554</v>
      </c>
      <c r="AC27" s="10" t="n">
        <f aca="false">IF(AB27="","",NORMDIST(CEILING(F27,1)-0.5,Z27,AA27,TRUE()))</f>
        <v>0.460144363259446</v>
      </c>
      <c r="AD27" s="0" t="str">
        <f aca="false">IF(AB27="","",IF(AB27&gt;=0.5+Config!$B$6,"OVER",IF(AC27&gt;=0.5+Config!$B$6,"UNDER","—")))</f>
        <v>—</v>
      </c>
      <c r="AE27" s="13" t="n">
        <f aca="false">IFERROR(Z27/G27,"")</f>
        <v>0.993017357475075</v>
      </c>
    </row>
    <row r="28" customFormat="false" ht="15" hidden="false" customHeight="false" outlineLevel="0" collapsed="false">
      <c r="A28" s="0" t="s">
        <v>1139</v>
      </c>
      <c r="B28" s="0" t="s">
        <v>1192</v>
      </c>
      <c r="C28" s="0" t="s">
        <v>1324</v>
      </c>
      <c r="D28" s="0" t="s">
        <v>1198</v>
      </c>
      <c r="E28" s="0" t="s">
        <v>1286</v>
      </c>
      <c r="F28" s="0" t="n">
        <v>17.5</v>
      </c>
      <c r="G28" s="11" t="n">
        <f aca="false">IFERROR(INDEX(CHOOSE(MATCH($X28,{"K1","K2","K3","K12","K13","H1","H2","H3","H12","H13"},0),Calc!$V$2:$V$137,Calc!$AC$2:$AC$137,Calc!$AJ$2:$AJ$137,Calc!$AL$2:$AL$137,Calc!$AM$2:$AM$137,Calc!$W$2:$W$137,Calc!$AD$2:$AD$137,Calc!$AK$2:$AK$137,Calc!$AN$2:$AN$137,Calc!$AO$2:$AO$137),MATCH($W28,Calc!$A$2:$A$137,0)),"")</f>
        <v>17.7784639699074</v>
      </c>
      <c r="H28" s="11" t="n">
        <f aca="false">IF(G28="","",IF(LEFT($X28,1)="H",SQRT(G28*(IFERROR(INDEX(Calc!$AP$2:$AP$137,MATCH($W28,Calc!$A$2:$A$137,0)),0.5)*Config!$B$5+1-IFERROR(INDEX(Calc!$AP$2:$AP$137,MATCH($W28,Calc!$A$2:$A$137,0)),0.5))),SQRT(G28*Config!$B$5)))</f>
        <v>4.69532712662208</v>
      </c>
      <c r="I28" s="10" t="n">
        <f aca="false">IF(OR(F28="",G28="",N(H28)&lt;=0),"",1-NORMDIST(FLOOR(F28,1)+0.5,G28,H28,TRUE()))</f>
        <v>0.523646054801662</v>
      </c>
      <c r="J28" s="10" t="n">
        <f aca="false">IF(I28="","",NORMDIST(CEILING(F28,1)-0.5,G28,H28,TRUE()))</f>
        <v>0.476353945198338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—</v>
      </c>
      <c r="N28" s="0" t="n">
        <v>18</v>
      </c>
      <c r="O28" s="10" t="n">
        <v>0.8</v>
      </c>
      <c r="P28" s="10" t="n">
        <v>0.7</v>
      </c>
      <c r="Q28" s="10" t="n">
        <v>0.6</v>
      </c>
      <c r="R28" s="9" t="s">
        <v>1317</v>
      </c>
      <c r="S28" s="0" t="n">
        <v>-1</v>
      </c>
      <c r="T28" s="0" t="str">
        <f aca="false">INDEX(Calc!$G$2:$G$137,MATCH($W28,Calc!$A$2:$A$137,0))&amp;" / "&amp;INDEX(Calc!$H$2:$H$137,MATCH($W28,Calc!$A$2:$A$137,0))</f>
        <v>Ancient / Cache</v>
      </c>
      <c r="U28" s="0" t="str">
        <f aca="false">TEXT(INDEX(Calc!$J$2:$J$137,MATCH($W28,Calc!$A$2:$A$137,0)),"0.0")&amp;" / "&amp;TEXT(INDEX(Calc!$K$2:$K$137,MATCH($W28,Calc!$A$2:$A$137,0)),"0.0")</f>
        <v>21.5 / 21.5</v>
      </c>
      <c r="V28" s="0" t="str">
        <f aca="false">IFERROR(INDEX(Calc!$AQ$2:$AQ$137,MATCH($W28,Calc!$A$2:$A$137,0)),"")</f>
        <v/>
      </c>
      <c r="W28" s="9" t="s">
        <v>1325</v>
      </c>
      <c r="X28" s="9" t="s">
        <v>1289</v>
      </c>
      <c r="Y28" s="0" t="str">
        <f aca="false">W28&amp;"|"&amp;X28</f>
        <v>bbn5jcnsvynk6lh|CS2 · AST vs ICE|H12</v>
      </c>
      <c r="Z28" s="11" t="n">
        <f aca="false">IFERROR(INDEX(CHOOSE(MATCH($X28,{"K1","K2","K3","K12","K13","H1","H2","H3","H12","H13"},0),Calc!$BA$2:$BA$137,Calc!$BB$2:$BB$137,Calc!$BC$2:$BC$137,Calc!$BD$2:$BD$137,Calc!$BE$2:$BE$137,Calc!$BF$2:$BF$137,Calc!$BG$2:$BG$137,Calc!$BH$2:$BH$137,Calc!$BI$2:$BI$137,Calc!$BJ$2:$BJ$137),MATCH($W28,Calc!$A$2:$A$137,0)),"")</f>
        <v>17.2011754212079</v>
      </c>
      <c r="AA28" s="11" t="n">
        <f aca="false">IF(Z28="","",IF(LEFT($X28,1)="H",SQRT(Z28*(IFERROR(INDEX(Calc!$AP$2:$AP$137,MATCH($W28,Calc!$A$2:$A$137,0)),0.5)*Config!$B$5+1-IFERROR(INDEX(Calc!$AP$2:$AP$137,MATCH($W28,Calc!$A$2:$A$137,0)),0.5))),SQRT(Z28*Config!$B$5)))</f>
        <v>4.61846652037334</v>
      </c>
      <c r="AB28" s="10" t="n">
        <f aca="false">IF(OR(F28="",Z28="",N(AA28)&lt;=0),"",1-NORMDIST(FLOOR(F28,1)+0.5,Z28,AA28,TRUE()))</f>
        <v>0.474205587097482</v>
      </c>
      <c r="AC28" s="10" t="n">
        <f aca="false">IF(AB28="","",NORMDIST(CEILING(F28,1)-0.5,Z28,AA28,TRUE()))</f>
        <v>0.525794412902518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0.967528772470069</v>
      </c>
    </row>
    <row r="29" customFormat="false" ht="15" hidden="false" customHeight="false" outlineLevel="0" collapsed="false">
      <c r="A29" s="0" t="s">
        <v>1139</v>
      </c>
      <c r="B29" s="0" t="s">
        <v>1192</v>
      </c>
      <c r="C29" s="0" t="s">
        <v>1324</v>
      </c>
      <c r="D29" s="0" t="s">
        <v>1198</v>
      </c>
      <c r="E29" s="0" t="s">
        <v>1290</v>
      </c>
      <c r="F29" s="0" t="n">
        <v>29.5</v>
      </c>
      <c r="G29" s="11" t="n">
        <f aca="false">IFERROR(INDEX(CHOOSE(MATCH($X29,{"K1","K2","K3","K12","K13","H1","H2","H3","H12","H13"},0),Calc!$V$2:$V$137,Calc!$AC$2:$AC$137,Calc!$AJ$2:$AJ$137,Calc!$AL$2:$AL$137,Calc!$AM$2:$AM$137,Calc!$W$2:$W$137,Calc!$AD$2:$AD$137,Calc!$AK$2:$AK$137,Calc!$AN$2:$AN$137,Calc!$AO$2:$AO$137),MATCH($W29,Calc!$A$2:$A$137,0)),"")</f>
        <v>29.6252083333333</v>
      </c>
      <c r="H29" s="11" t="n">
        <f aca="false">IF(G29="","",IF(LEFT($X29,1)="H",SQRT(G29*(IFERROR(INDEX(Calc!$AP$2:$AP$137,MATCH($W29,Calc!$A$2:$A$137,0)),0.5)*Config!$B$5+1-IFERROR(INDEX(Calc!$AP$2:$AP$137,MATCH($W29,Calc!$A$2:$A$137,0)),0.5))),SQRT(G29*Config!$B$5)))</f>
        <v>6.44013133924042</v>
      </c>
      <c r="I29" s="10" t="n">
        <f aca="false">IF(OR(F29="",G29="",N(H29)&lt;=0),"",1-NORMDIST(FLOOR(F29,1)+0.5,G29,H29,TRUE()))</f>
        <v>0.507755703847195</v>
      </c>
      <c r="J29" s="10" t="n">
        <f aca="false">IF(I29="","",NORMDIST(CEILING(F29,1)-0.5,G29,H29,TRUE()))</f>
        <v>0.492244296152805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—</v>
      </c>
      <c r="N29" s="0" t="n">
        <v>29.1</v>
      </c>
      <c r="O29" s="10" t="n">
        <v>0.4</v>
      </c>
      <c r="P29" s="10" t="n">
        <v>0.4</v>
      </c>
      <c r="Q29" s="10" t="n">
        <v>0.4</v>
      </c>
      <c r="R29" s="9" t="s">
        <v>1317</v>
      </c>
      <c r="S29" s="0" t="n">
        <v>-1</v>
      </c>
      <c r="T29" s="0" t="str">
        <f aca="false">INDEX(Calc!$G$2:$G$137,MATCH($W29,Calc!$A$2:$A$137,0))&amp;" / "&amp;INDEX(Calc!$H$2:$H$137,MATCH($W29,Calc!$A$2:$A$137,0))</f>
        <v>Ancient / Cache</v>
      </c>
      <c r="U29" s="0" t="str">
        <f aca="false">TEXT(INDEX(Calc!$J$2:$J$137,MATCH($W29,Calc!$A$2:$A$137,0)),"0.0")&amp;" / "&amp;TEXT(INDEX(Calc!$K$2:$K$137,MATCH($W29,Calc!$A$2:$A$137,0)),"0.0")</f>
        <v>21.5 / 21.5</v>
      </c>
      <c r="V29" s="0" t="str">
        <f aca="false">IFERROR(INDEX(Calc!$AQ$2:$AQ$137,MATCH($W29,Calc!$A$2:$A$137,0)),"")</f>
        <v/>
      </c>
      <c r="W29" s="9" t="s">
        <v>1325</v>
      </c>
      <c r="X29" s="9" t="s">
        <v>1291</v>
      </c>
      <c r="Y29" s="0" t="str">
        <f aca="false">W29&amp;"|"&amp;X29</f>
        <v>bbn5jcnsvynk6lh|CS2 · AST vs ICE|K12</v>
      </c>
      <c r="Z29" s="11" t="n">
        <f aca="false">IFERROR(INDEX(CHOOSE(MATCH($X29,{"K1","K2","K3","K12","K13","H1","H2","H3","H12","H13"},0),Calc!$BA$2:$BA$137,Calc!$BB$2:$BB$137,Calc!$BC$2:$BC$137,Calc!$BD$2:$BD$137,Calc!$BE$2:$BE$137,Calc!$BF$2:$BF$137,Calc!$BG$2:$BG$137,Calc!$BH$2:$BH$137,Calc!$BI$2:$BI$137,Calc!$BJ$2:$BJ$137),MATCH($W29,Calc!$A$2:$A$137,0)),"")</f>
        <v>28.6608121768315</v>
      </c>
      <c r="AA29" s="11" t="n">
        <f aca="false">IF(Z29="","",IF(LEFT($X29,1)="H",SQRT(Z29*(IFERROR(INDEX(Calc!$AP$2:$AP$137,MATCH($W29,Calc!$A$2:$A$137,0)),0.5)*Config!$B$5+1-IFERROR(INDEX(Calc!$AP$2:$AP$137,MATCH($W29,Calc!$A$2:$A$137,0)),0.5))),SQRT(Z29*Config!$B$5)))</f>
        <v>6.33444054732255</v>
      </c>
      <c r="AB29" s="10" t="n">
        <f aca="false">IF(OR(F29="",Z29="",N(AA29)&lt;=0),"",1-NORMDIST(FLOOR(F29,1)+0.5,Z29,AA29,TRUE()))</f>
        <v>0.447302249499722</v>
      </c>
      <c r="AC29" s="10" t="n">
        <f aca="false">IF(AB29="","",NORMDIST(CEILING(F29,1)-0.5,Z29,AA29,TRUE()))</f>
        <v>0.552697750500278</v>
      </c>
      <c r="AD29" s="0" t="str">
        <f aca="false">IF(AB29="","",IF(AB29&gt;=0.5+Config!$B$6,"OVER",IF(AC29&gt;=0.5+Config!$B$6,"UNDER","—")))</f>
        <v>UNDER</v>
      </c>
      <c r="AE29" s="13" t="n">
        <f aca="false">IFERROR(Z29/G29,"")</f>
        <v>0.967446772166096</v>
      </c>
    </row>
    <row r="30" customFormat="false" ht="15" hidden="false" customHeight="false" outlineLevel="0" collapsed="false">
      <c r="A30" s="0" t="s">
        <v>1139</v>
      </c>
      <c r="B30" s="0" t="s">
        <v>1192</v>
      </c>
      <c r="C30" s="0" t="s">
        <v>1326</v>
      </c>
      <c r="D30" s="0" t="s">
        <v>1198</v>
      </c>
      <c r="E30" s="0" t="s">
        <v>1286</v>
      </c>
      <c r="F30" s="0" t="n">
        <v>18.5</v>
      </c>
      <c r="G30" s="11" t="n">
        <f aca="false">IFERROR(INDEX(CHOOSE(MATCH($X30,{"K1","K2","K3","K12","K13","H1","H2","H3","H12","H13"},0),Calc!$V$2:$V$137,Calc!$AC$2:$AC$137,Calc!$AJ$2:$AJ$137,Calc!$AL$2:$AL$137,Calc!$AM$2:$AM$137,Calc!$W$2:$W$137,Calc!$AD$2:$AD$137,Calc!$AK$2:$AK$137,Calc!$AN$2:$AN$137,Calc!$AO$2:$AO$137),MATCH($W30,Calc!$A$2:$A$137,0)),"")</f>
        <v>16.0324242100694</v>
      </c>
      <c r="H30" s="11" t="n">
        <f aca="false">IF(G30="","",IF(LEFT($X30,1)="H",SQRT(G30*(IFERROR(INDEX(Calc!$AP$2:$AP$137,MATCH($W30,Calc!$A$2:$A$137,0)),0.5)*Config!$B$5+1-IFERROR(INDEX(Calc!$AP$2:$AP$137,MATCH($W30,Calc!$A$2:$A$137,0)),0.5))),SQRT(G30*Config!$B$5)))</f>
        <v>4.43667153976473</v>
      </c>
      <c r="I30" s="10" t="n">
        <f aca="false">IF(OR(F30="",G30="",N(H30)&lt;=0),"",1-NORMDIST(FLOOR(F30,1)+0.5,G30,H30,TRUE()))</f>
        <v>0.289044843867498</v>
      </c>
      <c r="J30" s="10" t="n">
        <f aca="false">IF(I30="","",NORMDIST(CEILING(F30,1)-0.5,G30,H30,TRUE()))</f>
        <v>0.710955156132502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N30" s="0" t="n">
        <v>17</v>
      </c>
      <c r="O30" s="10" t="n">
        <v>0.6</v>
      </c>
      <c r="P30" s="10" t="n">
        <v>0.3</v>
      </c>
      <c r="Q30" s="10" t="n">
        <v>0.33</v>
      </c>
      <c r="R30" s="9" t="s">
        <v>1287</v>
      </c>
      <c r="S30" s="0" t="n">
        <v>-1</v>
      </c>
      <c r="T30" s="0" t="str">
        <f aca="false">INDEX(Calc!$G$2:$G$137,MATCH($W30,Calc!$A$2:$A$137,0))&amp;" / "&amp;INDEX(Calc!$H$2:$H$137,MATCH($W30,Calc!$A$2:$A$137,0))</f>
        <v>Ancient / Cache</v>
      </c>
      <c r="U30" s="0" t="str">
        <f aca="false">TEXT(INDEX(Calc!$J$2:$J$137,MATCH($W30,Calc!$A$2:$A$137,0)),"0.0")&amp;" / "&amp;TEXT(INDEX(Calc!$K$2:$K$137,MATCH($W30,Calc!$A$2:$A$137,0)),"0.0")</f>
        <v>21.5 / 21.5</v>
      </c>
      <c r="V30" s="0" t="str">
        <f aca="false">IFERROR(INDEX(Calc!$AQ$2:$AQ$137,MATCH($W30,Calc!$A$2:$A$137,0)),"")</f>
        <v/>
      </c>
      <c r="W30" s="9" t="s">
        <v>1327</v>
      </c>
      <c r="X30" s="9" t="s">
        <v>1289</v>
      </c>
      <c r="Y30" s="0" t="str">
        <f aca="false">W30&amp;"|"&amp;X30</f>
        <v>junaikigf57r8s5|CS2 · AST vs ICE|H12</v>
      </c>
      <c r="Z30" s="11" t="n">
        <f aca="false">IFERROR(INDEX(CHOOSE(MATCH($X30,{"K1","K2","K3","K12","K13","H1","H2","H3","H12","H13"},0),Calc!$BA$2:$BA$137,Calc!$BB$2:$BB$137,Calc!$BC$2:$BC$137,Calc!$BD$2:$BD$137,Calc!$BE$2:$BE$137,Calc!$BF$2:$BF$137,Calc!$BG$2:$BG$137,Calc!$BH$2:$BH$137,Calc!$BI$2:$BI$137,Calc!$BJ$2:$BJ$137),MATCH($W30,Calc!$A$2:$A$137,0)),"")</f>
        <v>15.514521314958</v>
      </c>
      <c r="AA30" s="11" t="n">
        <f aca="false">IF(Z30="","",IF(LEFT($X30,1)="H",SQRT(Z30*(IFERROR(INDEX(Calc!$AP$2:$AP$137,MATCH($W30,Calc!$A$2:$A$137,0)),0.5)*Config!$B$5+1-IFERROR(INDEX(Calc!$AP$2:$AP$137,MATCH($W30,Calc!$A$2:$A$137,0)),0.5))),SQRT(Z30*Config!$B$5)))</f>
        <v>4.36442334574505</v>
      </c>
      <c r="AB30" s="10" t="n">
        <f aca="false">IF(OR(F30="",Z30="",N(AA30)&lt;=0),"",1-NORMDIST(FLOOR(F30,1)+0.5,Z30,AA30,TRUE()))</f>
        <v>0.246972165911535</v>
      </c>
      <c r="AC30" s="10" t="n">
        <f aca="false">IF(AB30="","",NORMDIST(CEILING(F30,1)-0.5,Z30,AA30,TRUE()))</f>
        <v>0.753027834088465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0.967696532456634</v>
      </c>
    </row>
    <row r="31" customFormat="false" ht="15" hidden="false" customHeight="false" outlineLevel="0" collapsed="false">
      <c r="A31" s="0" t="s">
        <v>1139</v>
      </c>
      <c r="B31" s="0" t="s">
        <v>1192</v>
      </c>
      <c r="C31" s="0" t="s">
        <v>1326</v>
      </c>
      <c r="D31" s="0" t="s">
        <v>1198</v>
      </c>
      <c r="E31" s="0" t="s">
        <v>1290</v>
      </c>
      <c r="F31" s="0" t="n">
        <v>32.5</v>
      </c>
      <c r="G31" s="11" t="n">
        <f aca="false">IFERROR(INDEX(CHOOSE(MATCH($X31,{"K1","K2","K3","K12","K13","H1","H2","H3","H12","H13"},0),Calc!$V$2:$V$137,Calc!$AC$2:$AC$137,Calc!$AJ$2:$AJ$137,Calc!$AL$2:$AL$137,Calc!$AM$2:$AM$137,Calc!$W$2:$W$137,Calc!$AD$2:$AD$137,Calc!$AK$2:$AK$137,Calc!$AN$2:$AN$137,Calc!$AO$2:$AO$137),MATCH($W31,Calc!$A$2:$A$137,0)),"")</f>
        <v>28.1560416666667</v>
      </c>
      <c r="H31" s="11" t="n">
        <f aca="false">IF(G31="","",IF(LEFT($X31,1)="H",SQRT(G31*(IFERROR(INDEX(Calc!$AP$2:$AP$137,MATCH($W31,Calc!$A$2:$A$137,0)),0.5)*Config!$B$5+1-IFERROR(INDEX(Calc!$AP$2:$AP$137,MATCH($W31,Calc!$A$2:$A$137,0)),0.5))),SQRT(G31*Config!$B$5)))</f>
        <v>6.27841208693196</v>
      </c>
      <c r="I31" s="10" t="n">
        <f aca="false">IF(OR(F31="",G31="",N(H31)&lt;=0),"",1-NORMDIST(FLOOR(F31,1)+0.5,G31,H31,TRUE()))</f>
        <v>0.244503815996043</v>
      </c>
      <c r="J31" s="10" t="n">
        <f aca="false">IF(I31="","",NORMDIST(CEILING(F31,1)-0.5,G31,H31,TRUE()))</f>
        <v>0.755496184003957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29.4</v>
      </c>
      <c r="O31" s="10" t="n">
        <v>0.4</v>
      </c>
      <c r="P31" s="10" t="n">
        <v>0.4</v>
      </c>
      <c r="Q31" s="10" t="n">
        <v>0.47</v>
      </c>
      <c r="R31" s="9" t="s">
        <v>1287</v>
      </c>
      <c r="S31" s="0" t="n">
        <v>-1</v>
      </c>
      <c r="T31" s="0" t="str">
        <f aca="false">INDEX(Calc!$G$2:$G$137,MATCH($W31,Calc!$A$2:$A$137,0))&amp;" / "&amp;INDEX(Calc!$H$2:$H$137,MATCH($W31,Calc!$A$2:$A$137,0))</f>
        <v>Ancient / Cache</v>
      </c>
      <c r="U31" s="0" t="str">
        <f aca="false">TEXT(INDEX(Calc!$J$2:$J$137,MATCH($W31,Calc!$A$2:$A$137,0)),"0.0")&amp;" / "&amp;TEXT(INDEX(Calc!$K$2:$K$137,MATCH($W31,Calc!$A$2:$A$137,0)),"0.0")</f>
        <v>21.5 / 21.5</v>
      </c>
      <c r="V31" s="0" t="str">
        <f aca="false">IFERROR(INDEX(Calc!$AQ$2:$AQ$137,MATCH($W31,Calc!$A$2:$A$137,0)),"")</f>
        <v/>
      </c>
      <c r="W31" s="9" t="s">
        <v>1327</v>
      </c>
      <c r="X31" s="9" t="s">
        <v>1291</v>
      </c>
      <c r="Y31" s="0" t="str">
        <f aca="false">W31&amp;"|"&amp;X31</f>
        <v>junaikigf57r8s5|CS2 · AST vs ICE|K12</v>
      </c>
      <c r="Z31" s="11" t="n">
        <f aca="false">IFERROR(INDEX(CHOOSE(MATCH($X31,{"K1","K2","K3","K12","K13","H1","H2","H3","H12","H13"},0),Calc!$BA$2:$BA$137,Calc!$BB$2:$BB$137,Calc!$BC$2:$BC$137,Calc!$BD$2:$BD$137,Calc!$BE$2:$BE$137,Calc!$BF$2:$BF$137,Calc!$BG$2:$BG$137,Calc!$BH$2:$BH$137,Calc!$BI$2:$BI$137,Calc!$BJ$2:$BJ$137),MATCH($W31,Calc!$A$2:$A$137,0)),"")</f>
        <v>27.2507066746101</v>
      </c>
      <c r="AA31" s="11" t="n">
        <f aca="false">IF(Z31="","",IF(LEFT($X31,1)="H",SQRT(Z31*(IFERROR(INDEX(Calc!$AP$2:$AP$137,MATCH($W31,Calc!$A$2:$A$137,0)),0.5)*Config!$B$5+1-IFERROR(INDEX(Calc!$AP$2:$AP$137,MATCH($W31,Calc!$A$2:$A$137,0)),0.5))),SQRT(Z31*Config!$B$5)))</f>
        <v>6.17664871467158</v>
      </c>
      <c r="AB31" s="10" t="n">
        <f aca="false">IF(OR(F31="",Z31="",N(AA31)&lt;=0),"",1-NORMDIST(FLOOR(F31,1)+0.5,Z31,AA31,TRUE()))</f>
        <v>0.197701164055176</v>
      </c>
      <c r="AC31" s="10" t="n">
        <f aca="false">IF(AB31="","",NORMDIST(CEILING(F31,1)-0.5,Z31,AA31,TRUE()))</f>
        <v>0.802298835944824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0.96784580010306</v>
      </c>
    </row>
    <row r="32" customFormat="false" ht="15" hidden="false" customHeight="false" outlineLevel="0" collapsed="false">
      <c r="A32" s="0" t="s">
        <v>1139</v>
      </c>
      <c r="B32" s="0" t="s">
        <v>1192</v>
      </c>
      <c r="C32" s="0" t="s">
        <v>1328</v>
      </c>
      <c r="D32" s="0" t="s">
        <v>1198</v>
      </c>
      <c r="E32" s="0" t="s">
        <v>1286</v>
      </c>
      <c r="F32" s="0" t="n">
        <v>9.5</v>
      </c>
      <c r="G32" s="11" t="n">
        <f aca="false">IFERROR(INDEX(CHOOSE(MATCH($X32,{"K1","K2","K3","K12","K13","H1","H2","H3","H12","H13"},0),Calc!$V$2:$V$137,Calc!$AC$2:$AC$137,Calc!$AJ$2:$AJ$137,Calc!$AL$2:$AL$137,Calc!$AM$2:$AM$137,Calc!$W$2:$W$137,Calc!$AD$2:$AD$137,Calc!$AK$2:$AK$137,Calc!$AN$2:$AN$137,Calc!$AO$2:$AO$137),MATCH($W32,Calc!$A$2:$A$137,0)),"")</f>
        <v>8.47800193287037</v>
      </c>
      <c r="H32" s="11" t="n">
        <f aca="false">IF(G32="","",IF(LEFT($X32,1)="H",SQRT(G32*(IFERROR(INDEX(Calc!$AP$2:$AP$137,MATCH($W32,Calc!$A$2:$A$137,0)),0.5)*Config!$B$5+1-IFERROR(INDEX(Calc!$AP$2:$AP$137,MATCH($W32,Calc!$A$2:$A$137,0)),0.5))),SQRT(G32*Config!$B$5)))</f>
        <v>3.0732829415994</v>
      </c>
      <c r="I32" s="10" t="n">
        <f aca="false">IF(OR(F32="",G32="",N(H32)&lt;=0),"",1-NORMDIST(FLOOR(F32,1)+0.5,G32,H32,TRUE()))</f>
        <v>0.369739719311864</v>
      </c>
      <c r="J32" s="10" t="n">
        <f aca="false">IF(I32="","",NORMDIST(CEILING(F32,1)-0.5,G32,H32,TRUE()))</f>
        <v>0.630260280688136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9.3</v>
      </c>
      <c r="O32" s="10" t="n">
        <v>0.6</v>
      </c>
      <c r="P32" s="10" t="n">
        <v>0.5</v>
      </c>
      <c r="Q32" s="10" t="n">
        <v>0.6</v>
      </c>
      <c r="R32" s="9" t="s">
        <v>1329</v>
      </c>
      <c r="S32" s="0" t="n">
        <v>-1</v>
      </c>
      <c r="T32" s="0" t="str">
        <f aca="false">INDEX(Calc!$G$2:$G$137,MATCH($W32,Calc!$A$2:$A$137,0))&amp;" / "&amp;INDEX(Calc!$H$2:$H$137,MATCH($W32,Calc!$A$2:$A$137,0))</f>
        <v>Ancient / Cache</v>
      </c>
      <c r="U32" s="0" t="str">
        <f aca="false">TEXT(INDEX(Calc!$J$2:$J$137,MATCH($W32,Calc!$A$2:$A$137,0)),"0.0")&amp;" / "&amp;TEXT(INDEX(Calc!$K$2:$K$137,MATCH($W32,Calc!$A$2:$A$137,0)),"0.0")</f>
        <v>21.5 / 21.5</v>
      </c>
      <c r="V32" s="0" t="str">
        <f aca="false">IFERROR(INDEX(Calc!$AQ$2:$AQ$137,MATCH($W32,Calc!$A$2:$A$137,0)),"")</f>
        <v/>
      </c>
      <c r="W32" s="9" t="s">
        <v>1330</v>
      </c>
      <c r="X32" s="9" t="s">
        <v>1289</v>
      </c>
      <c r="Y32" s="0" t="str">
        <f aca="false">W32&amp;"|"&amp;X32</f>
        <v>yggfnst4in1cx36|CS2 · AST vs ICE|H12</v>
      </c>
      <c r="Z32" s="11" t="n">
        <f aca="false">IFERROR(INDEX(CHOOSE(MATCH($X32,{"K1","K2","K3","K12","K13","H1","H2","H3","H12","H13"},0),Calc!$BA$2:$BA$137,Calc!$BB$2:$BB$137,Calc!$BC$2:$BC$137,Calc!$BD$2:$BD$137,Calc!$BE$2:$BE$137,Calc!$BF$2:$BF$137,Calc!$BG$2:$BG$137,Calc!$BH$2:$BH$137,Calc!$BI$2:$BI$137,Calc!$BJ$2:$BJ$137),MATCH($W32,Calc!$A$2:$A$137,0)),"")</f>
        <v>8.20384999261003</v>
      </c>
      <c r="AA32" s="11" t="n">
        <f aca="false">IF(Z32="","",IF(LEFT($X32,1)="H",SQRT(Z32*(IFERROR(INDEX(Calc!$AP$2:$AP$137,MATCH($W32,Calc!$A$2:$A$137,0)),0.5)*Config!$B$5+1-IFERROR(INDEX(Calc!$AP$2:$AP$137,MATCH($W32,Calc!$A$2:$A$137,0)),0.5))),SQRT(Z32*Config!$B$5)))</f>
        <v>3.02318445021289</v>
      </c>
      <c r="AB32" s="10" t="n">
        <f aca="false">IF(OR(F32="",Z32="",N(AA32)&lt;=0),"",1-NORMDIST(FLOOR(F32,1)+0.5,Z32,AA32,TRUE()))</f>
        <v>0.334057438804179</v>
      </c>
      <c r="AC32" s="10" t="n">
        <f aca="false">IF(AB32="","",NORMDIST(CEILING(F32,1)-0.5,Z32,AA32,TRUE()))</f>
        <v>0.665942561195821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0.967663142515052</v>
      </c>
    </row>
    <row r="33" customFormat="false" ht="15" hidden="false" customHeight="false" outlineLevel="0" collapsed="false">
      <c r="A33" s="0" t="s">
        <v>1139</v>
      </c>
      <c r="B33" s="0" t="s">
        <v>1192</v>
      </c>
      <c r="C33" s="0" t="s">
        <v>1328</v>
      </c>
      <c r="D33" s="0" t="s">
        <v>1198</v>
      </c>
      <c r="E33" s="0" t="s">
        <v>1290</v>
      </c>
      <c r="F33" s="0" t="n">
        <v>31.5</v>
      </c>
      <c r="G33" s="11" t="n">
        <f aca="false">IFERROR(INDEX(CHOOSE(MATCH($X33,{"K1","K2","K3","K12","K13","H1","H2","H3","H12","H13"},0),Calc!$V$2:$V$137,Calc!$AC$2:$AC$137,Calc!$AJ$2:$AJ$137,Calc!$AL$2:$AL$137,Calc!$AM$2:$AM$137,Calc!$W$2:$W$137,Calc!$AD$2:$AD$137,Calc!$AK$2:$AK$137,Calc!$AN$2:$AN$137,Calc!$AO$2:$AO$137),MATCH($W33,Calc!$A$2:$A$137,0)),"")</f>
        <v>29.7297222222222</v>
      </c>
      <c r="H33" s="11" t="n">
        <f aca="false">IF(G33="","",IF(LEFT($X33,1)="H",SQRT(G33*(IFERROR(INDEX(Calc!$AP$2:$AP$137,MATCH($W33,Calc!$A$2:$A$137,0)),0.5)*Config!$B$5+1-IFERROR(INDEX(Calc!$AP$2:$AP$137,MATCH($W33,Calc!$A$2:$A$137,0)),0.5))),SQRT(G33*Config!$B$5)))</f>
        <v>6.45148131138199</v>
      </c>
      <c r="I33" s="10" t="n">
        <f aca="false">IF(OR(F33="",G33="",N(H33)&lt;=0),"",1-NORMDIST(FLOOR(F33,1)+0.5,G33,H33,TRUE()))</f>
        <v>0.391889139258838</v>
      </c>
      <c r="J33" s="10" t="n">
        <f aca="false">IF(I33="","",NORMDIST(CEILING(F33,1)-0.5,G33,H33,TRUE()))</f>
        <v>0.608110860741162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UNDER</v>
      </c>
      <c r="N33" s="0" t="n">
        <v>30.7</v>
      </c>
      <c r="O33" s="10" t="n">
        <v>0.6</v>
      </c>
      <c r="P33" s="10" t="n">
        <v>0.5</v>
      </c>
      <c r="Q33" s="10" t="n">
        <v>0.47</v>
      </c>
      <c r="R33" s="9" t="s">
        <v>1329</v>
      </c>
      <c r="S33" s="0" t="n">
        <v>-1</v>
      </c>
      <c r="T33" s="0" t="str">
        <f aca="false">INDEX(Calc!$G$2:$G$137,MATCH($W33,Calc!$A$2:$A$137,0))&amp;" / "&amp;INDEX(Calc!$H$2:$H$137,MATCH($W33,Calc!$A$2:$A$137,0))</f>
        <v>Ancient / Cache</v>
      </c>
      <c r="U33" s="0" t="str">
        <f aca="false">TEXT(INDEX(Calc!$J$2:$J$137,MATCH($W33,Calc!$A$2:$A$137,0)),"0.0")&amp;" / "&amp;TEXT(INDEX(Calc!$K$2:$K$137,MATCH($W33,Calc!$A$2:$A$137,0)),"0.0")</f>
        <v>21.5 / 21.5</v>
      </c>
      <c r="V33" s="0" t="str">
        <f aca="false">IFERROR(INDEX(Calc!$AQ$2:$AQ$137,MATCH($W33,Calc!$A$2:$A$137,0)),"")</f>
        <v/>
      </c>
      <c r="W33" s="9" t="s">
        <v>1330</v>
      </c>
      <c r="X33" s="9" t="s">
        <v>1291</v>
      </c>
      <c r="Y33" s="0" t="str">
        <f aca="false">W33&amp;"|"&amp;X33</f>
        <v>yggfnst4in1cx36|CS2 · AST vs ICE|K12</v>
      </c>
      <c r="Z33" s="11" t="n">
        <f aca="false">IFERROR(INDEX(CHOOSE(MATCH($X33,{"K1","K2","K3","K12","K13","H1","H2","H3","H12","H13"},0),Calc!$BA$2:$BA$137,Calc!$BB$2:$BB$137,Calc!$BC$2:$BC$137,Calc!$BD$2:$BD$137,Calc!$BE$2:$BE$137,Calc!$BF$2:$BF$137,Calc!$BG$2:$BG$137,Calc!$BH$2:$BH$137,Calc!$BI$2:$BI$137,Calc!$BJ$2:$BJ$137),MATCH($W33,Calc!$A$2:$A$137,0)),"")</f>
        <v>28.7652106905852</v>
      </c>
      <c r="AA33" s="11" t="n">
        <f aca="false">IF(Z33="","",IF(LEFT($X33,1)="H",SQRT(Z33*(IFERROR(INDEX(Calc!$AP$2:$AP$137,MATCH($W33,Calc!$A$2:$A$137,0)),0.5)*Config!$B$5+1-IFERROR(INDEX(Calc!$AP$2:$AP$137,MATCH($W33,Calc!$A$2:$A$137,0)),0.5))),SQRT(Z33*Config!$B$5)))</f>
        <v>6.34596682679789</v>
      </c>
      <c r="AB33" s="10" t="n">
        <f aca="false">IF(OR(F33="",Z33="",N(AA33)&lt;=0),"",1-NORMDIST(FLOOR(F33,1)+0.5,Z33,AA33,TRUE()))</f>
        <v>0.333252655164426</v>
      </c>
      <c r="AC33" s="10" t="n">
        <f aca="false">IF(AB33="","",NORMDIST(CEILING(F33,1)-0.5,Z33,AA33,TRUE()))</f>
        <v>0.666747344835574</v>
      </c>
      <c r="AD33" s="0" t="str">
        <f aca="false">IF(AB33="","",IF(AB33&gt;=0.5+Config!$B$6,"OVER",IF(AC33&gt;=0.5+Config!$B$6,"UNDER","—")))</f>
        <v>UNDER</v>
      </c>
      <c r="AE33" s="13" t="n">
        <f aca="false">IFERROR(Z33/G33,"")</f>
        <v>0.967557331197797</v>
      </c>
    </row>
    <row r="34" customFormat="false" ht="15" hidden="false" customHeight="false" outlineLevel="0" collapsed="false">
      <c r="A34" s="0" t="s">
        <v>1139</v>
      </c>
      <c r="B34" s="0" t="s">
        <v>1192</v>
      </c>
      <c r="C34" s="0" t="s">
        <v>1331</v>
      </c>
      <c r="D34" s="0" t="s">
        <v>1198</v>
      </c>
      <c r="E34" s="0" t="s">
        <v>1286</v>
      </c>
      <c r="F34" s="0" t="n">
        <v>13.5</v>
      </c>
      <c r="G34" s="11" t="n">
        <f aca="false">IFERROR(INDEX(CHOOSE(MATCH($X34,{"K1","K2","K3","K12","K13","H1","H2","H3","H12","H13"},0),Calc!$V$2:$V$137,Calc!$AC$2:$AC$137,Calc!$AJ$2:$AJ$137,Calc!$AL$2:$AL$137,Calc!$AM$2:$AM$137,Calc!$W$2:$W$137,Calc!$AD$2:$AD$137,Calc!$AK$2:$AK$137,Calc!$AN$2:$AN$137,Calc!$AO$2:$AO$137),MATCH($W34,Calc!$A$2:$A$137,0)),"")</f>
        <v>13.2929733420139</v>
      </c>
      <c r="H34" s="11" t="n">
        <f aca="false">IF(G34="","",IF(LEFT($X34,1)="H",SQRT(G34*(IFERROR(INDEX(Calc!$AP$2:$AP$137,MATCH($W34,Calc!$A$2:$A$137,0)),0.5)*Config!$B$5+1-IFERROR(INDEX(Calc!$AP$2:$AP$137,MATCH($W34,Calc!$A$2:$A$137,0)),0.5))),SQRT(G34*Config!$B$5)))</f>
        <v>4.02025027950359</v>
      </c>
      <c r="I34" s="10" t="n">
        <f aca="false">IF(OR(F34="",G34="",N(H34)&lt;=0),"",1-NORMDIST(FLOOR(F34,1)+0.5,G34,H34,TRUE()))</f>
        <v>0.479465159486617</v>
      </c>
      <c r="J34" s="10" t="n">
        <f aca="false">IF(I34="","",NORMDIST(CEILING(F34,1)-0.5,G34,H34,TRUE()))</f>
        <v>0.520534840513383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12.4</v>
      </c>
      <c r="O34" s="10" t="n">
        <v>0.2</v>
      </c>
      <c r="P34" s="10" t="n">
        <v>0.5</v>
      </c>
      <c r="Q34" s="10" t="n">
        <v>0.4</v>
      </c>
      <c r="R34" s="9" t="s">
        <v>1287</v>
      </c>
      <c r="S34" s="0" t="n">
        <v>-4</v>
      </c>
      <c r="T34" s="0" t="str">
        <f aca="false">INDEX(Calc!$G$2:$G$137,MATCH($W34,Calc!$A$2:$A$137,0))&amp;" / "&amp;INDEX(Calc!$H$2:$H$137,MATCH($W34,Calc!$A$2:$A$137,0))</f>
        <v>Ancient / Cache</v>
      </c>
      <c r="U34" s="0" t="str">
        <f aca="false">TEXT(INDEX(Calc!$J$2:$J$137,MATCH($W34,Calc!$A$2:$A$137,0)),"0.0")&amp;" / "&amp;TEXT(INDEX(Calc!$K$2:$K$137,MATCH($W34,Calc!$A$2:$A$137,0)),"0.0")</f>
        <v>21.5 / 21.5</v>
      </c>
      <c r="V34" s="0" t="str">
        <f aca="false">IFERROR(INDEX(Calc!$AQ$2:$AQ$137,MATCH($W34,Calc!$A$2:$A$137,0)),"")</f>
        <v/>
      </c>
      <c r="W34" s="9" t="s">
        <v>1332</v>
      </c>
      <c r="X34" s="9" t="s">
        <v>1289</v>
      </c>
      <c r="Y34" s="0" t="str">
        <f aca="false">W34&amp;"|"&amp;X34</f>
        <v>fh0bagimw7zhv73|CS2 · AST vs ICE|H12</v>
      </c>
      <c r="Z34" s="11" t="n">
        <f aca="false">IFERROR(INDEX(CHOOSE(MATCH($X34,{"K1","K2","K3","K12","K13","H1","H2","H3","H12","H13"},0),Calc!$BA$2:$BA$137,Calc!$BB$2:$BB$137,Calc!$BC$2:$BC$137,Calc!$BD$2:$BD$137,Calc!$BE$2:$BE$137,Calc!$BF$2:$BF$137,Calc!$BG$2:$BG$137,Calc!$BH$2:$BH$137,Calc!$BI$2:$BI$137,Calc!$BJ$2:$BJ$137),MATCH($W34,Calc!$A$2:$A$137,0)),"")</f>
        <v>12.8597130450225</v>
      </c>
      <c r="AA34" s="11" t="n">
        <f aca="false">IF(Z34="","",IF(LEFT($X34,1)="H",SQRT(Z34*(IFERROR(INDEX(Calc!$AP$2:$AP$137,MATCH($W34,Calc!$A$2:$A$137,0)),0.5)*Config!$B$5+1-IFERROR(INDEX(Calc!$AP$2:$AP$137,MATCH($W34,Calc!$A$2:$A$137,0)),0.5))),SQRT(Z34*Config!$B$5)))</f>
        <v>3.95419117732984</v>
      </c>
      <c r="AB34" s="10" t="n">
        <f aca="false">IF(OR(F34="",Z34="",N(AA34)&lt;=0),"",1-NORMDIST(FLOOR(F34,1)+0.5,Z34,AA34,TRUE()))</f>
        <v>0.435682004796432</v>
      </c>
      <c r="AC34" s="10" t="n">
        <f aca="false">IF(AB34="","",NORMDIST(CEILING(F34,1)-0.5,Z34,AA34,TRUE()))</f>
        <v>0.564317995203568</v>
      </c>
      <c r="AD34" s="0" t="str">
        <f aca="false">IF(AB34="","",IF(AB34&gt;=0.5+Config!$B$6,"OVER",IF(AC34&gt;=0.5+Config!$B$6,"UNDER","—")))</f>
        <v>UNDER</v>
      </c>
      <c r="AE34" s="13" t="n">
        <f aca="false">IFERROR(Z34/G34,"")</f>
        <v>0.967406818185514</v>
      </c>
    </row>
    <row r="35" customFormat="false" ht="15" hidden="false" customHeight="false" outlineLevel="0" collapsed="false">
      <c r="A35" s="0" t="s">
        <v>1139</v>
      </c>
      <c r="B35" s="0" t="s">
        <v>1192</v>
      </c>
      <c r="C35" s="0" t="s">
        <v>1331</v>
      </c>
      <c r="D35" s="0" t="s">
        <v>1198</v>
      </c>
      <c r="E35" s="0" t="s">
        <v>1290</v>
      </c>
      <c r="F35" s="0" t="n">
        <v>25.5</v>
      </c>
      <c r="G35" s="11" t="n">
        <f aca="false">IFERROR(INDEX(CHOOSE(MATCH($X35,{"K1","K2","K3","K12","K13","H1","H2","H3","H12","H13"},0),Calc!$V$2:$V$137,Calc!$AC$2:$AC$137,Calc!$AJ$2:$AJ$137,Calc!$AL$2:$AL$137,Calc!$AM$2:$AM$137,Calc!$W$2:$W$137,Calc!$AD$2:$AD$137,Calc!$AK$2:$AK$137,Calc!$AN$2:$AN$137,Calc!$AO$2:$AO$137),MATCH($W35,Calc!$A$2:$A$137,0)),"")</f>
        <v>24.6324305555556</v>
      </c>
      <c r="H35" s="11" t="n">
        <f aca="false">IF(G35="","",IF(LEFT($X35,1)="H",SQRT(G35*(IFERROR(INDEX(Calc!$AP$2:$AP$137,MATCH($W35,Calc!$A$2:$A$137,0)),0.5)*Config!$B$5+1-IFERROR(INDEX(Calc!$AP$2:$AP$137,MATCH($W35,Calc!$A$2:$A$137,0)),0.5))),SQRT(G35*Config!$B$5)))</f>
        <v>5.87242733269453</v>
      </c>
      <c r="I35" s="10" t="n">
        <f aca="false">IF(OR(F35="",G35="",N(H35)&lt;=0),"",1-NORMDIST(FLOOR(F35,1)+0.5,G35,H35,TRUE()))</f>
        <v>0.441275524793399</v>
      </c>
      <c r="J35" s="10" t="n">
        <f aca="false">IF(I35="","",NORMDIST(CEILING(F35,1)-0.5,G35,H35,TRUE()))</f>
        <v>0.558724475206601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UNDER</v>
      </c>
      <c r="N35" s="0" t="n">
        <v>23.4</v>
      </c>
      <c r="O35" s="10" t="n">
        <v>0.4</v>
      </c>
      <c r="P35" s="10" t="n">
        <v>0.4</v>
      </c>
      <c r="Q35" s="10" t="n">
        <v>0.33</v>
      </c>
      <c r="R35" s="9" t="s">
        <v>1287</v>
      </c>
      <c r="S35" s="0" t="n">
        <v>-2</v>
      </c>
      <c r="T35" s="0" t="str">
        <f aca="false">INDEX(Calc!$G$2:$G$137,MATCH($W35,Calc!$A$2:$A$137,0))&amp;" / "&amp;INDEX(Calc!$H$2:$H$137,MATCH($W35,Calc!$A$2:$A$137,0))</f>
        <v>Ancient / Cache</v>
      </c>
      <c r="U35" s="0" t="str">
        <f aca="false">TEXT(INDEX(Calc!$J$2:$J$137,MATCH($W35,Calc!$A$2:$A$137,0)),"0.0")&amp;" / "&amp;TEXT(INDEX(Calc!$K$2:$K$137,MATCH($W35,Calc!$A$2:$A$137,0)),"0.0")</f>
        <v>21.5 / 21.5</v>
      </c>
      <c r="V35" s="0" t="str">
        <f aca="false">IFERROR(INDEX(Calc!$AQ$2:$AQ$137,MATCH($W35,Calc!$A$2:$A$137,0)),"")</f>
        <v/>
      </c>
      <c r="W35" s="9" t="s">
        <v>1332</v>
      </c>
      <c r="X35" s="9" t="s">
        <v>1291</v>
      </c>
      <c r="Y35" s="0" t="str">
        <f aca="false">W35&amp;"|"&amp;X35</f>
        <v>fh0bagimw7zhv73|CS2 · AST vs ICE|K12</v>
      </c>
      <c r="Z35" s="11" t="n">
        <f aca="false">IFERROR(INDEX(CHOOSE(MATCH($X35,{"K1","K2","K3","K12","K13","H1","H2","H3","H12","H13"},0),Calc!$BA$2:$BA$137,Calc!$BB$2:$BB$137,Calc!$BC$2:$BC$137,Calc!$BD$2:$BD$137,Calc!$BE$2:$BE$137,Calc!$BF$2:$BF$137,Calc!$BG$2:$BG$137,Calc!$BH$2:$BH$137,Calc!$BI$2:$BI$137,Calc!$BJ$2:$BJ$137),MATCH($W35,Calc!$A$2:$A$137,0)),"")</f>
        <v>23.82906257831</v>
      </c>
      <c r="AA35" s="11" t="n">
        <f aca="false">IF(Z35="","",IF(LEFT($X35,1)="H",SQRT(Z35*(IFERROR(INDEX(Calc!$AP$2:$AP$137,MATCH($W35,Calc!$A$2:$A$137,0)),0.5)*Config!$B$5+1-IFERROR(INDEX(Calc!$AP$2:$AP$137,MATCH($W35,Calc!$A$2:$A$137,0)),0.5))),SQRT(Z35*Config!$B$5)))</f>
        <v>5.77587115590661</v>
      </c>
      <c r="AB35" s="10" t="n">
        <f aca="false">IF(OR(F35="",Z35="",N(AA35)&lt;=0),"",1-NORMDIST(FLOOR(F35,1)+0.5,Z35,AA35,TRUE()))</f>
        <v>0.386177370303015</v>
      </c>
      <c r="AC35" s="10" t="n">
        <f aca="false">IF(AB35="","",NORMDIST(CEILING(F35,1)-0.5,Z35,AA35,TRUE()))</f>
        <v>0.613822629696985</v>
      </c>
      <c r="AD35" s="0" t="str">
        <f aca="false">IF(AB35="","",IF(AB35&gt;=0.5+Config!$B$6,"OVER",IF(AC35&gt;=0.5+Config!$B$6,"UNDER","—")))</f>
        <v>UNDER</v>
      </c>
      <c r="AE35" s="13" t="n">
        <f aca="false">IFERROR(Z35/G35,"")</f>
        <v>0.967385761001794</v>
      </c>
    </row>
    <row r="36" customFormat="false" ht="15" hidden="false" customHeight="false" outlineLevel="0" collapsed="false">
      <c r="A36" s="0" t="s">
        <v>1139</v>
      </c>
      <c r="B36" s="0" t="s">
        <v>1192</v>
      </c>
      <c r="C36" s="0" t="s">
        <v>1333</v>
      </c>
      <c r="D36" s="0" t="s">
        <v>1198</v>
      </c>
      <c r="E36" s="0" t="s">
        <v>1286</v>
      </c>
      <c r="F36" s="0" t="n">
        <v>16.5</v>
      </c>
      <c r="G36" s="11" t="n">
        <f aca="false">IFERROR(INDEX(CHOOSE(MATCH($X36,{"K1","K2","K3","K12","K13","H1","H2","H3","H12","H13"},0),Calc!$V$2:$V$137,Calc!$AC$2:$AC$137,Calc!$AJ$2:$AJ$137,Calc!$AL$2:$AL$137,Calc!$AM$2:$AM$137,Calc!$W$2:$W$137,Calc!$AD$2:$AD$137,Calc!$AK$2:$AK$137,Calc!$AN$2:$AN$137,Calc!$AO$2:$AO$137),MATCH($W36,Calc!$A$2:$A$137,0)),"")</f>
        <v>16.8688201630015</v>
      </c>
      <c r="H36" s="11" t="n">
        <f aca="false">IF(G36="","",IF(LEFT($X36,1)="H",SQRT(G36*(IFERROR(INDEX(Calc!$AP$2:$AP$137,MATCH($W36,Calc!$A$2:$A$137,0)),0.5)*Config!$B$5+1-IFERROR(INDEX(Calc!$AP$2:$AP$137,MATCH($W36,Calc!$A$2:$A$137,0)),0.5))),SQRT(G36*Config!$B$5)))</f>
        <v>4.57186857841888</v>
      </c>
      <c r="I36" s="10" t="n">
        <f aca="false">IF(OR(F36="",G36="",N(H36)&lt;=0),"",1-NORMDIST(FLOOR(F36,1)+0.5,G36,H36,TRUE()))</f>
        <v>0.532148456697313</v>
      </c>
      <c r="J36" s="10" t="n">
        <f aca="false">IF(I36="","",NORMDIST(CEILING(F36,1)-0.5,G36,H36,TRUE()))</f>
        <v>0.467851543302687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—</v>
      </c>
      <c r="N36" s="0" t="n">
        <v>16.4</v>
      </c>
      <c r="O36" s="10" t="n">
        <v>0.4</v>
      </c>
      <c r="P36" s="10" t="n">
        <v>0.4</v>
      </c>
      <c r="Q36" s="10" t="n">
        <v>0.27</v>
      </c>
      <c r="R36" s="9" t="s">
        <v>1317</v>
      </c>
      <c r="S36" s="0" t="n">
        <v>-2</v>
      </c>
      <c r="T36" s="0" t="str">
        <f aca="false">INDEX(Calc!$G$2:$G$137,MATCH($W36,Calc!$A$2:$A$137,0))&amp;" / "&amp;INDEX(Calc!$H$2:$H$137,MATCH($W36,Calc!$A$2:$A$137,0))</f>
        <v>Ancient / Cache</v>
      </c>
      <c r="U36" s="0" t="str">
        <f aca="false">TEXT(INDEX(Calc!$J$2:$J$137,MATCH($W36,Calc!$A$2:$A$137,0)),"0.0")&amp;" / "&amp;TEXT(INDEX(Calc!$K$2:$K$137,MATCH($W36,Calc!$A$2:$A$137,0)),"0.0")</f>
        <v>21.5 / 21.5</v>
      </c>
      <c r="V36" s="0" t="str">
        <f aca="false">IFERROR(INDEX(Calc!$AQ$2:$AQ$137,MATCH($W36,Calc!$A$2:$A$137,0)),"")</f>
        <v/>
      </c>
      <c r="W36" s="9" t="s">
        <v>1334</v>
      </c>
      <c r="X36" s="9" t="s">
        <v>1289</v>
      </c>
      <c r="Y36" s="0" t="str">
        <f aca="false">W36&amp;"|"&amp;X36</f>
        <v>laaa0e0li15jo3i|CS2 · AST vs ICE|H12</v>
      </c>
      <c r="Z36" s="11" t="n">
        <f aca="false">IFERROR(INDEX(CHOOSE(MATCH($X36,{"K1","K2","K3","K12","K13","H1","H2","H3","H12","H13"},0),Calc!$BA$2:$BA$137,Calc!$BB$2:$BB$137,Calc!$BC$2:$BC$137,Calc!$BD$2:$BD$137,Calc!$BE$2:$BE$137,Calc!$BF$2:$BF$137,Calc!$BG$2:$BG$137,Calc!$BH$2:$BH$137,Calc!$BI$2:$BI$137,Calc!$BJ$2:$BJ$137),MATCH($W36,Calc!$A$2:$A$137,0)),"")</f>
        <v>16.3144866680665</v>
      </c>
      <c r="AA36" s="11" t="n">
        <f aca="false">IF(Z36="","",IF(LEFT($X36,1)="H",SQRT(Z36*(IFERROR(INDEX(Calc!$AP$2:$AP$137,MATCH($W36,Calc!$A$2:$A$137,0)),0.5)*Config!$B$5+1-IFERROR(INDEX(Calc!$AP$2:$AP$137,MATCH($W36,Calc!$A$2:$A$137,0)),0.5))),SQRT(Z36*Config!$B$5)))</f>
        <v>4.49612203371809</v>
      </c>
      <c r="AB36" s="10" t="n">
        <f aca="false">IF(OR(F36="",Z36="",N(AA36)&lt;=0),"",1-NORMDIST(FLOOR(F36,1)+0.5,Z36,AA36,TRUE()))</f>
        <v>0.483544014811294</v>
      </c>
      <c r="AC36" s="10" t="n">
        <f aca="false">IF(AB36="","",NORMDIST(CEILING(F36,1)-0.5,Z36,AA36,TRUE()))</f>
        <v>0.516455985188707</v>
      </c>
      <c r="AD36" s="0" t="str">
        <f aca="false">IF(AB36="","",IF(AB36&gt;=0.5+Config!$B$6,"OVER",IF(AC36&gt;=0.5+Config!$B$6,"UNDER","—")))</f>
        <v>—</v>
      </c>
      <c r="AE36" s="13" t="n">
        <f aca="false">IFERROR(Z36/G36,"")</f>
        <v>0.967138573440312</v>
      </c>
    </row>
    <row r="37" customFormat="false" ht="15" hidden="false" customHeight="false" outlineLevel="0" collapsed="false">
      <c r="A37" s="0" t="s">
        <v>1139</v>
      </c>
      <c r="B37" s="0" t="s">
        <v>1192</v>
      </c>
      <c r="C37" s="0" t="s">
        <v>1333</v>
      </c>
      <c r="D37" s="0" t="s">
        <v>1198</v>
      </c>
      <c r="E37" s="0" t="s">
        <v>1290</v>
      </c>
      <c r="F37" s="0" t="n">
        <v>28.5</v>
      </c>
      <c r="G37" s="11" t="n">
        <f aca="false">IFERROR(INDEX(CHOOSE(MATCH($X37,{"K1","K2","K3","K12","K13","H1","H2","H3","H12","H13"},0),Calc!$V$2:$V$137,Calc!$AC$2:$AC$137,Calc!$AJ$2:$AJ$137,Calc!$AL$2:$AL$137,Calc!$AM$2:$AM$137,Calc!$W$2:$W$137,Calc!$AD$2:$AD$137,Calc!$AK$2:$AK$137,Calc!$AN$2:$AN$137,Calc!$AO$2:$AO$137),MATCH($W37,Calc!$A$2:$A$137,0)),"")</f>
        <v>28.2217361111111</v>
      </c>
      <c r="H37" s="11" t="n">
        <f aca="false">IF(G37="","",IF(LEFT($X37,1)="H",SQRT(G37*(IFERROR(INDEX(Calc!$AP$2:$AP$137,MATCH($W37,Calc!$A$2:$A$137,0)),0.5)*Config!$B$5+1-IFERROR(INDEX(Calc!$AP$2:$AP$137,MATCH($W37,Calc!$A$2:$A$137,0)),0.5))),SQRT(G37*Config!$B$5)))</f>
        <v>6.28573230065961</v>
      </c>
      <c r="I37" s="10" t="n">
        <f aca="false">IF(OR(F37="",G37="",N(H37)&lt;=0),"",1-NORMDIST(FLOOR(F37,1)+0.5,G37,H37,TRUE()))</f>
        <v>0.482344939843736</v>
      </c>
      <c r="J37" s="10" t="n">
        <f aca="false">IF(I37="","",NORMDIST(CEILING(F37,1)-0.5,G37,H37,TRUE()))</f>
        <v>0.517655060156264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—</v>
      </c>
      <c r="N37" s="0" t="n">
        <v>27.6</v>
      </c>
      <c r="O37" s="10" t="n">
        <v>0.4</v>
      </c>
      <c r="P37" s="10" t="n">
        <v>0.4</v>
      </c>
      <c r="Q37" s="10" t="n">
        <v>0.4</v>
      </c>
      <c r="R37" s="9" t="s">
        <v>1317</v>
      </c>
      <c r="S37" s="0" t="n">
        <v>-2</v>
      </c>
      <c r="T37" s="0" t="str">
        <f aca="false">INDEX(Calc!$G$2:$G$137,MATCH($W37,Calc!$A$2:$A$137,0))&amp;" / "&amp;INDEX(Calc!$H$2:$H$137,MATCH($W37,Calc!$A$2:$A$137,0))</f>
        <v>Ancient / Cache</v>
      </c>
      <c r="U37" s="0" t="str">
        <f aca="false">TEXT(INDEX(Calc!$J$2:$J$137,MATCH($W37,Calc!$A$2:$A$137,0)),"0.0")&amp;" / "&amp;TEXT(INDEX(Calc!$K$2:$K$137,MATCH($W37,Calc!$A$2:$A$137,0)),"0.0")</f>
        <v>21.5 / 21.5</v>
      </c>
      <c r="V37" s="0" t="str">
        <f aca="false">IFERROR(INDEX(Calc!$AQ$2:$AQ$137,MATCH($W37,Calc!$A$2:$A$137,0)),"")</f>
        <v/>
      </c>
      <c r="W37" s="9" t="s">
        <v>1334</v>
      </c>
      <c r="X37" s="9" t="s">
        <v>1291</v>
      </c>
      <c r="Y37" s="0" t="str">
        <f aca="false">W37&amp;"|"&amp;X37</f>
        <v>laaa0e0li15jo3i|CS2 · AST vs ICE|K12</v>
      </c>
      <c r="Z37" s="11" t="n">
        <f aca="false">IFERROR(INDEX(CHOOSE(MATCH($X37,{"K1","K2","K3","K12","K13","H1","H2","H3","H12","H13"},0),Calc!$BA$2:$BA$137,Calc!$BB$2:$BB$137,Calc!$BC$2:$BC$137,Calc!$BD$2:$BD$137,Calc!$BE$2:$BE$137,Calc!$BF$2:$BF$137,Calc!$BG$2:$BG$137,Calc!$BH$2:$BH$137,Calc!$BI$2:$BI$137,Calc!$BJ$2:$BJ$137),MATCH($W37,Calc!$A$2:$A$137,0)),"")</f>
        <v>27.2957199655492</v>
      </c>
      <c r="AA37" s="11" t="n">
        <f aca="false">IF(Z37="","",IF(LEFT($X37,1)="H",SQRT(Z37*(IFERROR(INDEX(Calc!$AP$2:$AP$137,MATCH($W37,Calc!$A$2:$A$137,0)),0.5)*Config!$B$5+1-IFERROR(INDEX(Calc!$AP$2:$AP$137,MATCH($W37,Calc!$A$2:$A$137,0)),0.5))),SQRT(Z37*Config!$B$5)))</f>
        <v>6.18174796896225</v>
      </c>
      <c r="AB37" s="10" t="n">
        <f aca="false">IF(OR(F37="",Z37="",N(AA37)&lt;=0),"",1-NORMDIST(FLOOR(F37,1)+0.5,Z37,AA37,TRUE()))</f>
        <v>0.422769978388865</v>
      </c>
      <c r="AC37" s="10" t="n">
        <f aca="false">IF(AB37="","",NORMDIST(CEILING(F37,1)-0.5,Z37,AA37,TRUE()))</f>
        <v>0.577230021611135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0.967187839121021</v>
      </c>
    </row>
    <row r="38" customFormat="false" ht="15" hidden="false" customHeight="false" outlineLevel="0" collapsed="false">
      <c r="A38" s="0" t="s">
        <v>1139</v>
      </c>
      <c r="B38" s="0" t="s">
        <v>1147</v>
      </c>
      <c r="C38" s="0" t="s">
        <v>1335</v>
      </c>
      <c r="D38" s="0" t="s">
        <v>1152</v>
      </c>
      <c r="E38" s="0" t="s">
        <v>1286</v>
      </c>
      <c r="F38" s="0" t="n">
        <v>13.5</v>
      </c>
      <c r="G38" s="11" t="n">
        <f aca="false">IFERROR(INDEX(CHOOSE(MATCH($X38,{"K1","K2","K3","K12","K13","H1","H2","H3","H12","H13"},0),Calc!$V$2:$V$137,Calc!$AC$2:$AC$137,Calc!$AJ$2:$AJ$137,Calc!$AL$2:$AL$137,Calc!$AM$2:$AM$137,Calc!$W$2:$W$137,Calc!$AD$2:$AD$137,Calc!$AK$2:$AK$137,Calc!$AN$2:$AN$137,Calc!$AO$2:$AO$137),MATCH($W38,Calc!$A$2:$A$137,0)),"")</f>
        <v>13.0897943595041</v>
      </c>
      <c r="H38" s="11" t="n">
        <f aca="false">IF(G38="","",IF(LEFT($X38,1)="H",SQRT(G38*(IFERROR(INDEX(Calc!$AP$2:$AP$137,MATCH($W38,Calc!$A$2:$A$137,0)),0.5)*Config!$B$5+1-IFERROR(INDEX(Calc!$AP$2:$AP$137,MATCH($W38,Calc!$A$2:$A$137,0)),0.5))),SQRT(G38*Config!$B$5)))</f>
        <v>3.99250141734791</v>
      </c>
      <c r="I38" s="10" t="n">
        <f aca="false">IF(OR(F38="",G38="",N(H38)&lt;=0),"",1-NORMDIST(FLOOR(F38,1)+0.5,G38,H38,TRUE()))</f>
        <v>0.459083068287047</v>
      </c>
      <c r="J38" s="10" t="n">
        <f aca="false">IF(I38="","",NORMDIST(CEILING(F38,1)-0.5,G38,H38,TRUE()))</f>
        <v>0.540916931712953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13.5</v>
      </c>
      <c r="O38" s="10" t="n">
        <v>0.4</v>
      </c>
      <c r="P38" s="10" t="n">
        <v>0.4</v>
      </c>
      <c r="Q38" s="10" t="n">
        <v>0.27</v>
      </c>
      <c r="R38" s="9" t="s">
        <v>1336</v>
      </c>
      <c r="S38" s="0" t="n">
        <v>1</v>
      </c>
      <c r="T38" s="0" t="str">
        <f aca="false">INDEX(Calc!$G$2:$G$137,MATCH($W38,Calc!$A$2:$A$137,0))&amp;" / "&amp;INDEX(Calc!$H$2:$H$137,MATCH($W38,Calc!$A$2:$A$137,0))</f>
        <v>Dust2 / Cache</v>
      </c>
      <c r="U38" s="0" t="str">
        <f aca="false">TEXT(INDEX(Calc!$J$2:$J$137,MATCH($W38,Calc!$A$2:$A$137,0)),"0.0")&amp;" / "&amp;TEXT(INDEX(Calc!$K$2:$K$137,MATCH($W38,Calc!$A$2:$A$137,0)),"0.0")</f>
        <v>21.5 / 21.5</v>
      </c>
      <c r="V38" s="0" t="str">
        <f aca="false">IFERROR(INDEX(Calc!$AQ$2:$AQ$137,MATCH($W38,Calc!$A$2:$A$137,0)),"")</f>
        <v/>
      </c>
      <c r="W38" s="9" t="s">
        <v>1337</v>
      </c>
      <c r="X38" s="9" t="s">
        <v>1289</v>
      </c>
      <c r="Y38" s="0" t="str">
        <f aca="false">W38&amp;"|"&amp;X38</f>
        <v>7jc1txydq5ljh91|CS2 · B8 vs HOTU|H12</v>
      </c>
      <c r="Z38" s="11" t="n">
        <f aca="false">IFERROR(INDEX(CHOOSE(MATCH($X38,{"K1","K2","K3","K12","K13","H1","H2","H3","H12","H13"},0),Calc!$BA$2:$BA$137,Calc!$BB$2:$BB$137,Calc!$BC$2:$BC$137,Calc!$BD$2:$BD$137,Calc!$BE$2:$BE$137,Calc!$BF$2:$BF$137,Calc!$BG$2:$BG$137,Calc!$BH$2:$BH$137,Calc!$BI$2:$BI$137,Calc!$BJ$2:$BJ$137),MATCH($W38,Calc!$A$2:$A$137,0)),"")</f>
        <v>12.7707489994183</v>
      </c>
      <c r="AA38" s="11" t="n">
        <f aca="false">IF(Z38="","",IF(LEFT($X38,1)="H",SQRT(Z38*(IFERROR(INDEX(Calc!$AP$2:$AP$137,MATCH($W38,Calc!$A$2:$A$137,0)),0.5)*Config!$B$5+1-IFERROR(INDEX(Calc!$AP$2:$AP$137,MATCH($W38,Calc!$A$2:$A$137,0)),0.5))),SQRT(Z38*Config!$B$5)))</f>
        <v>3.94354546057695</v>
      </c>
      <c r="AB38" s="10" t="n">
        <f aca="false">IF(OR(F38="",Z38="",N(AA38)&lt;=0),"",1-NORMDIST(FLOOR(F38,1)+0.5,Z38,AA38,TRUE()))</f>
        <v>0.426644840327448</v>
      </c>
      <c r="AC38" s="10" t="n">
        <f aca="false">IF(AB38="","",NORMDIST(CEILING(F38,1)-0.5,Z38,AA38,TRUE()))</f>
        <v>0.573355159672552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0.975626403950789</v>
      </c>
    </row>
    <row r="39" customFormat="false" ht="15" hidden="false" customHeight="false" outlineLevel="0" collapsed="false">
      <c r="A39" s="0" t="s">
        <v>1139</v>
      </c>
      <c r="B39" s="0" t="s">
        <v>1147</v>
      </c>
      <c r="C39" s="0" t="s">
        <v>1335</v>
      </c>
      <c r="D39" s="0" t="s">
        <v>1152</v>
      </c>
      <c r="E39" s="0" t="s">
        <v>1290</v>
      </c>
      <c r="F39" s="0" t="n">
        <v>25.5</v>
      </c>
      <c r="G39" s="11" t="n">
        <f aca="false">IFERROR(INDEX(CHOOSE(MATCH($X39,{"K1","K2","K3","K12","K13","H1","H2","H3","H12","H13"},0),Calc!$V$2:$V$137,Calc!$AC$2:$AC$137,Calc!$AJ$2:$AJ$137,Calc!$AL$2:$AL$137,Calc!$AM$2:$AM$137,Calc!$W$2:$W$137,Calc!$AD$2:$AD$137,Calc!$AK$2:$AK$137,Calc!$AN$2:$AN$137,Calc!$AO$2:$AO$137),MATCH($W39,Calc!$A$2:$A$137,0)),"")</f>
        <v>24.0457954545455</v>
      </c>
      <c r="H39" s="11" t="n">
        <f aca="false">IF(G39="","",IF(LEFT($X39,1)="H",SQRT(G39*(IFERROR(INDEX(Calc!$AP$2:$AP$137,MATCH($W39,Calc!$A$2:$A$137,0)),0.5)*Config!$B$5+1-IFERROR(INDEX(Calc!$AP$2:$AP$137,MATCH($W39,Calc!$A$2:$A$137,0)),0.5))),SQRT(G39*Config!$B$5)))</f>
        <v>5.80207838936735</v>
      </c>
      <c r="I39" s="10" t="n">
        <f aca="false">IF(OR(F39="",G39="",N(H39)&lt;=0),"",1-NORMDIST(FLOOR(F39,1)+0.5,G39,H39,TRUE()))</f>
        <v>0.401048117700129</v>
      </c>
      <c r="J39" s="10" t="n">
        <f aca="false">IF(I39="","",NORMDIST(CEILING(F39,1)-0.5,G39,H39,TRUE()))</f>
        <v>0.598951882299871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N39" s="0" t="n">
        <v>24.3</v>
      </c>
      <c r="O39" s="10" t="n">
        <v>0.4</v>
      </c>
      <c r="P39" s="10" t="n">
        <v>0.3</v>
      </c>
      <c r="Q39" s="10" t="n">
        <v>0.4</v>
      </c>
      <c r="R39" s="9" t="s">
        <v>1338</v>
      </c>
      <c r="S39" s="0" t="n">
        <v>-2</v>
      </c>
      <c r="T39" s="0" t="str">
        <f aca="false">INDEX(Calc!$G$2:$G$137,MATCH($W39,Calc!$A$2:$A$137,0))&amp;" / "&amp;INDEX(Calc!$H$2:$H$137,MATCH($W39,Calc!$A$2:$A$137,0))</f>
        <v>Dust2 / Cache</v>
      </c>
      <c r="U39" s="0" t="str">
        <f aca="false">TEXT(INDEX(Calc!$J$2:$J$137,MATCH($W39,Calc!$A$2:$A$137,0)),"0.0")&amp;" / "&amp;TEXT(INDEX(Calc!$K$2:$K$137,MATCH($W39,Calc!$A$2:$A$137,0)),"0.0")</f>
        <v>21.5 / 21.5</v>
      </c>
      <c r="V39" s="0" t="str">
        <f aca="false">IFERROR(INDEX(Calc!$AQ$2:$AQ$137,MATCH($W39,Calc!$A$2:$A$137,0)),"")</f>
        <v/>
      </c>
      <c r="W39" s="9" t="s">
        <v>1337</v>
      </c>
      <c r="X39" s="9" t="s">
        <v>1291</v>
      </c>
      <c r="Y39" s="0" t="str">
        <f aca="false">W39&amp;"|"&amp;X39</f>
        <v>7jc1txydq5ljh91|CS2 · B8 vs HOTU|K12</v>
      </c>
      <c r="Z39" s="11" t="n">
        <f aca="false">IFERROR(INDEX(CHOOSE(MATCH($X39,{"K1","K2","K3","K12","K13","H1","H2","H3","H12","H13"},0),Calc!$BA$2:$BA$137,Calc!$BB$2:$BB$137,Calc!$BC$2:$BC$137,Calc!$BD$2:$BD$137,Calc!$BE$2:$BE$137,Calc!$BF$2:$BF$137,Calc!$BG$2:$BG$137,Calc!$BH$2:$BH$137,Calc!$BI$2:$BI$137,Calc!$BJ$2:$BJ$137),MATCH($W39,Calc!$A$2:$A$137,0)),"")</f>
        <v>23.4838466015045</v>
      </c>
      <c r="AA39" s="11" t="n">
        <f aca="false">IF(Z39="","",IF(LEFT($X39,1)="H",SQRT(Z39*(IFERROR(INDEX(Calc!$AP$2:$AP$137,MATCH($W39,Calc!$A$2:$A$137,0)),0.5)*Config!$B$5+1-IFERROR(INDEX(Calc!$AP$2:$AP$137,MATCH($W39,Calc!$A$2:$A$137,0)),0.5))),SQRT(Z39*Config!$B$5)))</f>
        <v>5.73388046981329</v>
      </c>
      <c r="AB39" s="10" t="n">
        <f aca="false">IF(OR(F39="",Z39="",N(AA39)&lt;=0),"",1-NORMDIST(FLOOR(F39,1)+0.5,Z39,AA39,TRUE()))</f>
        <v>0.362561216858007</v>
      </c>
      <c r="AC39" s="10" t="n">
        <f aca="false">IF(AB39="","",NORMDIST(CEILING(F39,1)-0.5,Z39,AA39,TRUE()))</f>
        <v>0.637438783141993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0.976630057670446</v>
      </c>
    </row>
    <row r="40" customFormat="false" ht="15" hidden="false" customHeight="false" outlineLevel="0" collapsed="false">
      <c r="A40" s="0" t="s">
        <v>1139</v>
      </c>
      <c r="B40" s="0" t="s">
        <v>1147</v>
      </c>
      <c r="C40" s="0" t="s">
        <v>1339</v>
      </c>
      <c r="D40" s="0" t="s">
        <v>1152</v>
      </c>
      <c r="E40" s="0" t="s">
        <v>1286</v>
      </c>
      <c r="F40" s="0" t="n">
        <v>18.5</v>
      </c>
      <c r="G40" s="11" t="n">
        <f aca="false">IFERROR(INDEX(CHOOSE(MATCH($X40,{"K1","K2","K3","K12","K13","H1","H2","H3","H12","H13"},0),Calc!$V$2:$V$137,Calc!$AC$2:$AC$137,Calc!$AJ$2:$AJ$137,Calc!$AL$2:$AL$137,Calc!$AM$2:$AM$137,Calc!$W$2:$W$137,Calc!$AD$2:$AD$137,Calc!$AK$2:$AK$137,Calc!$AN$2:$AN$137,Calc!$AO$2:$AO$137),MATCH($W40,Calc!$A$2:$A$137,0)),"")</f>
        <v>21.1884417897727</v>
      </c>
      <c r="H40" s="11" t="n">
        <f aca="false">IF(G40="","",IF(LEFT($X40,1)="H",SQRT(G40*(IFERROR(INDEX(Calc!$AP$2:$AP$137,MATCH($W40,Calc!$A$2:$A$137,0)),0.5)*Config!$B$5+1-IFERROR(INDEX(Calc!$AP$2:$AP$137,MATCH($W40,Calc!$A$2:$A$137,0)),0.5))),SQRT(G40*Config!$B$5)))</f>
        <v>5.19027098987003</v>
      </c>
      <c r="I40" s="10" t="n">
        <f aca="false">IF(OR(F40="",G40="",N(H40)&lt;=0),"",1-NORMDIST(FLOOR(F40,1)+0.5,G40,H40,TRUE()))</f>
        <v>0.697762894952476</v>
      </c>
      <c r="J40" s="10" t="n">
        <f aca="false">IF(I40="","",NORMDIST(CEILING(F40,1)-0.5,G40,H40,TRUE()))</f>
        <v>0.302237105047524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OVER</v>
      </c>
      <c r="N40" s="0" t="n">
        <v>20.6</v>
      </c>
      <c r="O40" s="10" t="n">
        <v>0.6</v>
      </c>
      <c r="P40" s="10" t="n">
        <v>0.7</v>
      </c>
      <c r="Q40" s="10" t="n">
        <v>0.67</v>
      </c>
      <c r="R40" s="9" t="s">
        <v>1340</v>
      </c>
      <c r="S40" s="0" t="n">
        <v>-1</v>
      </c>
      <c r="T40" s="0" t="str">
        <f aca="false">INDEX(Calc!$G$2:$G$137,MATCH($W40,Calc!$A$2:$A$137,0))&amp;" / "&amp;INDEX(Calc!$H$2:$H$137,MATCH($W40,Calc!$A$2:$A$137,0))</f>
        <v>Dust2 / Cache</v>
      </c>
      <c r="U40" s="0" t="str">
        <f aca="false">TEXT(INDEX(Calc!$J$2:$J$137,MATCH($W40,Calc!$A$2:$A$137,0)),"0.0")&amp;" / "&amp;TEXT(INDEX(Calc!$K$2:$K$137,MATCH($W40,Calc!$A$2:$A$137,0)),"0.0")</f>
        <v>21.5 / 21.5</v>
      </c>
      <c r="V40" s="0" t="str">
        <f aca="false">IFERROR(INDEX(Calc!$AQ$2:$AQ$137,MATCH($W40,Calc!$A$2:$A$137,0)),"")</f>
        <v/>
      </c>
      <c r="W40" s="9" t="s">
        <v>1341</v>
      </c>
      <c r="X40" s="9" t="s">
        <v>1289</v>
      </c>
      <c r="Y40" s="0" t="str">
        <f aca="false">W40&amp;"|"&amp;X40</f>
        <v>fcyn95tult4vqqc|CS2 · B8 vs HOTU|H12</v>
      </c>
      <c r="Z40" s="11" t="n">
        <f aca="false">IFERROR(INDEX(CHOOSE(MATCH($X40,{"K1","K2","K3","K12","K13","H1","H2","H3","H12","H13"},0),Calc!$BA$2:$BA$137,Calc!$BB$2:$BB$137,Calc!$BC$2:$BC$137,Calc!$BD$2:$BD$137,Calc!$BE$2:$BE$137,Calc!$BF$2:$BF$137,Calc!$BG$2:$BG$137,Calc!$BH$2:$BH$137,Calc!$BI$2:$BI$137,Calc!$BJ$2:$BJ$137),MATCH($W40,Calc!$A$2:$A$137,0)),"")</f>
        <v>20.692964077562</v>
      </c>
      <c r="AA40" s="11" t="n">
        <f aca="false">IF(Z40="","",IF(LEFT($X40,1)="H",SQRT(Z40*(IFERROR(INDEX(Calc!$AP$2:$AP$137,MATCH($W40,Calc!$A$2:$A$137,0)),0.5)*Config!$B$5+1-IFERROR(INDEX(Calc!$AP$2:$AP$137,MATCH($W40,Calc!$A$2:$A$137,0)),0.5))),SQRT(Z40*Config!$B$5)))</f>
        <v>5.12922647845917</v>
      </c>
      <c r="AB40" s="10" t="n">
        <f aca="false">IF(OR(F40="",Z40="",N(AA40)&lt;=0),"",1-NORMDIST(FLOOR(F40,1)+0.5,Z40,AA40,TRUE()))</f>
        <v>0.66550800705309</v>
      </c>
      <c r="AC40" s="10" t="n">
        <f aca="false">IF(AB40="","",NORMDIST(CEILING(F40,1)-0.5,Z40,AA40,TRUE()))</f>
        <v>0.33449199294691</v>
      </c>
      <c r="AD40" s="0" t="str">
        <f aca="false">IF(AB40="","",IF(AB40&gt;=0.5+Config!$B$6,"OVER",IF(AC40&gt;=0.5+Config!$B$6,"UNDER","—")))</f>
        <v>OVER</v>
      </c>
      <c r="AE40" s="13" t="n">
        <f aca="false">IFERROR(Z40/G40,"")</f>
        <v>0.976615660692431</v>
      </c>
    </row>
    <row r="41" customFormat="false" ht="15" hidden="false" customHeight="false" outlineLevel="0" collapsed="false">
      <c r="A41" s="0" t="s">
        <v>1139</v>
      </c>
      <c r="B41" s="0" t="s">
        <v>1147</v>
      </c>
      <c r="C41" s="0" t="s">
        <v>1339</v>
      </c>
      <c r="D41" s="0" t="s">
        <v>1152</v>
      </c>
      <c r="E41" s="0" t="s">
        <v>1290</v>
      </c>
      <c r="F41" s="0" t="n">
        <v>29.5</v>
      </c>
      <c r="G41" s="11" t="n">
        <f aca="false">IFERROR(INDEX(CHOOSE(MATCH($X41,{"K1","K2","K3","K12","K13","H1","H2","H3","H12","H13"},0),Calc!$V$2:$V$137,Calc!$AC$2:$AC$137,Calc!$AJ$2:$AJ$137,Calc!$AL$2:$AL$137,Calc!$AM$2:$AM$137,Calc!$W$2:$W$137,Calc!$AD$2:$AD$137,Calc!$AK$2:$AK$137,Calc!$AN$2:$AN$137,Calc!$AO$2:$AO$137),MATCH($W41,Calc!$A$2:$A$137,0)),"")</f>
        <v>31.22875</v>
      </c>
      <c r="H41" s="11" t="n">
        <f aca="false">IF(G41="","",IF(LEFT($X41,1)="H",SQRT(G41*(IFERROR(INDEX(Calc!$AP$2:$AP$137,MATCH($W41,Calc!$A$2:$A$137,0)),0.5)*Config!$B$5+1-IFERROR(INDEX(Calc!$AP$2:$AP$137,MATCH($W41,Calc!$A$2:$A$137,0)),0.5))),SQRT(G41*Config!$B$5)))</f>
        <v>6.61212900660597</v>
      </c>
      <c r="I41" s="10" t="n">
        <f aca="false">IF(OR(F41="",G41="",N(H41)&lt;=0),"",1-NORMDIST(FLOOR(F41,1)+0.5,G41,H41,TRUE()))</f>
        <v>0.603127765747429</v>
      </c>
      <c r="J41" s="10" t="n">
        <f aca="false">IF(I41="","",NORMDIST(CEILING(F41,1)-0.5,G41,H41,TRUE()))</f>
        <v>0.396872234252571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N41" s="0" t="n">
        <v>30.9</v>
      </c>
      <c r="O41" s="10" t="n">
        <v>0.4</v>
      </c>
      <c r="P41" s="10" t="n">
        <v>0.6</v>
      </c>
      <c r="Q41" s="10" t="n">
        <v>0.67</v>
      </c>
      <c r="R41" s="9" t="s">
        <v>1338</v>
      </c>
      <c r="S41" s="0" t="n">
        <v>-2</v>
      </c>
      <c r="T41" s="0" t="str">
        <f aca="false">INDEX(Calc!$G$2:$G$137,MATCH($W41,Calc!$A$2:$A$137,0))&amp;" / "&amp;INDEX(Calc!$H$2:$H$137,MATCH($W41,Calc!$A$2:$A$137,0))</f>
        <v>Dust2 / Cache</v>
      </c>
      <c r="U41" s="0" t="str">
        <f aca="false">TEXT(INDEX(Calc!$J$2:$J$137,MATCH($W41,Calc!$A$2:$A$137,0)),"0.0")&amp;" / "&amp;TEXT(INDEX(Calc!$K$2:$K$137,MATCH($W41,Calc!$A$2:$A$137,0)),"0.0")</f>
        <v>21.5 / 21.5</v>
      </c>
      <c r="V41" s="0" t="str">
        <f aca="false">IFERROR(INDEX(Calc!$AQ$2:$AQ$137,MATCH($W41,Calc!$A$2:$A$137,0)),"")</f>
        <v/>
      </c>
      <c r="W41" s="9" t="s">
        <v>1341</v>
      </c>
      <c r="X41" s="9" t="s">
        <v>1291</v>
      </c>
      <c r="Y41" s="0" t="str">
        <f aca="false">W41&amp;"|"&amp;X41</f>
        <v>fcyn95tult4vqqc|CS2 · B8 vs HOTU|K12</v>
      </c>
      <c r="Z41" s="11" t="n">
        <f aca="false">IFERROR(INDEX(CHOOSE(MATCH($X41,{"K1","K2","K3","K12","K13","H1","H2","H3","H12","H13"},0),Calc!$BA$2:$BA$137,Calc!$BB$2:$BB$137,Calc!$BC$2:$BC$137,Calc!$BD$2:$BD$137,Calc!$BE$2:$BE$137,Calc!$BF$2:$BF$137,Calc!$BG$2:$BG$137,Calc!$BH$2:$BH$137,Calc!$BI$2:$BI$137,Calc!$BJ$2:$BJ$137),MATCH($W41,Calc!$A$2:$A$137,0)),"")</f>
        <v>30.5059490096416</v>
      </c>
      <c r="AA41" s="11" t="n">
        <f aca="false">IF(Z41="","",IF(LEFT($X41,1)="H",SQRT(Z41*(IFERROR(INDEX(Calc!$AP$2:$AP$137,MATCH($W41,Calc!$A$2:$A$137,0)),0.5)*Config!$B$5+1-IFERROR(INDEX(Calc!$AP$2:$AP$137,MATCH($W41,Calc!$A$2:$A$137,0)),0.5))),SQRT(Z41*Config!$B$5)))</f>
        <v>6.53516094778837</v>
      </c>
      <c r="AB41" s="10" t="n">
        <f aca="false">IF(OR(F41="",Z41="",N(AA41)&lt;=0),"",1-NORMDIST(FLOOR(F41,1)+0.5,Z41,AA41,TRUE()))</f>
        <v>0.56116703367097</v>
      </c>
      <c r="AC41" s="10" t="n">
        <f aca="false">IF(AB41="","",NORMDIST(CEILING(F41,1)-0.5,Z41,AA41,TRUE()))</f>
        <v>0.43883296632903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0.976854629456561</v>
      </c>
    </row>
    <row r="42" customFormat="false" ht="15" hidden="false" customHeight="false" outlineLevel="0" collapsed="false">
      <c r="A42" s="0" t="s">
        <v>1139</v>
      </c>
      <c r="B42" s="0" t="s">
        <v>1147</v>
      </c>
      <c r="C42" s="0" t="s">
        <v>1342</v>
      </c>
      <c r="D42" s="0" t="s">
        <v>1152</v>
      </c>
      <c r="E42" s="0" t="s">
        <v>1286</v>
      </c>
      <c r="F42" s="0" t="n">
        <v>16.5</v>
      </c>
      <c r="G42" s="11" t="n">
        <f aca="false">IFERROR(INDEX(CHOOSE(MATCH($X42,{"K1","K2","K3","K12","K13","H1","H2","H3","H12","H13"},0),Calc!$V$2:$V$137,Calc!$AC$2:$AC$137,Calc!$AJ$2:$AJ$137,Calc!$AL$2:$AL$137,Calc!$AM$2:$AM$137,Calc!$W$2:$W$137,Calc!$AD$2:$AD$137,Calc!$AK$2:$AK$137,Calc!$AN$2:$AN$137,Calc!$AO$2:$AO$137),MATCH($W42,Calc!$A$2:$A$137,0)),"")</f>
        <v>18.7907281404959</v>
      </c>
      <c r="H42" s="11" t="n">
        <f aca="false">IF(G42="","",IF(LEFT($X42,1)="H",SQRT(G42*(IFERROR(INDEX(Calc!$AP$2:$AP$137,MATCH($W42,Calc!$A$2:$A$137,0)),0.5)*Config!$B$5+1-IFERROR(INDEX(Calc!$AP$2:$AP$137,MATCH($W42,Calc!$A$2:$A$137,0)),0.5))),SQRT(G42*Config!$B$5)))</f>
        <v>4.83485162544531</v>
      </c>
      <c r="I42" s="10" t="n">
        <f aca="false">IF(OR(F42="",G42="",N(H42)&lt;=0),"",1-NORMDIST(FLOOR(F42,1)+0.5,G42,H42,TRUE()))</f>
        <v>0.682176921351788</v>
      </c>
      <c r="J42" s="10" t="n">
        <f aca="false">IF(I42="","",NORMDIST(CEILING(F42,1)-0.5,G42,H42,TRUE()))</f>
        <v>0.317823078648212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16.9</v>
      </c>
      <c r="O42" s="10" t="n">
        <v>0.2</v>
      </c>
      <c r="P42" s="10" t="n">
        <v>0.5</v>
      </c>
      <c r="Q42" s="10" t="n">
        <v>0.47</v>
      </c>
      <c r="R42" s="9" t="s">
        <v>1340</v>
      </c>
      <c r="S42" s="0" t="n">
        <v>-3</v>
      </c>
      <c r="T42" s="0" t="str">
        <f aca="false">INDEX(Calc!$G$2:$G$137,MATCH($W42,Calc!$A$2:$A$137,0))&amp;" / "&amp;INDEX(Calc!$H$2:$H$137,MATCH($W42,Calc!$A$2:$A$137,0))</f>
        <v>Dust2 / Cache</v>
      </c>
      <c r="U42" s="0" t="str">
        <f aca="false">TEXT(INDEX(Calc!$J$2:$J$137,MATCH($W42,Calc!$A$2:$A$137,0)),"0.0")&amp;" / "&amp;TEXT(INDEX(Calc!$K$2:$K$137,MATCH($W42,Calc!$A$2:$A$137,0)),"0.0")</f>
        <v>21.5 / 21.5</v>
      </c>
      <c r="V42" s="0" t="str">
        <f aca="false">IFERROR(INDEX(Calc!$AQ$2:$AQ$137,MATCH($W42,Calc!$A$2:$A$137,0)),"")</f>
        <v/>
      </c>
      <c r="W42" s="9" t="s">
        <v>1343</v>
      </c>
      <c r="X42" s="9" t="s">
        <v>1289</v>
      </c>
      <c r="Y42" s="0" t="str">
        <f aca="false">W42&amp;"|"&amp;X42</f>
        <v>xb618esex95xxil|CS2 · B8 vs HOTU|H12</v>
      </c>
      <c r="Z42" s="11" t="n">
        <f aca="false">IFERROR(INDEX(CHOOSE(MATCH($X42,{"K1","K2","K3","K12","K13","H1","H2","H3","H12","H13"},0),Calc!$BA$2:$BA$137,Calc!$BB$2:$BB$137,Calc!$BC$2:$BC$137,Calc!$BD$2:$BD$137,Calc!$BE$2:$BE$137,Calc!$BF$2:$BF$137,Calc!$BG$2:$BG$137,Calc!$BH$2:$BH$137,Calc!$BI$2:$BI$137,Calc!$BJ$2:$BJ$137),MATCH($W42,Calc!$A$2:$A$137,0)),"")</f>
        <v>18.4024522853918</v>
      </c>
      <c r="AA42" s="11" t="n">
        <f aca="false">IF(Z42="","",IF(LEFT($X42,1)="H",SQRT(Z42*(IFERROR(INDEX(Calc!$AP$2:$AP$137,MATCH($W42,Calc!$A$2:$A$137,0)),0.5)*Config!$B$5+1-IFERROR(INDEX(Calc!$AP$2:$AP$137,MATCH($W42,Calc!$A$2:$A$137,0)),0.5))),SQRT(Z42*Config!$B$5)))</f>
        <v>4.78463922413555</v>
      </c>
      <c r="AB42" s="10" t="n">
        <f aca="false">IF(OR(F42="",Z42="",N(AA42)&lt;=0),"",1-NORMDIST(FLOOR(F42,1)+0.5,Z42,AA42,TRUE()))</f>
        <v>0.65454361234529</v>
      </c>
      <c r="AC42" s="10" t="n">
        <f aca="false">IF(AB42="","",NORMDIST(CEILING(F42,1)-0.5,Z42,AA42,TRUE()))</f>
        <v>0.34545638765471</v>
      </c>
      <c r="AD42" s="0" t="str">
        <f aca="false">IF(AB42="","",IF(AB42&gt;=0.5+Config!$B$6,"OVER",IF(AC42&gt;=0.5+Config!$B$6,"UNDER","—")))</f>
        <v>OVER</v>
      </c>
      <c r="AE42" s="13" t="n">
        <f aca="false">IFERROR(Z42/G42,"")</f>
        <v>0.979336838242723</v>
      </c>
    </row>
    <row r="43" customFormat="false" ht="15" hidden="false" customHeight="false" outlineLevel="0" collapsed="false">
      <c r="A43" s="0" t="s">
        <v>1139</v>
      </c>
      <c r="B43" s="0" t="s">
        <v>1147</v>
      </c>
      <c r="C43" s="0" t="s">
        <v>1342</v>
      </c>
      <c r="D43" s="0" t="s">
        <v>1152</v>
      </c>
      <c r="E43" s="0" t="s">
        <v>1290</v>
      </c>
      <c r="F43" s="0" t="n">
        <v>29.5</v>
      </c>
      <c r="G43" s="11" t="n">
        <f aca="false">IFERROR(INDEX(CHOOSE(MATCH($X43,{"K1","K2","K3","K12","K13","H1","H2","H3","H12","H13"},0),Calc!$V$2:$V$137,Calc!$AC$2:$AC$137,Calc!$AJ$2:$AJ$137,Calc!$AL$2:$AL$137,Calc!$AM$2:$AM$137,Calc!$W$2:$W$137,Calc!$AD$2:$AD$137,Calc!$AK$2:$AK$137,Calc!$AN$2:$AN$137,Calc!$AO$2:$AO$137),MATCH($W43,Calc!$A$2:$A$137,0)),"")</f>
        <v>30.8036363636364</v>
      </c>
      <c r="H43" s="11" t="n">
        <f aca="false">IF(G43="","",IF(LEFT($X43,1)="H",SQRT(G43*(IFERROR(INDEX(Calc!$AP$2:$AP$137,MATCH($W43,Calc!$A$2:$A$137,0)),0.5)*Config!$B$5+1-IFERROR(INDEX(Calc!$AP$2:$AP$137,MATCH($W43,Calc!$A$2:$A$137,0)),0.5))),SQRT(G43*Config!$B$5)))</f>
        <v>6.56696968997809</v>
      </c>
      <c r="I43" s="10" t="n">
        <f aca="false">IF(OR(F43="",G43="",N(H43)&lt;=0),"",1-NORMDIST(FLOOR(F43,1)+0.5,G43,H43,TRUE()))</f>
        <v>0.57867858999685</v>
      </c>
      <c r="J43" s="10" t="n">
        <f aca="false">IF(I43="","",NORMDIST(CEILING(F43,1)-0.5,G43,H43,TRUE()))</f>
        <v>0.42132141000315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N43" s="0" t="n">
        <v>28.1</v>
      </c>
      <c r="O43" s="10" t="n">
        <v>0.2</v>
      </c>
      <c r="P43" s="10" t="n">
        <v>0.4</v>
      </c>
      <c r="Q43" s="10" t="n">
        <v>0.4</v>
      </c>
      <c r="R43" s="9" t="s">
        <v>1340</v>
      </c>
      <c r="S43" s="0" t="n">
        <v>-3</v>
      </c>
      <c r="T43" s="0" t="str">
        <f aca="false">INDEX(Calc!$G$2:$G$137,MATCH($W43,Calc!$A$2:$A$137,0))&amp;" / "&amp;INDEX(Calc!$H$2:$H$137,MATCH($W43,Calc!$A$2:$A$137,0))</f>
        <v>Dust2 / Cache</v>
      </c>
      <c r="U43" s="0" t="str">
        <f aca="false">TEXT(INDEX(Calc!$J$2:$J$137,MATCH($W43,Calc!$A$2:$A$137,0)),"0.0")&amp;" / "&amp;TEXT(INDEX(Calc!$K$2:$K$137,MATCH($W43,Calc!$A$2:$A$137,0)),"0.0")</f>
        <v>21.5 / 21.5</v>
      </c>
      <c r="V43" s="0" t="str">
        <f aca="false">IFERROR(INDEX(Calc!$AQ$2:$AQ$137,MATCH($W43,Calc!$A$2:$A$137,0)),"")</f>
        <v/>
      </c>
      <c r="W43" s="9" t="s">
        <v>1343</v>
      </c>
      <c r="X43" s="9" t="s">
        <v>1291</v>
      </c>
      <c r="Y43" s="0" t="str">
        <f aca="false">W43&amp;"|"&amp;X43</f>
        <v>xb618esex95xxil|CS2 · B8 vs HOTU|K12</v>
      </c>
      <c r="Z43" s="11" t="n">
        <f aca="false">IFERROR(INDEX(CHOOSE(MATCH($X43,{"K1","K2","K3","K12","K13","H1","H2","H3","H12","H13"},0),Calc!$BA$2:$BA$137,Calc!$BB$2:$BB$137,Calc!$BC$2:$BC$137,Calc!$BD$2:$BD$137,Calc!$BE$2:$BE$137,Calc!$BF$2:$BF$137,Calc!$BG$2:$BG$137,Calc!$BH$2:$BH$137,Calc!$BI$2:$BI$137,Calc!$BJ$2:$BJ$137),MATCH($W43,Calc!$A$2:$A$137,0)),"")</f>
        <v>30.1633310408793</v>
      </c>
      <c r="AA43" s="11" t="n">
        <f aca="false">IF(Z43="","",IF(LEFT($X43,1)="H",SQRT(Z43*(IFERROR(INDEX(Calc!$AP$2:$AP$137,MATCH($W43,Calc!$A$2:$A$137,0)),0.5)*Config!$B$5+1-IFERROR(INDEX(Calc!$AP$2:$AP$137,MATCH($W43,Calc!$A$2:$A$137,0)),0.5))),SQRT(Z43*Config!$B$5)))</f>
        <v>6.49835852021347</v>
      </c>
      <c r="AB43" s="10" t="n">
        <f aca="false">IF(OR(F43="",Z43="",N(AA43)&lt;=0),"",1-NORMDIST(FLOOR(F43,1)+0.5,Z43,AA43,TRUE()))</f>
        <v>0.540652105363647</v>
      </c>
      <c r="AC43" s="10" t="n">
        <f aca="false">IF(AB43="","",NORMDIST(CEILING(F43,1)-0.5,Z43,AA43,TRUE()))</f>
        <v>0.459347894636353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0.979213320297698</v>
      </c>
    </row>
    <row r="44" customFormat="false" ht="15" hidden="false" customHeight="false" outlineLevel="0" collapsed="false">
      <c r="A44" s="0" t="s">
        <v>1139</v>
      </c>
      <c r="B44" s="0" t="s">
        <v>1147</v>
      </c>
      <c r="C44" s="0" t="s">
        <v>1344</v>
      </c>
      <c r="D44" s="0" t="s">
        <v>1152</v>
      </c>
      <c r="E44" s="0" t="s">
        <v>1286</v>
      </c>
      <c r="F44" s="0" t="n">
        <v>18.5</v>
      </c>
      <c r="G44" s="11" t="n">
        <f aca="false">IFERROR(INDEX(CHOOSE(MATCH($X44,{"K1","K2","K3","K12","K13","H1","H2","H3","H12","H13"},0),Calc!$V$2:$V$137,Calc!$AC$2:$AC$137,Calc!$AJ$2:$AJ$137,Calc!$AL$2:$AL$137,Calc!$AM$2:$AM$137,Calc!$W$2:$W$137,Calc!$AD$2:$AD$137,Calc!$AK$2:$AK$137,Calc!$AN$2:$AN$137,Calc!$AO$2:$AO$137),MATCH($W44,Calc!$A$2:$A$137,0)),"")</f>
        <v>17.6829943072056</v>
      </c>
      <c r="H44" s="11" t="n">
        <f aca="false">IF(G44="","",IF(LEFT($X44,1)="H",SQRT(G44*(IFERROR(INDEX(Calc!$AP$2:$AP$137,MATCH($W44,Calc!$A$2:$A$137,0)),0.5)*Config!$B$5+1-IFERROR(INDEX(Calc!$AP$2:$AP$137,MATCH($W44,Calc!$A$2:$A$137,0)),0.5))),SQRT(G44*Config!$B$5)))</f>
        <v>4.65735439305679</v>
      </c>
      <c r="I44" s="10" t="n">
        <f aca="false">IF(OR(F44="",G44="",N(H44)&lt;=0),"",1-NORMDIST(FLOOR(F44,1)+0.5,G44,H44,TRUE()))</f>
        <v>0.43037375169</v>
      </c>
      <c r="J44" s="10" t="n">
        <f aca="false">IF(I44="","",NORMDIST(CEILING(F44,1)-0.5,G44,H44,TRUE()))</f>
        <v>0.56962624831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UNDER</v>
      </c>
      <c r="N44" s="0" t="n">
        <v>18</v>
      </c>
      <c r="O44" s="10" t="n">
        <v>0.2</v>
      </c>
      <c r="P44" s="10" t="n">
        <v>0.4</v>
      </c>
      <c r="Q44" s="10" t="n">
        <v>0.53</v>
      </c>
      <c r="R44" s="9" t="s">
        <v>1340</v>
      </c>
      <c r="S44" s="0" t="n">
        <v>-4</v>
      </c>
      <c r="T44" s="0" t="str">
        <f aca="false">INDEX(Calc!$G$2:$G$137,MATCH($W44,Calc!$A$2:$A$137,0))&amp;" / "&amp;INDEX(Calc!$H$2:$H$137,MATCH($W44,Calc!$A$2:$A$137,0))</f>
        <v>Dust2 / Cache</v>
      </c>
      <c r="U44" s="0" t="str">
        <f aca="false">TEXT(INDEX(Calc!$J$2:$J$137,MATCH($W44,Calc!$A$2:$A$137,0)),"0.0")&amp;" / "&amp;TEXT(INDEX(Calc!$K$2:$K$137,MATCH($W44,Calc!$A$2:$A$137,0)),"0.0")</f>
        <v>21.5 / 21.5</v>
      </c>
      <c r="V44" s="0" t="str">
        <f aca="false">IFERROR(INDEX(Calc!$AQ$2:$AQ$137,MATCH($W44,Calc!$A$2:$A$137,0)),"")</f>
        <v/>
      </c>
      <c r="W44" s="9" t="s">
        <v>1345</v>
      </c>
      <c r="X44" s="9" t="s">
        <v>1289</v>
      </c>
      <c r="Y44" s="0" t="str">
        <f aca="false">W44&amp;"|"&amp;X44</f>
        <v>j5opzoggo0850rg|CS2 · B8 vs HOTU|H12</v>
      </c>
      <c r="Z44" s="11" t="n">
        <f aca="false">IFERROR(INDEX(CHOOSE(MATCH($X44,{"K1","K2","K3","K12","K13","H1","H2","H3","H12","H13"},0),Calc!$BA$2:$BA$137,Calc!$BB$2:$BB$137,Calc!$BC$2:$BC$137,Calc!$BD$2:$BD$137,Calc!$BE$2:$BE$137,Calc!$BF$2:$BF$137,Calc!$BG$2:$BG$137,Calc!$BH$2:$BH$137,Calc!$BI$2:$BI$137,Calc!$BJ$2:$BJ$137),MATCH($W44,Calc!$A$2:$A$137,0)),"")</f>
        <v>17.2652914563178</v>
      </c>
      <c r="AA44" s="11" t="n">
        <f aca="false">IF(Z44="","",IF(LEFT($X44,1)="H",SQRT(Z44*(IFERROR(INDEX(Calc!$AP$2:$AP$137,MATCH($W44,Calc!$A$2:$A$137,0)),0.5)*Config!$B$5+1-IFERROR(INDEX(Calc!$AP$2:$AP$137,MATCH($W44,Calc!$A$2:$A$137,0)),0.5))),SQRT(Z44*Config!$B$5)))</f>
        <v>4.60201828123044</v>
      </c>
      <c r="AB44" s="10" t="n">
        <f aca="false">IF(OR(F44="",Z44="",N(AA44)&lt;=0),"",1-NORMDIST(FLOOR(F44,1)+0.5,Z44,AA44,TRUE()))</f>
        <v>0.394235286974312</v>
      </c>
      <c r="AC44" s="10" t="n">
        <f aca="false">IF(AB44="","",NORMDIST(CEILING(F44,1)-0.5,Z44,AA44,TRUE()))</f>
        <v>0.605764713025688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0.976378273745326</v>
      </c>
    </row>
    <row r="45" customFormat="false" ht="15" hidden="false" customHeight="false" outlineLevel="0" collapsed="false">
      <c r="A45" s="0" t="s">
        <v>1139</v>
      </c>
      <c r="B45" s="0" t="s">
        <v>1147</v>
      </c>
      <c r="C45" s="0" t="s">
        <v>1344</v>
      </c>
      <c r="D45" s="0" t="s">
        <v>1152</v>
      </c>
      <c r="E45" s="0" t="s">
        <v>1290</v>
      </c>
      <c r="F45" s="0" t="n">
        <v>31.5</v>
      </c>
      <c r="G45" s="11" t="n">
        <f aca="false">IFERROR(INDEX(CHOOSE(MATCH($X45,{"K1","K2","K3","K12","K13","H1","H2","H3","H12","H13"},0),Calc!$V$2:$V$137,Calc!$AC$2:$AC$137,Calc!$AJ$2:$AJ$137,Calc!$AL$2:$AL$137,Calc!$AM$2:$AM$137,Calc!$W$2:$W$137,Calc!$AD$2:$AD$137,Calc!$AK$2:$AK$137,Calc!$AN$2:$AN$137,Calc!$AO$2:$AO$137),MATCH($W45,Calc!$A$2:$A$137,0)),"")</f>
        <v>31.2067613636364</v>
      </c>
      <c r="H45" s="11" t="n">
        <f aca="false">IF(G45="","",IF(LEFT($X45,1)="H",SQRT(G45*(IFERROR(INDEX(Calc!$AP$2:$AP$137,MATCH($W45,Calc!$A$2:$A$137,0)),0.5)*Config!$B$5+1-IFERROR(INDEX(Calc!$AP$2:$AP$137,MATCH($W45,Calc!$A$2:$A$137,0)),0.5))),SQRT(G45*Config!$B$5)))</f>
        <v>6.60980074654985</v>
      </c>
      <c r="I45" s="10" t="n">
        <f aca="false">IF(OR(F45="",G45="",N(H45)&lt;=0),"",1-NORMDIST(FLOOR(F45,1)+0.5,G45,H45,TRUE()))</f>
        <v>0.482307042020586</v>
      </c>
      <c r="J45" s="10" t="n">
        <f aca="false">IF(I45="","",NORMDIST(CEILING(F45,1)-0.5,G45,H45,TRUE()))</f>
        <v>0.517692957979414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—</v>
      </c>
      <c r="N45" s="0" t="n">
        <v>30.8</v>
      </c>
      <c r="O45" s="10" t="n">
        <v>0.2</v>
      </c>
      <c r="P45" s="10" t="n">
        <v>0.4</v>
      </c>
      <c r="Q45" s="10" t="n">
        <v>0.47</v>
      </c>
      <c r="R45" s="9" t="s">
        <v>1338</v>
      </c>
      <c r="S45" s="0" t="n">
        <v>-1</v>
      </c>
      <c r="T45" s="0" t="str">
        <f aca="false">INDEX(Calc!$G$2:$G$137,MATCH($W45,Calc!$A$2:$A$137,0))&amp;" / "&amp;INDEX(Calc!$H$2:$H$137,MATCH($W45,Calc!$A$2:$A$137,0))</f>
        <v>Dust2 / Cache</v>
      </c>
      <c r="U45" s="0" t="str">
        <f aca="false">TEXT(INDEX(Calc!$J$2:$J$137,MATCH($W45,Calc!$A$2:$A$137,0)),"0.0")&amp;" / "&amp;TEXT(INDEX(Calc!$K$2:$K$137,MATCH($W45,Calc!$A$2:$A$137,0)),"0.0")</f>
        <v>21.5 / 21.5</v>
      </c>
      <c r="V45" s="0" t="str">
        <f aca="false">IFERROR(INDEX(Calc!$AQ$2:$AQ$137,MATCH($W45,Calc!$A$2:$A$137,0)),"")</f>
        <v/>
      </c>
      <c r="W45" s="9" t="s">
        <v>1345</v>
      </c>
      <c r="X45" s="9" t="s">
        <v>1291</v>
      </c>
      <c r="Y45" s="0" t="str">
        <f aca="false">W45&amp;"|"&amp;X45</f>
        <v>j5opzoggo0850rg|CS2 · B8 vs HOTU|K12</v>
      </c>
      <c r="Z45" s="11" t="n">
        <f aca="false">IFERROR(INDEX(CHOOSE(MATCH($X45,{"K1","K2","K3","K12","K13","H1","H2","H3","H12","H13"},0),Calc!$BA$2:$BA$137,Calc!$BB$2:$BB$137,Calc!$BC$2:$BC$137,Calc!$BD$2:$BD$137,Calc!$BE$2:$BE$137,Calc!$BF$2:$BF$137,Calc!$BG$2:$BG$137,Calc!$BH$2:$BH$137,Calc!$BI$2:$BI$137,Calc!$BJ$2:$BJ$137),MATCH($W45,Calc!$A$2:$A$137,0)),"")</f>
        <v>30.4813880234985</v>
      </c>
      <c r="AA45" s="11" t="n">
        <f aca="false">IF(Z45="","",IF(LEFT($X45,1)="H",SQRT(Z45*(IFERROR(INDEX(Calc!$AP$2:$AP$137,MATCH($W45,Calc!$A$2:$A$137,0)),0.5)*Config!$B$5+1-IFERROR(INDEX(Calc!$AP$2:$AP$137,MATCH($W45,Calc!$A$2:$A$137,0)),0.5))),SQRT(Z45*Config!$B$5)))</f>
        <v>6.53252961974899</v>
      </c>
      <c r="AB45" s="10" t="n">
        <f aca="false">IF(OR(F45="",Z45="",N(AA45)&lt;=0),"",1-NORMDIST(FLOOR(F45,1)+0.5,Z45,AA45,TRUE()))</f>
        <v>0.438044422785961</v>
      </c>
      <c r="AC45" s="10" t="n">
        <f aca="false">IF(AB45="","",NORMDIST(CEILING(F45,1)-0.5,Z45,AA45,TRUE()))</f>
        <v>0.561955577214039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0.976755891722135</v>
      </c>
    </row>
    <row r="46" customFormat="false" ht="15" hidden="false" customHeight="false" outlineLevel="0" collapsed="false">
      <c r="A46" s="0" t="s">
        <v>1139</v>
      </c>
      <c r="B46" s="0" t="s">
        <v>1147</v>
      </c>
      <c r="C46" s="0" t="s">
        <v>1346</v>
      </c>
      <c r="D46" s="0" t="s">
        <v>1152</v>
      </c>
      <c r="E46" s="0" t="s">
        <v>1286</v>
      </c>
      <c r="F46" s="0" t="n">
        <v>9</v>
      </c>
      <c r="G46" s="11" t="n">
        <f aca="false">IFERROR(INDEX(CHOOSE(MATCH($X46,{"K1","K2","K3","K12","K13","H1","H2","H3","H12","H13"},0),Calc!$V$2:$V$137,Calc!$AC$2:$AC$137,Calc!$AJ$2:$AJ$137,Calc!$AL$2:$AL$137,Calc!$AM$2:$AM$137,Calc!$W$2:$W$137,Calc!$AD$2:$AD$137,Calc!$AK$2:$AK$137,Calc!$AN$2:$AN$137,Calc!$AO$2:$AO$137),MATCH($W46,Calc!$A$2:$A$137,0)),"")</f>
        <v>8.14189288675103</v>
      </c>
      <c r="H46" s="11" t="n">
        <f aca="false">IF(G46="","",IF(LEFT($X46,1)="H",SQRT(G46*(IFERROR(INDEX(Calc!$AP$2:$AP$137,MATCH($W46,Calc!$A$2:$A$137,0)),0.5)*Config!$B$5+1-IFERROR(INDEX(Calc!$AP$2:$AP$137,MATCH($W46,Calc!$A$2:$A$137,0)),0.5))),SQRT(G46*Config!$B$5)))</f>
        <v>3.00322141305789</v>
      </c>
      <c r="I46" s="10" t="n">
        <f aca="false">IF(OR(F46="",G46="",N(H46)&lt;=0),"",1-NORMDIST(FLOOR(F46,1)+0.5,G46,H46,TRUE()))</f>
        <v>0.32555641093014</v>
      </c>
      <c r="J46" s="10" t="n">
        <f aca="false">IF(I46="","",NORMDIST(CEILING(F46,1)-0.5,G46,H46,TRUE()))</f>
        <v>0.547457785991944</v>
      </c>
      <c r="K46" s="10" t="n">
        <f aca="false">IF(I46="","",MAX(0,1-I46-J46))</f>
        <v>0.126985803077917</v>
      </c>
      <c r="L46" s="0" t="str">
        <f aca="false">IF(I46="","",IF(I46&gt;=0.5+Config!$B$6,"OVER",IF(J46&gt;=0.5+Config!$B$6,"UNDER","—")))</f>
        <v>UNDER</v>
      </c>
      <c r="N46" s="0" t="n">
        <v>8.8</v>
      </c>
      <c r="O46" s="10" t="n">
        <v>0.8</v>
      </c>
      <c r="P46" s="10" t="n">
        <v>0.6</v>
      </c>
      <c r="Q46" s="10" t="n">
        <v>0.6</v>
      </c>
      <c r="R46" s="9" t="s">
        <v>1320</v>
      </c>
      <c r="S46" s="0" t="n">
        <v>-1</v>
      </c>
      <c r="T46" s="0" t="str">
        <f aca="false">INDEX(Calc!$G$2:$G$137,MATCH($W46,Calc!$A$2:$A$137,0))&amp;" / "&amp;INDEX(Calc!$H$2:$H$137,MATCH($W46,Calc!$A$2:$A$137,0))</f>
        <v>Dust2 / Cache</v>
      </c>
      <c r="U46" s="0" t="str">
        <f aca="false">TEXT(INDEX(Calc!$J$2:$J$137,MATCH($W46,Calc!$A$2:$A$137,0)),"0.0")&amp;" / "&amp;TEXT(INDEX(Calc!$K$2:$K$137,MATCH($W46,Calc!$A$2:$A$137,0)),"0.0")</f>
        <v>21.5 / 21.5</v>
      </c>
      <c r="V46" s="0" t="str">
        <f aca="false">IFERROR(INDEX(Calc!$AQ$2:$AQ$137,MATCH($W46,Calc!$A$2:$A$137,0)),"")</f>
        <v/>
      </c>
      <c r="W46" s="9" t="s">
        <v>1347</v>
      </c>
      <c r="X46" s="9" t="s">
        <v>1289</v>
      </c>
      <c r="Y46" s="0" t="str">
        <f aca="false">W46&amp;"|"&amp;X46</f>
        <v>4uq92vrggozx07g|CS2 · B8 vs HOTU|H12</v>
      </c>
      <c r="Z46" s="11" t="n">
        <f aca="false">IFERROR(INDEX(CHOOSE(MATCH($X46,{"K1","K2","K3","K12","K13","H1","H2","H3","H12","H13"},0),Calc!$BA$2:$BA$137,Calc!$BB$2:$BB$137,Calc!$BC$2:$BC$137,Calc!$BD$2:$BD$137,Calc!$BE$2:$BE$137,Calc!$BF$2:$BF$137,Calc!$BG$2:$BG$137,Calc!$BH$2:$BH$137,Calc!$BI$2:$BI$137,Calc!$BJ$2:$BJ$137),MATCH($W46,Calc!$A$2:$A$137,0)),"")</f>
        <v>7.96958218618733</v>
      </c>
      <c r="AA46" s="11" t="n">
        <f aca="false">IF(Z46="","",IF(LEFT($X46,1)="H",SQRT(Z46*(IFERROR(INDEX(Calc!$AP$2:$AP$137,MATCH($W46,Calc!$A$2:$A$137,0)),0.5)*Config!$B$5+1-IFERROR(INDEX(Calc!$AP$2:$AP$137,MATCH($W46,Calc!$A$2:$A$137,0)),0.5))),SQRT(Z46*Config!$B$5)))</f>
        <v>2.97127217777369</v>
      </c>
      <c r="AB46" s="10" t="n">
        <f aca="false">IF(OR(F46="",Z46="",N(AA46)&lt;=0),"",1-NORMDIST(FLOOR(F46,1)+0.5,Z46,AA46,TRUE()))</f>
        <v>0.303251505608539</v>
      </c>
      <c r="AC46" s="10" t="n">
        <f aca="false">IF(AB46="","",NORMDIST(CEILING(F46,1)-0.5,Z46,AA46,TRUE()))</f>
        <v>0.570840882368899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0.978836530649514</v>
      </c>
    </row>
    <row r="47" customFormat="false" ht="15" hidden="false" customHeight="false" outlineLevel="0" collapsed="false">
      <c r="A47" s="0" t="s">
        <v>1139</v>
      </c>
      <c r="B47" s="0" t="s">
        <v>1147</v>
      </c>
      <c r="C47" s="0" t="s">
        <v>1346</v>
      </c>
      <c r="D47" s="0" t="s">
        <v>1152</v>
      </c>
      <c r="E47" s="0" t="s">
        <v>1290</v>
      </c>
      <c r="F47" s="0" t="n">
        <v>30.5</v>
      </c>
      <c r="G47" s="11" t="n">
        <f aca="false">IFERROR(INDEX(CHOOSE(MATCH($X47,{"K1","K2","K3","K12","K13","H1","H2","H3","H12","H13"},0),Calc!$V$2:$V$137,Calc!$AC$2:$AC$137,Calc!$AJ$2:$AJ$137,Calc!$AL$2:$AL$137,Calc!$AM$2:$AM$137,Calc!$W$2:$W$137,Calc!$AD$2:$AD$137,Calc!$AK$2:$AK$137,Calc!$AN$2:$AN$137,Calc!$AO$2:$AO$137),MATCH($W47,Calc!$A$2:$A$137,0)),"")</f>
        <v>30.2197159090909</v>
      </c>
      <c r="H47" s="11" t="n">
        <f aca="false">IF(G47="","",IF(LEFT($X47,1)="H",SQRT(G47*(IFERROR(INDEX(Calc!$AP$2:$AP$137,MATCH($W47,Calc!$A$2:$A$137,0)),0.5)*Config!$B$5+1-IFERROR(INDEX(Calc!$AP$2:$AP$137,MATCH($W47,Calc!$A$2:$A$137,0)),0.5))),SQRT(G47*Config!$B$5)))</f>
        <v>6.50442943483341</v>
      </c>
      <c r="I47" s="10" t="n">
        <f aca="false">IF(OR(F47="",G47="",N(H47)&lt;=0),"",1-NORMDIST(FLOOR(F47,1)+0.5,G47,H47,TRUE()))</f>
        <v>0.48281439127115</v>
      </c>
      <c r="J47" s="10" t="n">
        <f aca="false">IF(I47="","",NORMDIST(CEILING(F47,1)-0.5,G47,H47,TRUE()))</f>
        <v>0.51718560872885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—</v>
      </c>
      <c r="N47" s="0" t="n">
        <v>28.6</v>
      </c>
      <c r="O47" s="10" t="n">
        <v>0.2</v>
      </c>
      <c r="P47" s="10" t="n">
        <v>0.3</v>
      </c>
      <c r="Q47" s="10" t="n">
        <v>0.4</v>
      </c>
      <c r="R47" s="9" t="s">
        <v>1320</v>
      </c>
      <c r="S47" s="0" t="n">
        <v>-4</v>
      </c>
      <c r="T47" s="0" t="str">
        <f aca="false">INDEX(Calc!$G$2:$G$137,MATCH($W47,Calc!$A$2:$A$137,0))&amp;" / "&amp;INDEX(Calc!$H$2:$H$137,MATCH($W47,Calc!$A$2:$A$137,0))</f>
        <v>Dust2 / Cache</v>
      </c>
      <c r="U47" s="0" t="str">
        <f aca="false">TEXT(INDEX(Calc!$J$2:$J$137,MATCH($W47,Calc!$A$2:$A$137,0)),"0.0")&amp;" / "&amp;TEXT(INDEX(Calc!$K$2:$K$137,MATCH($W47,Calc!$A$2:$A$137,0)),"0.0")</f>
        <v>21.5 / 21.5</v>
      </c>
      <c r="V47" s="0" t="str">
        <f aca="false">IFERROR(INDEX(Calc!$AQ$2:$AQ$137,MATCH($W47,Calc!$A$2:$A$137,0)),"")</f>
        <v/>
      </c>
      <c r="W47" s="9" t="s">
        <v>1347</v>
      </c>
      <c r="X47" s="9" t="s">
        <v>1291</v>
      </c>
      <c r="Y47" s="0" t="str">
        <f aca="false">W47&amp;"|"&amp;X47</f>
        <v>4uq92vrggozx07g|CS2 · B8 vs HOTU|K12</v>
      </c>
      <c r="Z47" s="11" t="n">
        <f aca="false">IFERROR(INDEX(CHOOSE(MATCH($X47,{"K1","K2","K3","K12","K13","H1","H2","H3","H12","H13"},0),Calc!$BA$2:$BA$137,Calc!$BB$2:$BB$137,Calc!$BC$2:$BC$137,Calc!$BD$2:$BD$137,Calc!$BE$2:$BE$137,Calc!$BF$2:$BF$137,Calc!$BG$2:$BG$137,Calc!$BH$2:$BH$137,Calc!$BI$2:$BI$137,Calc!$BJ$2:$BJ$137),MATCH($W47,Calc!$A$2:$A$137,0)),"")</f>
        <v>29.5425832096522</v>
      </c>
      <c r="AA47" s="11" t="n">
        <f aca="false">IF(Z47="","",IF(LEFT($X47,1)="H",SQRT(Z47*(IFERROR(INDEX(Calc!$AP$2:$AP$137,MATCH($W47,Calc!$A$2:$A$137,0)),0.5)*Config!$B$5+1-IFERROR(INDEX(Calc!$AP$2:$AP$137,MATCH($W47,Calc!$A$2:$A$137,0)),0.5))),SQRT(Z47*Config!$B$5)))</f>
        <v>6.43114426004526</v>
      </c>
      <c r="AB47" s="10" t="n">
        <f aca="false">IF(OR(F47="",Z47="",N(AA47)&lt;=0),"",1-NORMDIST(FLOOR(F47,1)+0.5,Z47,AA47,TRUE()))</f>
        <v>0.440827349642298</v>
      </c>
      <c r="AC47" s="10" t="n">
        <f aca="false">IF(AB47="","",NORMDIST(CEILING(F47,1)-0.5,Z47,AA47,TRUE()))</f>
        <v>0.559172650357702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0.977593015716108</v>
      </c>
    </row>
    <row r="48" customFormat="false" ht="15" hidden="false" customHeight="false" outlineLevel="0" collapsed="false">
      <c r="A48" s="0" t="s">
        <v>1139</v>
      </c>
      <c r="B48" s="0" t="s">
        <v>1147</v>
      </c>
      <c r="C48" s="0" t="s">
        <v>1348</v>
      </c>
      <c r="D48" s="0" t="s">
        <v>1153</v>
      </c>
      <c r="E48" s="0" t="s">
        <v>1286</v>
      </c>
      <c r="F48" s="0" t="n">
        <v>16.5</v>
      </c>
      <c r="G48" s="11" t="n">
        <f aca="false">IFERROR(INDEX(CHOOSE(MATCH($X48,{"K1","K2","K3","K12","K13","H1","H2","H3","H12","H13"},0),Calc!$V$2:$V$137,Calc!$AC$2:$AC$137,Calc!$AJ$2:$AJ$137,Calc!$AL$2:$AL$137,Calc!$AM$2:$AM$137,Calc!$W$2:$W$137,Calc!$AD$2:$AD$137,Calc!$AK$2:$AK$137,Calc!$AN$2:$AN$137,Calc!$AO$2:$AO$137),MATCH($W48,Calc!$A$2:$A$137,0)),"")</f>
        <v>17.4621925</v>
      </c>
      <c r="H48" s="11" t="n">
        <f aca="false">IF(G48="","",IF(LEFT($X48,1)="H",SQRT(G48*(IFERROR(INDEX(Calc!$AP$2:$AP$137,MATCH($W48,Calc!$A$2:$A$137,0)),0.5)*Config!$B$5+1-IFERROR(INDEX(Calc!$AP$2:$AP$137,MATCH($W48,Calc!$A$2:$A$137,0)),0.5))),SQRT(G48*Config!$B$5)))</f>
        <v>4.63474970031223</v>
      </c>
      <c r="I48" s="10" t="n">
        <f aca="false">IF(OR(F48="",G48="",N(H48)&lt;=0),"",1-NORMDIST(FLOOR(F48,1)+0.5,G48,H48,TRUE()))</f>
        <v>0.582230903098728</v>
      </c>
      <c r="J48" s="10" t="n">
        <f aca="false">IF(I48="","",NORMDIST(CEILING(F48,1)-0.5,G48,H48,TRUE()))</f>
        <v>0.417769096901272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N48" s="0" t="n">
        <v>17.3</v>
      </c>
      <c r="O48" s="10" t="n">
        <v>0.4</v>
      </c>
      <c r="P48" s="10" t="n">
        <v>0.4</v>
      </c>
      <c r="Q48" s="10" t="n">
        <v>0.4</v>
      </c>
      <c r="R48" s="9" t="s">
        <v>1317</v>
      </c>
      <c r="S48" s="0" t="n">
        <v>1</v>
      </c>
      <c r="T48" s="0" t="str">
        <f aca="false">INDEX(Calc!$G$2:$G$137,MATCH($W48,Calc!$A$2:$A$137,0))&amp;" / "&amp;INDEX(Calc!$H$2:$H$137,MATCH($W48,Calc!$A$2:$A$137,0))</f>
        <v>Dust2 / Cache</v>
      </c>
      <c r="U48" s="0" t="str">
        <f aca="false">TEXT(INDEX(Calc!$J$2:$J$137,MATCH($W48,Calc!$A$2:$A$137,0)),"0.0")&amp;" / "&amp;TEXT(INDEX(Calc!$K$2:$K$137,MATCH($W48,Calc!$A$2:$A$137,0)),"0.0")</f>
        <v>21.5 / 21.5</v>
      </c>
      <c r="V48" s="0" t="str">
        <f aca="false">IFERROR(INDEX(Calc!$AQ$2:$AQ$137,MATCH($W48,Calc!$A$2:$A$137,0)),"")</f>
        <v/>
      </c>
      <c r="W48" s="9" t="s">
        <v>1349</v>
      </c>
      <c r="X48" s="9" t="s">
        <v>1289</v>
      </c>
      <c r="Y48" s="0" t="str">
        <f aca="false">W48&amp;"|"&amp;X48</f>
        <v>ji1haqzonozp10h|CS2 · B8 vs HOTU|H12</v>
      </c>
      <c r="Z48" s="11" t="n">
        <f aca="false">IFERROR(INDEX(CHOOSE(MATCH($X48,{"K1","K2","K3","K12","K13","H1","H2","H3","H12","H13"},0),Calc!$BA$2:$BA$137,Calc!$BB$2:$BB$137,Calc!$BC$2:$BC$137,Calc!$BD$2:$BD$137,Calc!$BE$2:$BE$137,Calc!$BF$2:$BF$137,Calc!$BG$2:$BG$137,Calc!$BH$2:$BH$137,Calc!$BI$2:$BI$137,Calc!$BJ$2:$BJ$137),MATCH($W48,Calc!$A$2:$A$137,0)),"")</f>
        <v>16.6777170112625</v>
      </c>
      <c r="AA48" s="11" t="n">
        <f aca="false">IF(Z48="","",IF(LEFT($X48,1)="H",SQRT(Z48*(IFERROR(INDEX(Calc!$AP$2:$AP$137,MATCH($W48,Calc!$A$2:$A$137,0)),0.5)*Config!$B$5+1-IFERROR(INDEX(Calc!$AP$2:$AP$137,MATCH($W48,Calc!$A$2:$A$137,0)),0.5))),SQRT(Z48*Config!$B$5)))</f>
        <v>4.52944717989197</v>
      </c>
      <c r="AB48" s="10" t="n">
        <f aca="false">IF(OR(F48="",Z48="",N(AA48)&lt;=0),"",1-NORMDIST(FLOOR(F48,1)+0.5,Z48,AA48,TRUE()))</f>
        <v>0.515648850769709</v>
      </c>
      <c r="AC48" s="10" t="n">
        <f aca="false">IF(AB48="","",NORMDIST(CEILING(F48,1)-0.5,Z48,AA48,TRUE()))</f>
        <v>0.484351149230291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0.955075773632807</v>
      </c>
    </row>
    <row r="49" customFormat="false" ht="15" hidden="false" customHeight="false" outlineLevel="0" collapsed="false">
      <c r="A49" s="0" t="s">
        <v>1139</v>
      </c>
      <c r="B49" s="0" t="s">
        <v>1147</v>
      </c>
      <c r="C49" s="0" t="s">
        <v>1348</v>
      </c>
      <c r="D49" s="0" t="s">
        <v>1153</v>
      </c>
      <c r="E49" s="0" t="s">
        <v>1290</v>
      </c>
      <c r="F49" s="0" t="n">
        <v>29.5</v>
      </c>
      <c r="G49" s="11" t="n">
        <f aca="false">IFERROR(INDEX(CHOOSE(MATCH($X49,{"K1","K2","K3","K12","K13","H1","H2","H3","H12","H13"},0),Calc!$V$2:$V$137,Calc!$AC$2:$AC$137,Calc!$AJ$2:$AJ$137,Calc!$AL$2:$AL$137,Calc!$AM$2:$AM$137,Calc!$W$2:$W$137,Calc!$AD$2:$AD$137,Calc!$AK$2:$AK$137,Calc!$AN$2:$AN$137,Calc!$AO$2:$AO$137),MATCH($W49,Calc!$A$2:$A$137,0)),"")</f>
        <v>30.3508333333333</v>
      </c>
      <c r="H49" s="11" t="n">
        <f aca="false">IF(G49="","",IF(LEFT($X49,1)="H",SQRT(G49*(IFERROR(INDEX(Calc!$AP$2:$AP$137,MATCH($W49,Calc!$A$2:$A$137,0)),0.5)*Config!$B$5+1-IFERROR(INDEX(Calc!$AP$2:$AP$137,MATCH($W49,Calc!$A$2:$A$137,0)),0.5))),SQRT(G49*Config!$B$5)))</f>
        <v>6.51852488425615</v>
      </c>
      <c r="I49" s="10" t="n">
        <f aca="false">IF(OR(F49="",G49="",N(H49)&lt;=0),"",1-NORMDIST(FLOOR(F49,1)+0.5,G49,H49,TRUE()))</f>
        <v>0.551924636232713</v>
      </c>
      <c r="J49" s="10" t="n">
        <f aca="false">IF(I49="","",NORMDIST(CEILING(F49,1)-0.5,G49,H49,TRUE()))</f>
        <v>0.448075363767287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N49" s="0" t="n">
        <v>27.6</v>
      </c>
      <c r="O49" s="10" t="n">
        <v>0.4</v>
      </c>
      <c r="P49" s="10" t="n">
        <v>0.4</v>
      </c>
      <c r="Q49" s="10" t="n">
        <v>0.33</v>
      </c>
      <c r="R49" s="9" t="s">
        <v>1317</v>
      </c>
      <c r="S49" s="0" t="n">
        <v>1</v>
      </c>
      <c r="T49" s="0" t="str">
        <f aca="false">INDEX(Calc!$G$2:$G$137,MATCH($W49,Calc!$A$2:$A$137,0))&amp;" / "&amp;INDEX(Calc!$H$2:$H$137,MATCH($W49,Calc!$A$2:$A$137,0))</f>
        <v>Dust2 / Cache</v>
      </c>
      <c r="U49" s="0" t="str">
        <f aca="false">TEXT(INDEX(Calc!$J$2:$J$137,MATCH($W49,Calc!$A$2:$A$137,0)),"0.0")&amp;" / "&amp;TEXT(INDEX(Calc!$K$2:$K$137,MATCH($W49,Calc!$A$2:$A$137,0)),"0.0")</f>
        <v>21.5 / 21.5</v>
      </c>
      <c r="V49" s="0" t="str">
        <f aca="false">IFERROR(INDEX(Calc!$AQ$2:$AQ$137,MATCH($W49,Calc!$A$2:$A$137,0)),"")</f>
        <v/>
      </c>
      <c r="W49" s="9" t="s">
        <v>1349</v>
      </c>
      <c r="X49" s="9" t="s">
        <v>1291</v>
      </c>
      <c r="Y49" s="0" t="str">
        <f aca="false">W49&amp;"|"&amp;X49</f>
        <v>ji1haqzonozp10h|CS2 · B8 vs HOTU|K12</v>
      </c>
      <c r="Z49" s="11" t="n">
        <f aca="false">IFERROR(INDEX(CHOOSE(MATCH($X49,{"K1","K2","K3","K12","K13","H1","H2","H3","H12","H13"},0),Calc!$BA$2:$BA$137,Calc!$BB$2:$BB$137,Calc!$BC$2:$BC$137,Calc!$BD$2:$BD$137,Calc!$BE$2:$BE$137,Calc!$BF$2:$BF$137,Calc!$BG$2:$BG$137,Calc!$BH$2:$BH$137,Calc!$BI$2:$BI$137,Calc!$BJ$2:$BJ$137),MATCH($W49,Calc!$A$2:$A$137,0)),"")</f>
        <v>28.9580934295872</v>
      </c>
      <c r="AA49" s="11" t="n">
        <f aca="false">IF(Z49="","",IF(LEFT($X49,1)="H",SQRT(Z49*(IFERROR(INDEX(Calc!$AP$2:$AP$137,MATCH($W49,Calc!$A$2:$A$137,0)),0.5)*Config!$B$5+1-IFERROR(INDEX(Calc!$AP$2:$AP$137,MATCH($W49,Calc!$A$2:$A$137,0)),0.5))),SQRT(Z49*Config!$B$5)))</f>
        <v>6.36720745707426</v>
      </c>
      <c r="AB49" s="10" t="n">
        <f aca="false">IF(OR(F49="",Z49="",N(AA49)&lt;=0),"",1-NORMDIST(FLOOR(F49,1)+0.5,Z49,AA49,TRUE()))</f>
        <v>0.466087373212128</v>
      </c>
      <c r="AC49" s="10" t="n">
        <f aca="false">IF(AB49="","",NORMDIST(CEILING(F49,1)-0.5,Z49,AA49,TRUE()))</f>
        <v>0.533912626787872</v>
      </c>
      <c r="AD49" s="0" t="str">
        <f aca="false">IF(AB49="","",IF(AB49&gt;=0.5+Config!$B$6,"OVER",IF(AC49&gt;=0.5+Config!$B$6,"UNDER","—")))</f>
        <v>—</v>
      </c>
      <c r="AE49" s="13" t="n">
        <f aca="false">IFERROR(Z49/G49,"")</f>
        <v>0.954111971541272</v>
      </c>
    </row>
    <row r="50" customFormat="false" ht="15" hidden="false" customHeight="false" outlineLevel="0" collapsed="false">
      <c r="A50" s="0" t="s">
        <v>1139</v>
      </c>
      <c r="B50" s="0" t="s">
        <v>1147</v>
      </c>
      <c r="C50" s="0" t="s">
        <v>1350</v>
      </c>
      <c r="D50" s="0" t="s">
        <v>1153</v>
      </c>
      <c r="E50" s="0" t="s">
        <v>1286</v>
      </c>
      <c r="F50" s="0" t="n">
        <v>9.5</v>
      </c>
      <c r="G50" s="11" t="n">
        <f aca="false">IFERROR(INDEX(CHOOSE(MATCH($X50,{"K1","K2","K3","K12","K13","H1","H2","H3","H12","H13"},0),Calc!$V$2:$V$137,Calc!$AC$2:$AC$137,Calc!$AJ$2:$AJ$137,Calc!$AL$2:$AL$137,Calc!$AM$2:$AM$137,Calc!$W$2:$W$137,Calc!$AD$2:$AD$137,Calc!$AK$2:$AK$137,Calc!$AN$2:$AN$137,Calc!$AO$2:$AO$137),MATCH($W50,Calc!$A$2:$A$137,0)),"")</f>
        <v>10.5398023979592</v>
      </c>
      <c r="H50" s="11" t="n">
        <f aca="false">IF(G50="","",IF(LEFT($X50,1)="H",SQRT(G50*(IFERROR(INDEX(Calc!$AP$2:$AP$137,MATCH($W50,Calc!$A$2:$A$137,0)),0.5)*Config!$B$5+1-IFERROR(INDEX(Calc!$AP$2:$AP$137,MATCH($W50,Calc!$A$2:$A$137,0)),0.5))),SQRT(G50*Config!$B$5)))</f>
        <v>3.45652630905577</v>
      </c>
      <c r="I50" s="10" t="n">
        <f aca="false">IF(OR(F50="",G50="",N(H50)&lt;=0),"",1-NORMDIST(FLOOR(F50,1)+0.5,G50,H50,TRUE()))</f>
        <v>0.618225241762806</v>
      </c>
      <c r="J50" s="10" t="n">
        <f aca="false">IF(I50="","",NORMDIST(CEILING(F50,1)-0.5,G50,H50,TRUE()))</f>
        <v>0.381774758237194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OVER</v>
      </c>
      <c r="N50" s="0" t="n">
        <v>9.7</v>
      </c>
      <c r="O50" s="10" t="n">
        <v>0.8</v>
      </c>
      <c r="P50" s="10" t="n">
        <v>0.5</v>
      </c>
      <c r="Q50" s="10" t="n">
        <v>0.53</v>
      </c>
      <c r="R50" s="9" t="s">
        <v>1338</v>
      </c>
      <c r="S50" s="0" t="n">
        <v>1</v>
      </c>
      <c r="T50" s="0" t="str">
        <f aca="false">INDEX(Calc!$G$2:$G$137,MATCH($W50,Calc!$A$2:$A$137,0))&amp;" / "&amp;INDEX(Calc!$H$2:$H$137,MATCH($W50,Calc!$A$2:$A$137,0))</f>
        <v>Dust2 / Cache</v>
      </c>
      <c r="U50" s="0" t="str">
        <f aca="false">TEXT(INDEX(Calc!$J$2:$J$137,MATCH($W50,Calc!$A$2:$A$137,0)),"0.0")&amp;" / "&amp;TEXT(INDEX(Calc!$K$2:$K$137,MATCH($W50,Calc!$A$2:$A$137,0)),"0.0")</f>
        <v>21.5 / 21.5</v>
      </c>
      <c r="V50" s="0" t="str">
        <f aca="false">IFERROR(INDEX(Calc!$AQ$2:$AQ$137,MATCH($W50,Calc!$A$2:$A$137,0)),"")</f>
        <v/>
      </c>
      <c r="W50" s="9" t="s">
        <v>1351</v>
      </c>
      <c r="X50" s="9" t="s">
        <v>1289</v>
      </c>
      <c r="Y50" s="0" t="str">
        <f aca="false">W50&amp;"|"&amp;X50</f>
        <v>jznoz5axpwbs6p9|CS2 · B8 vs HOTU|H12</v>
      </c>
      <c r="Z50" s="11" t="n">
        <f aca="false">IFERROR(INDEX(CHOOSE(MATCH($X50,{"K1","K2","K3","K12","K13","H1","H2","H3","H12","H13"},0),Calc!$BA$2:$BA$137,Calc!$BB$2:$BB$137,Calc!$BC$2:$BC$137,Calc!$BD$2:$BD$137,Calc!$BE$2:$BE$137,Calc!$BF$2:$BF$137,Calc!$BG$2:$BG$137,Calc!$BH$2:$BH$137,Calc!$BI$2:$BI$137,Calc!$BJ$2:$BJ$137),MATCH($W50,Calc!$A$2:$A$137,0)),"")</f>
        <v>10.0812717694262</v>
      </c>
      <c r="AA50" s="11" t="n">
        <f aca="false">IF(Z50="","",IF(LEFT($X50,1)="H",SQRT(Z50*(IFERROR(INDEX(Calc!$AP$2:$AP$137,MATCH($W50,Calc!$A$2:$A$137,0)),0.5)*Config!$B$5+1-IFERROR(INDEX(Calc!$AP$2:$AP$137,MATCH($W50,Calc!$A$2:$A$137,0)),0.5))),SQRT(Z50*Config!$B$5)))</f>
        <v>3.38050275133541</v>
      </c>
      <c r="AB50" s="10" t="n">
        <f aca="false">IF(OR(F50="",Z50="",N(AA50)&lt;=0),"",1-NORMDIST(FLOOR(F50,1)+0.5,Z50,AA50,TRUE()))</f>
        <v>0.568260920867951</v>
      </c>
      <c r="AC50" s="10" t="n">
        <f aca="false">IF(AB50="","",NORMDIST(CEILING(F50,1)-0.5,Z50,AA50,TRUE()))</f>
        <v>0.431739079132049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0.956495329682675</v>
      </c>
    </row>
    <row r="51" customFormat="false" ht="15" hidden="false" customHeight="false" outlineLevel="0" collapsed="false">
      <c r="A51" s="0" t="s">
        <v>1139</v>
      </c>
      <c r="B51" s="0" t="s">
        <v>1147</v>
      </c>
      <c r="C51" s="0" t="s">
        <v>1350</v>
      </c>
      <c r="D51" s="0" t="s">
        <v>1153</v>
      </c>
      <c r="E51" s="0" t="s">
        <v>1290</v>
      </c>
      <c r="F51" s="0" t="n">
        <v>30.5</v>
      </c>
      <c r="G51" s="11" t="n">
        <f aca="false">IFERROR(INDEX(CHOOSE(MATCH($X51,{"K1","K2","K3","K12","K13","H1","H2","H3","H12","H13"},0),Calc!$V$2:$V$137,Calc!$AC$2:$AC$137,Calc!$AJ$2:$AJ$137,Calc!$AL$2:$AL$137,Calc!$AM$2:$AM$137,Calc!$W$2:$W$137,Calc!$AD$2:$AD$137,Calc!$AK$2:$AK$137,Calc!$AN$2:$AN$137,Calc!$AO$2:$AO$137),MATCH($W51,Calc!$A$2:$A$137,0)),"")</f>
        <v>31.5640476190476</v>
      </c>
      <c r="H51" s="11" t="n">
        <f aca="false">IF(G51="","",IF(LEFT($X51,1)="H",SQRT(G51*(IFERROR(INDEX(Calc!$AP$2:$AP$137,MATCH($W51,Calc!$A$2:$A$137,0)),0.5)*Config!$B$5+1-IFERROR(INDEX(Calc!$AP$2:$AP$137,MATCH($W51,Calc!$A$2:$A$137,0)),0.5))),SQRT(G51*Config!$B$5)))</f>
        <v>6.64753086992958</v>
      </c>
      <c r="I51" s="10" t="n">
        <f aca="false">IF(OR(F51="",G51="",N(H51)&lt;=0),"",1-NORMDIST(FLOOR(F51,1)+0.5,G51,H51,TRUE()))</f>
        <v>0.563585691676996</v>
      </c>
      <c r="J51" s="10" t="n">
        <f aca="false">IF(I51="","",NORMDIST(CEILING(F51,1)-0.5,G51,H51,TRUE()))</f>
        <v>0.436414308323004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OVER</v>
      </c>
      <c r="N51" s="0" t="n">
        <v>29.3</v>
      </c>
      <c r="O51" s="10" t="n">
        <v>0.8</v>
      </c>
      <c r="P51" s="10" t="n">
        <v>0.5</v>
      </c>
      <c r="Q51" s="10" t="n">
        <v>0.6</v>
      </c>
      <c r="R51" s="9" t="s">
        <v>1338</v>
      </c>
      <c r="S51" s="0" t="n">
        <v>-1</v>
      </c>
      <c r="T51" s="0" t="str">
        <f aca="false">INDEX(Calc!$G$2:$G$137,MATCH($W51,Calc!$A$2:$A$137,0))&amp;" / "&amp;INDEX(Calc!$H$2:$H$137,MATCH($W51,Calc!$A$2:$A$137,0))</f>
        <v>Dust2 / Cache</v>
      </c>
      <c r="U51" s="0" t="str">
        <f aca="false">TEXT(INDEX(Calc!$J$2:$J$137,MATCH($W51,Calc!$A$2:$A$137,0)),"0.0")&amp;" / "&amp;TEXT(INDEX(Calc!$K$2:$K$137,MATCH($W51,Calc!$A$2:$A$137,0)),"0.0")</f>
        <v>21.5 / 21.5</v>
      </c>
      <c r="V51" s="0" t="str">
        <f aca="false">IFERROR(INDEX(Calc!$AQ$2:$AQ$137,MATCH($W51,Calc!$A$2:$A$137,0)),"")</f>
        <v/>
      </c>
      <c r="W51" s="9" t="s">
        <v>1351</v>
      </c>
      <c r="X51" s="9" t="s">
        <v>1291</v>
      </c>
      <c r="Y51" s="0" t="str">
        <f aca="false">W51&amp;"|"&amp;X51</f>
        <v>jznoz5axpwbs6p9|CS2 · B8 vs HOTU|K12</v>
      </c>
      <c r="Z51" s="11" t="n">
        <f aca="false">IFERROR(INDEX(CHOOSE(MATCH($X51,{"K1","K2","K3","K12","K13","H1","H2","H3","H12","H13"},0),Calc!$BA$2:$BA$137,Calc!$BB$2:$BB$137,Calc!$BC$2:$BC$137,Calc!$BD$2:$BD$137,Calc!$BE$2:$BE$137,Calc!$BF$2:$BF$137,Calc!$BG$2:$BG$137,Calc!$BH$2:$BH$137,Calc!$BI$2:$BI$137,Calc!$BJ$2:$BJ$137),MATCH($W51,Calc!$A$2:$A$137,0)),"")</f>
        <v>30.1512254876682</v>
      </c>
      <c r="AA51" s="11" t="n">
        <f aca="false">IF(Z51="","",IF(LEFT($X51,1)="H",SQRT(Z51*(IFERROR(INDEX(Calc!$AP$2:$AP$137,MATCH($W51,Calc!$A$2:$A$137,0)),0.5)*Config!$B$5+1-IFERROR(INDEX(Calc!$AP$2:$AP$137,MATCH($W51,Calc!$A$2:$A$137,0)),0.5))),SQRT(Z51*Config!$B$5)))</f>
        <v>6.49705438508371</v>
      </c>
      <c r="AB51" s="10" t="n">
        <f aca="false">IF(OR(F51="",Z51="",N(AA51)&lt;=0),"",1-NORMDIST(FLOOR(F51,1)+0.5,Z51,AA51,TRUE()))</f>
        <v>0.478594284164982</v>
      </c>
      <c r="AC51" s="10" t="n">
        <f aca="false">IF(AB51="","",NORMDIST(CEILING(F51,1)-0.5,Z51,AA51,TRUE()))</f>
        <v>0.521405715835018</v>
      </c>
      <c r="AD51" s="0" t="str">
        <f aca="false">IF(AB51="","",IF(AB51&gt;=0.5+Config!$B$6,"OVER",IF(AC51&gt;=0.5+Config!$B$6,"UNDER","—")))</f>
        <v>—</v>
      </c>
      <c r="AE51" s="13" t="n">
        <f aca="false">IFERROR(Z51/G51,"")</f>
        <v>0.955239513371954</v>
      </c>
    </row>
    <row r="52" customFormat="false" ht="15" hidden="false" customHeight="false" outlineLevel="0" collapsed="false">
      <c r="A52" s="0" t="s">
        <v>1139</v>
      </c>
      <c r="B52" s="0" t="s">
        <v>1147</v>
      </c>
      <c r="C52" s="0" t="s">
        <v>1352</v>
      </c>
      <c r="D52" s="0" t="s">
        <v>1153</v>
      </c>
      <c r="E52" s="0" t="s">
        <v>1286</v>
      </c>
      <c r="F52" s="0" t="n">
        <v>14.5</v>
      </c>
      <c r="G52" s="11" t="n">
        <f aca="false">IFERROR(INDEX(CHOOSE(MATCH($X52,{"K1","K2","K3","K12","K13","H1","H2","H3","H12","H13"},0),Calc!$V$2:$V$137,Calc!$AC$2:$AC$137,Calc!$AJ$2:$AJ$137,Calc!$AL$2:$AL$137,Calc!$AM$2:$AM$137,Calc!$W$2:$W$137,Calc!$AD$2:$AD$137,Calc!$AK$2:$AK$137,Calc!$AN$2:$AN$137,Calc!$AO$2:$AO$137),MATCH($W52,Calc!$A$2:$A$137,0)),"")</f>
        <v>14.3442572590703</v>
      </c>
      <c r="H52" s="11" t="n">
        <f aca="false">IF(G52="","",IF(LEFT($X52,1)="H",SQRT(G52*(IFERROR(INDEX(Calc!$AP$2:$AP$137,MATCH($W52,Calc!$A$2:$A$137,0)),0.5)*Config!$B$5+1-IFERROR(INDEX(Calc!$AP$2:$AP$137,MATCH($W52,Calc!$A$2:$A$137,0)),0.5))),SQRT(G52*Config!$B$5)))</f>
        <v>4.18857258294085</v>
      </c>
      <c r="I52" s="10" t="n">
        <f aca="false">IF(OR(F52="",G52="",N(H52)&lt;=0),"",1-NORMDIST(FLOOR(F52,1)+0.5,G52,H52,TRUE()))</f>
        <v>0.485169637383058</v>
      </c>
      <c r="J52" s="10" t="n">
        <f aca="false">IF(I52="","",NORMDIST(CEILING(F52,1)-0.5,G52,H52,TRUE()))</f>
        <v>0.514830362616942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—</v>
      </c>
      <c r="N52" s="0" t="n">
        <v>12</v>
      </c>
      <c r="O52" s="10" t="n">
        <v>0.2</v>
      </c>
      <c r="P52" s="10" t="n">
        <v>0.3</v>
      </c>
      <c r="Q52" s="10" t="n">
        <v>0.47</v>
      </c>
      <c r="R52" s="9" t="s">
        <v>1340</v>
      </c>
      <c r="S52" s="0" t="n">
        <v>-4</v>
      </c>
      <c r="T52" s="0" t="str">
        <f aca="false">INDEX(Calc!$G$2:$G$137,MATCH($W52,Calc!$A$2:$A$137,0))&amp;" / "&amp;INDEX(Calc!$H$2:$H$137,MATCH($W52,Calc!$A$2:$A$137,0))</f>
        <v>Dust2 / Cache</v>
      </c>
      <c r="U52" s="0" t="str">
        <f aca="false">TEXT(INDEX(Calc!$J$2:$J$137,MATCH($W52,Calc!$A$2:$A$137,0)),"0.0")&amp;" / "&amp;TEXT(INDEX(Calc!$K$2:$K$137,MATCH($W52,Calc!$A$2:$A$137,0)),"0.0")</f>
        <v>21.5 / 21.5</v>
      </c>
      <c r="V52" s="0" t="str">
        <f aca="false">IFERROR(INDEX(Calc!$AQ$2:$AQ$137,MATCH($W52,Calc!$A$2:$A$137,0)),"")</f>
        <v/>
      </c>
      <c r="W52" s="9" t="s">
        <v>1353</v>
      </c>
      <c r="X52" s="9" t="s">
        <v>1289</v>
      </c>
      <c r="Y52" s="0" t="str">
        <f aca="false">W52&amp;"|"&amp;X52</f>
        <v>xs4swsc9sjw6f0h|CS2 · B8 vs HOTU|H12</v>
      </c>
      <c r="Z52" s="11" t="n">
        <f aca="false">IFERROR(INDEX(CHOOSE(MATCH($X52,{"K1","K2","K3","K12","K13","H1","H2","H3","H12","H13"},0),Calc!$BA$2:$BA$137,Calc!$BB$2:$BB$137,Calc!$BC$2:$BC$137,Calc!$BD$2:$BD$137,Calc!$BE$2:$BE$137,Calc!$BF$2:$BF$137,Calc!$BG$2:$BG$137,Calc!$BH$2:$BH$137,Calc!$BI$2:$BI$137,Calc!$BJ$2:$BJ$137),MATCH($W52,Calc!$A$2:$A$137,0)),"")</f>
        <v>13.6716649931429</v>
      </c>
      <c r="AA52" s="11" t="n">
        <f aca="false">IF(Z52="","",IF(LEFT($X52,1)="H",SQRT(Z52*(IFERROR(INDEX(Calc!$AP$2:$AP$137,MATCH($W52,Calc!$A$2:$A$137,0)),0.5)*Config!$B$5+1-IFERROR(INDEX(Calc!$AP$2:$AP$137,MATCH($W52,Calc!$A$2:$A$137,0)),0.5))),SQRT(Z52*Config!$B$5)))</f>
        <v>4.08919401873251</v>
      </c>
      <c r="AB52" s="10" t="n">
        <f aca="false">IF(OR(F52="",Z52="",N(AA52)&lt;=0),"",1-NORMDIST(FLOOR(F52,1)+0.5,Z52,AA52,TRUE()))</f>
        <v>0.419736815143171</v>
      </c>
      <c r="AC52" s="10" t="n">
        <f aca="false">IF(AB52="","",NORMDIST(CEILING(F52,1)-0.5,Z52,AA52,TRUE()))</f>
        <v>0.580263184856829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0.953110694141928</v>
      </c>
    </row>
    <row r="53" customFormat="false" ht="15" hidden="false" customHeight="false" outlineLevel="0" collapsed="false">
      <c r="A53" s="0" t="s">
        <v>1139</v>
      </c>
      <c r="B53" s="0" t="s">
        <v>1147</v>
      </c>
      <c r="C53" s="0" t="s">
        <v>1352</v>
      </c>
      <c r="D53" s="0" t="s">
        <v>1153</v>
      </c>
      <c r="E53" s="0" t="s">
        <v>1290</v>
      </c>
      <c r="F53" s="0" t="n">
        <v>26.5</v>
      </c>
      <c r="G53" s="11" t="n">
        <f aca="false">IFERROR(INDEX(CHOOSE(MATCH($X53,{"K1","K2","K3","K12","K13","H1","H2","H3","H12","H13"},0),Calc!$V$2:$V$137,Calc!$AC$2:$AC$137,Calc!$AJ$2:$AJ$137,Calc!$AL$2:$AL$137,Calc!$AM$2:$AM$137,Calc!$W$2:$W$137,Calc!$AD$2:$AD$137,Calc!$AK$2:$AK$137,Calc!$AN$2:$AN$137,Calc!$AO$2:$AO$137),MATCH($W53,Calc!$A$2:$A$137,0)),"")</f>
        <v>25.7206547619048</v>
      </c>
      <c r="H53" s="11" t="n">
        <f aca="false">IF(G53="","",IF(LEFT($X53,1)="H",SQRT(G53*(IFERROR(INDEX(Calc!$AP$2:$AP$137,MATCH($W53,Calc!$A$2:$A$137,0)),0.5)*Config!$B$5+1-IFERROR(INDEX(Calc!$AP$2:$AP$137,MATCH($W53,Calc!$A$2:$A$137,0)),0.5))),SQRT(G53*Config!$B$5)))</f>
        <v>6.00074300955029</v>
      </c>
      <c r="I53" s="10" t="n">
        <f aca="false">IF(OR(F53="",G53="",N(H53)&lt;=0),"",1-NORMDIST(FLOOR(F53,1)+0.5,G53,H53,TRUE()))</f>
        <v>0.448332745006492</v>
      </c>
      <c r="J53" s="10" t="n">
        <f aca="false">IF(I53="","",NORMDIST(CEILING(F53,1)-0.5,G53,H53,TRUE()))</f>
        <v>0.551667254993508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22.9</v>
      </c>
      <c r="O53" s="10" t="n">
        <v>0.2</v>
      </c>
      <c r="P53" s="10" t="n">
        <v>0.2</v>
      </c>
      <c r="Q53" s="10" t="n">
        <v>0.33</v>
      </c>
      <c r="R53" s="9" t="s">
        <v>1340</v>
      </c>
      <c r="S53" s="0" t="n">
        <v>-4</v>
      </c>
      <c r="T53" s="0" t="str">
        <f aca="false">INDEX(Calc!$G$2:$G$137,MATCH($W53,Calc!$A$2:$A$137,0))&amp;" / "&amp;INDEX(Calc!$H$2:$H$137,MATCH($W53,Calc!$A$2:$A$137,0))</f>
        <v>Dust2 / Cache</v>
      </c>
      <c r="U53" s="0" t="str">
        <f aca="false">TEXT(INDEX(Calc!$J$2:$J$137,MATCH($W53,Calc!$A$2:$A$137,0)),"0.0")&amp;" / "&amp;TEXT(INDEX(Calc!$K$2:$K$137,MATCH($W53,Calc!$A$2:$A$137,0)),"0.0")</f>
        <v>21.5 / 21.5</v>
      </c>
      <c r="V53" s="0" t="str">
        <f aca="false">IFERROR(INDEX(Calc!$AQ$2:$AQ$137,MATCH($W53,Calc!$A$2:$A$137,0)),"")</f>
        <v/>
      </c>
      <c r="W53" s="9" t="s">
        <v>1353</v>
      </c>
      <c r="X53" s="9" t="s">
        <v>1291</v>
      </c>
      <c r="Y53" s="0" t="str">
        <f aca="false">W53&amp;"|"&amp;X53</f>
        <v>xs4swsc9sjw6f0h|CS2 · B8 vs HOTU|K12</v>
      </c>
      <c r="Z53" s="11" t="n">
        <f aca="false">IFERROR(INDEX(CHOOSE(MATCH($X53,{"K1","K2","K3","K12","K13","H1","H2","H3","H12","H13"},0),Calc!$BA$2:$BA$137,Calc!$BB$2:$BB$137,Calc!$BC$2:$BC$137,Calc!$BD$2:$BD$137,Calc!$BE$2:$BE$137,Calc!$BF$2:$BF$137,Calc!$BG$2:$BG$137,Calc!$BH$2:$BH$137,Calc!$BI$2:$BI$137,Calc!$BJ$2:$BJ$137),MATCH($W53,Calc!$A$2:$A$137,0)),"")</f>
        <v>24.5214899596873</v>
      </c>
      <c r="AA53" s="11" t="n">
        <f aca="false">IF(Z53="","",IF(LEFT($X53,1)="H",SQRT(Z53*(IFERROR(INDEX(Calc!$AP$2:$AP$137,MATCH($W53,Calc!$A$2:$A$137,0)),0.5)*Config!$B$5+1-IFERROR(INDEX(Calc!$AP$2:$AP$137,MATCH($W53,Calc!$A$2:$A$137,0)),0.5))),SQRT(Z53*Config!$B$5)))</f>
        <v>5.85918816420519</v>
      </c>
      <c r="AB53" s="10" t="n">
        <f aca="false">IF(OR(F53="",Z53="",N(AA53)&lt;=0),"",1-NORMDIST(FLOOR(F53,1)+0.5,Z53,AA53,TRUE()))</f>
        <v>0.367803500129234</v>
      </c>
      <c r="AC53" s="10" t="n">
        <f aca="false">IF(AB53="","",NORMDIST(CEILING(F53,1)-0.5,Z53,AA53,TRUE()))</f>
        <v>0.632196499870766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0.953377360984078</v>
      </c>
    </row>
    <row r="54" customFormat="false" ht="15" hidden="false" customHeight="false" outlineLevel="0" collapsed="false">
      <c r="A54" s="0" t="s">
        <v>1139</v>
      </c>
      <c r="B54" s="0" t="s">
        <v>1147</v>
      </c>
      <c r="C54" s="0" t="s">
        <v>1354</v>
      </c>
      <c r="D54" s="0" t="s">
        <v>1153</v>
      </c>
      <c r="E54" s="0" t="s">
        <v>1286</v>
      </c>
      <c r="F54" s="0" t="n">
        <v>15.5</v>
      </c>
      <c r="G54" s="11" t="n">
        <f aca="false">IFERROR(INDEX(CHOOSE(MATCH($X54,{"K1","K2","K3","K12","K13","H1","H2","H3","H12","H13"},0),Calc!$V$2:$V$137,Calc!$AC$2:$AC$137,Calc!$AJ$2:$AJ$137,Calc!$AL$2:$AL$137,Calc!$AM$2:$AM$137,Calc!$W$2:$W$137,Calc!$AD$2:$AD$137,Calc!$AK$2:$AK$137,Calc!$AN$2:$AN$137,Calc!$AO$2:$AO$137),MATCH($W54,Calc!$A$2:$A$137,0)),"")</f>
        <v>14.9695480116213</v>
      </c>
      <c r="H54" s="11" t="n">
        <f aca="false">IF(G54="","",IF(LEFT($X54,1)="H",SQRT(G54*(IFERROR(INDEX(Calc!$AP$2:$AP$137,MATCH($W54,Calc!$A$2:$A$137,0)),0.5)*Config!$B$5+1-IFERROR(INDEX(Calc!$AP$2:$AP$137,MATCH($W54,Calc!$A$2:$A$137,0)),0.5))),SQRT(G54*Config!$B$5)))</f>
        <v>4.24064526535097</v>
      </c>
      <c r="I54" s="10" t="n">
        <f aca="false">IF(OR(F54="",G54="",N(H54)&lt;=0),"",1-NORMDIST(FLOOR(F54,1)+0.5,G54,H54,TRUE()))</f>
        <v>0.450227114009253</v>
      </c>
      <c r="J54" s="10" t="n">
        <f aca="false">IF(I54="","",NORMDIST(CEILING(F54,1)-0.5,G54,H54,TRUE()))</f>
        <v>0.549772885990747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13.7</v>
      </c>
      <c r="O54" s="10" t="n">
        <v>0.6</v>
      </c>
      <c r="P54" s="10" t="n">
        <v>0.4</v>
      </c>
      <c r="Q54" s="10" t="n">
        <v>0.47</v>
      </c>
      <c r="R54" s="9" t="s">
        <v>1340</v>
      </c>
      <c r="S54" s="0" t="n">
        <v>2</v>
      </c>
      <c r="T54" s="0" t="str">
        <f aca="false">INDEX(Calc!$G$2:$G$137,MATCH($W54,Calc!$A$2:$A$137,0))&amp;" / "&amp;INDEX(Calc!$H$2:$H$137,MATCH($W54,Calc!$A$2:$A$137,0))</f>
        <v>Dust2 / Cache</v>
      </c>
      <c r="U54" s="0" t="str">
        <f aca="false">TEXT(INDEX(Calc!$J$2:$J$137,MATCH($W54,Calc!$A$2:$A$137,0)),"0.0")&amp;" / "&amp;TEXT(INDEX(Calc!$K$2:$K$137,MATCH($W54,Calc!$A$2:$A$137,0)),"0.0")</f>
        <v>21.5 / 21.5</v>
      </c>
      <c r="V54" s="0" t="str">
        <f aca="false">IFERROR(INDEX(Calc!$AQ$2:$AQ$137,MATCH($W54,Calc!$A$2:$A$137,0)),"")</f>
        <v/>
      </c>
      <c r="W54" s="9" t="s">
        <v>1355</v>
      </c>
      <c r="X54" s="9" t="s">
        <v>1289</v>
      </c>
      <c r="Y54" s="0" t="str">
        <f aca="false">W54&amp;"|"&amp;X54</f>
        <v>r15gfw1oxe4qlej|CS2 · B8 vs HOTU|H12</v>
      </c>
      <c r="Z54" s="11" t="n">
        <f aca="false">IFERROR(INDEX(CHOOSE(MATCH($X54,{"K1","K2","K3","K12","K13","H1","H2","H3","H12","H13"},0),Calc!$BA$2:$BA$137,Calc!$BB$2:$BB$137,Calc!$BC$2:$BC$137,Calc!$BD$2:$BD$137,Calc!$BE$2:$BE$137,Calc!$BF$2:$BF$137,Calc!$BG$2:$BG$137,Calc!$BH$2:$BH$137,Calc!$BI$2:$BI$137,Calc!$BJ$2:$BJ$137),MATCH($W54,Calc!$A$2:$A$137,0)),"")</f>
        <v>14.2637611014673</v>
      </c>
      <c r="AA54" s="11" t="n">
        <f aca="false">IF(Z54="","",IF(LEFT($X54,1)="H",SQRT(Z54*(IFERROR(INDEX(Calc!$AP$2:$AP$137,MATCH($W54,Calc!$A$2:$A$137,0)),0.5)*Config!$B$5+1-IFERROR(INDEX(Calc!$AP$2:$AP$137,MATCH($W54,Calc!$A$2:$A$137,0)),0.5))),SQRT(Z54*Config!$B$5)))</f>
        <v>4.13946894893922</v>
      </c>
      <c r="AB54" s="10" t="n">
        <f aca="false">IF(OR(F54="",Z54="",N(AA54)&lt;=0),"",1-NORMDIST(FLOOR(F54,1)+0.5,Z54,AA54,TRUE()))</f>
        <v>0.382604800083018</v>
      </c>
      <c r="AC54" s="10" t="n">
        <f aca="false">IF(AB54="","",NORMDIST(CEILING(F54,1)-0.5,Z54,AA54,TRUE()))</f>
        <v>0.617395199916982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0.952851822272382</v>
      </c>
    </row>
    <row r="55" customFormat="false" ht="15" hidden="false" customHeight="false" outlineLevel="0" collapsed="false">
      <c r="A55" s="0" t="s">
        <v>1139</v>
      </c>
      <c r="B55" s="0" t="s">
        <v>1147</v>
      </c>
      <c r="C55" s="0" t="s">
        <v>1354</v>
      </c>
      <c r="D55" s="0" t="s">
        <v>1153</v>
      </c>
      <c r="E55" s="0" t="s">
        <v>1290</v>
      </c>
      <c r="F55" s="0" t="n">
        <v>29.5</v>
      </c>
      <c r="G55" s="11" t="n">
        <f aca="false">IFERROR(INDEX(CHOOSE(MATCH($X55,{"K1","K2","K3","K12","K13","H1","H2","H3","H12","H13"},0),Calc!$V$2:$V$137,Calc!$AC$2:$AC$137,Calc!$AJ$2:$AJ$137,Calc!$AL$2:$AL$137,Calc!$AM$2:$AM$137,Calc!$W$2:$W$137,Calc!$AD$2:$AD$137,Calc!$AK$2:$AK$137,Calc!$AN$2:$AN$137,Calc!$AO$2:$AO$137),MATCH($W55,Calc!$A$2:$A$137,0)),"")</f>
        <v>29.7442261904762</v>
      </c>
      <c r="H55" s="11" t="n">
        <f aca="false">IF(G55="","",IF(LEFT($X55,1)="H",SQRT(G55*(IFERROR(INDEX(Calc!$AP$2:$AP$137,MATCH($W55,Calc!$A$2:$A$137,0)),0.5)*Config!$B$5+1-IFERROR(INDEX(Calc!$AP$2:$AP$137,MATCH($W55,Calc!$A$2:$A$137,0)),0.5))),SQRT(G55*Config!$B$5)))</f>
        <v>6.45305483214475</v>
      </c>
      <c r="I55" s="10" t="n">
        <f aca="false">IF(OR(F55="",G55="",N(H55)&lt;=0),"",1-NORMDIST(FLOOR(F55,1)+0.5,G55,H55,TRUE()))</f>
        <v>0.515095005567928</v>
      </c>
      <c r="J55" s="10" t="n">
        <f aca="false">IF(I55="","",NORMDIST(CEILING(F55,1)-0.5,G55,H55,TRUE()))</f>
        <v>0.484904994432072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—</v>
      </c>
      <c r="N55" s="0" t="n">
        <v>28.4</v>
      </c>
      <c r="O55" s="10" t="n">
        <v>0.8</v>
      </c>
      <c r="P55" s="10" t="n">
        <v>0.5</v>
      </c>
      <c r="Q55" s="10" t="n">
        <v>0.53</v>
      </c>
      <c r="R55" s="9" t="s">
        <v>1340</v>
      </c>
      <c r="S55" s="0" t="n">
        <v>2</v>
      </c>
      <c r="T55" s="0" t="str">
        <f aca="false">INDEX(Calc!$G$2:$G$137,MATCH($W55,Calc!$A$2:$A$137,0))&amp;" / "&amp;INDEX(Calc!$H$2:$H$137,MATCH($W55,Calc!$A$2:$A$137,0))</f>
        <v>Dust2 / Cache</v>
      </c>
      <c r="U55" s="0" t="str">
        <f aca="false">TEXT(INDEX(Calc!$J$2:$J$137,MATCH($W55,Calc!$A$2:$A$137,0)),"0.0")&amp;" / "&amp;TEXT(INDEX(Calc!$K$2:$K$137,MATCH($W55,Calc!$A$2:$A$137,0)),"0.0")</f>
        <v>21.5 / 21.5</v>
      </c>
      <c r="V55" s="0" t="str">
        <f aca="false">IFERROR(INDEX(Calc!$AQ$2:$AQ$137,MATCH($W55,Calc!$A$2:$A$137,0)),"")</f>
        <v/>
      </c>
      <c r="W55" s="9" t="s">
        <v>1355</v>
      </c>
      <c r="X55" s="9" t="s">
        <v>1291</v>
      </c>
      <c r="Y55" s="0" t="str">
        <f aca="false">W55&amp;"|"&amp;X55</f>
        <v>r15gfw1oxe4qlej|CS2 · B8 vs HOTU|K12</v>
      </c>
      <c r="Z55" s="11" t="n">
        <f aca="false">IFERROR(INDEX(CHOOSE(MATCH($X55,{"K1","K2","K3","K12","K13","H1","H2","H3","H12","H13"},0),Calc!$BA$2:$BA$137,Calc!$BB$2:$BB$137,Calc!$BC$2:$BC$137,Calc!$BD$2:$BD$137,Calc!$BE$2:$BE$137,Calc!$BF$2:$BF$137,Calc!$BG$2:$BG$137,Calc!$BH$2:$BH$137,Calc!$BI$2:$BI$137,Calc!$BJ$2:$BJ$137),MATCH($W55,Calc!$A$2:$A$137,0)),"")</f>
        <v>28.354548573005</v>
      </c>
      <c r="AA55" s="11" t="n">
        <f aca="false">IF(Z55="","",IF(LEFT($X55,1)="H",SQRT(Z55*(IFERROR(INDEX(Calc!$AP$2:$AP$137,MATCH($W55,Calc!$A$2:$A$137,0)),0.5)*Config!$B$5+1-IFERROR(INDEX(Calc!$AP$2:$AP$137,MATCH($W55,Calc!$A$2:$A$137,0)),0.5))),SQRT(Z55*Config!$B$5)))</f>
        <v>6.30050537673027</v>
      </c>
      <c r="AB55" s="10" t="n">
        <f aca="false">IF(OR(F55="",Z55="",N(AA55)&lt;=0),"",1-NORMDIST(FLOOR(F55,1)+0.5,Z55,AA55,TRUE()))</f>
        <v>0.427868624692412</v>
      </c>
      <c r="AC55" s="10" t="n">
        <f aca="false">IF(AB55="","",NORMDIST(CEILING(F55,1)-0.5,Z55,AA55,TRUE()))</f>
        <v>0.572131375307588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0.953279079826386</v>
      </c>
    </row>
    <row r="56" customFormat="false" ht="15" hidden="false" customHeight="false" outlineLevel="0" collapsed="false">
      <c r="A56" s="0" t="s">
        <v>1139</v>
      </c>
      <c r="B56" s="0" t="s">
        <v>1147</v>
      </c>
      <c r="C56" s="0" t="s">
        <v>1356</v>
      </c>
      <c r="D56" s="0" t="s">
        <v>1153</v>
      </c>
      <c r="E56" s="0" t="s">
        <v>1286</v>
      </c>
      <c r="F56" s="0" t="n">
        <v>15.5</v>
      </c>
      <c r="G56" s="11" t="n">
        <f aca="false">IFERROR(INDEX(CHOOSE(MATCH($X56,{"K1","K2","K3","K12","K13","H1","H2","H3","H12","H13"},0),Calc!$V$2:$V$137,Calc!$AC$2:$AC$137,Calc!$AJ$2:$AJ$137,Calc!$AL$2:$AL$137,Calc!$AM$2:$AM$137,Calc!$W$2:$W$137,Calc!$AD$2:$AD$137,Calc!$AK$2:$AK$137,Calc!$AN$2:$AN$137,Calc!$AO$2:$AO$137),MATCH($W56,Calc!$A$2:$A$137,0)),"")</f>
        <v>16.7204536522109</v>
      </c>
      <c r="H56" s="11" t="n">
        <f aca="false">IF(G56="","",IF(LEFT($X56,1)="H",SQRT(G56*(IFERROR(INDEX(Calc!$AP$2:$AP$137,MATCH($W56,Calc!$A$2:$A$137,0)),0.5)*Config!$B$5+1-IFERROR(INDEX(Calc!$AP$2:$AP$137,MATCH($W56,Calc!$A$2:$A$137,0)),0.5))),SQRT(G56*Config!$B$5)))</f>
        <v>4.5194380994418</v>
      </c>
      <c r="I56" s="10" t="n">
        <f aca="false">IF(OR(F56="",G56="",N(H56)&lt;=0),"",1-NORMDIST(FLOOR(F56,1)+0.5,G56,H56,TRUE()))</f>
        <v>0.606437352340394</v>
      </c>
      <c r="J56" s="10" t="n">
        <f aca="false">IF(I56="","",NORMDIST(CEILING(F56,1)-0.5,G56,H56,TRUE()))</f>
        <v>0.393562647659606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N56" s="0" t="n">
        <v>17.1</v>
      </c>
      <c r="O56" s="10" t="n">
        <v>1</v>
      </c>
      <c r="P56" s="10" t="n">
        <v>0.6</v>
      </c>
      <c r="Q56" s="10" t="n">
        <v>0.53</v>
      </c>
      <c r="R56" s="9" t="s">
        <v>1357</v>
      </c>
      <c r="S56" s="0" t="n">
        <v>5</v>
      </c>
      <c r="T56" s="0" t="str">
        <f aca="false">INDEX(Calc!$G$2:$G$137,MATCH($W56,Calc!$A$2:$A$137,0))&amp;" / "&amp;INDEX(Calc!$H$2:$H$137,MATCH($W56,Calc!$A$2:$A$137,0))</f>
        <v>Dust2 / Cache</v>
      </c>
      <c r="U56" s="0" t="str">
        <f aca="false">TEXT(INDEX(Calc!$J$2:$J$137,MATCH($W56,Calc!$A$2:$A$137,0)),"0.0")&amp;" / "&amp;TEXT(INDEX(Calc!$K$2:$K$137,MATCH($W56,Calc!$A$2:$A$137,0)),"0.0")</f>
        <v>21.5 / 21.5</v>
      </c>
      <c r="V56" s="0" t="str">
        <f aca="false">IFERROR(INDEX(Calc!$AQ$2:$AQ$137,MATCH($W56,Calc!$A$2:$A$137,0)),"")</f>
        <v/>
      </c>
      <c r="W56" s="9" t="s">
        <v>1358</v>
      </c>
      <c r="X56" s="9" t="s">
        <v>1289</v>
      </c>
      <c r="Y56" s="0" t="str">
        <f aca="false">W56&amp;"|"&amp;X56</f>
        <v>50lzcgm17r170cw|CS2 · B8 vs HOTU|H12</v>
      </c>
      <c r="Z56" s="11" t="n">
        <f aca="false">IFERROR(INDEX(CHOOSE(MATCH($X56,{"K1","K2","K3","K12","K13","H1","H2","H3","H12","H13"},0),Calc!$BA$2:$BA$137,Calc!$BB$2:$BB$137,Calc!$BC$2:$BC$137,Calc!$BD$2:$BD$137,Calc!$BE$2:$BE$137,Calc!$BF$2:$BF$137,Calc!$BG$2:$BG$137,Calc!$BH$2:$BH$137,Calc!$BI$2:$BI$137,Calc!$BJ$2:$BJ$137),MATCH($W56,Calc!$A$2:$A$137,0)),"")</f>
        <v>15.9446861187441</v>
      </c>
      <c r="AA56" s="11" t="n">
        <f aca="false">IF(Z56="","",IF(LEFT($X56,1)="H",SQRT(Z56*(IFERROR(INDEX(Calc!$AP$2:$AP$137,MATCH($W56,Calc!$A$2:$A$137,0)),0.5)*Config!$B$5+1-IFERROR(INDEX(Calc!$AP$2:$AP$137,MATCH($W56,Calc!$A$2:$A$137,0)),0.5))),SQRT(Z56*Config!$B$5)))</f>
        <v>4.41335031457045</v>
      </c>
      <c r="AB56" s="10" t="n">
        <f aca="false">IF(OR(F56="",Z56="",N(AA56)&lt;=0),"",1-NORMDIST(FLOOR(F56,1)+0.5,Z56,AA56,TRUE()))</f>
        <v>0.540129234608242</v>
      </c>
      <c r="AC56" s="10" t="n">
        <f aca="false">IF(AB56="","",NORMDIST(CEILING(F56,1)-0.5,Z56,AA56,TRUE()))</f>
        <v>0.459870765391758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0.95360367908653</v>
      </c>
    </row>
    <row r="57" customFormat="false" ht="15" hidden="false" customHeight="false" outlineLevel="0" collapsed="false">
      <c r="A57" s="0" t="s">
        <v>1139</v>
      </c>
      <c r="B57" s="0" t="s">
        <v>1147</v>
      </c>
      <c r="C57" s="0" t="s">
        <v>1356</v>
      </c>
      <c r="D57" s="0" t="s">
        <v>1153</v>
      </c>
      <c r="E57" s="0" t="s">
        <v>1290</v>
      </c>
      <c r="F57" s="0" t="n">
        <v>29.5</v>
      </c>
      <c r="G57" s="11" t="n">
        <f aca="false">IFERROR(INDEX(CHOOSE(MATCH($X57,{"K1","K2","K3","K12","K13","H1","H2","H3","H12","H13"},0),Calc!$V$2:$V$137,Calc!$AC$2:$AC$137,Calc!$AJ$2:$AJ$137,Calc!$AL$2:$AL$137,Calc!$AM$2:$AM$137,Calc!$W$2:$W$137,Calc!$AD$2:$AD$137,Calc!$AK$2:$AK$137,Calc!$AN$2:$AN$137,Calc!$AO$2:$AO$137),MATCH($W57,Calc!$A$2:$A$137,0)),"")</f>
        <v>30.1844642857143</v>
      </c>
      <c r="H57" s="11" t="n">
        <f aca="false">IF(G57="","",IF(LEFT($X57,1)="H",SQRT(G57*(IFERROR(INDEX(Calc!$AP$2:$AP$137,MATCH($W57,Calc!$A$2:$A$137,0)),0.5)*Config!$B$5+1-IFERROR(INDEX(Calc!$AP$2:$AP$137,MATCH($W57,Calc!$A$2:$A$137,0)),0.5))),SQRT(G57*Config!$B$5)))</f>
        <v>6.50063458440789</v>
      </c>
      <c r="I57" s="10" t="n">
        <f aca="false">IF(OR(F57="",G57="",N(H57)&lt;=0),"",1-NORMDIST(FLOOR(F57,1)+0.5,G57,H57,TRUE()))</f>
        <v>0.541927912213246</v>
      </c>
      <c r="J57" s="10" t="n">
        <f aca="false">IF(I57="","",NORMDIST(CEILING(F57,1)-0.5,G57,H57,TRUE()))</f>
        <v>0.458072087786754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OVER</v>
      </c>
      <c r="N57" s="0" t="n">
        <v>29.4</v>
      </c>
      <c r="O57" s="10" t="n">
        <v>0.8</v>
      </c>
      <c r="P57" s="10" t="n">
        <v>0.6</v>
      </c>
      <c r="Q57" s="10" t="n">
        <v>0.47</v>
      </c>
      <c r="R57" s="9" t="s">
        <v>1359</v>
      </c>
      <c r="S57" s="0" t="n">
        <v>-1</v>
      </c>
      <c r="T57" s="0" t="str">
        <f aca="false">INDEX(Calc!$G$2:$G$137,MATCH($W57,Calc!$A$2:$A$137,0))&amp;" / "&amp;INDEX(Calc!$H$2:$H$137,MATCH($W57,Calc!$A$2:$A$137,0))</f>
        <v>Dust2 / Cache</v>
      </c>
      <c r="U57" s="0" t="str">
        <f aca="false">TEXT(INDEX(Calc!$J$2:$J$137,MATCH($W57,Calc!$A$2:$A$137,0)),"0.0")&amp;" / "&amp;TEXT(INDEX(Calc!$K$2:$K$137,MATCH($W57,Calc!$A$2:$A$137,0)),"0.0")</f>
        <v>21.5 / 21.5</v>
      </c>
      <c r="V57" s="0" t="str">
        <f aca="false">IFERROR(INDEX(Calc!$AQ$2:$AQ$137,MATCH($W57,Calc!$A$2:$A$137,0)),"")</f>
        <v/>
      </c>
      <c r="W57" s="9" t="s">
        <v>1358</v>
      </c>
      <c r="X57" s="9" t="s">
        <v>1291</v>
      </c>
      <c r="Y57" s="0" t="str">
        <f aca="false">W57&amp;"|"&amp;X57</f>
        <v>50lzcgm17r170cw|CS2 · B8 vs HOTU|K12</v>
      </c>
      <c r="Z57" s="11" t="n">
        <f aca="false">IFERROR(INDEX(CHOOSE(MATCH($X57,{"K1","K2","K3","K12","K13","H1","H2","H3","H12","H13"},0),Calc!$BA$2:$BA$137,Calc!$BB$2:$BB$137,Calc!$BC$2:$BC$137,Calc!$BD$2:$BD$137,Calc!$BE$2:$BE$137,Calc!$BF$2:$BF$137,Calc!$BG$2:$BG$137,Calc!$BH$2:$BH$137,Calc!$BI$2:$BI$137,Calc!$BJ$2:$BJ$137),MATCH($W57,Calc!$A$2:$A$137,0)),"")</f>
        <v>28.7949788649483</v>
      </c>
      <c r="AA57" s="11" t="n">
        <f aca="false">IF(Z57="","",IF(LEFT($X57,1)="H",SQRT(Z57*(IFERROR(INDEX(Calc!$AP$2:$AP$137,MATCH($W57,Calc!$A$2:$A$137,0)),0.5)*Config!$B$5+1-IFERROR(INDEX(Calc!$AP$2:$AP$137,MATCH($W57,Calc!$A$2:$A$137,0)),0.5))),SQRT(Z57*Config!$B$5)))</f>
        <v>6.34924959431645</v>
      </c>
      <c r="AB57" s="10" t="n">
        <f aca="false">IF(OR(F57="",Z57="",N(AA57)&lt;=0),"",1-NORMDIST(FLOOR(F57,1)+0.5,Z57,AA57,TRUE()))</f>
        <v>0.455792284983859</v>
      </c>
      <c r="AC57" s="10" t="n">
        <f aca="false">IF(AB57="","",NORMDIST(CEILING(F57,1)-0.5,Z57,AA57,TRUE()))</f>
        <v>0.544207715016141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0.953966868266613</v>
      </c>
    </row>
    <row r="58" customFormat="false" ht="15" hidden="false" customHeight="false" outlineLevel="0" collapsed="false">
      <c r="A58" s="0" t="s">
        <v>1139</v>
      </c>
      <c r="B58" s="0" t="s">
        <v>1174</v>
      </c>
      <c r="C58" s="0" t="s">
        <v>1360</v>
      </c>
      <c r="D58" s="0" t="s">
        <v>1178</v>
      </c>
      <c r="E58" s="0" t="s">
        <v>1286</v>
      </c>
      <c r="F58" s="0" t="n">
        <v>13.5</v>
      </c>
      <c r="G58" s="11" t="n">
        <f aca="false">IFERROR(INDEX(CHOOSE(MATCH($X58,{"K1","K2","K3","K12","K13","H1","H2","H3","H12","H13"},0),Calc!$V$2:$V$137,Calc!$AC$2:$AC$137,Calc!$AJ$2:$AJ$137,Calc!$AL$2:$AL$137,Calc!$AM$2:$AM$137,Calc!$W$2:$W$137,Calc!$AD$2:$AD$137,Calc!$AK$2:$AK$137,Calc!$AN$2:$AN$137,Calc!$AO$2:$AO$137),MATCH($W58,Calc!$A$2:$A$137,0)),"")</f>
        <v>13.7986043309833</v>
      </c>
      <c r="H58" s="11" t="n">
        <f aca="false">IF(G58="","",IF(LEFT($X58,1)="H",SQRT(G58*(IFERROR(INDEX(Calc!$AP$2:$AP$137,MATCH($W58,Calc!$A$2:$A$137,0)),0.5)*Config!$B$5+1-IFERROR(INDEX(Calc!$AP$2:$AP$137,MATCH($W58,Calc!$A$2:$A$137,0)),0.5))),SQRT(G58*Config!$B$5)))</f>
        <v>4.04606586014275</v>
      </c>
      <c r="I58" s="10" t="n">
        <f aca="false">IF(OR(F58="",G58="",N(H58)&lt;=0),"",1-NORMDIST(FLOOR(F58,1)+0.5,G58,H58,TRUE()))</f>
        <v>0.529415695746119</v>
      </c>
      <c r="J58" s="10" t="n">
        <f aca="false">IF(I58="","",NORMDIST(CEILING(F58,1)-0.5,G58,H58,TRUE()))</f>
        <v>0.470584304253881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—</v>
      </c>
      <c r="N58" s="0" t="n">
        <v>13.2</v>
      </c>
      <c r="O58" s="10" t="n">
        <v>0.2</v>
      </c>
      <c r="P58" s="10" t="n">
        <v>0.6</v>
      </c>
      <c r="Q58" s="10" t="n">
        <v>0.53</v>
      </c>
      <c r="R58" s="9" t="s">
        <v>1361</v>
      </c>
      <c r="S58" s="0" t="n">
        <v>-4</v>
      </c>
      <c r="T58" s="0" t="str">
        <f aca="false">INDEX(Calc!$G$2:$G$137,MATCH($W58,Calc!$A$2:$A$137,0))&amp;" / "&amp;INDEX(Calc!$H$2:$H$137,MATCH($W58,Calc!$A$2:$A$137,0))</f>
        <v>Mirage / Ancient</v>
      </c>
      <c r="U58" s="0" t="str">
        <f aca="false">TEXT(INDEX(Calc!$J$2:$J$137,MATCH($W58,Calc!$A$2:$A$137,0)),"0.0")&amp;" / "&amp;TEXT(INDEX(Calc!$K$2:$K$137,MATCH($W58,Calc!$A$2:$A$137,0)),"0.0")</f>
        <v>21.5 / 21.4</v>
      </c>
      <c r="V58" s="0" t="str">
        <f aca="false">IFERROR(INDEX(Calc!$AQ$2:$AQ$137,MATCH($W58,Calc!$A$2:$A$137,0)),"")</f>
        <v/>
      </c>
      <c r="W58" s="9" t="s">
        <v>1362</v>
      </c>
      <c r="X58" s="9" t="s">
        <v>1289</v>
      </c>
      <c r="Y58" s="0" t="str">
        <f aca="false">W58&amp;"|"&amp;X58</f>
        <v>elja8hf3dep1m4s|CS2 · BAR vs BHE|H12</v>
      </c>
      <c r="Z58" s="11" t="n">
        <f aca="false">IFERROR(INDEX(CHOOSE(MATCH($X58,{"K1","K2","K3","K12","K13","H1","H2","H3","H12","H13"},0),Calc!$BA$2:$BA$137,Calc!$BB$2:$BB$137,Calc!$BC$2:$BC$137,Calc!$BD$2:$BD$137,Calc!$BE$2:$BE$137,Calc!$BF$2:$BF$137,Calc!$BG$2:$BG$137,Calc!$BH$2:$BH$137,Calc!$BI$2:$BI$137,Calc!$BJ$2:$BJ$137),MATCH($W58,Calc!$A$2:$A$137,0)),"")</f>
        <v>13.7844809727773</v>
      </c>
      <c r="AA58" s="11" t="n">
        <f aca="false">IF(Z58="","",IF(LEFT($X58,1)="H",SQRT(Z58*(IFERROR(INDEX(Calc!$AP$2:$AP$137,MATCH($W58,Calc!$A$2:$A$137,0)),0.5)*Config!$B$5+1-IFERROR(INDEX(Calc!$AP$2:$AP$137,MATCH($W58,Calc!$A$2:$A$137,0)),0.5))),SQRT(Z58*Config!$B$5)))</f>
        <v>4.04399468447094</v>
      </c>
      <c r="AB58" s="10" t="n">
        <f aca="false">IF(OR(F58="",Z58="",N(AA58)&lt;=0),"",1-NORMDIST(FLOOR(F58,1)+0.5,Z58,AA58,TRUE()))</f>
        <v>0.528041073658234</v>
      </c>
      <c r="AC58" s="10" t="n">
        <f aca="false">IF(AB58="","",NORMDIST(CEILING(F58,1)-0.5,Z58,AA58,TRUE()))</f>
        <v>0.471958926341766</v>
      </c>
      <c r="AD58" s="0" t="str">
        <f aca="false">IF(AB58="","",IF(AB58&gt;=0.5+Config!$B$6,"OVER",IF(AC58&gt;=0.5+Config!$B$6,"UNDER","—")))</f>
        <v>—</v>
      </c>
      <c r="AE58" s="13" t="n">
        <f aca="false">IFERROR(Z58/G58,"")</f>
        <v>0.998976464730255</v>
      </c>
    </row>
    <row r="59" customFormat="false" ht="15" hidden="false" customHeight="false" outlineLevel="0" collapsed="false">
      <c r="A59" s="0" t="s">
        <v>1139</v>
      </c>
      <c r="B59" s="0" t="s">
        <v>1174</v>
      </c>
      <c r="C59" s="0" t="s">
        <v>1360</v>
      </c>
      <c r="D59" s="0" t="s">
        <v>1178</v>
      </c>
      <c r="E59" s="0" t="s">
        <v>1290</v>
      </c>
      <c r="F59" s="0" t="n">
        <v>30.5</v>
      </c>
      <c r="G59" s="11" t="n">
        <f aca="false">IFERROR(INDEX(CHOOSE(MATCH($X59,{"K1","K2","K3","K12","K13","H1","H2","H3","H12","H13"},0),Calc!$V$2:$V$137,Calc!$AC$2:$AC$137,Calc!$AJ$2:$AJ$137,Calc!$AL$2:$AL$137,Calc!$AM$2:$AM$137,Calc!$W$2:$W$137,Calc!$AD$2:$AD$137,Calc!$AK$2:$AK$137,Calc!$AN$2:$AN$137,Calc!$AO$2:$AO$137),MATCH($W59,Calc!$A$2:$A$137,0)),"")</f>
        <v>29.6109142857143</v>
      </c>
      <c r="H59" s="11" t="n">
        <f aca="false">IF(G59="","",IF(LEFT($X59,1)="H",SQRT(G59*(IFERROR(INDEX(Calc!$AP$2:$AP$137,MATCH($W59,Calc!$A$2:$A$137,0)),0.5)*Config!$B$5+1-IFERROR(INDEX(Calc!$AP$2:$AP$137,MATCH($W59,Calc!$A$2:$A$137,0)),0.5))),SQRT(G59*Config!$B$5)))</f>
        <v>6.4385774826432</v>
      </c>
      <c r="I59" s="10" t="n">
        <f aca="false">IF(OR(F59="",G59="",N(H59)&lt;=0),"",1-NORMDIST(FLOOR(F59,1)+0.5,G59,H59,TRUE()))</f>
        <v>0.445085715434417</v>
      </c>
      <c r="J59" s="10" t="n">
        <f aca="false">IF(I59="","",NORMDIST(CEILING(F59,1)-0.5,G59,H59,TRUE()))</f>
        <v>0.554914284565583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29.3</v>
      </c>
      <c r="O59" s="10" t="n">
        <v>0.2</v>
      </c>
      <c r="P59" s="10" t="n">
        <v>0.4</v>
      </c>
      <c r="Q59" s="10" t="n">
        <v>0.4</v>
      </c>
      <c r="R59" s="9" t="s">
        <v>1363</v>
      </c>
      <c r="S59" s="0" t="n">
        <v>-4</v>
      </c>
      <c r="T59" s="0" t="str">
        <f aca="false">INDEX(Calc!$G$2:$G$137,MATCH($W59,Calc!$A$2:$A$137,0))&amp;" / "&amp;INDEX(Calc!$H$2:$H$137,MATCH($W59,Calc!$A$2:$A$137,0))</f>
        <v>Mirage / Ancient</v>
      </c>
      <c r="U59" s="0" t="str">
        <f aca="false">TEXT(INDEX(Calc!$J$2:$J$137,MATCH($W59,Calc!$A$2:$A$137,0)),"0.0")&amp;" / "&amp;TEXT(INDEX(Calc!$K$2:$K$137,MATCH($W59,Calc!$A$2:$A$137,0)),"0.0")</f>
        <v>21.5 / 21.4</v>
      </c>
      <c r="V59" s="0" t="str">
        <f aca="false">IFERROR(INDEX(Calc!$AQ$2:$AQ$137,MATCH($W59,Calc!$A$2:$A$137,0)),"")</f>
        <v/>
      </c>
      <c r="W59" s="9" t="s">
        <v>1362</v>
      </c>
      <c r="X59" s="9" t="s">
        <v>1291</v>
      </c>
      <c r="Y59" s="0" t="str">
        <f aca="false">W59&amp;"|"&amp;X59</f>
        <v>elja8hf3dep1m4s|CS2 · BAR vs BHE|K12</v>
      </c>
      <c r="Z59" s="11" t="n">
        <f aca="false">IFERROR(INDEX(CHOOSE(MATCH($X59,{"K1","K2","K3","K12","K13","H1","H2","H3","H12","H13"},0),Calc!$BA$2:$BA$137,Calc!$BB$2:$BB$137,Calc!$BC$2:$BC$137,Calc!$BD$2:$BD$137,Calc!$BE$2:$BE$137,Calc!$BF$2:$BF$137,Calc!$BG$2:$BG$137,Calc!$BH$2:$BH$137,Calc!$BI$2:$BI$137,Calc!$BJ$2:$BJ$137),MATCH($W59,Calc!$A$2:$A$137,0)),"")</f>
        <v>29.5159632654759</v>
      </c>
      <c r="AA59" s="11" t="n">
        <f aca="false">IF(Z59="","",IF(LEFT($X59,1)="H",SQRT(Z59*(IFERROR(INDEX(Calc!$AP$2:$AP$137,MATCH($W59,Calc!$A$2:$A$137,0)),0.5)*Config!$B$5+1-IFERROR(INDEX(Calc!$AP$2:$AP$137,MATCH($W59,Calc!$A$2:$A$137,0)),0.5))),SQRT(Z59*Config!$B$5)))</f>
        <v>6.42824615051931</v>
      </c>
      <c r="AB59" s="10" t="n">
        <f aca="false">IF(OR(F59="",Z59="",N(AA59)&lt;=0),"",1-NORMDIST(FLOOR(F59,1)+0.5,Z59,AA59,TRUE()))</f>
        <v>0.439167543914863</v>
      </c>
      <c r="AC59" s="10" t="n">
        <f aca="false">IF(AB59="","",NORMDIST(CEILING(F59,1)-0.5,Z59,AA59,TRUE()))</f>
        <v>0.560832456085137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0.996793377626838</v>
      </c>
    </row>
    <row r="60" customFormat="false" ht="15" hidden="false" customHeight="false" outlineLevel="0" collapsed="false">
      <c r="A60" s="0" t="s">
        <v>1139</v>
      </c>
      <c r="B60" s="0" t="s">
        <v>1174</v>
      </c>
      <c r="C60" s="0" t="s">
        <v>1364</v>
      </c>
      <c r="D60" s="0" t="s">
        <v>1178</v>
      </c>
      <c r="E60" s="0" t="s">
        <v>1286</v>
      </c>
      <c r="F60" s="0" t="n">
        <v>9.5</v>
      </c>
      <c r="G60" s="11" t="n">
        <f aca="false">IFERROR(INDEX(CHOOSE(MATCH($X60,{"K1","K2","K3","K12","K13","H1","H2","H3","H12","H13"},0),Calc!$V$2:$V$137,Calc!$AC$2:$AC$137,Calc!$AJ$2:$AJ$137,Calc!$AL$2:$AL$137,Calc!$AM$2:$AM$137,Calc!$W$2:$W$137,Calc!$AD$2:$AD$137,Calc!$AK$2:$AK$137,Calc!$AN$2:$AN$137,Calc!$AO$2:$AO$137),MATCH($W60,Calc!$A$2:$A$137,0)),"")</f>
        <v>8.02487287933884</v>
      </c>
      <c r="H60" s="11" t="n">
        <f aca="false">IF(G60="","",IF(LEFT($X60,1)="H",SQRT(G60*(IFERROR(INDEX(Calc!$AP$2:$AP$137,MATCH($W60,Calc!$A$2:$A$137,0)),0.5)*Config!$B$5+1-IFERROR(INDEX(Calc!$AP$2:$AP$137,MATCH($W60,Calc!$A$2:$A$137,0)),0.5))),SQRT(G60*Config!$B$5)))</f>
        <v>2.99800765503897</v>
      </c>
      <c r="I60" s="10" t="n">
        <f aca="false">IF(OR(F60="",G60="",N(H60)&lt;=0),"",1-NORMDIST(FLOOR(F60,1)+0.5,G60,H60,TRUE()))</f>
        <v>0.31134701480073</v>
      </c>
      <c r="J60" s="10" t="n">
        <f aca="false">IF(I60="","",NORMDIST(CEILING(F60,1)-0.5,G60,H60,TRUE()))</f>
        <v>0.68865298519927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UNDER</v>
      </c>
      <c r="N60" s="0" t="n">
        <v>9.5</v>
      </c>
      <c r="O60" s="10" t="n">
        <v>0.6</v>
      </c>
      <c r="P60" s="10" t="n">
        <v>0.5</v>
      </c>
      <c r="Q60" s="10" t="n">
        <v>0.4</v>
      </c>
      <c r="R60" s="9" t="s">
        <v>1365</v>
      </c>
      <c r="S60" s="0" t="n">
        <v>-1</v>
      </c>
      <c r="T60" s="0" t="str">
        <f aca="false">INDEX(Calc!$G$2:$G$137,MATCH($W60,Calc!$A$2:$A$137,0))&amp;" / "&amp;INDEX(Calc!$H$2:$H$137,MATCH($W60,Calc!$A$2:$A$137,0))</f>
        <v>Mirage / Ancient</v>
      </c>
      <c r="U60" s="0" t="str">
        <f aca="false">TEXT(INDEX(Calc!$J$2:$J$137,MATCH($W60,Calc!$A$2:$A$137,0)),"0.0")&amp;" / "&amp;TEXT(INDEX(Calc!$K$2:$K$137,MATCH($W60,Calc!$A$2:$A$137,0)),"0.0")</f>
        <v>21.5 / 21.4</v>
      </c>
      <c r="V60" s="0" t="str">
        <f aca="false">IFERROR(INDEX(Calc!$AQ$2:$AQ$137,MATCH($W60,Calc!$A$2:$A$137,0)),"")</f>
        <v/>
      </c>
      <c r="W60" s="9" t="s">
        <v>1366</v>
      </c>
      <c r="X60" s="9" t="s">
        <v>1289</v>
      </c>
      <c r="Y60" s="0" t="str">
        <f aca="false">W60&amp;"|"&amp;X60</f>
        <v>8zk5wx3xrdrsxpo|CS2 · BAR vs BHE|H12</v>
      </c>
      <c r="Z60" s="11" t="n">
        <f aca="false">IFERROR(INDEX(CHOOSE(MATCH($X60,{"K1","K2","K3","K12","K13","H1","H2","H3","H12","H13"},0),Calc!$BA$2:$BA$137,Calc!$BB$2:$BB$137,Calc!$BC$2:$BC$137,Calc!$BD$2:$BD$137,Calc!$BE$2:$BE$137,Calc!$BF$2:$BF$137,Calc!$BG$2:$BG$137,Calc!$BH$2:$BH$137,Calc!$BI$2:$BI$137,Calc!$BJ$2:$BJ$137),MATCH($W60,Calc!$A$2:$A$137,0)),"")</f>
        <v>7.99939686701494</v>
      </c>
      <c r="AA60" s="11" t="n">
        <f aca="false">IF(Z60="","",IF(LEFT($X60,1)="H",SQRT(Z60*(IFERROR(INDEX(Calc!$AP$2:$AP$137,MATCH($W60,Calc!$A$2:$A$137,0)),0.5)*Config!$B$5+1-IFERROR(INDEX(Calc!$AP$2:$AP$137,MATCH($W60,Calc!$A$2:$A$137,0)),0.5))),SQRT(Z60*Config!$B$5)))</f>
        <v>2.99324508777144</v>
      </c>
      <c r="AB60" s="10" t="n">
        <f aca="false">IF(OR(F60="",Z60="",N(AA60)&lt;=0),"",1-NORMDIST(FLOOR(F60,1)+0.5,Z60,AA60,TRUE()))</f>
        <v>0.308069497811652</v>
      </c>
      <c r="AC60" s="10" t="n">
        <f aca="false">IF(AB60="","",NORMDIST(CEILING(F60,1)-0.5,Z60,AA60,TRUE()))</f>
        <v>0.691930502188348</v>
      </c>
      <c r="AD60" s="0" t="str">
        <f aca="false">IF(AB60="","",IF(AB60&gt;=0.5+Config!$B$6,"OVER",IF(AC60&gt;=0.5+Config!$B$6,"UNDER","—")))</f>
        <v>UNDER</v>
      </c>
      <c r="AE60" s="13" t="n">
        <f aca="false">IFERROR(Z60/G60,"")</f>
        <v>0.996825368737056</v>
      </c>
    </row>
    <row r="61" customFormat="false" ht="15" hidden="false" customHeight="false" outlineLevel="0" collapsed="false">
      <c r="A61" s="0" t="s">
        <v>1139</v>
      </c>
      <c r="B61" s="0" t="s">
        <v>1174</v>
      </c>
      <c r="C61" s="0" t="s">
        <v>1364</v>
      </c>
      <c r="D61" s="0" t="s">
        <v>1178</v>
      </c>
      <c r="E61" s="0" t="s">
        <v>1290</v>
      </c>
      <c r="F61" s="0" t="n">
        <v>27.5</v>
      </c>
      <c r="G61" s="11" t="n">
        <f aca="false">IFERROR(INDEX(CHOOSE(MATCH($X61,{"K1","K2","K3","K12","K13","H1","H2","H3","H12","H13"},0),Calc!$V$2:$V$137,Calc!$AC$2:$AC$137,Calc!$AJ$2:$AJ$137,Calc!$AL$2:$AL$137,Calc!$AM$2:$AM$137,Calc!$W$2:$W$137,Calc!$AD$2:$AD$137,Calc!$AK$2:$AK$137,Calc!$AN$2:$AN$137,Calc!$AO$2:$AO$137),MATCH($W61,Calc!$A$2:$A$137,0)),"")</f>
        <v>26.7442363636364</v>
      </c>
      <c r="H61" s="11" t="n">
        <f aca="false">IF(G61="","",IF(LEFT($X61,1)="H",SQRT(G61*(IFERROR(INDEX(Calc!$AP$2:$AP$137,MATCH($W61,Calc!$A$2:$A$137,0)),0.5)*Config!$B$5+1-IFERROR(INDEX(Calc!$AP$2:$AP$137,MATCH($W61,Calc!$A$2:$A$137,0)),0.5))),SQRT(G61*Config!$B$5)))</f>
        <v>6.11898119862211</v>
      </c>
      <c r="I61" s="10" t="n">
        <f aca="false">IF(OR(F61="",G61="",N(H61)&lt;=0),"",1-NORMDIST(FLOOR(F61,1)+0.5,G61,H61,TRUE()))</f>
        <v>0.45085109304279</v>
      </c>
      <c r="J61" s="10" t="n">
        <f aca="false">IF(I61="","",NORMDIST(CEILING(F61,1)-0.5,G61,H61,TRUE()))</f>
        <v>0.549148906957211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UNDER</v>
      </c>
      <c r="N61" s="0" t="n">
        <v>27.8</v>
      </c>
      <c r="O61" s="10" t="n">
        <v>0.4</v>
      </c>
      <c r="P61" s="10" t="n">
        <v>0.6</v>
      </c>
      <c r="Q61" s="10" t="n">
        <v>0.47</v>
      </c>
      <c r="R61" s="9" t="s">
        <v>1365</v>
      </c>
      <c r="S61" s="0" t="n">
        <v>-3</v>
      </c>
      <c r="T61" s="0" t="str">
        <f aca="false">INDEX(Calc!$G$2:$G$137,MATCH($W61,Calc!$A$2:$A$137,0))&amp;" / "&amp;INDEX(Calc!$H$2:$H$137,MATCH($W61,Calc!$A$2:$A$137,0))</f>
        <v>Mirage / Ancient</v>
      </c>
      <c r="U61" s="0" t="str">
        <f aca="false">TEXT(INDEX(Calc!$J$2:$J$137,MATCH($W61,Calc!$A$2:$A$137,0)),"0.0")&amp;" / "&amp;TEXT(INDEX(Calc!$K$2:$K$137,MATCH($W61,Calc!$A$2:$A$137,0)),"0.0")</f>
        <v>21.5 / 21.4</v>
      </c>
      <c r="V61" s="0" t="str">
        <f aca="false">IFERROR(INDEX(Calc!$AQ$2:$AQ$137,MATCH($W61,Calc!$A$2:$A$137,0)),"")</f>
        <v/>
      </c>
      <c r="W61" s="9" t="s">
        <v>1366</v>
      </c>
      <c r="X61" s="9" t="s">
        <v>1291</v>
      </c>
      <c r="Y61" s="0" t="str">
        <f aca="false">W61&amp;"|"&amp;X61</f>
        <v>8zk5wx3xrdrsxpo|CS2 · BAR vs BHE|K12</v>
      </c>
      <c r="Z61" s="11" t="n">
        <f aca="false">IFERROR(INDEX(CHOOSE(MATCH($X61,{"K1","K2","K3","K12","K13","H1","H2","H3","H12","H13"},0),Calc!$BA$2:$BA$137,Calc!$BB$2:$BB$137,Calc!$BC$2:$BC$137,Calc!$BD$2:$BD$137,Calc!$BE$2:$BE$137,Calc!$BF$2:$BF$137,Calc!$BG$2:$BG$137,Calc!$BH$2:$BH$137,Calc!$BI$2:$BI$137,Calc!$BJ$2:$BJ$137),MATCH($W61,Calc!$A$2:$A$137,0)),"")</f>
        <v>26.6546624429039</v>
      </c>
      <c r="AA61" s="11" t="n">
        <f aca="false">IF(Z61="","",IF(LEFT($X61,1)="H",SQRT(Z61*(IFERROR(INDEX(Calc!$AP$2:$AP$137,MATCH($W61,Calc!$A$2:$A$137,0)),0.5)*Config!$B$5+1-IFERROR(INDEX(Calc!$AP$2:$AP$137,MATCH($W61,Calc!$A$2:$A$137,0)),0.5))),SQRT(Z61*Config!$B$5)))</f>
        <v>6.10872551520081</v>
      </c>
      <c r="AB61" s="10" t="n">
        <f aca="false">IF(OR(F61="",Z61="",N(AA61)&lt;=0),"",1-NORMDIST(FLOOR(F61,1)+0.5,Z61,AA61,TRUE()))</f>
        <v>0.444969267316381</v>
      </c>
      <c r="AC61" s="10" t="n">
        <f aca="false">IF(AB61="","",NORMDIST(CEILING(F61,1)-0.5,Z61,AA61,TRUE()))</f>
        <v>0.555030732683619</v>
      </c>
      <c r="AD61" s="0" t="str">
        <f aca="false">IF(AB61="","",IF(AB61&gt;=0.5+Config!$B$6,"OVER",IF(AC61&gt;=0.5+Config!$B$6,"UNDER","—")))</f>
        <v>UNDER</v>
      </c>
      <c r="AE61" s="13" t="n">
        <f aca="false">IFERROR(Z61/G61,"")</f>
        <v>0.996650720569676</v>
      </c>
    </row>
    <row r="62" customFormat="false" ht="15" hidden="false" customHeight="false" outlineLevel="0" collapsed="false">
      <c r="A62" s="0" t="s">
        <v>1139</v>
      </c>
      <c r="B62" s="0" t="s">
        <v>1174</v>
      </c>
      <c r="C62" s="0" t="s">
        <v>1367</v>
      </c>
      <c r="D62" s="0" t="s">
        <v>1178</v>
      </c>
      <c r="E62" s="0" t="s">
        <v>1286</v>
      </c>
      <c r="F62" s="0" t="n">
        <v>15</v>
      </c>
      <c r="G62" s="11" t="n">
        <f aca="false">IFERROR(INDEX(CHOOSE(MATCH($X62,{"K1","K2","K3","K12","K13","H1","H2","H3","H12","H13"},0),Calc!$V$2:$V$137,Calc!$AC$2:$AC$137,Calc!$AJ$2:$AJ$137,Calc!$AL$2:$AL$137,Calc!$AM$2:$AM$137,Calc!$W$2:$W$137,Calc!$AD$2:$AD$137,Calc!$AK$2:$AK$137,Calc!$AN$2:$AN$137,Calc!$AO$2:$AO$137),MATCH($W62,Calc!$A$2:$A$137,0)),"")</f>
        <v>14.9736214966099</v>
      </c>
      <c r="H62" s="11" t="n">
        <f aca="false">IF(G62="","",IF(LEFT($X62,1)="H",SQRT(G62*(IFERROR(INDEX(Calc!$AP$2:$AP$137,MATCH($W62,Calc!$A$2:$A$137,0)),0.5)*Config!$B$5+1-IFERROR(INDEX(Calc!$AP$2:$AP$137,MATCH($W62,Calc!$A$2:$A$137,0)),0.5))),SQRT(G62*Config!$B$5)))</f>
        <v>4.27129707542667</v>
      </c>
      <c r="I62" s="10" t="n">
        <f aca="false">IF(OR(F62="",G62="",N(H62)&lt;=0),"",1-NORMDIST(FLOOR(F62,1)+0.5,G62,H62,TRUE()))</f>
        <v>0.450960022621334</v>
      </c>
      <c r="J62" s="10" t="n">
        <f aca="false">IF(I62="","",NORMDIST(CEILING(F62,1)-0.5,G62,H62,TRUE()))</f>
        <v>0.455853889037686</v>
      </c>
      <c r="K62" s="10" t="n">
        <f aca="false">IF(I62="","",MAX(0,1-I62-J62))</f>
        <v>0.0931860883409802</v>
      </c>
      <c r="L62" s="0" t="str">
        <f aca="false">IF(I62="","",IF(I62&gt;=0.5+Config!$B$6,"OVER",IF(J62&gt;=0.5+Config!$B$6,"UNDER","—")))</f>
        <v>—</v>
      </c>
      <c r="N62" s="0" t="n">
        <v>16.6</v>
      </c>
      <c r="O62" s="10" t="n">
        <v>0.6</v>
      </c>
      <c r="P62" s="10" t="n">
        <v>0.4</v>
      </c>
      <c r="Q62" s="10" t="n">
        <v>0.27</v>
      </c>
      <c r="R62" s="9" t="s">
        <v>1368</v>
      </c>
      <c r="S62" s="0" t="n">
        <v>-2</v>
      </c>
      <c r="T62" s="0" t="str">
        <f aca="false">INDEX(Calc!$G$2:$G$137,MATCH($W62,Calc!$A$2:$A$137,0))&amp;" / "&amp;INDEX(Calc!$H$2:$H$137,MATCH($W62,Calc!$A$2:$A$137,0))</f>
        <v>Mirage / Ancient</v>
      </c>
      <c r="U62" s="0" t="str">
        <f aca="false">TEXT(INDEX(Calc!$J$2:$J$137,MATCH($W62,Calc!$A$2:$A$137,0)),"0.0")&amp;" / "&amp;TEXT(INDEX(Calc!$K$2:$K$137,MATCH($W62,Calc!$A$2:$A$137,0)),"0.0")</f>
        <v>21.5 / 21.4</v>
      </c>
      <c r="V62" s="0" t="str">
        <f aca="false">IFERROR(INDEX(Calc!$AQ$2:$AQ$137,MATCH($W62,Calc!$A$2:$A$137,0)),"")</f>
        <v/>
      </c>
      <c r="W62" s="9" t="s">
        <v>1369</v>
      </c>
      <c r="X62" s="9" t="s">
        <v>1289</v>
      </c>
      <c r="Y62" s="0" t="str">
        <f aca="false">W62&amp;"|"&amp;X62</f>
        <v>njwuhcdlh1yj0a2|CS2 · BAR vs BHE|H12</v>
      </c>
      <c r="Z62" s="11" t="n">
        <f aca="false">IFERROR(INDEX(CHOOSE(MATCH($X62,{"K1","K2","K3","K12","K13","H1","H2","H3","H12","H13"},0),Calc!$BA$2:$BA$137,Calc!$BB$2:$BB$137,Calc!$BC$2:$BC$137,Calc!$BD$2:$BD$137,Calc!$BE$2:$BE$137,Calc!$BF$2:$BF$137,Calc!$BG$2:$BG$137,Calc!$BH$2:$BH$137,Calc!$BI$2:$BI$137,Calc!$BJ$2:$BJ$137),MATCH($W62,Calc!$A$2:$A$137,0)),"")</f>
        <v>14.909902803869</v>
      </c>
      <c r="AA62" s="11" t="n">
        <f aca="false">IF(Z62="","",IF(LEFT($X62,1)="H",SQRT(Z62*(IFERROR(INDEX(Calc!$AP$2:$AP$137,MATCH($W62,Calc!$A$2:$A$137,0)),0.5)*Config!$B$5+1-IFERROR(INDEX(Calc!$AP$2:$AP$137,MATCH($W62,Calc!$A$2:$A$137,0)),0.5))),SQRT(Z62*Config!$B$5)))</f>
        <v>4.26219935573239</v>
      </c>
      <c r="AB62" s="10" t="n">
        <f aca="false">IF(OR(F62="",Z62="",N(AA62)&lt;=0),"",1-NORMDIST(FLOOR(F62,1)+0.5,Z62,AA62,TRUE()))</f>
        <v>0.444942790664176</v>
      </c>
      <c r="AC62" s="10" t="n">
        <f aca="false">IF(AB62="","",NORMDIST(CEILING(F62,1)-0.5,Z62,AA62,TRUE()))</f>
        <v>0.461692117708617</v>
      </c>
      <c r="AD62" s="0" t="str">
        <f aca="false">IF(AB62="","",IF(AB62&gt;=0.5+Config!$B$6,"OVER",IF(AC62&gt;=0.5+Config!$B$6,"UNDER","—")))</f>
        <v>—</v>
      </c>
      <c r="AE62" s="13" t="n">
        <f aca="false">IFERROR(Z62/G62,"")</f>
        <v>0.995744603751651</v>
      </c>
    </row>
    <row r="63" customFormat="false" ht="15" hidden="false" customHeight="false" outlineLevel="0" collapsed="false">
      <c r="A63" s="0" t="s">
        <v>1139</v>
      </c>
      <c r="B63" s="0" t="s">
        <v>1174</v>
      </c>
      <c r="C63" s="0" t="s">
        <v>1367</v>
      </c>
      <c r="D63" s="0" t="s">
        <v>1178</v>
      </c>
      <c r="E63" s="0" t="s">
        <v>1290</v>
      </c>
      <c r="F63" s="0" t="n">
        <v>27.5</v>
      </c>
      <c r="G63" s="11" t="n">
        <f aca="false">IFERROR(INDEX(CHOOSE(MATCH($X63,{"K1","K2","K3","K12","K13","H1","H2","H3","H12","H13"},0),Calc!$V$2:$V$137,Calc!$AC$2:$AC$137,Calc!$AJ$2:$AJ$137,Calc!$AL$2:$AL$137,Calc!$AM$2:$AM$137,Calc!$W$2:$W$137,Calc!$AD$2:$AD$137,Calc!$AK$2:$AK$137,Calc!$AN$2:$AN$137,Calc!$AO$2:$AO$137),MATCH($W63,Calc!$A$2:$A$137,0)),"")</f>
        <v>27.4232233766234</v>
      </c>
      <c r="H63" s="11" t="n">
        <f aca="false">IF(G63="","",IF(LEFT($X63,1)="H",SQRT(G63*(IFERROR(INDEX(Calc!$AP$2:$AP$137,MATCH($W63,Calc!$A$2:$A$137,0)),0.5)*Config!$B$5+1-IFERROR(INDEX(Calc!$AP$2:$AP$137,MATCH($W63,Calc!$A$2:$A$137,0)),0.5))),SQRT(G63*Config!$B$5)))</f>
        <v>6.19616919776024</v>
      </c>
      <c r="I63" s="10" t="n">
        <f aca="false">IF(OR(F63="",G63="",N(H63)&lt;=0),"",1-NORMDIST(FLOOR(F63,1)+0.5,G63,H63,TRUE()))</f>
        <v>0.49505683972425</v>
      </c>
      <c r="J63" s="10" t="n">
        <f aca="false">IF(I63="","",NORMDIST(CEILING(F63,1)-0.5,G63,H63,TRUE()))</f>
        <v>0.50494316027575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N63" s="0" t="n">
        <v>29.4</v>
      </c>
      <c r="O63" s="10" t="n">
        <v>0.6</v>
      </c>
      <c r="P63" s="10" t="n">
        <v>0.5</v>
      </c>
      <c r="Q63" s="10" t="n">
        <v>0.4</v>
      </c>
      <c r="R63" s="9" t="s">
        <v>1370</v>
      </c>
      <c r="S63" s="0" t="n">
        <v>-2</v>
      </c>
      <c r="T63" s="0" t="str">
        <f aca="false">INDEX(Calc!$G$2:$G$137,MATCH($W63,Calc!$A$2:$A$137,0))&amp;" / "&amp;INDEX(Calc!$H$2:$H$137,MATCH($W63,Calc!$A$2:$A$137,0))</f>
        <v>Mirage / Ancient</v>
      </c>
      <c r="U63" s="0" t="str">
        <f aca="false">TEXT(INDEX(Calc!$J$2:$J$137,MATCH($W63,Calc!$A$2:$A$137,0)),"0.0")&amp;" / "&amp;TEXT(INDEX(Calc!$K$2:$K$137,MATCH($W63,Calc!$A$2:$A$137,0)),"0.0")</f>
        <v>21.5 / 21.4</v>
      </c>
      <c r="V63" s="0" t="str">
        <f aca="false">IFERROR(INDEX(Calc!$AQ$2:$AQ$137,MATCH($W63,Calc!$A$2:$A$137,0)),"")</f>
        <v/>
      </c>
      <c r="W63" s="9" t="s">
        <v>1369</v>
      </c>
      <c r="X63" s="9" t="s">
        <v>1291</v>
      </c>
      <c r="Y63" s="0" t="str">
        <f aca="false">W63&amp;"|"&amp;X63</f>
        <v>njwuhcdlh1yj0a2|CS2 · BAR vs BHE|K12</v>
      </c>
      <c r="Z63" s="11" t="n">
        <f aca="false">IFERROR(INDEX(CHOOSE(MATCH($X63,{"K1","K2","K3","K12","K13","H1","H2","H3","H12","H13"},0),Calc!$BA$2:$BA$137,Calc!$BB$2:$BB$137,Calc!$BC$2:$BC$137,Calc!$BD$2:$BD$137,Calc!$BE$2:$BE$137,Calc!$BF$2:$BF$137,Calc!$BG$2:$BG$137,Calc!$BH$2:$BH$137,Calc!$BI$2:$BI$137,Calc!$BJ$2:$BJ$137),MATCH($W63,Calc!$A$2:$A$137,0)),"")</f>
        <v>27.3101246741344</v>
      </c>
      <c r="AA63" s="11" t="n">
        <f aca="false">IF(Z63="","",IF(LEFT($X63,1)="H",SQRT(Z63*(IFERROR(INDEX(Calc!$AP$2:$AP$137,MATCH($W63,Calc!$A$2:$A$137,0)),0.5)*Config!$B$5+1-IFERROR(INDEX(Calc!$AP$2:$AP$137,MATCH($W63,Calc!$A$2:$A$137,0)),0.5))),SQRT(Z63*Config!$B$5)))</f>
        <v>6.18337889375931</v>
      </c>
      <c r="AB63" s="10" t="n">
        <f aca="false">IF(OR(F63="",Z63="",N(AA63)&lt;=0),"",1-NORMDIST(FLOOR(F63,1)+0.5,Z63,AA63,TRUE()))</f>
        <v>0.487751455323111</v>
      </c>
      <c r="AC63" s="10" t="n">
        <f aca="false">IF(AB63="","",NORMDIST(CEILING(F63,1)-0.5,Z63,AA63,TRUE()))</f>
        <v>0.512248544676889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0.995875805665303</v>
      </c>
    </row>
    <row r="64" customFormat="false" ht="15" hidden="false" customHeight="false" outlineLevel="0" collapsed="false">
      <c r="A64" s="0" t="s">
        <v>1139</v>
      </c>
      <c r="B64" s="0" t="s">
        <v>1174</v>
      </c>
      <c r="C64" s="0" t="s">
        <v>1371</v>
      </c>
      <c r="D64" s="0" t="s">
        <v>1178</v>
      </c>
      <c r="E64" s="0" t="s">
        <v>1286</v>
      </c>
      <c r="F64" s="0" t="n">
        <v>20.5</v>
      </c>
      <c r="G64" s="11" t="n">
        <f aca="false">IFERROR(INDEX(CHOOSE(MATCH($X64,{"K1","K2","K3","K12","K13","H1","H2","H3","H12","H13"},0),Calc!$V$2:$V$137,Calc!$AC$2:$AC$137,Calc!$AJ$2:$AJ$137,Calc!$AL$2:$AL$137,Calc!$AM$2:$AM$137,Calc!$W$2:$W$137,Calc!$AD$2:$AD$137,Calc!$AK$2:$AK$137,Calc!$AN$2:$AN$137,Calc!$AO$2:$AO$137),MATCH($W64,Calc!$A$2:$A$137,0)),"")</f>
        <v>20.7877385421505</v>
      </c>
      <c r="H64" s="11" t="n">
        <f aca="false">IF(G64="","",IF(LEFT($X64,1)="H",SQRT(G64*(IFERROR(INDEX(Calc!$AP$2:$AP$137,MATCH($W64,Calc!$A$2:$A$137,0)),0.5)*Config!$B$5+1-IFERROR(INDEX(Calc!$AP$2:$AP$137,MATCH($W64,Calc!$A$2:$A$137,0)),0.5))),SQRT(G64*Config!$B$5)))</f>
        <v>5.11536383250566</v>
      </c>
      <c r="I64" s="10" t="n">
        <f aca="false">IF(OR(F64="",G64="",N(H64)&lt;=0),"",1-NORMDIST(FLOOR(F64,1)+0.5,G64,H64,TRUE()))</f>
        <v>0.522428622590803</v>
      </c>
      <c r="J64" s="10" t="n">
        <f aca="false">IF(I64="","",NORMDIST(CEILING(F64,1)-0.5,G64,H64,TRUE()))</f>
        <v>0.477571377409197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—</v>
      </c>
      <c r="N64" s="0" t="n">
        <v>21.5</v>
      </c>
      <c r="O64" s="10" t="n">
        <v>0.2</v>
      </c>
      <c r="P64" s="10" t="n">
        <v>0.5</v>
      </c>
      <c r="Q64" s="10" t="n">
        <v>0.6</v>
      </c>
      <c r="R64" s="9" t="s">
        <v>1372</v>
      </c>
      <c r="S64" s="0" t="n">
        <v>-4</v>
      </c>
      <c r="T64" s="0" t="str">
        <f aca="false">INDEX(Calc!$G$2:$G$137,MATCH($W64,Calc!$A$2:$A$137,0))&amp;" / "&amp;INDEX(Calc!$H$2:$H$137,MATCH($W64,Calc!$A$2:$A$137,0))</f>
        <v>Mirage / Ancient</v>
      </c>
      <c r="U64" s="0" t="str">
        <f aca="false">TEXT(INDEX(Calc!$J$2:$J$137,MATCH($W64,Calc!$A$2:$A$137,0)),"0.0")&amp;" / "&amp;TEXT(INDEX(Calc!$K$2:$K$137,MATCH($W64,Calc!$A$2:$A$137,0)),"0.0")</f>
        <v>21.5 / 21.4</v>
      </c>
      <c r="V64" s="0" t="str">
        <f aca="false">IFERROR(INDEX(Calc!$AQ$2:$AQ$137,MATCH($W64,Calc!$A$2:$A$137,0)),"")</f>
        <v/>
      </c>
      <c r="W64" s="9" t="s">
        <v>1373</v>
      </c>
      <c r="X64" s="9" t="s">
        <v>1289</v>
      </c>
      <c r="Y64" s="0" t="str">
        <f aca="false">W64&amp;"|"&amp;X64</f>
        <v>qotjq9z9vy9ol0x|CS2 · BAR vs BHE|H12</v>
      </c>
      <c r="Z64" s="11" t="n">
        <f aca="false">IFERROR(INDEX(CHOOSE(MATCH($X64,{"K1","K2","K3","K12","K13","H1","H2","H3","H12","H13"},0),Calc!$BA$2:$BA$137,Calc!$BB$2:$BB$137,Calc!$BC$2:$BC$137,Calc!$BD$2:$BD$137,Calc!$BE$2:$BE$137,Calc!$BF$2:$BF$137,Calc!$BG$2:$BG$137,Calc!$BH$2:$BH$137,Calc!$BI$2:$BI$137,Calc!$BJ$2:$BJ$137),MATCH($W64,Calc!$A$2:$A$137,0)),"")</f>
        <v>20.6816350196182</v>
      </c>
      <c r="AA64" s="11" t="n">
        <f aca="false">IF(Z64="","",IF(LEFT($X64,1)="H",SQRT(Z64*(IFERROR(INDEX(Calc!$AP$2:$AP$137,MATCH($W64,Calc!$A$2:$A$137,0)),0.5)*Config!$B$5+1-IFERROR(INDEX(Calc!$AP$2:$AP$137,MATCH($W64,Calc!$A$2:$A$137,0)),0.5))),SQRT(Z64*Config!$B$5)))</f>
        <v>5.10229236559132</v>
      </c>
      <c r="AB64" s="10" t="n">
        <f aca="false">IF(OR(F64="",Z64="",N(AA64)&lt;=0),"",1-NORMDIST(FLOOR(F64,1)+0.5,Z64,AA64,TRUE()))</f>
        <v>0.514198831010105</v>
      </c>
      <c r="AC64" s="10" t="n">
        <f aca="false">IF(AB64="","",NORMDIST(CEILING(F64,1)-0.5,Z64,AA64,TRUE()))</f>
        <v>0.485801168989895</v>
      </c>
      <c r="AD64" s="0" t="str">
        <f aca="false">IF(AB64="","",IF(AB64&gt;=0.5+Config!$B$6,"OVER",IF(AC64&gt;=0.5+Config!$B$6,"UNDER","—")))</f>
        <v>—</v>
      </c>
      <c r="AE64" s="13" t="n">
        <f aca="false">IFERROR(Z64/G64,"")</f>
        <v>0.994895860253528</v>
      </c>
    </row>
    <row r="65" customFormat="false" ht="15" hidden="false" customHeight="false" outlineLevel="0" collapsed="false">
      <c r="A65" s="0" t="s">
        <v>1139</v>
      </c>
      <c r="B65" s="0" t="s">
        <v>1174</v>
      </c>
      <c r="C65" s="0" t="s">
        <v>1371</v>
      </c>
      <c r="D65" s="0" t="s">
        <v>1178</v>
      </c>
      <c r="E65" s="0" t="s">
        <v>1290</v>
      </c>
      <c r="F65" s="0" t="n">
        <v>32</v>
      </c>
      <c r="G65" s="11" t="n">
        <f aca="false">IFERROR(INDEX(CHOOSE(MATCH($X65,{"K1","K2","K3","K12","K13","H1","H2","H3","H12","H13"},0),Calc!$V$2:$V$137,Calc!$AC$2:$AC$137,Calc!$AJ$2:$AJ$137,Calc!$AL$2:$AL$137,Calc!$AM$2:$AM$137,Calc!$W$2:$W$137,Calc!$AD$2:$AD$137,Calc!$AK$2:$AK$137,Calc!$AN$2:$AN$137,Calc!$AO$2:$AO$137),MATCH($W65,Calc!$A$2:$A$137,0)),"")</f>
        <v>32.1333568627451</v>
      </c>
      <c r="H65" s="11" t="n">
        <f aca="false">IF(G65="","",IF(LEFT($X65,1)="H",SQRT(G65*(IFERROR(INDEX(Calc!$AP$2:$AP$137,MATCH($W65,Calc!$A$2:$A$137,0)),0.5)*Config!$B$5+1-IFERROR(INDEX(Calc!$AP$2:$AP$137,MATCH($W65,Calc!$A$2:$A$137,0)),0.5))),SQRT(G65*Config!$B$5)))</f>
        <v>6.70721250653676</v>
      </c>
      <c r="I65" s="10" t="n">
        <f aca="false">IF(OR(F65="",G65="",N(H65)&lt;=0),"",1-NORMDIST(FLOOR(F65,1)+0.5,G65,H65,TRUE()))</f>
        <v>0.478203070824855</v>
      </c>
      <c r="J65" s="10" t="n">
        <f aca="false">IF(I65="","",NORMDIST(CEILING(F65,1)-0.5,G65,H65,TRUE()))</f>
        <v>0.462384101621512</v>
      </c>
      <c r="K65" s="10" t="n">
        <f aca="false">IF(I65="","",MAX(0,1-I65-J65))</f>
        <v>0.0594128275536332</v>
      </c>
      <c r="L65" s="0" t="str">
        <f aca="false">IF(I65="","",IF(I65&gt;=0.5+Config!$B$6,"OVER",IF(J65&gt;=0.5+Config!$B$6,"UNDER","—")))</f>
        <v>—</v>
      </c>
      <c r="N65" s="0" t="n">
        <v>33.2</v>
      </c>
      <c r="O65" s="10" t="n">
        <v>0.2</v>
      </c>
      <c r="P65" s="10" t="n">
        <v>0.5</v>
      </c>
      <c r="Q65" s="10" t="n">
        <v>0.6</v>
      </c>
      <c r="R65" s="9" t="s">
        <v>1374</v>
      </c>
      <c r="S65" s="0" t="n">
        <v>-4</v>
      </c>
      <c r="T65" s="0" t="str">
        <f aca="false">INDEX(Calc!$G$2:$G$137,MATCH($W65,Calc!$A$2:$A$137,0))&amp;" / "&amp;INDEX(Calc!$H$2:$H$137,MATCH($W65,Calc!$A$2:$A$137,0))</f>
        <v>Mirage / Ancient</v>
      </c>
      <c r="U65" s="0" t="str">
        <f aca="false">TEXT(INDEX(Calc!$J$2:$J$137,MATCH($W65,Calc!$A$2:$A$137,0)),"0.0")&amp;" / "&amp;TEXT(INDEX(Calc!$K$2:$K$137,MATCH($W65,Calc!$A$2:$A$137,0)),"0.0")</f>
        <v>21.5 / 21.4</v>
      </c>
      <c r="V65" s="0" t="str">
        <f aca="false">IFERROR(INDEX(Calc!$AQ$2:$AQ$137,MATCH($W65,Calc!$A$2:$A$137,0)),"")</f>
        <v/>
      </c>
      <c r="W65" s="9" t="s">
        <v>1373</v>
      </c>
      <c r="X65" s="9" t="s">
        <v>1291</v>
      </c>
      <c r="Y65" s="0" t="str">
        <f aca="false">W65&amp;"|"&amp;X65</f>
        <v>qotjq9z9vy9ol0x|CS2 · BAR vs BHE|K12</v>
      </c>
      <c r="Z65" s="11" t="n">
        <f aca="false">IFERROR(INDEX(CHOOSE(MATCH($X65,{"K1","K2","K3","K12","K13","H1","H2","H3","H12","H13"},0),Calc!$BA$2:$BA$137,Calc!$BB$2:$BB$137,Calc!$BC$2:$BC$137,Calc!$BD$2:$BD$137,Calc!$BE$2:$BE$137,Calc!$BF$2:$BF$137,Calc!$BG$2:$BG$137,Calc!$BH$2:$BH$137,Calc!$BI$2:$BI$137,Calc!$BJ$2:$BJ$137),MATCH($W65,Calc!$A$2:$A$137,0)),"")</f>
        <v>31.9785834313563</v>
      </c>
      <c r="AA65" s="11" t="n">
        <f aca="false">IF(Z65="","",IF(LEFT($X65,1)="H",SQRT(Z65*(IFERROR(INDEX(Calc!$AP$2:$AP$137,MATCH($W65,Calc!$A$2:$A$137,0)),0.5)*Config!$B$5+1-IFERROR(INDEX(Calc!$AP$2:$AP$137,MATCH($W65,Calc!$A$2:$A$137,0)),0.5))),SQRT(Z65*Config!$B$5)))</f>
        <v>6.69104003902972</v>
      </c>
      <c r="AB65" s="10" t="n">
        <f aca="false">IF(OR(F65="",Z65="",N(AA65)&lt;=0),"",1-NORMDIST(FLOOR(F65,1)+0.5,Z65,AA65,TRUE()))</f>
        <v>0.468942829586986</v>
      </c>
      <c r="AC65" s="10" t="n">
        <f aca="false">IF(AB65="","",NORMDIST(CEILING(F65,1)-0.5,Z65,AA65,TRUE()))</f>
        <v>0.471489560231903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0.995183402965028</v>
      </c>
    </row>
    <row r="66" customFormat="false" ht="15" hidden="false" customHeight="false" outlineLevel="0" collapsed="false">
      <c r="A66" s="0" t="s">
        <v>1139</v>
      </c>
      <c r="B66" s="0" t="s">
        <v>1174</v>
      </c>
      <c r="C66" s="0" t="s">
        <v>1375</v>
      </c>
      <c r="D66" s="0" t="s">
        <v>1178</v>
      </c>
      <c r="E66" s="0" t="s">
        <v>1286</v>
      </c>
      <c r="F66" s="0" t="n">
        <v>16</v>
      </c>
      <c r="G66" s="11" t="n">
        <f aca="false">IFERROR(INDEX(CHOOSE(MATCH($X66,{"K1","K2","K3","K12","K13","H1","H2","H3","H12","H13"},0),Calc!$V$2:$V$137,Calc!$AC$2:$AC$137,Calc!$AJ$2:$AJ$137,Calc!$AL$2:$AL$137,Calc!$AM$2:$AM$137,Calc!$W$2:$W$137,Calc!$AD$2:$AD$137,Calc!$AK$2:$AK$137,Calc!$AN$2:$AN$137,Calc!$AO$2:$AO$137),MATCH($W66,Calc!$A$2:$A$137,0)),"")</f>
        <v>15.691396701636</v>
      </c>
      <c r="H66" s="11" t="n">
        <f aca="false">IF(G66="","",IF(LEFT($X66,1)="H",SQRT(G66*(IFERROR(INDEX(Calc!$AP$2:$AP$137,MATCH($W66,Calc!$A$2:$A$137,0)),0.5)*Config!$B$5+1-IFERROR(INDEX(Calc!$AP$2:$AP$137,MATCH($W66,Calc!$A$2:$A$137,0)),0.5))),SQRT(G66*Config!$B$5)))</f>
        <v>4.41739288962344</v>
      </c>
      <c r="I66" s="10" t="n">
        <f aca="false">IF(OR(F66="",G66="",N(H66)&lt;=0),"",1-NORMDIST(FLOOR(F66,1)+0.5,G66,H66,TRUE()))</f>
        <v>0.427379435256583</v>
      </c>
      <c r="J66" s="10" t="n">
        <f aca="false">IF(I66="","",NORMDIST(CEILING(F66,1)-0.5,G66,H66,TRUE()))</f>
        <v>0.482720044497391</v>
      </c>
      <c r="K66" s="10" t="n">
        <f aca="false">IF(I66="","",MAX(0,1-I66-J66))</f>
        <v>0.0899005202460264</v>
      </c>
      <c r="L66" s="0" t="str">
        <f aca="false">IF(I66="","",IF(I66&gt;=0.5+Config!$B$6,"OVER",IF(J66&gt;=0.5+Config!$B$6,"UNDER","—")))</f>
        <v>—</v>
      </c>
      <c r="N66" s="0" t="n">
        <v>15.9</v>
      </c>
      <c r="O66" s="10" t="n">
        <v>0.6</v>
      </c>
      <c r="P66" s="10" t="n">
        <v>0.6</v>
      </c>
      <c r="Q66" s="10" t="n">
        <v>0.6</v>
      </c>
      <c r="R66" s="9" t="s">
        <v>1376</v>
      </c>
      <c r="S66" s="0" t="n">
        <v>1</v>
      </c>
      <c r="T66" s="0" t="str">
        <f aca="false">INDEX(Calc!$G$2:$G$137,MATCH($W66,Calc!$A$2:$A$137,0))&amp;" / "&amp;INDEX(Calc!$H$2:$H$137,MATCH($W66,Calc!$A$2:$A$137,0))</f>
        <v>Mirage / Ancient</v>
      </c>
      <c r="U66" s="0" t="str">
        <f aca="false">TEXT(INDEX(Calc!$J$2:$J$137,MATCH($W66,Calc!$A$2:$A$137,0)),"0.0")&amp;" / "&amp;TEXT(INDEX(Calc!$K$2:$K$137,MATCH($W66,Calc!$A$2:$A$137,0)),"0.0")</f>
        <v>21.5 / 21.4</v>
      </c>
      <c r="V66" s="0" t="str">
        <f aca="false">IFERROR(INDEX(Calc!$AQ$2:$AQ$137,MATCH($W66,Calc!$A$2:$A$137,0)),"")</f>
        <v/>
      </c>
      <c r="W66" s="9" t="s">
        <v>1377</v>
      </c>
      <c r="X66" s="9" t="s">
        <v>1289</v>
      </c>
      <c r="Y66" s="0" t="str">
        <f aca="false">W66&amp;"|"&amp;X66</f>
        <v>oqhiiivtedh8uei|CS2 · BAR vs BHE|H12</v>
      </c>
      <c r="Z66" s="11" t="n">
        <f aca="false">IFERROR(INDEX(CHOOSE(MATCH($X66,{"K1","K2","K3","K12","K13","H1","H2","H3","H12","H13"},0),Calc!$BA$2:$BA$137,Calc!$BB$2:$BB$137,Calc!$BC$2:$BC$137,Calc!$BD$2:$BD$137,Calc!$BE$2:$BE$137,Calc!$BF$2:$BF$137,Calc!$BG$2:$BG$137,Calc!$BH$2:$BH$137,Calc!$BI$2:$BI$137,Calc!$BJ$2:$BJ$137),MATCH($W66,Calc!$A$2:$A$137,0)),"")</f>
        <v>15.6218507007494</v>
      </c>
      <c r="AA66" s="11" t="n">
        <f aca="false">IF(Z66="","",IF(LEFT($X66,1)="H",SQRT(Z66*(IFERROR(INDEX(Calc!$AP$2:$AP$137,MATCH($W66,Calc!$A$2:$A$137,0)),0.5)*Config!$B$5+1-IFERROR(INDEX(Calc!$AP$2:$AP$137,MATCH($W66,Calc!$A$2:$A$137,0)),0.5))),SQRT(Z66*Config!$B$5)))</f>
        <v>4.40759283257676</v>
      </c>
      <c r="AB66" s="10" t="n">
        <f aca="false">IF(OR(F66="",Z66="",N(AA66)&lt;=0),"",1-NORMDIST(FLOOR(F66,1)+0.5,Z66,AA66,TRUE()))</f>
        <v>0.421039235583651</v>
      </c>
      <c r="AC66" s="10" t="n">
        <f aca="false">IF(AB66="","",NORMDIST(CEILING(F66,1)-0.5,Z66,AA66,TRUE()))</f>
        <v>0.488972392221126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0.995567889703576</v>
      </c>
    </row>
    <row r="67" customFormat="false" ht="15" hidden="false" customHeight="false" outlineLevel="0" collapsed="false">
      <c r="A67" s="0" t="s">
        <v>1139</v>
      </c>
      <c r="B67" s="0" t="s">
        <v>1174</v>
      </c>
      <c r="C67" s="0" t="s">
        <v>1375</v>
      </c>
      <c r="D67" s="0" t="s">
        <v>1178</v>
      </c>
      <c r="E67" s="0" t="s">
        <v>1290</v>
      </c>
      <c r="F67" s="0" t="n">
        <v>27</v>
      </c>
      <c r="G67" s="11" t="n">
        <f aca="false">IFERROR(INDEX(CHOOSE(MATCH($X67,{"K1","K2","K3","K12","K13","H1","H2","H3","H12","H13"},0),Calc!$V$2:$V$137,Calc!$AC$2:$AC$137,Calc!$AJ$2:$AJ$137,Calc!$AL$2:$AL$137,Calc!$AM$2:$AM$137,Calc!$W$2:$W$137,Calc!$AD$2:$AD$137,Calc!$AK$2:$AK$137,Calc!$AN$2:$AN$137,Calc!$AO$2:$AO$137),MATCH($W67,Calc!$A$2:$A$137,0)),"")</f>
        <v>25.7689480519481</v>
      </c>
      <c r="H67" s="11" t="n">
        <f aca="false">IF(G67="","",IF(LEFT($X67,1)="H",SQRT(G67*(IFERROR(INDEX(Calc!$AP$2:$AP$137,MATCH($W67,Calc!$A$2:$A$137,0)),0.5)*Config!$B$5+1-IFERROR(INDEX(Calc!$AP$2:$AP$137,MATCH($W67,Calc!$A$2:$A$137,0)),0.5))),SQRT(G67*Config!$B$5)))</f>
        <v>6.00637388719078</v>
      </c>
      <c r="I67" s="10" t="n">
        <f aca="false">IF(OR(F67="",G67="",N(H67)&lt;=0),"",1-NORMDIST(FLOOR(F67,1)+0.5,G67,H67,TRUE()))</f>
        <v>0.386595869021839</v>
      </c>
      <c r="J67" s="10" t="n">
        <f aca="false">IF(I67="","",NORMDIST(CEILING(F67,1)-0.5,G67,H67,TRUE()))</f>
        <v>0.548436720256798</v>
      </c>
      <c r="K67" s="10" t="n">
        <f aca="false">IF(I67="","",MAX(0,1-I67-J67))</f>
        <v>0.0649674107213623</v>
      </c>
      <c r="L67" s="0" t="str">
        <f aca="false">IF(I67="","",IF(I67&gt;=0.5+Config!$B$6,"OVER",IF(J67&gt;=0.5+Config!$B$6,"UNDER","—")))</f>
        <v>UNDER</v>
      </c>
      <c r="N67" s="0" t="n">
        <v>24</v>
      </c>
      <c r="O67" s="10" t="n">
        <v>0.4</v>
      </c>
      <c r="P67" s="10" t="n">
        <v>0.5</v>
      </c>
      <c r="Q67" s="10" t="n">
        <v>0.6</v>
      </c>
      <c r="R67" s="9" t="s">
        <v>1378</v>
      </c>
      <c r="S67" s="0" t="n">
        <v>1</v>
      </c>
      <c r="T67" s="0" t="str">
        <f aca="false">INDEX(Calc!$G$2:$G$137,MATCH($W67,Calc!$A$2:$A$137,0))&amp;" / "&amp;INDEX(Calc!$H$2:$H$137,MATCH($W67,Calc!$A$2:$A$137,0))</f>
        <v>Mirage / Ancient</v>
      </c>
      <c r="U67" s="0" t="str">
        <f aca="false">TEXT(INDEX(Calc!$J$2:$J$137,MATCH($W67,Calc!$A$2:$A$137,0)),"0.0")&amp;" / "&amp;TEXT(INDEX(Calc!$K$2:$K$137,MATCH($W67,Calc!$A$2:$A$137,0)),"0.0")</f>
        <v>21.5 / 21.4</v>
      </c>
      <c r="V67" s="0" t="str">
        <f aca="false">IFERROR(INDEX(Calc!$AQ$2:$AQ$137,MATCH($W67,Calc!$A$2:$A$137,0)),"")</f>
        <v/>
      </c>
      <c r="W67" s="9" t="s">
        <v>1377</v>
      </c>
      <c r="X67" s="9" t="s">
        <v>1291</v>
      </c>
      <c r="Y67" s="0" t="str">
        <f aca="false">W67&amp;"|"&amp;X67</f>
        <v>oqhiiivtedh8uei|CS2 · BAR vs BHE|K12</v>
      </c>
      <c r="Z67" s="11" t="n">
        <f aca="false">IFERROR(INDEX(CHOOSE(MATCH($X67,{"K1","K2","K3","K12","K13","H1","H2","H3","H12","H13"},0),Calc!$BA$2:$BA$137,Calc!$BB$2:$BB$137,Calc!$BC$2:$BC$137,Calc!$BD$2:$BD$137,Calc!$BE$2:$BE$137,Calc!$BF$2:$BF$137,Calc!$BG$2:$BG$137,Calc!$BH$2:$BH$137,Calc!$BI$2:$BI$137,Calc!$BJ$2:$BJ$137),MATCH($W67,Calc!$A$2:$A$137,0)),"")</f>
        <v>25.650978071092</v>
      </c>
      <c r="AA67" s="11" t="n">
        <f aca="false">IF(Z67="","",IF(LEFT($X67,1)="H",SQRT(Z67*(IFERROR(INDEX(Calc!$AP$2:$AP$137,MATCH($W67,Calc!$A$2:$A$137,0)),0.5)*Config!$B$5+1-IFERROR(INDEX(Calc!$AP$2:$AP$137,MATCH($W67,Calc!$A$2:$A$137,0)),0.5))),SQRT(Z67*Config!$B$5)))</f>
        <v>5.99260955673976</v>
      </c>
      <c r="AB67" s="10" t="n">
        <f aca="false">IF(OR(F67="",Z67="",N(AA67)&lt;=0),"",1-NORMDIST(FLOOR(F67,1)+0.5,Z67,AA67,TRUE()))</f>
        <v>0.37883178729277</v>
      </c>
      <c r="AC67" s="10" t="n">
        <f aca="false">IF(AB67="","",NORMDIST(CEILING(F67,1)-0.5,Z67,AA67,TRUE()))</f>
        <v>0.556332888847004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0.995422010218723</v>
      </c>
    </row>
    <row r="68" customFormat="false" ht="15" hidden="false" customHeight="false" outlineLevel="0" collapsed="false">
      <c r="A68" s="0" t="s">
        <v>1139</v>
      </c>
      <c r="B68" s="0" t="s">
        <v>1174</v>
      </c>
      <c r="C68" s="0" t="s">
        <v>1379</v>
      </c>
      <c r="D68" s="0" t="s">
        <v>1179</v>
      </c>
      <c r="E68" s="0" t="s">
        <v>1286</v>
      </c>
      <c r="F68" s="0" t="n">
        <v>18</v>
      </c>
      <c r="G68" s="11" t="n">
        <f aca="false">IFERROR(INDEX(CHOOSE(MATCH($X68,{"K1","K2","K3","K12","K13","H1","H2","H3","H12","H13"},0),Calc!$V$2:$V$137,Calc!$AC$2:$AC$137,Calc!$AJ$2:$AJ$137,Calc!$AL$2:$AL$137,Calc!$AM$2:$AM$137,Calc!$W$2:$W$137,Calc!$AD$2:$AD$137,Calc!$AK$2:$AK$137,Calc!$AN$2:$AN$137,Calc!$AO$2:$AO$137),MATCH($W68,Calc!$A$2:$A$137,0)),"")</f>
        <v>17.6801491583333</v>
      </c>
      <c r="H68" s="11" t="n">
        <f aca="false">IF(G68="","",IF(LEFT($X68,1)="H",SQRT(G68*(IFERROR(INDEX(Calc!$AP$2:$AP$137,MATCH($W68,Calc!$A$2:$A$137,0)),0.5)*Config!$B$5+1-IFERROR(INDEX(Calc!$AP$2:$AP$137,MATCH($W68,Calc!$A$2:$A$137,0)),0.5))),SQRT(G68*Config!$B$5)))</f>
        <v>4.66436333685732</v>
      </c>
      <c r="I68" s="10" t="n">
        <f aca="false">IF(OR(F68="",G68="",N(H68)&lt;=0),"",1-NORMDIST(FLOOR(F68,1)+0.5,G68,H68,TRUE()))</f>
        <v>0.430237681909783</v>
      </c>
      <c r="J68" s="10" t="n">
        <f aca="false">IF(I68="","",NORMDIST(CEILING(F68,1)-0.5,G68,H68,TRUE()))</f>
        <v>0.484595699979073</v>
      </c>
      <c r="K68" s="10" t="n">
        <f aca="false">IF(I68="","",MAX(0,1-I68-J68))</f>
        <v>0.0851666181111444</v>
      </c>
      <c r="L68" s="0" t="str">
        <f aca="false">IF(I68="","",IF(I68&gt;=0.5+Config!$B$6,"OVER",IF(J68&gt;=0.5+Config!$B$6,"UNDER","—")))</f>
        <v>—</v>
      </c>
      <c r="N68" s="0" t="n">
        <v>19.2</v>
      </c>
      <c r="O68" s="10" t="n">
        <v>0.8</v>
      </c>
      <c r="P68" s="10" t="n">
        <v>0.5</v>
      </c>
      <c r="Q68" s="10" t="n">
        <v>0.53</v>
      </c>
      <c r="R68" s="9" t="s">
        <v>1287</v>
      </c>
      <c r="S68" s="0" t="n">
        <v>-1</v>
      </c>
      <c r="T68" s="0" t="str">
        <f aca="false">INDEX(Calc!$G$2:$G$137,MATCH($W68,Calc!$A$2:$A$137,0))&amp;" / "&amp;INDEX(Calc!$H$2:$H$137,MATCH($W68,Calc!$A$2:$A$137,0))</f>
        <v>Mirage / Ancient</v>
      </c>
      <c r="U68" s="0" t="str">
        <f aca="false">TEXT(INDEX(Calc!$J$2:$J$137,MATCH($W68,Calc!$A$2:$A$137,0)),"0.0")&amp;" / "&amp;TEXT(INDEX(Calc!$K$2:$K$137,MATCH($W68,Calc!$A$2:$A$137,0)),"0.0")</f>
        <v>21.5 / 21.4</v>
      </c>
      <c r="V68" s="0" t="str">
        <f aca="false">IFERROR(INDEX(Calc!$AQ$2:$AQ$137,MATCH($W68,Calc!$A$2:$A$137,0)),"")</f>
        <v/>
      </c>
      <c r="W68" s="9" t="s">
        <v>1380</v>
      </c>
      <c r="X68" s="9" t="s">
        <v>1289</v>
      </c>
      <c r="Y68" s="0" t="str">
        <f aca="false">W68&amp;"|"&amp;X68</f>
        <v>avwkdg09z636hor|CS2 · BAR vs BHE|H12</v>
      </c>
      <c r="Z68" s="11" t="n">
        <f aca="false">IFERROR(INDEX(CHOOSE(MATCH($X68,{"K1","K2","K3","K12","K13","H1","H2","H3","H12","H13"},0),Calc!$BA$2:$BA$137,Calc!$BB$2:$BB$137,Calc!$BC$2:$BC$137,Calc!$BD$2:$BD$137,Calc!$BE$2:$BE$137,Calc!$BF$2:$BF$137,Calc!$BG$2:$BG$137,Calc!$BH$2:$BH$137,Calc!$BI$2:$BI$137,Calc!$BJ$2:$BJ$137),MATCH($W68,Calc!$A$2:$A$137,0)),"")</f>
        <v>17.7808719192464</v>
      </c>
      <c r="AA68" s="11" t="n">
        <f aca="false">IF(Z68="","",IF(LEFT($X68,1)="H",SQRT(Z68*(IFERROR(INDEX(Calc!$AP$2:$AP$137,MATCH($W68,Calc!$A$2:$A$137,0)),0.5)*Config!$B$5+1-IFERROR(INDEX(Calc!$AP$2:$AP$137,MATCH($W68,Calc!$A$2:$A$137,0)),0.5))),SQRT(Z68*Config!$B$5)))</f>
        <v>4.67763076836334</v>
      </c>
      <c r="AB68" s="10" t="n">
        <f aca="false">IF(OR(F68="",Z68="",N(AA68)&lt;=0),"",1-NORMDIST(FLOOR(F68,1)+0.5,Z68,AA68,TRUE()))</f>
        <v>0.438908288611445</v>
      </c>
      <c r="AC68" s="10" t="n">
        <f aca="false">IF(AB68="","",NORMDIST(CEILING(F68,1)-0.5,Z68,AA68,TRUE()))</f>
        <v>0.476059592494723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1.00569694067686</v>
      </c>
    </row>
    <row r="69" customFormat="false" ht="15" hidden="false" customHeight="false" outlineLevel="0" collapsed="false">
      <c r="A69" s="0" t="s">
        <v>1139</v>
      </c>
      <c r="B69" s="0" t="s">
        <v>1174</v>
      </c>
      <c r="C69" s="0" t="s">
        <v>1379</v>
      </c>
      <c r="D69" s="0" t="s">
        <v>1179</v>
      </c>
      <c r="E69" s="0" t="s">
        <v>1290</v>
      </c>
      <c r="F69" s="0" t="n">
        <v>30</v>
      </c>
      <c r="G69" s="11" t="n">
        <f aca="false">IFERROR(INDEX(CHOOSE(MATCH($X69,{"K1","K2","K3","K12","K13","H1","H2","H3","H12","H13"},0),Calc!$V$2:$V$137,Calc!$AC$2:$AC$137,Calc!$AJ$2:$AJ$137,Calc!$AL$2:$AL$137,Calc!$AM$2:$AM$137,Calc!$W$2:$W$137,Calc!$AD$2:$AD$137,Calc!$AK$2:$AK$137,Calc!$AN$2:$AN$137,Calc!$AO$2:$AO$137),MATCH($W69,Calc!$A$2:$A$137,0)),"")</f>
        <v>30.6749</v>
      </c>
      <c r="H69" s="11" t="n">
        <f aca="false">IF(G69="","",IF(LEFT($X69,1)="H",SQRT(G69*(IFERROR(INDEX(Calc!$AP$2:$AP$137,MATCH($W69,Calc!$A$2:$A$137,0)),0.5)*Config!$B$5+1-IFERROR(INDEX(Calc!$AP$2:$AP$137,MATCH($W69,Calc!$A$2:$A$137,0)),0.5))),SQRT(G69*Config!$B$5)))</f>
        <v>6.55323279000525</v>
      </c>
      <c r="I69" s="10" t="n">
        <f aca="false">IF(OR(F69="",G69="",N(H69)&lt;=0),"",1-NORMDIST(FLOOR(F69,1)+0.5,G69,H69,TRUE()))</f>
        <v>0.510646153494354</v>
      </c>
      <c r="J69" s="10" t="n">
        <f aca="false">IF(I69="","",NORMDIST(CEILING(F69,1)-0.5,G69,H69,TRUE()))</f>
        <v>0.428856742934006</v>
      </c>
      <c r="K69" s="10" t="n">
        <f aca="false">IF(I69="","",MAX(0,1-I69-J69))</f>
        <v>0.0604971035716408</v>
      </c>
      <c r="L69" s="0" t="str">
        <f aca="false">IF(I69="","",IF(I69&gt;=0.5+Config!$B$6,"OVER",IF(J69&gt;=0.5+Config!$B$6,"UNDER","—")))</f>
        <v>—</v>
      </c>
      <c r="N69" s="0" t="n">
        <v>34.2</v>
      </c>
      <c r="O69" s="10" t="n">
        <v>1</v>
      </c>
      <c r="P69" s="10" t="n">
        <v>0.7</v>
      </c>
      <c r="Q69" s="10" t="n">
        <v>0.67</v>
      </c>
      <c r="R69" s="9" t="s">
        <v>1287</v>
      </c>
      <c r="S69" s="0" t="n">
        <v>6</v>
      </c>
      <c r="T69" s="0" t="str">
        <f aca="false">INDEX(Calc!$G$2:$G$137,MATCH($W69,Calc!$A$2:$A$137,0))&amp;" / "&amp;INDEX(Calc!$H$2:$H$137,MATCH($W69,Calc!$A$2:$A$137,0))</f>
        <v>Mirage / Ancient</v>
      </c>
      <c r="U69" s="0" t="str">
        <f aca="false">TEXT(INDEX(Calc!$J$2:$J$137,MATCH($W69,Calc!$A$2:$A$137,0)),"0.0")&amp;" / "&amp;TEXT(INDEX(Calc!$K$2:$K$137,MATCH($W69,Calc!$A$2:$A$137,0)),"0.0")</f>
        <v>21.5 / 21.4</v>
      </c>
      <c r="V69" s="0" t="str">
        <f aca="false">IFERROR(INDEX(Calc!$AQ$2:$AQ$137,MATCH($W69,Calc!$A$2:$A$137,0)),"")</f>
        <v/>
      </c>
      <c r="W69" s="9" t="s">
        <v>1380</v>
      </c>
      <c r="X69" s="9" t="s">
        <v>1291</v>
      </c>
      <c r="Y69" s="0" t="str">
        <f aca="false">W69&amp;"|"&amp;X69</f>
        <v>avwkdg09z636hor|CS2 · BAR vs BHE|K12</v>
      </c>
      <c r="Z69" s="11" t="n">
        <f aca="false">IFERROR(INDEX(CHOOSE(MATCH($X69,{"K1","K2","K3","K12","K13","H1","H2","H3","H12","H13"},0),Calc!$BA$2:$BA$137,Calc!$BB$2:$BB$137,Calc!$BC$2:$BC$137,Calc!$BD$2:$BD$137,Calc!$BE$2:$BE$137,Calc!$BF$2:$BF$137,Calc!$BG$2:$BG$137,Calc!$BH$2:$BH$137,Calc!$BI$2:$BI$137,Calc!$BJ$2:$BJ$137),MATCH($W69,Calc!$A$2:$A$137,0)),"")</f>
        <v>30.8818577080207</v>
      </c>
      <c r="AA69" s="11" t="n">
        <f aca="false">IF(Z69="","",IF(LEFT($X69,1)="H",SQRT(Z69*(IFERROR(INDEX(Calc!$AP$2:$AP$137,MATCH($W69,Calc!$A$2:$A$137,0)),0.5)*Config!$B$5+1-IFERROR(INDEX(Calc!$AP$2:$AP$137,MATCH($W69,Calc!$A$2:$A$137,0)),0.5))),SQRT(Z69*Config!$B$5)))</f>
        <v>6.57530233458728</v>
      </c>
      <c r="AB69" s="10" t="n">
        <f aca="false">IF(OR(F69="",Z69="",N(AA69)&lt;=0),"",1-NORMDIST(FLOOR(F69,1)+0.5,Z69,AA69,TRUE()))</f>
        <v>0.523155375856365</v>
      </c>
      <c r="AC69" s="10" t="n">
        <f aca="false">IF(AB69="","",NORMDIST(CEILING(F69,1)-0.5,Z69,AA69,TRUE()))</f>
        <v>0.416771863595122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1.00674680954202</v>
      </c>
    </row>
    <row r="70" customFormat="false" ht="15" hidden="false" customHeight="false" outlineLevel="0" collapsed="false">
      <c r="A70" s="0" t="s">
        <v>1139</v>
      </c>
      <c r="B70" s="0" t="s">
        <v>1174</v>
      </c>
      <c r="C70" s="0" t="s">
        <v>1381</v>
      </c>
      <c r="D70" s="0" t="s">
        <v>1179</v>
      </c>
      <c r="E70" s="0" t="s">
        <v>1286</v>
      </c>
      <c r="F70" s="0" t="n">
        <v>14.5</v>
      </c>
      <c r="G70" s="11" t="n">
        <f aca="false">IFERROR(INDEX(CHOOSE(MATCH($X70,{"K1","K2","K3","K12","K13","H1","H2","H3","H12","H13"},0),Calc!$V$2:$V$137,Calc!$AC$2:$AC$137,Calc!$AJ$2:$AJ$137,Calc!$AL$2:$AL$137,Calc!$AM$2:$AM$137,Calc!$W$2:$W$137,Calc!$AD$2:$AD$137,Calc!$AK$2:$AK$137,Calc!$AN$2:$AN$137,Calc!$AO$2:$AO$137),MATCH($W70,Calc!$A$2:$A$137,0)),"")</f>
        <v>13.9208232931624</v>
      </c>
      <c r="H70" s="11" t="n">
        <f aca="false">IF(G70="","",IF(LEFT($X70,1)="H",SQRT(G70*(IFERROR(INDEX(Calc!$AP$2:$AP$137,MATCH($W70,Calc!$A$2:$A$137,0)),0.5)*Config!$B$5+1-IFERROR(INDEX(Calc!$AP$2:$AP$137,MATCH($W70,Calc!$A$2:$A$137,0)),0.5))),SQRT(G70*Config!$B$5)))</f>
        <v>4.10793266918749</v>
      </c>
      <c r="I70" s="10" t="n">
        <f aca="false">IF(OR(F70="",G70="",N(H70)&lt;=0),"",1-NORMDIST(FLOOR(F70,1)+0.5,G70,H70,TRUE()))</f>
        <v>0.443938990386332</v>
      </c>
      <c r="J70" s="10" t="n">
        <f aca="false">IF(I70="","",NORMDIST(CEILING(F70,1)-0.5,G70,H70,TRUE()))</f>
        <v>0.556061009613668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UNDER</v>
      </c>
      <c r="N70" s="0" t="n">
        <v>13</v>
      </c>
      <c r="O70" s="10" t="n">
        <v>0.6</v>
      </c>
      <c r="P70" s="10" t="n">
        <v>0.4</v>
      </c>
      <c r="Q70" s="10" t="n">
        <v>0.33</v>
      </c>
      <c r="R70" s="9" t="s">
        <v>1287</v>
      </c>
      <c r="S70" s="0" t="n">
        <v>-1</v>
      </c>
      <c r="T70" s="0" t="str">
        <f aca="false">INDEX(Calc!$G$2:$G$137,MATCH($W70,Calc!$A$2:$A$137,0))&amp;" / "&amp;INDEX(Calc!$H$2:$H$137,MATCH($W70,Calc!$A$2:$A$137,0))</f>
        <v>Mirage / Ancient</v>
      </c>
      <c r="U70" s="0" t="str">
        <f aca="false">TEXT(INDEX(Calc!$J$2:$J$137,MATCH($W70,Calc!$A$2:$A$137,0)),"0.0")&amp;" / "&amp;TEXT(INDEX(Calc!$K$2:$K$137,MATCH($W70,Calc!$A$2:$A$137,0)),"0.0")</f>
        <v>21.5 / 21.4</v>
      </c>
      <c r="V70" s="0" t="str">
        <f aca="false">IFERROR(INDEX(Calc!$AQ$2:$AQ$137,MATCH($W70,Calc!$A$2:$A$137,0)),"")</f>
        <v/>
      </c>
      <c r="W70" s="9" t="s">
        <v>1382</v>
      </c>
      <c r="X70" s="9" t="s">
        <v>1289</v>
      </c>
      <c r="Y70" s="0" t="str">
        <f aca="false">W70&amp;"|"&amp;X70</f>
        <v>m3k16jwnnsz4izp|CS2 · BAR vs BHE|H12</v>
      </c>
      <c r="Z70" s="11" t="n">
        <f aca="false">IFERROR(INDEX(CHOOSE(MATCH($X70,{"K1","K2","K3","K12","K13","H1","H2","H3","H12","H13"},0),Calc!$BA$2:$BA$137,Calc!$BB$2:$BB$137,Calc!$BC$2:$BC$137,Calc!$BD$2:$BD$137,Calc!$BE$2:$BE$137,Calc!$BF$2:$BF$137,Calc!$BG$2:$BG$137,Calc!$BH$2:$BH$137,Calc!$BI$2:$BI$137,Calc!$BJ$2:$BJ$137),MATCH($W70,Calc!$A$2:$A$137,0)),"")</f>
        <v>14.0061673937364</v>
      </c>
      <c r="AA70" s="11" t="n">
        <f aca="false">IF(Z70="","",IF(LEFT($X70,1)="H",SQRT(Z70*(IFERROR(INDEX(Calc!$AP$2:$AP$137,MATCH($W70,Calc!$A$2:$A$137,0)),0.5)*Config!$B$5+1-IFERROR(INDEX(Calc!$AP$2:$AP$137,MATCH($W70,Calc!$A$2:$A$137,0)),0.5))),SQRT(Z70*Config!$B$5)))</f>
        <v>4.12050563692708</v>
      </c>
      <c r="AB70" s="10" t="n">
        <f aca="false">IF(OR(F70="",Z70="",N(AA70)&lt;=0),"",1-NORMDIST(FLOOR(F70,1)+0.5,Z70,AA70,TRUE()))</f>
        <v>0.452301947259081</v>
      </c>
      <c r="AC70" s="10" t="n">
        <f aca="false">IF(AB70="","",NORMDIST(CEILING(F70,1)-0.5,Z70,AA70,TRUE()))</f>
        <v>0.547698052740919</v>
      </c>
      <c r="AD70" s="0" t="str">
        <f aca="false">IF(AB70="","",IF(AB70&gt;=0.5+Config!$B$6,"OVER",IF(AC70&gt;=0.5+Config!$B$6,"UNDER","—")))</f>
        <v>UNDER</v>
      </c>
      <c r="AE70" s="13" t="n">
        <f aca="false">IFERROR(Z70/G70,"")</f>
        <v>1.00613067911119</v>
      </c>
    </row>
    <row r="71" customFormat="false" ht="15" hidden="false" customHeight="false" outlineLevel="0" collapsed="false">
      <c r="A71" s="0" t="s">
        <v>1139</v>
      </c>
      <c r="B71" s="0" t="s">
        <v>1174</v>
      </c>
      <c r="C71" s="0" t="s">
        <v>1381</v>
      </c>
      <c r="D71" s="0" t="s">
        <v>1179</v>
      </c>
      <c r="E71" s="0" t="s">
        <v>1290</v>
      </c>
      <c r="F71" s="0" t="n">
        <v>25.5</v>
      </c>
      <c r="G71" s="11" t="n">
        <f aca="false">IFERROR(INDEX(CHOOSE(MATCH($X71,{"K1","K2","K3","K12","K13","H1","H2","H3","H12","H13"},0),Calc!$V$2:$V$137,Calc!$AC$2:$AC$137,Calc!$AJ$2:$AJ$137,Calc!$AL$2:$AL$137,Calc!$AM$2:$AM$137,Calc!$W$2:$W$137,Calc!$AD$2:$AD$137,Calc!$AK$2:$AK$137,Calc!$AN$2:$AN$137,Calc!$AO$2:$AO$137),MATCH($W71,Calc!$A$2:$A$137,0)),"")</f>
        <v>26.2383833333333</v>
      </c>
      <c r="H71" s="11" t="n">
        <f aca="false">IF(G71="","",IF(LEFT($X71,1)="H",SQRT(G71*(IFERROR(INDEX(Calc!$AP$2:$AP$137,MATCH($W71,Calc!$A$2:$A$137,0)),0.5)*Config!$B$5+1-IFERROR(INDEX(Calc!$AP$2:$AP$137,MATCH($W71,Calc!$A$2:$A$137,0)),0.5))),SQRT(G71*Config!$B$5)))</f>
        <v>6.06083630092966</v>
      </c>
      <c r="I71" s="10" t="n">
        <f aca="false">IF(OR(F71="",G71="",N(H71)&lt;=0),"",1-NORMDIST(FLOOR(F71,1)+0.5,G71,H71,TRUE()))</f>
        <v>0.54848262705576</v>
      </c>
      <c r="J71" s="10" t="n">
        <f aca="false">IF(I71="","",NORMDIST(CEILING(F71,1)-0.5,G71,H71,TRUE()))</f>
        <v>0.45151737294424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24.9</v>
      </c>
      <c r="O71" s="10" t="n">
        <v>0.4</v>
      </c>
      <c r="P71" s="10" t="n">
        <v>0.3</v>
      </c>
      <c r="Q71" s="10" t="n">
        <v>0.33</v>
      </c>
      <c r="R71" s="9" t="s">
        <v>1287</v>
      </c>
      <c r="S71" s="0" t="n">
        <v>1</v>
      </c>
      <c r="T71" s="0" t="str">
        <f aca="false">INDEX(Calc!$G$2:$G$137,MATCH($W71,Calc!$A$2:$A$137,0))&amp;" / "&amp;INDEX(Calc!$H$2:$H$137,MATCH($W71,Calc!$A$2:$A$137,0))</f>
        <v>Mirage / Ancient</v>
      </c>
      <c r="U71" s="0" t="str">
        <f aca="false">TEXT(INDEX(Calc!$J$2:$J$137,MATCH($W71,Calc!$A$2:$A$137,0)),"0.0")&amp;" / "&amp;TEXT(INDEX(Calc!$K$2:$K$137,MATCH($W71,Calc!$A$2:$A$137,0)),"0.0")</f>
        <v>21.5 / 21.4</v>
      </c>
      <c r="V71" s="0" t="str">
        <f aca="false">IFERROR(INDEX(Calc!$AQ$2:$AQ$137,MATCH($W71,Calc!$A$2:$A$137,0)),"")</f>
        <v/>
      </c>
      <c r="W71" s="9" t="s">
        <v>1382</v>
      </c>
      <c r="X71" s="9" t="s">
        <v>1291</v>
      </c>
      <c r="Y71" s="0" t="str">
        <f aca="false">W71&amp;"|"&amp;X71</f>
        <v>m3k16jwnnsz4izp|CS2 · BAR vs BHE|K12</v>
      </c>
      <c r="Z71" s="11" t="n">
        <f aca="false">IFERROR(INDEX(CHOOSE(MATCH($X71,{"K1","K2","K3","K12","K13","H1","H2","H3","H12","H13"},0),Calc!$BA$2:$BA$137,Calc!$BB$2:$BB$137,Calc!$BC$2:$BC$137,Calc!$BD$2:$BD$137,Calc!$BE$2:$BE$137,Calc!$BF$2:$BF$137,Calc!$BG$2:$BG$137,Calc!$BH$2:$BH$137,Calc!$BI$2:$BI$137,Calc!$BJ$2:$BJ$137),MATCH($W71,Calc!$A$2:$A$137,0)),"")</f>
        <v>26.3704772178714</v>
      </c>
      <c r="AA71" s="11" t="n">
        <f aca="false">IF(Z71="","",IF(LEFT($X71,1)="H",SQRT(Z71*(IFERROR(INDEX(Calc!$AP$2:$AP$137,MATCH($W71,Calc!$A$2:$A$137,0)),0.5)*Config!$B$5+1-IFERROR(INDEX(Calc!$AP$2:$AP$137,MATCH($W71,Calc!$A$2:$A$137,0)),0.5))),SQRT(Z71*Config!$B$5)))</f>
        <v>6.07607341175367</v>
      </c>
      <c r="AB71" s="10" t="n">
        <f aca="false">IF(OR(F71="",Z71="",N(AA71)&lt;=0),"",1-NORMDIST(FLOOR(F71,1)+0.5,Z71,AA71,TRUE()))</f>
        <v>0.55695880827717</v>
      </c>
      <c r="AC71" s="10" t="n">
        <f aca="false">IF(AB71="","",NORMDIST(CEILING(F71,1)-0.5,Z71,AA71,TRUE()))</f>
        <v>0.44304119172283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1.00503437589351</v>
      </c>
    </row>
    <row r="72" customFormat="false" ht="15" hidden="false" customHeight="false" outlineLevel="0" collapsed="false">
      <c r="A72" s="0" t="s">
        <v>1139</v>
      </c>
      <c r="B72" s="0" t="s">
        <v>1174</v>
      </c>
      <c r="C72" s="0" t="s">
        <v>1383</v>
      </c>
      <c r="D72" s="0" t="s">
        <v>1179</v>
      </c>
      <c r="E72" s="0" t="s">
        <v>1286</v>
      </c>
      <c r="F72" s="0" t="n">
        <v>16.5</v>
      </c>
      <c r="G72" s="11" t="n">
        <f aca="false">IFERROR(INDEX(CHOOSE(MATCH($X72,{"K1","K2","K3","K12","K13","H1","H2","H3","H12","H13"},0),Calc!$V$2:$V$137,Calc!$AC$2:$AC$137,Calc!$AJ$2:$AJ$137,Calc!$AL$2:$AL$137,Calc!$AM$2:$AM$137,Calc!$W$2:$W$137,Calc!$AD$2:$AD$137,Calc!$AK$2:$AK$137,Calc!$AN$2:$AN$137,Calc!$AO$2:$AO$137),MATCH($W72,Calc!$A$2:$A$137,0)),"")</f>
        <v>16.4801481125</v>
      </c>
      <c r="H72" s="11" t="n">
        <f aca="false">IF(G72="","",IF(LEFT($X72,1)="H",SQRT(G72*(IFERROR(INDEX(Calc!$AP$2:$AP$137,MATCH($W72,Calc!$A$2:$A$137,0)),0.5)*Config!$B$5+1-IFERROR(INDEX(Calc!$AP$2:$AP$137,MATCH($W72,Calc!$A$2:$A$137,0)),0.5))),SQRT(G72*Config!$B$5)))</f>
        <v>4.51396337170757</v>
      </c>
      <c r="I72" s="10" t="n">
        <f aca="false">IF(OR(F72="",G72="",N(H72)&lt;=0),"",1-NORMDIST(FLOOR(F72,1)+0.5,G72,H72,TRUE()))</f>
        <v>0.498245503765186</v>
      </c>
      <c r="J72" s="10" t="n">
        <f aca="false">IF(I72="","",NORMDIST(CEILING(F72,1)-0.5,G72,H72,TRUE()))</f>
        <v>0.501754496234814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—</v>
      </c>
      <c r="N72" s="0" t="n">
        <v>18.4</v>
      </c>
      <c r="O72" s="10" t="n">
        <v>1</v>
      </c>
      <c r="P72" s="10" t="n">
        <v>0.7</v>
      </c>
      <c r="Q72" s="10" t="n">
        <v>0.6</v>
      </c>
      <c r="R72" s="9" t="s">
        <v>1287</v>
      </c>
      <c r="S72" s="0" t="n">
        <v>5</v>
      </c>
      <c r="T72" s="0" t="str">
        <f aca="false">INDEX(Calc!$G$2:$G$137,MATCH($W72,Calc!$A$2:$A$137,0))&amp;" / "&amp;INDEX(Calc!$H$2:$H$137,MATCH($W72,Calc!$A$2:$A$137,0))</f>
        <v>Mirage / Ancient</v>
      </c>
      <c r="U72" s="0" t="str">
        <f aca="false">TEXT(INDEX(Calc!$J$2:$J$137,MATCH($W72,Calc!$A$2:$A$137,0)),"0.0")&amp;" / "&amp;TEXT(INDEX(Calc!$K$2:$K$137,MATCH($W72,Calc!$A$2:$A$137,0)),"0.0")</f>
        <v>21.5 / 21.4</v>
      </c>
      <c r="V72" s="0" t="str">
        <f aca="false">IFERROR(INDEX(Calc!$AQ$2:$AQ$137,MATCH($W72,Calc!$A$2:$A$137,0)),"")</f>
        <v/>
      </c>
      <c r="W72" s="9" t="s">
        <v>1384</v>
      </c>
      <c r="X72" s="9" t="s">
        <v>1289</v>
      </c>
      <c r="Y72" s="0" t="str">
        <f aca="false">W72&amp;"|"&amp;X72</f>
        <v>vld1f2dc8t9aesb|CS2 · BAR vs BHE|H12</v>
      </c>
      <c r="Z72" s="11" t="n">
        <f aca="false">IFERROR(INDEX(CHOOSE(MATCH($X72,{"K1","K2","K3","K12","K13","H1","H2","H3","H12","H13"},0),Calc!$BA$2:$BA$137,Calc!$BB$2:$BB$137,Calc!$BC$2:$BC$137,Calc!$BD$2:$BD$137,Calc!$BE$2:$BE$137,Calc!$BF$2:$BF$137,Calc!$BG$2:$BG$137,Calc!$BH$2:$BH$137,Calc!$BI$2:$BI$137,Calc!$BJ$2:$BJ$137),MATCH($W72,Calc!$A$2:$A$137,0)),"")</f>
        <v>16.6133815875141</v>
      </c>
      <c r="AA72" s="11" t="n">
        <f aca="false">IF(Z72="","",IF(LEFT($X72,1)="H",SQRT(Z72*(IFERROR(INDEX(Calc!$AP$2:$AP$137,MATCH($W72,Calc!$A$2:$A$137,0)),0.5)*Config!$B$5+1-IFERROR(INDEX(Calc!$AP$2:$AP$137,MATCH($W72,Calc!$A$2:$A$137,0)),0.5))),SQRT(Z72*Config!$B$5)))</f>
        <v>4.5321731713548</v>
      </c>
      <c r="AB72" s="10" t="n">
        <f aca="false">IF(OR(F72="",Z72="",N(AA72)&lt;=0),"",1-NORMDIST(FLOOR(F72,1)+0.5,Z72,AA72,TRUE()))</f>
        <v>0.509979316686064</v>
      </c>
      <c r="AC72" s="10" t="n">
        <f aca="false">IF(AB72="","",NORMDIST(CEILING(F72,1)-0.5,Z72,AA72,TRUE()))</f>
        <v>0.490020683313936</v>
      </c>
      <c r="AD72" s="0" t="str">
        <f aca="false">IF(AB72="","",IF(AB72&gt;=0.5+Config!$B$6,"OVER",IF(AC72&gt;=0.5+Config!$B$6,"UNDER","—")))</f>
        <v>—</v>
      </c>
      <c r="AE72" s="13" t="n">
        <f aca="false">IFERROR(Z72/G72,"")</f>
        <v>1.00808448286414</v>
      </c>
    </row>
    <row r="73" customFormat="false" ht="15" hidden="false" customHeight="false" outlineLevel="0" collapsed="false">
      <c r="A73" s="0" t="s">
        <v>1139</v>
      </c>
      <c r="B73" s="0" t="s">
        <v>1174</v>
      </c>
      <c r="C73" s="0" t="s">
        <v>1383</v>
      </c>
      <c r="D73" s="0" t="s">
        <v>1179</v>
      </c>
      <c r="E73" s="0" t="s">
        <v>1290</v>
      </c>
      <c r="F73" s="0" t="n">
        <v>27.5</v>
      </c>
      <c r="G73" s="11" t="n">
        <f aca="false">IFERROR(INDEX(CHOOSE(MATCH($X73,{"K1","K2","K3","K12","K13","H1","H2","H3","H12","H13"},0),Calc!$V$2:$V$137,Calc!$AC$2:$AC$137,Calc!$AJ$2:$AJ$137,Calc!$AL$2:$AL$137,Calc!$AM$2:$AM$137,Calc!$W$2:$W$137,Calc!$AD$2:$AD$137,Calc!$AK$2:$AK$137,Calc!$AN$2:$AN$137,Calc!$AO$2:$AO$137),MATCH($W73,Calc!$A$2:$A$137,0)),"")</f>
        <v>27.88655</v>
      </c>
      <c r="H73" s="11" t="n">
        <f aca="false">IF(G73="","",IF(LEFT($X73,1)="H",SQRT(G73*(IFERROR(INDEX(Calc!$AP$2:$AP$137,MATCH($W73,Calc!$A$2:$A$137,0)),0.5)*Config!$B$5+1-IFERROR(INDEX(Calc!$AP$2:$AP$137,MATCH($W73,Calc!$A$2:$A$137,0)),0.5))),SQRT(G73*Config!$B$5)))</f>
        <v>6.2482933669923</v>
      </c>
      <c r="I73" s="10" t="n">
        <f aca="false">IF(OR(F73="",G73="",N(H73)&lt;=0),"",1-NORMDIST(FLOOR(F73,1)+0.5,G73,H73,TRUE()))</f>
        <v>0.524664787337724</v>
      </c>
      <c r="J73" s="10" t="n">
        <f aca="false">IF(I73="","",NORMDIST(CEILING(F73,1)-0.5,G73,H73,TRUE()))</f>
        <v>0.475335212662276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—</v>
      </c>
      <c r="N73" s="0" t="n">
        <v>30.4</v>
      </c>
      <c r="O73" s="10" t="n">
        <v>1</v>
      </c>
      <c r="P73" s="10" t="n">
        <v>0.8</v>
      </c>
      <c r="Q73" s="10" t="n">
        <v>0.67</v>
      </c>
      <c r="R73" s="9" t="s">
        <v>1287</v>
      </c>
      <c r="S73" s="0" t="n">
        <v>7</v>
      </c>
      <c r="T73" s="0" t="str">
        <f aca="false">INDEX(Calc!$G$2:$G$137,MATCH($W73,Calc!$A$2:$A$137,0))&amp;" / "&amp;INDEX(Calc!$H$2:$H$137,MATCH($W73,Calc!$A$2:$A$137,0))</f>
        <v>Mirage / Ancient</v>
      </c>
      <c r="U73" s="0" t="str">
        <f aca="false">TEXT(INDEX(Calc!$J$2:$J$137,MATCH($W73,Calc!$A$2:$A$137,0)),"0.0")&amp;" / "&amp;TEXT(INDEX(Calc!$K$2:$K$137,MATCH($W73,Calc!$A$2:$A$137,0)),"0.0")</f>
        <v>21.5 / 21.4</v>
      </c>
      <c r="V73" s="0" t="str">
        <f aca="false">IFERROR(INDEX(Calc!$AQ$2:$AQ$137,MATCH($W73,Calc!$A$2:$A$137,0)),"")</f>
        <v/>
      </c>
      <c r="W73" s="9" t="s">
        <v>1384</v>
      </c>
      <c r="X73" s="9" t="s">
        <v>1291</v>
      </c>
      <c r="Y73" s="0" t="str">
        <f aca="false">W73&amp;"|"&amp;X73</f>
        <v>vld1f2dc8t9aesb|CS2 · BAR vs BHE|K12</v>
      </c>
      <c r="Z73" s="11" t="n">
        <f aca="false">IFERROR(INDEX(CHOOSE(MATCH($X73,{"K1","K2","K3","K12","K13","H1","H2","H3","H12","H13"},0),Calc!$BA$2:$BA$137,Calc!$BB$2:$BB$137,Calc!$BC$2:$BC$137,Calc!$BD$2:$BD$137,Calc!$BE$2:$BE$137,Calc!$BF$2:$BF$137,Calc!$BG$2:$BG$137,Calc!$BH$2:$BH$137,Calc!$BI$2:$BI$137,Calc!$BJ$2:$BJ$137),MATCH($W73,Calc!$A$2:$A$137,0)),"")</f>
        <v>28.0889179301441</v>
      </c>
      <c r="AA73" s="11" t="n">
        <f aca="false">IF(Z73="","",IF(LEFT($X73,1)="H",SQRT(Z73*(IFERROR(INDEX(Calc!$AP$2:$AP$137,MATCH($W73,Calc!$A$2:$A$137,0)),0.5)*Config!$B$5+1-IFERROR(INDEX(Calc!$AP$2:$AP$137,MATCH($W73,Calc!$A$2:$A$137,0)),0.5))),SQRT(Z73*Config!$B$5)))</f>
        <v>6.27092378379787</v>
      </c>
      <c r="AB73" s="10" t="n">
        <f aca="false">IF(OR(F73="",Z73="",N(AA73)&lt;=0),"",1-NORMDIST(FLOOR(F73,1)+0.5,Z73,AA73,TRUE()))</f>
        <v>0.537410655271144</v>
      </c>
      <c r="AC73" s="10" t="n">
        <f aca="false">IF(AB73="","",NORMDIST(CEILING(F73,1)-0.5,Z73,AA73,TRUE()))</f>
        <v>0.462589344728856</v>
      </c>
      <c r="AD73" s="0" t="str">
        <f aca="false">IF(AB73="","",IF(AB73&gt;=0.5+Config!$B$6,"OVER",IF(AC73&gt;=0.5+Config!$B$6,"UNDER","—")))</f>
        <v>—</v>
      </c>
      <c r="AE73" s="13" t="n">
        <f aca="false">IFERROR(Z73/G73,"")</f>
        <v>1.00725682919343</v>
      </c>
    </row>
    <row r="74" customFormat="false" ht="15" hidden="false" customHeight="false" outlineLevel="0" collapsed="false">
      <c r="A74" s="0" t="s">
        <v>1139</v>
      </c>
      <c r="B74" s="0" t="s">
        <v>1174</v>
      </c>
      <c r="C74" s="0" t="s">
        <v>1385</v>
      </c>
      <c r="D74" s="0" t="s">
        <v>1179</v>
      </c>
      <c r="E74" s="0" t="s">
        <v>1286</v>
      </c>
      <c r="F74" s="0" t="n">
        <v>15.5</v>
      </c>
      <c r="G74" s="11" t="n">
        <f aca="false">IFERROR(INDEX(CHOOSE(MATCH($X74,{"K1","K2","K3","K12","K13","H1","H2","H3","H12","H13"},0),Calc!$V$2:$V$137,Calc!$AC$2:$AC$137,Calc!$AJ$2:$AJ$137,Calc!$AL$2:$AL$137,Calc!$AM$2:$AM$137,Calc!$W$2:$W$137,Calc!$AD$2:$AD$137,Calc!$AK$2:$AK$137,Calc!$AN$2:$AN$137,Calc!$AO$2:$AO$137),MATCH($W74,Calc!$A$2:$A$137,0)),"")</f>
        <v>19.0627947283037</v>
      </c>
      <c r="H74" s="11" t="n">
        <f aca="false">IF(G74="","",IF(LEFT($X74,1)="H",SQRT(G74*(IFERROR(INDEX(Calc!$AP$2:$AP$137,MATCH($W74,Calc!$A$2:$A$137,0)),0.5)*Config!$B$5+1-IFERROR(INDEX(Calc!$AP$2:$AP$137,MATCH($W74,Calc!$A$2:$A$137,0)),0.5))),SQRT(G74*Config!$B$5)))</f>
        <v>4.8550406104204</v>
      </c>
      <c r="I74" s="10" t="n">
        <f aca="false">IF(OR(F74="",G74="",N(H74)&lt;=0),"",1-NORMDIST(FLOOR(F74,1)+0.5,G74,H74,TRUE()))</f>
        <v>0.768475095856052</v>
      </c>
      <c r="J74" s="10" t="n">
        <f aca="false">IF(I74="","",NORMDIST(CEILING(F74,1)-0.5,G74,H74,TRUE()))</f>
        <v>0.231524904143948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OVER</v>
      </c>
      <c r="N74" s="0" t="n">
        <v>19.5</v>
      </c>
      <c r="O74" s="10" t="n">
        <v>0.6</v>
      </c>
      <c r="P74" s="10" t="n">
        <v>0.7</v>
      </c>
      <c r="Q74" s="10" t="n">
        <v>0.67</v>
      </c>
      <c r="R74" s="9" t="s">
        <v>1287</v>
      </c>
      <c r="S74" s="0" t="n">
        <v>-1</v>
      </c>
      <c r="T74" s="0" t="str">
        <f aca="false">INDEX(Calc!$G$2:$G$137,MATCH($W74,Calc!$A$2:$A$137,0))&amp;" / "&amp;INDEX(Calc!$H$2:$H$137,MATCH($W74,Calc!$A$2:$A$137,0))</f>
        <v>Mirage / Ancient</v>
      </c>
      <c r="U74" s="0" t="str">
        <f aca="false">TEXT(INDEX(Calc!$J$2:$J$137,MATCH($W74,Calc!$A$2:$A$137,0)),"0.0")&amp;" / "&amp;TEXT(INDEX(Calc!$K$2:$K$137,MATCH($W74,Calc!$A$2:$A$137,0)),"0.0")</f>
        <v>21.5 / 21.4</v>
      </c>
      <c r="V74" s="0" t="str">
        <f aca="false">IFERROR(INDEX(Calc!$AQ$2:$AQ$137,MATCH($W74,Calc!$A$2:$A$137,0)),"")</f>
        <v/>
      </c>
      <c r="W74" s="9" t="s">
        <v>1386</v>
      </c>
      <c r="X74" s="9" t="s">
        <v>1289</v>
      </c>
      <c r="Y74" s="0" t="str">
        <f aca="false">W74&amp;"|"&amp;X74</f>
        <v>3hdlfqpxj65raop|CS2 · BAR vs BHE|H12</v>
      </c>
      <c r="Z74" s="11" t="n">
        <f aca="false">IFERROR(INDEX(CHOOSE(MATCH($X74,{"K1","K2","K3","K12","K13","H1","H2","H3","H12","H13"},0),Calc!$BA$2:$BA$137,Calc!$BB$2:$BB$137,Calc!$BC$2:$BC$137,Calc!$BD$2:$BD$137,Calc!$BE$2:$BE$137,Calc!$BF$2:$BF$137,Calc!$BG$2:$BG$137,Calc!$BH$2:$BH$137,Calc!$BI$2:$BI$137,Calc!$BJ$2:$BJ$137),MATCH($W74,Calc!$A$2:$A$137,0)),"")</f>
        <v>19.1962828164758</v>
      </c>
      <c r="AA74" s="11" t="n">
        <f aca="false">IF(Z74="","",IF(LEFT($X74,1)="H",SQRT(Z74*(IFERROR(INDEX(Calc!$AP$2:$AP$137,MATCH($W74,Calc!$A$2:$A$137,0)),0.5)*Config!$B$5+1-IFERROR(INDEX(Calc!$AP$2:$AP$137,MATCH($W74,Calc!$A$2:$A$137,0)),0.5))),SQRT(Z74*Config!$B$5)))</f>
        <v>4.87200977688711</v>
      </c>
      <c r="AB74" s="10" t="n">
        <f aca="false">IF(OR(F74="",Z74="",N(AA74)&lt;=0),"",1-NORMDIST(FLOOR(F74,1)+0.5,Z74,AA74,TRUE()))</f>
        <v>0.775977165413183</v>
      </c>
      <c r="AC74" s="10" t="n">
        <f aca="false">IF(AB74="","",NORMDIST(CEILING(F74,1)-0.5,Z74,AA74,TRUE()))</f>
        <v>0.224022834586817</v>
      </c>
      <c r="AD74" s="0" t="str">
        <f aca="false">IF(AB74="","",IF(AB74&gt;=0.5+Config!$B$6,"OVER",IF(AC74&gt;=0.5+Config!$B$6,"UNDER","—")))</f>
        <v>OVER</v>
      </c>
      <c r="AE74" s="13" t="n">
        <f aca="false">IFERROR(Z74/G74,"")</f>
        <v>1.00700254553829</v>
      </c>
    </row>
    <row r="75" customFormat="false" ht="15" hidden="false" customHeight="false" outlineLevel="0" collapsed="false">
      <c r="A75" s="0" t="s">
        <v>1139</v>
      </c>
      <c r="B75" s="0" t="s">
        <v>1174</v>
      </c>
      <c r="C75" s="0" t="s">
        <v>1385</v>
      </c>
      <c r="D75" s="0" t="s">
        <v>1179</v>
      </c>
      <c r="E75" s="0" t="s">
        <v>1290</v>
      </c>
      <c r="F75" s="0" t="n">
        <v>29.5</v>
      </c>
      <c r="G75" s="11" t="n">
        <f aca="false">IFERROR(INDEX(CHOOSE(MATCH($X75,{"K1","K2","K3","K12","K13","H1","H2","H3","H12","H13"},0),Calc!$V$2:$V$137,Calc!$AC$2:$AC$137,Calc!$AJ$2:$AJ$137,Calc!$AL$2:$AL$137,Calc!$AM$2:$AM$137,Calc!$W$2:$W$137,Calc!$AD$2:$AD$137,Calc!$AK$2:$AK$137,Calc!$AN$2:$AN$137,Calc!$AO$2:$AO$137),MATCH($W75,Calc!$A$2:$A$137,0)),"")</f>
        <v>32.2395564102564</v>
      </c>
      <c r="H75" s="11" t="n">
        <f aca="false">IF(G75="","",IF(LEFT($X75,1)="H",SQRT(G75*(IFERROR(INDEX(Calc!$AP$2:$AP$137,MATCH($W75,Calc!$A$2:$A$137,0)),0.5)*Config!$B$5+1-IFERROR(INDEX(Calc!$AP$2:$AP$137,MATCH($W75,Calc!$A$2:$A$137,0)),0.5))),SQRT(G75*Config!$B$5)))</f>
        <v>6.71828690771382</v>
      </c>
      <c r="I75" s="10" t="n">
        <f aca="false">IF(OR(F75="",G75="",N(H75)&lt;=0),"",1-NORMDIST(FLOOR(F75,1)+0.5,G75,H75,TRUE()))</f>
        <v>0.658280946027502</v>
      </c>
      <c r="J75" s="10" t="n">
        <f aca="false">IF(I75="","",NORMDIST(CEILING(F75,1)-0.5,G75,H75,TRUE()))</f>
        <v>0.341719053972498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N75" s="0" t="n">
        <v>33.6</v>
      </c>
      <c r="O75" s="10" t="n">
        <v>0.8</v>
      </c>
      <c r="P75" s="10" t="n">
        <v>0.7</v>
      </c>
      <c r="Q75" s="10" t="n">
        <v>0.67</v>
      </c>
      <c r="R75" s="9" t="s">
        <v>1287</v>
      </c>
      <c r="S75" s="0" t="n">
        <v>-1</v>
      </c>
      <c r="T75" s="0" t="str">
        <f aca="false">INDEX(Calc!$G$2:$G$137,MATCH($W75,Calc!$A$2:$A$137,0))&amp;" / "&amp;INDEX(Calc!$H$2:$H$137,MATCH($W75,Calc!$A$2:$A$137,0))</f>
        <v>Mirage / Ancient</v>
      </c>
      <c r="U75" s="0" t="str">
        <f aca="false">TEXT(INDEX(Calc!$J$2:$J$137,MATCH($W75,Calc!$A$2:$A$137,0)),"0.0")&amp;" / "&amp;TEXT(INDEX(Calc!$K$2:$K$137,MATCH($W75,Calc!$A$2:$A$137,0)),"0.0")</f>
        <v>21.5 / 21.4</v>
      </c>
      <c r="V75" s="0" t="str">
        <f aca="false">IFERROR(INDEX(Calc!$AQ$2:$AQ$137,MATCH($W75,Calc!$A$2:$A$137,0)),"")</f>
        <v/>
      </c>
      <c r="W75" s="9" t="s">
        <v>1386</v>
      </c>
      <c r="X75" s="9" t="s">
        <v>1291</v>
      </c>
      <c r="Y75" s="0" t="str">
        <f aca="false">W75&amp;"|"&amp;X75</f>
        <v>3hdlfqpxj65raop|CS2 · BAR vs BHE|K12</v>
      </c>
      <c r="Z75" s="11" t="n">
        <f aca="false">IFERROR(INDEX(CHOOSE(MATCH($X75,{"K1","K2","K3","K12","K13","H1","H2","H3","H12","H13"},0),Calc!$BA$2:$BA$137,Calc!$BB$2:$BB$137,Calc!$BC$2:$BC$137,Calc!$BD$2:$BD$137,Calc!$BE$2:$BE$137,Calc!$BF$2:$BF$137,Calc!$BG$2:$BG$137,Calc!$BH$2:$BH$137,Calc!$BI$2:$BI$137,Calc!$BJ$2:$BJ$137),MATCH($W75,Calc!$A$2:$A$137,0)),"")</f>
        <v>32.4622931448318</v>
      </c>
      <c r="AA75" s="11" t="n">
        <f aca="false">IF(Z75="","",IF(LEFT($X75,1)="H",SQRT(Z75*(IFERROR(INDEX(Calc!$AP$2:$AP$137,MATCH($W75,Calc!$A$2:$A$137,0)),0.5)*Config!$B$5+1-IFERROR(INDEX(Calc!$AP$2:$AP$137,MATCH($W75,Calc!$A$2:$A$137,0)),0.5))),SQRT(Z75*Config!$B$5)))</f>
        <v>6.7414546206857</v>
      </c>
      <c r="AB75" s="10" t="n">
        <f aca="false">IF(OR(F75="",Z75="",N(AA75)&lt;=0),"",1-NORMDIST(FLOOR(F75,1)+0.5,Z75,AA75,TRUE()))</f>
        <v>0.669819401605428</v>
      </c>
      <c r="AC75" s="10" t="n">
        <f aca="false">IF(AB75="","",NORMDIST(CEILING(F75,1)-0.5,Z75,AA75,TRUE()))</f>
        <v>0.330180598394572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1.00690880270625</v>
      </c>
    </row>
    <row r="76" customFormat="false" ht="15" hidden="false" customHeight="false" outlineLevel="0" collapsed="false">
      <c r="A76" s="0" t="s">
        <v>1139</v>
      </c>
      <c r="B76" s="0" t="s">
        <v>1215</v>
      </c>
      <c r="C76" s="0" t="s">
        <v>1387</v>
      </c>
      <c r="D76" s="0" t="s">
        <v>1220</v>
      </c>
      <c r="E76" s="0" t="s">
        <v>1286</v>
      </c>
      <c r="F76" s="0" t="n">
        <v>10.5</v>
      </c>
      <c r="G76" s="11" t="n">
        <f aca="false">IFERROR(INDEX(CHOOSE(MATCH($X76,{"K1","K2","K3","K12","K13","H1","H2","H3","H12","H13"},0),Calc!$V$2:$V$137,Calc!$AC$2:$AC$137,Calc!$AJ$2:$AJ$137,Calc!$AL$2:$AL$137,Calc!$AM$2:$AM$137,Calc!$W$2:$W$137,Calc!$AD$2:$AD$137,Calc!$AK$2:$AK$137,Calc!$AN$2:$AN$137,Calc!$AO$2:$AO$137),MATCH($W76,Calc!$A$2:$A$137,0)),"")</f>
        <v>10.8846285490196</v>
      </c>
      <c r="H76" s="11" t="n">
        <f aca="false">IF(G76="","",IF(LEFT($X76,1)="H",SQRT(G76*(IFERROR(INDEX(Calc!$AP$2:$AP$137,MATCH($W76,Calc!$A$2:$A$137,0)),0.5)*Config!$B$5+1-IFERROR(INDEX(Calc!$AP$2:$AP$137,MATCH($W76,Calc!$A$2:$A$137,0)),0.5))),SQRT(G76*Config!$B$5)))</f>
        <v>3.58611237692071</v>
      </c>
      <c r="I76" s="10" t="n">
        <f aca="false">IF(OR(F76="",G76="",N(H76)&lt;=0),"",1-NORMDIST(FLOOR(F76,1)+0.5,G76,H76,TRUE()))</f>
        <v>0.542706665635097</v>
      </c>
      <c r="J76" s="10" t="n">
        <f aca="false">IF(I76="","",NORMDIST(CEILING(F76,1)-0.5,G76,H76,TRUE()))</f>
        <v>0.457293334364903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OVER</v>
      </c>
      <c r="N76" s="0" t="n">
        <v>10</v>
      </c>
      <c r="O76" s="10" t="n">
        <v>0.4</v>
      </c>
      <c r="P76" s="10" t="n">
        <v>0.4</v>
      </c>
      <c r="Q76" s="10" t="n">
        <v>0.6</v>
      </c>
      <c r="R76" s="9" t="s">
        <v>1329</v>
      </c>
      <c r="S76" s="0" t="n">
        <v>-2</v>
      </c>
      <c r="T76" s="0" t="str">
        <f aca="false">INDEX(Calc!$G$2:$G$137,MATCH($W76,Calc!$A$2:$A$137,0))&amp;" / "&amp;INDEX(Calc!$H$2:$H$137,MATCH($W76,Calc!$A$2:$A$137,0))</f>
        <v>Mirage / Nuke</v>
      </c>
      <c r="U76" s="0" t="str">
        <f aca="false">TEXT(INDEX(Calc!$J$2:$J$137,MATCH($W76,Calc!$A$2:$A$137,0)),"0.0")&amp;" / "&amp;TEXT(INDEX(Calc!$K$2:$K$137,MATCH($W76,Calc!$A$2:$A$137,0)),"0.0")</f>
        <v>21.4 / 21.5</v>
      </c>
      <c r="V76" s="0" t="str">
        <f aca="false">IFERROR(INDEX(Calc!$AQ$2:$AQ$137,MATCH($W76,Calc!$A$2:$A$137,0)),"")</f>
        <v/>
      </c>
      <c r="W76" s="9" t="s">
        <v>1388</v>
      </c>
      <c r="X76" s="9" t="s">
        <v>1289</v>
      </c>
      <c r="Y76" s="0" t="str">
        <f aca="false">W76&amp;"|"&amp;X76</f>
        <v>75r40osa6cjt3o0|CS2 · BB vs FURIA|H12</v>
      </c>
      <c r="Z76" s="11" t="n">
        <f aca="false">IFERROR(INDEX(CHOOSE(MATCH($X76,{"K1","K2","K3","K12","K13","H1","H2","H3","H12","H13"},0),Calc!$BA$2:$BA$137,Calc!$BB$2:$BB$137,Calc!$BC$2:$BC$137,Calc!$BD$2:$BD$137,Calc!$BE$2:$BE$137,Calc!$BF$2:$BF$137,Calc!$BG$2:$BG$137,Calc!$BH$2:$BH$137,Calc!$BI$2:$BI$137,Calc!$BJ$2:$BJ$137),MATCH($W76,Calc!$A$2:$A$137,0)),"")</f>
        <v>10.3059299271475</v>
      </c>
      <c r="AA76" s="11" t="n">
        <f aca="false">IF(Z76="","",IF(LEFT($X76,1)="H",SQRT(Z76*(IFERROR(INDEX(Calc!$AP$2:$AP$137,MATCH($W76,Calc!$A$2:$A$137,0)),0.5)*Config!$B$5+1-IFERROR(INDEX(Calc!$AP$2:$AP$137,MATCH($W76,Calc!$A$2:$A$137,0)),0.5))),SQRT(Z76*Config!$B$5)))</f>
        <v>3.48947973893366</v>
      </c>
      <c r="AB76" s="10" t="n">
        <f aca="false">IF(OR(F76="",Z76="",N(AA76)&lt;=0),"",1-NORMDIST(FLOOR(F76,1)+0.5,Z76,AA76,TRUE()))</f>
        <v>0.47782395404653</v>
      </c>
      <c r="AC76" s="10" t="n">
        <f aca="false">IF(AB76="","",NORMDIST(CEILING(F76,1)-0.5,Z76,AA76,TRUE()))</f>
        <v>0.52217604595347</v>
      </c>
      <c r="AD76" s="0" t="str">
        <f aca="false">IF(AB76="","",IF(AB76&gt;=0.5+Config!$B$6,"OVER",IF(AC76&gt;=0.5+Config!$B$6,"UNDER","—")))</f>
        <v>—</v>
      </c>
      <c r="AE76" s="13" t="n">
        <f aca="false">IFERROR(Z76/G76,"")</f>
        <v>0.946833406462523</v>
      </c>
    </row>
    <row r="77" customFormat="false" ht="15" hidden="false" customHeight="false" outlineLevel="0" collapsed="false">
      <c r="A77" s="0" t="s">
        <v>1139</v>
      </c>
      <c r="B77" s="0" t="s">
        <v>1215</v>
      </c>
      <c r="C77" s="0" t="s">
        <v>1387</v>
      </c>
      <c r="D77" s="0" t="s">
        <v>1220</v>
      </c>
      <c r="E77" s="0" t="s">
        <v>1290</v>
      </c>
      <c r="F77" s="0" t="n">
        <v>23.5</v>
      </c>
      <c r="G77" s="11" t="n">
        <f aca="false">IFERROR(INDEX(CHOOSE(MATCH($X77,{"K1","K2","K3","K12","K13","H1","H2","H3","H12","H13"},0),Calc!$V$2:$V$137,Calc!$AC$2:$AC$137,Calc!$AJ$2:$AJ$137,Calc!$AL$2:$AL$137,Calc!$AM$2:$AM$137,Calc!$W$2:$W$137,Calc!$AD$2:$AD$137,Calc!$AK$2:$AK$137,Calc!$AN$2:$AN$137,Calc!$AO$2:$AO$137),MATCH($W77,Calc!$A$2:$A$137,0)),"")</f>
        <v>23.988</v>
      </c>
      <c r="H77" s="11" t="n">
        <f aca="false">IF(G77="","",IF(LEFT($X77,1)="H",SQRT(G77*(IFERROR(INDEX(Calc!$AP$2:$AP$137,MATCH($W77,Calc!$A$2:$A$137,0)),0.5)*Config!$B$5+1-IFERROR(INDEX(Calc!$AP$2:$AP$137,MATCH($W77,Calc!$A$2:$A$137,0)),0.5))),SQRT(G77*Config!$B$5)))</f>
        <v>5.79510137961365</v>
      </c>
      <c r="I77" s="10" t="n">
        <f aca="false">IF(OR(F77="",G77="",N(H77)&lt;=0),"",1-NORMDIST(FLOOR(F77,1)+0.5,G77,H77,TRUE()))</f>
        <v>0.533554889802039</v>
      </c>
      <c r="J77" s="10" t="n">
        <f aca="false">IF(I77="","",NORMDIST(CEILING(F77,1)-0.5,G77,H77,TRUE()))</f>
        <v>0.466445110197962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—</v>
      </c>
      <c r="M77" s="0" t="n">
        <v>24.88</v>
      </c>
      <c r="N77" s="0" t="n">
        <v>23.2</v>
      </c>
      <c r="O77" s="10" t="n">
        <v>0.4</v>
      </c>
      <c r="P77" s="10" t="n">
        <v>0.5</v>
      </c>
      <c r="Q77" s="10" t="n">
        <v>0.6</v>
      </c>
      <c r="R77" s="9" t="s">
        <v>1389</v>
      </c>
      <c r="S77" s="0" t="n">
        <v>1</v>
      </c>
      <c r="T77" s="0" t="str">
        <f aca="false">INDEX(Calc!$G$2:$G$137,MATCH($W77,Calc!$A$2:$A$137,0))&amp;" / "&amp;INDEX(Calc!$H$2:$H$137,MATCH($W77,Calc!$A$2:$A$137,0))</f>
        <v>Mirage / Nuke</v>
      </c>
      <c r="U77" s="0" t="str">
        <f aca="false">TEXT(INDEX(Calc!$J$2:$J$137,MATCH($W77,Calc!$A$2:$A$137,0)),"0.0")&amp;" / "&amp;TEXT(INDEX(Calc!$K$2:$K$137,MATCH($W77,Calc!$A$2:$A$137,0)),"0.0")</f>
        <v>21.4 / 21.5</v>
      </c>
      <c r="V77" s="0" t="str">
        <f aca="false">IFERROR(INDEX(Calc!$AQ$2:$AQ$137,MATCH($W77,Calc!$A$2:$A$137,0)),"")</f>
        <v/>
      </c>
      <c r="W77" s="9" t="s">
        <v>1388</v>
      </c>
      <c r="X77" s="9" t="s">
        <v>1291</v>
      </c>
      <c r="Y77" s="0" t="str">
        <f aca="false">W77&amp;"|"&amp;X77</f>
        <v>75r40osa6cjt3o0|CS2 · BB vs FURIA|K12</v>
      </c>
      <c r="Z77" s="11" t="n">
        <f aca="false">IFERROR(INDEX(CHOOSE(MATCH($X77,{"K1","K2","K3","K12","K13","H1","H2","H3","H12","H13"},0),Calc!$BA$2:$BA$137,Calc!$BB$2:$BB$137,Calc!$BC$2:$BC$137,Calc!$BD$2:$BD$137,Calc!$BE$2:$BE$137,Calc!$BF$2:$BF$137,Calc!$BG$2:$BG$137,Calc!$BH$2:$BH$137,Calc!$BI$2:$BI$137,Calc!$BJ$2:$BJ$137),MATCH($W77,Calc!$A$2:$A$137,0)),"")</f>
        <v>22.7131464135416</v>
      </c>
      <c r="AA77" s="11" t="n">
        <f aca="false">IF(Z77="","",IF(LEFT($X77,1)="H",SQRT(Z77*(IFERROR(INDEX(Calc!$AP$2:$AP$137,MATCH($W77,Calc!$A$2:$A$137,0)),0.5)*Config!$B$5+1-IFERROR(INDEX(Calc!$AP$2:$AP$137,MATCH($W77,Calc!$A$2:$A$137,0)),0.5))),SQRT(Z77*Config!$B$5)))</f>
        <v>5.63900744625844</v>
      </c>
      <c r="AB77" s="10" t="n">
        <f aca="false">IF(OR(F77="",Z77="",N(AA77)&lt;=0),"",1-NORMDIST(FLOOR(F77,1)+0.5,Z77,AA77,TRUE()))</f>
        <v>0.444512671552326</v>
      </c>
      <c r="AC77" s="10" t="n">
        <f aca="false">IF(AB77="","",NORMDIST(CEILING(F77,1)-0.5,Z77,AA77,TRUE()))</f>
        <v>0.555487328447674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0.946854527828145</v>
      </c>
    </row>
    <row r="78" customFormat="false" ht="15" hidden="false" customHeight="false" outlineLevel="0" collapsed="false">
      <c r="A78" s="0" t="s">
        <v>1139</v>
      </c>
      <c r="B78" s="0" t="s">
        <v>1215</v>
      </c>
      <c r="C78" s="0" t="s">
        <v>1390</v>
      </c>
      <c r="D78" s="0" t="s">
        <v>1220</v>
      </c>
      <c r="E78" s="0" t="s">
        <v>1286</v>
      </c>
      <c r="F78" s="0" t="n">
        <v>16</v>
      </c>
      <c r="G78" s="11" t="n">
        <f aca="false">IFERROR(INDEX(CHOOSE(MATCH($X78,{"K1","K2","K3","K12","K13","H1","H2","H3","H12","H13"},0),Calc!$V$2:$V$137,Calc!$AC$2:$AC$137,Calc!$AJ$2:$AJ$137,Calc!$AL$2:$AL$137,Calc!$AM$2:$AM$137,Calc!$W$2:$W$137,Calc!$AD$2:$AD$137,Calc!$AK$2:$AK$137,Calc!$AN$2:$AN$137,Calc!$AO$2:$AO$137),MATCH($W78,Calc!$A$2:$A$137,0)),"")</f>
        <v>15.3587962759622</v>
      </c>
      <c r="H78" s="11" t="n">
        <f aca="false">IF(G78="","",IF(LEFT($X78,1)="H",SQRT(G78*(IFERROR(INDEX(Calc!$AP$2:$AP$137,MATCH($W78,Calc!$A$2:$A$137,0)),0.5)*Config!$B$5+1-IFERROR(INDEX(Calc!$AP$2:$AP$137,MATCH($W78,Calc!$A$2:$A$137,0)),0.5))),SQRT(G78*Config!$B$5)))</f>
        <v>4.33055361199988</v>
      </c>
      <c r="I78" s="10" t="n">
        <f aca="false">IF(OR(F78="",G78="",N(H78)&lt;=0),"",1-NORMDIST(FLOOR(F78,1)+0.5,G78,H78,TRUE()))</f>
        <v>0.396073460511255</v>
      </c>
      <c r="J78" s="10" t="n">
        <f aca="false">IF(I78="","",NORMDIST(CEILING(F78,1)-0.5,G78,H78,TRUE()))</f>
        <v>0.513005763343614</v>
      </c>
      <c r="K78" s="10" t="n">
        <f aca="false">IF(I78="","",MAX(0,1-I78-J78))</f>
        <v>0.0909207761451313</v>
      </c>
      <c r="L78" s="0" t="str">
        <f aca="false">IF(I78="","",IF(I78&gt;=0.5+Config!$B$6,"OVER",IF(J78&gt;=0.5+Config!$B$6,"UNDER","—")))</f>
        <v>—</v>
      </c>
      <c r="N78" s="0" t="n">
        <v>16.5</v>
      </c>
      <c r="O78" s="10" t="n">
        <v>0.4</v>
      </c>
      <c r="P78" s="10" t="n">
        <v>0.6</v>
      </c>
      <c r="Q78" s="10" t="n">
        <v>0.73</v>
      </c>
      <c r="R78" s="9" t="s">
        <v>1391</v>
      </c>
      <c r="S78" s="0" t="n">
        <v>-3</v>
      </c>
      <c r="T78" s="0" t="str">
        <f aca="false">INDEX(Calc!$G$2:$G$137,MATCH($W78,Calc!$A$2:$A$137,0))&amp;" / "&amp;INDEX(Calc!$H$2:$H$137,MATCH($W78,Calc!$A$2:$A$137,0))</f>
        <v>Mirage / Nuke</v>
      </c>
      <c r="U78" s="0" t="str">
        <f aca="false">TEXT(INDEX(Calc!$J$2:$J$137,MATCH($W78,Calc!$A$2:$A$137,0)),"0.0")&amp;" / "&amp;TEXT(INDEX(Calc!$K$2:$K$137,MATCH($W78,Calc!$A$2:$A$137,0)),"0.0")</f>
        <v>21.4 / 21.5</v>
      </c>
      <c r="V78" s="0" t="str">
        <f aca="false">IFERROR(INDEX(Calc!$AQ$2:$AQ$137,MATCH($W78,Calc!$A$2:$A$137,0)),"")</f>
        <v/>
      </c>
      <c r="W78" s="9" t="s">
        <v>1392</v>
      </c>
      <c r="X78" s="9" t="s">
        <v>1289</v>
      </c>
      <c r="Y78" s="0" t="str">
        <f aca="false">W78&amp;"|"&amp;X78</f>
        <v>kgpnwz42wxtq29r|CS2 · BB vs FURIA|H12</v>
      </c>
      <c r="Z78" s="11" t="n">
        <f aca="false">IFERROR(INDEX(CHOOSE(MATCH($X78,{"K1","K2","K3","K12","K13","H1","H2","H3","H12","H13"},0),Calc!$BA$2:$BA$137,Calc!$BB$2:$BB$137,Calc!$BC$2:$BC$137,Calc!$BD$2:$BD$137,Calc!$BE$2:$BE$137,Calc!$BF$2:$BF$137,Calc!$BG$2:$BG$137,Calc!$BH$2:$BH$137,Calc!$BI$2:$BI$137,Calc!$BJ$2:$BJ$137),MATCH($W78,Calc!$A$2:$A$137,0)),"")</f>
        <v>14.5433525418489</v>
      </c>
      <c r="AA78" s="11" t="n">
        <f aca="false">IF(Z78="","",IF(LEFT($X78,1)="H",SQRT(Z78*(IFERROR(INDEX(Calc!$AP$2:$AP$137,MATCH($W78,Calc!$A$2:$A$137,0)),0.5)*Config!$B$5+1-IFERROR(INDEX(Calc!$AP$2:$AP$137,MATCH($W78,Calc!$A$2:$A$137,0)),0.5))),SQRT(Z78*Config!$B$5)))</f>
        <v>4.21402488141795</v>
      </c>
      <c r="AB78" s="10" t="n">
        <f aca="false">IF(OR(F78="",Z78="",N(AA78)&lt;=0),"",1-NORMDIST(FLOOR(F78,1)+0.5,Z78,AA78,TRUE()))</f>
        <v>0.321209977293311</v>
      </c>
      <c r="AC78" s="10" t="n">
        <f aca="false">IF(AB78="","",NORMDIST(CEILING(F78,1)-0.5,Z78,AA78,TRUE()))</f>
        <v>0.589794016160074</v>
      </c>
      <c r="AD78" s="0" t="str">
        <f aca="false">IF(AB78="","",IF(AB78&gt;=0.5+Config!$B$6,"OVER",IF(AC78&gt;=0.5+Config!$B$6,"UNDER","—")))</f>
        <v>UNDER</v>
      </c>
      <c r="AE78" s="13" t="n">
        <f aca="false">IFERROR(Z78/G78,"")</f>
        <v>0.946907054468219</v>
      </c>
    </row>
    <row r="79" customFormat="false" ht="15" hidden="false" customHeight="false" outlineLevel="0" collapsed="false">
      <c r="A79" s="0" t="s">
        <v>1139</v>
      </c>
      <c r="B79" s="0" t="s">
        <v>1215</v>
      </c>
      <c r="C79" s="0" t="s">
        <v>1390</v>
      </c>
      <c r="D79" s="0" t="s">
        <v>1220</v>
      </c>
      <c r="E79" s="0" t="s">
        <v>1290</v>
      </c>
      <c r="F79" s="0" t="n">
        <v>27.5</v>
      </c>
      <c r="G79" s="11" t="n">
        <f aca="false">IFERROR(INDEX(CHOOSE(MATCH($X79,{"K1","K2","K3","K12","K13","H1","H2","H3","H12","H13"},0),Calc!$V$2:$V$137,Calc!$AC$2:$AC$137,Calc!$AJ$2:$AJ$137,Calc!$AL$2:$AL$137,Calc!$AM$2:$AM$137,Calc!$W$2:$W$137,Calc!$AD$2:$AD$137,Calc!$AK$2:$AK$137,Calc!$AN$2:$AN$137,Calc!$AO$2:$AO$137),MATCH($W79,Calc!$A$2:$A$137,0)),"")</f>
        <v>27.7937777777778</v>
      </c>
      <c r="H79" s="11" t="n">
        <f aca="false">IF(G79="","",IF(LEFT($X79,1)="H",SQRT(G79*(IFERROR(INDEX(Calc!$AP$2:$AP$137,MATCH($W79,Calc!$A$2:$A$137,0)),0.5)*Config!$B$5+1-IFERROR(INDEX(Calc!$AP$2:$AP$137,MATCH($W79,Calc!$A$2:$A$137,0)),0.5))),SQRT(G79*Config!$B$5)))</f>
        <v>6.23789138161999</v>
      </c>
      <c r="I79" s="10" t="n">
        <f aca="false">IF(OR(F79="",G79="",N(H79)&lt;=0),"",1-NORMDIST(FLOOR(F79,1)+0.5,G79,H79,TRUE()))</f>
        <v>0.518781517454571</v>
      </c>
      <c r="J79" s="10" t="n">
        <f aca="false">IF(I79="","",NORMDIST(CEILING(F79,1)-0.5,G79,H79,TRUE()))</f>
        <v>0.481218482545429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M79" s="0" t="n">
        <v>29.28</v>
      </c>
      <c r="N79" s="0" t="n">
        <v>29.1</v>
      </c>
      <c r="O79" s="10" t="n">
        <v>0.4</v>
      </c>
      <c r="P79" s="10" t="n">
        <v>0.6</v>
      </c>
      <c r="Q79" s="10" t="n">
        <v>0.73</v>
      </c>
      <c r="R79" s="9" t="s">
        <v>1393</v>
      </c>
      <c r="S79" s="0" t="n">
        <v>-3</v>
      </c>
      <c r="T79" s="0" t="str">
        <f aca="false">INDEX(Calc!$G$2:$G$137,MATCH($W79,Calc!$A$2:$A$137,0))&amp;" / "&amp;INDEX(Calc!$H$2:$H$137,MATCH($W79,Calc!$A$2:$A$137,0))</f>
        <v>Mirage / Nuke</v>
      </c>
      <c r="U79" s="0" t="str">
        <f aca="false">TEXT(INDEX(Calc!$J$2:$J$137,MATCH($W79,Calc!$A$2:$A$137,0)),"0.0")&amp;" / "&amp;TEXT(INDEX(Calc!$K$2:$K$137,MATCH($W79,Calc!$A$2:$A$137,0)),"0.0")</f>
        <v>21.4 / 21.5</v>
      </c>
      <c r="V79" s="0" t="str">
        <f aca="false">IFERROR(INDEX(Calc!$AQ$2:$AQ$137,MATCH($W79,Calc!$A$2:$A$137,0)),"")</f>
        <v/>
      </c>
      <c r="W79" s="9" t="s">
        <v>1392</v>
      </c>
      <c r="X79" s="9" t="s">
        <v>1291</v>
      </c>
      <c r="Y79" s="0" t="str">
        <f aca="false">W79&amp;"|"&amp;X79</f>
        <v>kgpnwz42wxtq29r|CS2 · BB vs FURIA|K12</v>
      </c>
      <c r="Z79" s="11" t="n">
        <f aca="false">IFERROR(INDEX(CHOOSE(MATCH($X79,{"K1","K2","K3","K12","K13","H1","H2","H3","H12","H13"},0),Calc!$BA$2:$BA$137,Calc!$BB$2:$BB$137,Calc!$BC$2:$BC$137,Calc!$BD$2:$BD$137,Calc!$BE$2:$BE$137,Calc!$BF$2:$BF$137,Calc!$BG$2:$BG$137,Calc!$BH$2:$BH$137,Calc!$BI$2:$BI$137,Calc!$BJ$2:$BJ$137),MATCH($W79,Calc!$A$2:$A$137,0)),"")</f>
        <v>26.3182094306575</v>
      </c>
      <c r="AA79" s="11" t="n">
        <f aca="false">IF(Z79="","",IF(LEFT($X79,1)="H",SQRT(Z79*(IFERROR(INDEX(Calc!$AP$2:$AP$137,MATCH($W79,Calc!$A$2:$A$137,0)),0.5)*Config!$B$5+1-IFERROR(INDEX(Calc!$AP$2:$AP$137,MATCH($W79,Calc!$A$2:$A$137,0)),0.5))),SQRT(Z79*Config!$B$5)))</f>
        <v>6.07004886330584</v>
      </c>
      <c r="AB79" s="10" t="n">
        <f aca="false">IF(OR(F79="",Z79="",N(AA79)&lt;=0),"",1-NORMDIST(FLOOR(F79,1)+0.5,Z79,AA79,TRUE()))</f>
        <v>0.422816997844945</v>
      </c>
      <c r="AC79" s="10" t="n">
        <f aca="false">IF(AB79="","",NORMDIST(CEILING(F79,1)-0.5,Z79,AA79,TRUE()))</f>
        <v>0.577183002155055</v>
      </c>
      <c r="AD79" s="0" t="str">
        <f aca="false">IF(AB79="","",IF(AB79&gt;=0.5+Config!$B$6,"OVER",IF(AC79&gt;=0.5+Config!$B$6,"UNDER","—")))</f>
        <v>UNDER</v>
      </c>
      <c r="AE79" s="13" t="n">
        <f aca="false">IFERROR(Z79/G79,"")</f>
        <v>0.946910119274967</v>
      </c>
    </row>
    <row r="80" customFormat="false" ht="15" hidden="false" customHeight="false" outlineLevel="0" collapsed="false">
      <c r="A80" s="0" t="s">
        <v>1139</v>
      </c>
      <c r="B80" s="0" t="s">
        <v>1215</v>
      </c>
      <c r="C80" s="0" t="s">
        <v>1394</v>
      </c>
      <c r="D80" s="0" t="s">
        <v>1220</v>
      </c>
      <c r="E80" s="0" t="s">
        <v>1286</v>
      </c>
      <c r="F80" s="0" t="n">
        <v>16</v>
      </c>
      <c r="G80" s="11" t="n">
        <f aca="false">IFERROR(INDEX(CHOOSE(MATCH($X80,{"K1","K2","K3","K12","K13","H1","H2","H3","H12","H13"},0),Calc!$V$2:$V$137,Calc!$AC$2:$AC$137,Calc!$AJ$2:$AJ$137,Calc!$AL$2:$AL$137,Calc!$AM$2:$AM$137,Calc!$W$2:$W$137,Calc!$AD$2:$AD$137,Calc!$AK$2:$AK$137,Calc!$AN$2:$AN$137,Calc!$AO$2:$AO$137),MATCH($W80,Calc!$A$2:$A$137,0)),"")</f>
        <v>18.8099456906318</v>
      </c>
      <c r="H80" s="11" t="n">
        <f aca="false">IF(G80="","",IF(LEFT($X80,1)="H",SQRT(G80*(IFERROR(INDEX(Calc!$AP$2:$AP$137,MATCH($W80,Calc!$A$2:$A$137,0)),0.5)*Config!$B$5+1-IFERROR(INDEX(Calc!$AP$2:$AP$137,MATCH($W80,Calc!$A$2:$A$137,0)),0.5))),SQRT(G80*Config!$B$5)))</f>
        <v>4.77652450244948</v>
      </c>
      <c r="I80" s="10" t="n">
        <f aca="false">IF(OR(F80="",G80="",N(H80)&lt;=0),"",1-NORMDIST(FLOOR(F80,1)+0.5,G80,H80,TRUE()))</f>
        <v>0.685666482876714</v>
      </c>
      <c r="J80" s="10" t="n">
        <f aca="false">IF(I80="","",NORMDIST(CEILING(F80,1)-0.5,G80,H80,TRUE()))</f>
        <v>0.244166980828825</v>
      </c>
      <c r="K80" s="10" t="n">
        <f aca="false">IF(I80="","",MAX(0,1-I80-J80))</f>
        <v>0.0701665362944609</v>
      </c>
      <c r="L80" s="0" t="str">
        <f aca="false">IF(I80="","",IF(I80&gt;=0.5+Config!$B$6,"OVER",IF(J80&gt;=0.5+Config!$B$6,"UNDER","—")))</f>
        <v>OVER</v>
      </c>
      <c r="N80" s="0" t="n">
        <v>16.6</v>
      </c>
      <c r="O80" s="10" t="n">
        <v>0.8</v>
      </c>
      <c r="P80" s="10" t="n">
        <v>0.7</v>
      </c>
      <c r="Q80" s="10" t="n">
        <v>0.73</v>
      </c>
      <c r="R80" s="9" t="s">
        <v>1395</v>
      </c>
      <c r="S80" s="0" t="n">
        <v>2</v>
      </c>
      <c r="T80" s="0" t="str">
        <f aca="false">INDEX(Calc!$G$2:$G$137,MATCH($W80,Calc!$A$2:$A$137,0))&amp;" / "&amp;INDEX(Calc!$H$2:$H$137,MATCH($W80,Calc!$A$2:$A$137,0))</f>
        <v>Mirage / Nuke</v>
      </c>
      <c r="U80" s="0" t="str">
        <f aca="false">TEXT(INDEX(Calc!$J$2:$J$137,MATCH($W80,Calc!$A$2:$A$137,0)),"0.0")&amp;" / "&amp;TEXT(INDEX(Calc!$K$2:$K$137,MATCH($W80,Calc!$A$2:$A$137,0)),"0.0")</f>
        <v>21.4 / 21.5</v>
      </c>
      <c r="V80" s="0" t="str">
        <f aca="false">IFERROR(INDEX(Calc!$AQ$2:$AQ$137,MATCH($W80,Calc!$A$2:$A$137,0)),"")</f>
        <v/>
      </c>
      <c r="W80" s="9" t="s">
        <v>1396</v>
      </c>
      <c r="X80" s="9" t="s">
        <v>1289</v>
      </c>
      <c r="Y80" s="0" t="str">
        <f aca="false">W80&amp;"|"&amp;X80</f>
        <v>w2jejpg0j9hthoo|CS2 · BB vs FURIA|H12</v>
      </c>
      <c r="Z80" s="11" t="n">
        <f aca="false">IFERROR(INDEX(CHOOSE(MATCH($X80,{"K1","K2","K3","K12","K13","H1","H2","H3","H12","H13"},0),Calc!$BA$2:$BA$137,Calc!$BB$2:$BB$137,Calc!$BC$2:$BC$137,Calc!$BD$2:$BD$137,Calc!$BE$2:$BE$137,Calc!$BF$2:$BF$137,Calc!$BG$2:$BG$137,Calc!$BH$2:$BH$137,Calc!$BI$2:$BI$137,Calc!$BJ$2:$BJ$137),MATCH($W80,Calc!$A$2:$A$137,0)),"")</f>
        <v>17.8106032001583</v>
      </c>
      <c r="AA80" s="11" t="n">
        <f aca="false">IF(Z80="","",IF(LEFT($X80,1)="H",SQRT(Z80*(IFERROR(INDEX(Calc!$AP$2:$AP$137,MATCH($W80,Calc!$A$2:$A$137,0)),0.5)*Config!$B$5+1-IFERROR(INDEX(Calc!$AP$2:$AP$137,MATCH($W80,Calc!$A$2:$A$137,0)),0.5))),SQRT(Z80*Config!$B$5)))</f>
        <v>4.64790832192823</v>
      </c>
      <c r="AB80" s="10" t="n">
        <f aca="false">IF(OR(F80="",Z80="",N(AA80)&lt;=0),"",1-NORMDIST(FLOOR(F80,1)+0.5,Z80,AA80,TRUE()))</f>
        <v>0.611019423143215</v>
      </c>
      <c r="AC80" s="10" t="n">
        <f aca="false">IF(AB80="","",NORMDIST(CEILING(F80,1)-0.5,Z80,AA80,TRUE()))</f>
        <v>0.309549559755965</v>
      </c>
      <c r="AD80" s="0" t="str">
        <f aca="false">IF(AB80="","",IF(AB80&gt;=0.5+Config!$B$6,"OVER",IF(AC80&gt;=0.5+Config!$B$6,"UNDER","—")))</f>
        <v>OVER</v>
      </c>
      <c r="AE80" s="13" t="n">
        <f aca="false">IFERROR(Z80/G80,"")</f>
        <v>0.946871590864232</v>
      </c>
    </row>
    <row r="81" customFormat="false" ht="15" hidden="false" customHeight="false" outlineLevel="0" collapsed="false">
      <c r="A81" s="0" t="s">
        <v>1139</v>
      </c>
      <c r="B81" s="0" t="s">
        <v>1215</v>
      </c>
      <c r="C81" s="0" t="s">
        <v>1394</v>
      </c>
      <c r="D81" s="0" t="s">
        <v>1220</v>
      </c>
      <c r="E81" s="0" t="s">
        <v>1290</v>
      </c>
      <c r="F81" s="0" t="n">
        <v>31</v>
      </c>
      <c r="G81" s="11" t="n">
        <f aca="false">IFERROR(INDEX(CHOOSE(MATCH($X81,{"K1","K2","K3","K12","K13","H1","H2","H3","H12","H13"},0),Calc!$V$2:$V$137,Calc!$AC$2:$AC$137,Calc!$AJ$2:$AJ$137,Calc!$AL$2:$AL$137,Calc!$AM$2:$AM$137,Calc!$W$2:$W$137,Calc!$AD$2:$AD$137,Calc!$AK$2:$AK$137,Calc!$AN$2:$AN$137,Calc!$AO$2:$AO$137),MATCH($W81,Calc!$A$2:$A$137,0)),"")</f>
        <v>35.3351111111111</v>
      </c>
      <c r="H81" s="11" t="n">
        <f aca="false">IF(G81="","",IF(LEFT($X81,1)="H",SQRT(G81*(IFERROR(INDEX(Calc!$AP$2:$AP$137,MATCH($W81,Calc!$A$2:$A$137,0)),0.5)*Config!$B$5+1-IFERROR(INDEX(Calc!$AP$2:$AP$137,MATCH($W81,Calc!$A$2:$A$137,0)),0.5))),SQRT(G81*Config!$B$5)))</f>
        <v>7.03343127893886</v>
      </c>
      <c r="I81" s="10" t="n">
        <f aca="false">IF(OR(F81="",G81="",N(H81)&lt;=0),"",1-NORMDIST(FLOOR(F81,1)+0.5,G81,H81,TRUE()))</f>
        <v>0.707215693784086</v>
      </c>
      <c r="J81" s="10" t="n">
        <f aca="false">IF(I81="","",NORMDIST(CEILING(F81,1)-0.5,G81,H81,TRUE()))</f>
        <v>0.245900549714138</v>
      </c>
      <c r="K81" s="10" t="n">
        <f aca="false">IF(I81="","",MAX(0,1-I81-J81))</f>
        <v>0.0468837565017761</v>
      </c>
      <c r="L81" s="0" t="str">
        <f aca="false">IF(I81="","",IF(I81&gt;=0.5+Config!$B$6,"OVER",IF(J81&gt;=0.5+Config!$B$6,"UNDER","—")))</f>
        <v>OVER</v>
      </c>
      <c r="M81" s="0" t="n">
        <v>31</v>
      </c>
      <c r="N81" s="0" t="n">
        <v>31.4</v>
      </c>
      <c r="O81" s="10" t="n">
        <v>0.8</v>
      </c>
      <c r="P81" s="10" t="n">
        <v>0.6</v>
      </c>
      <c r="Q81" s="10" t="n">
        <v>0.67</v>
      </c>
      <c r="R81" s="9" t="s">
        <v>1397</v>
      </c>
      <c r="S81" s="0" t="n">
        <v>2</v>
      </c>
      <c r="T81" s="0" t="str">
        <f aca="false">INDEX(Calc!$G$2:$G$137,MATCH($W81,Calc!$A$2:$A$137,0))&amp;" / "&amp;INDEX(Calc!$H$2:$H$137,MATCH($W81,Calc!$A$2:$A$137,0))</f>
        <v>Mirage / Nuke</v>
      </c>
      <c r="U81" s="0" t="str">
        <f aca="false">TEXT(INDEX(Calc!$J$2:$J$137,MATCH($W81,Calc!$A$2:$A$137,0)),"0.0")&amp;" / "&amp;TEXT(INDEX(Calc!$K$2:$K$137,MATCH($W81,Calc!$A$2:$A$137,0)),"0.0")</f>
        <v>21.4 / 21.5</v>
      </c>
      <c r="V81" s="0" t="str">
        <f aca="false">IFERROR(INDEX(Calc!$AQ$2:$AQ$137,MATCH($W81,Calc!$A$2:$A$137,0)),"")</f>
        <v/>
      </c>
      <c r="W81" s="9" t="s">
        <v>1396</v>
      </c>
      <c r="X81" s="9" t="s">
        <v>1291</v>
      </c>
      <c r="Y81" s="0" t="str">
        <f aca="false">W81&amp;"|"&amp;X81</f>
        <v>w2jejpg0j9hthoo|CS2 · BB vs FURIA|K12</v>
      </c>
      <c r="Z81" s="11" t="n">
        <f aca="false">IFERROR(INDEX(CHOOSE(MATCH($X81,{"K1","K2","K3","K12","K13","H1","H2","H3","H12","H13"},0),Calc!$BA$2:$BA$137,Calc!$BB$2:$BB$137,Calc!$BC$2:$BC$137,Calc!$BD$2:$BD$137,Calc!$BE$2:$BE$137,Calc!$BF$2:$BF$137,Calc!$BG$2:$BG$137,Calc!$BH$2:$BH$137,Calc!$BI$2:$BI$137,Calc!$BJ$2:$BJ$137),MATCH($W81,Calc!$A$2:$A$137,0)),"")</f>
        <v>33.4588122437544</v>
      </c>
      <c r="AA81" s="11" t="n">
        <f aca="false">IF(Z81="","",IF(LEFT($X81,1)="H",SQRT(Z81*(IFERROR(INDEX(Calc!$AP$2:$AP$137,MATCH($W81,Calc!$A$2:$A$137,0)),0.5)*Config!$B$5+1-IFERROR(INDEX(Calc!$AP$2:$AP$137,MATCH($W81,Calc!$A$2:$A$137,0)),0.5))),SQRT(Z81*Config!$B$5)))</f>
        <v>6.84414619519894</v>
      </c>
      <c r="AB81" s="10" t="n">
        <f aca="false">IF(OR(F81="",Z81="",N(AA81)&lt;=0),"",1-NORMDIST(FLOOR(F81,1)+0.5,Z81,AA81,TRUE()))</f>
        <v>0.612638513007465</v>
      </c>
      <c r="AC81" s="10" t="n">
        <f aca="false">IF(AB81="","",NORMDIST(CEILING(F81,1)-0.5,Z81,AA81,TRUE()))</f>
        <v>0.332757030016329</v>
      </c>
      <c r="AD81" s="0" t="str">
        <f aca="false">IF(AB81="","",IF(AB81&gt;=0.5+Config!$B$6,"OVER",IF(AC81&gt;=0.5+Config!$B$6,"UNDER","—")))</f>
        <v>OVER</v>
      </c>
      <c r="AE81" s="13" t="n">
        <f aca="false">IFERROR(Z81/G81,"")</f>
        <v>0.946899873571737</v>
      </c>
    </row>
    <row r="82" customFormat="false" ht="15" hidden="false" customHeight="false" outlineLevel="0" collapsed="false">
      <c r="A82" s="0" t="s">
        <v>1139</v>
      </c>
      <c r="B82" s="0" t="s">
        <v>1215</v>
      </c>
      <c r="C82" s="0" t="s">
        <v>1398</v>
      </c>
      <c r="D82" s="0" t="s">
        <v>1220</v>
      </c>
      <c r="E82" s="0" t="s">
        <v>1286</v>
      </c>
      <c r="F82" s="0" t="n">
        <v>16</v>
      </c>
      <c r="G82" s="11" t="n">
        <f aca="false">IFERROR(INDEX(CHOOSE(MATCH($X82,{"K1","K2","K3","K12","K13","H1","H2","H3","H12","H13"},0),Calc!$V$2:$V$137,Calc!$AC$2:$AC$137,Calc!$AJ$2:$AJ$137,Calc!$AL$2:$AL$137,Calc!$AM$2:$AM$137,Calc!$W$2:$W$137,Calc!$AD$2:$AD$137,Calc!$AK$2:$AK$137,Calc!$AN$2:$AN$137,Calc!$AO$2:$AO$137),MATCH($W82,Calc!$A$2:$A$137,0)),"")</f>
        <v>15.5242393655773</v>
      </c>
      <c r="H82" s="11" t="n">
        <f aca="false">IF(G82="","",IF(LEFT($X82,1)="H",SQRT(G82*(IFERROR(INDEX(Calc!$AP$2:$AP$137,MATCH($W82,Calc!$A$2:$A$137,0)),0.5)*Config!$B$5+1-IFERROR(INDEX(Calc!$AP$2:$AP$137,MATCH($W82,Calc!$A$2:$A$137,0)),0.5))),SQRT(G82*Config!$B$5)))</f>
        <v>4.36690088195958</v>
      </c>
      <c r="I82" s="10" t="n">
        <f aca="false">IF(OR(F82="",G82="",N(H82)&lt;=0),"",1-NORMDIST(FLOOR(F82,1)+0.5,G82,H82,TRUE()))</f>
        <v>0.41159472889491</v>
      </c>
      <c r="J82" s="10" t="n">
        <f aca="false">IF(I82="","",NORMDIST(CEILING(F82,1)-0.5,G82,H82,TRUE()))</f>
        <v>0.497785601646556</v>
      </c>
      <c r="K82" s="10" t="n">
        <f aca="false">IF(I82="","",MAX(0,1-I82-J82))</f>
        <v>0.0906196694585335</v>
      </c>
      <c r="L82" s="0" t="str">
        <f aca="false">IF(I82="","",IF(I82&gt;=0.5+Config!$B$6,"OVER",IF(J82&gt;=0.5+Config!$B$6,"UNDER","—")))</f>
        <v>—</v>
      </c>
      <c r="N82" s="0" t="n">
        <v>16.5</v>
      </c>
      <c r="O82" s="10" t="n">
        <v>1</v>
      </c>
      <c r="P82" s="10" t="n">
        <v>0.7</v>
      </c>
      <c r="Q82" s="10" t="n">
        <v>0.73</v>
      </c>
      <c r="R82" s="9" t="s">
        <v>1359</v>
      </c>
      <c r="S82" s="0" t="n">
        <v>7</v>
      </c>
      <c r="T82" s="0" t="str">
        <f aca="false">INDEX(Calc!$G$2:$G$137,MATCH($W82,Calc!$A$2:$A$137,0))&amp;" / "&amp;INDEX(Calc!$H$2:$H$137,MATCH($W82,Calc!$A$2:$A$137,0))</f>
        <v>Mirage / Nuke</v>
      </c>
      <c r="U82" s="0" t="str">
        <f aca="false">TEXT(INDEX(Calc!$J$2:$J$137,MATCH($W82,Calc!$A$2:$A$137,0)),"0.0")&amp;" / "&amp;TEXT(INDEX(Calc!$K$2:$K$137,MATCH($W82,Calc!$A$2:$A$137,0)),"0.0")</f>
        <v>21.4 / 21.5</v>
      </c>
      <c r="V82" s="0" t="str">
        <f aca="false">IFERROR(INDEX(Calc!$AQ$2:$AQ$137,MATCH($W82,Calc!$A$2:$A$137,0)),"")</f>
        <v/>
      </c>
      <c r="W82" s="9" t="s">
        <v>1399</v>
      </c>
      <c r="X82" s="9" t="s">
        <v>1289</v>
      </c>
      <c r="Y82" s="0" t="str">
        <f aca="false">W82&amp;"|"&amp;X82</f>
        <v>bn3mlvy0cst11z3|CS2 · BB vs FURIA|H12</v>
      </c>
      <c r="Z82" s="11" t="n">
        <f aca="false">IFERROR(INDEX(CHOOSE(MATCH($X82,{"K1","K2","K3","K12","K13","H1","H2","H3","H12","H13"},0),Calc!$BA$2:$BA$137,Calc!$BB$2:$BB$137,Calc!$BC$2:$BC$137,Calc!$BD$2:$BD$137,Calc!$BE$2:$BE$137,Calc!$BF$2:$BF$137,Calc!$BG$2:$BG$137,Calc!$BH$2:$BH$137,Calc!$BI$2:$BI$137,Calc!$BJ$2:$BJ$137),MATCH($W82,Calc!$A$2:$A$137,0)),"")</f>
        <v>14.6998323818521</v>
      </c>
      <c r="AA82" s="11" t="n">
        <f aca="false">IF(Z82="","",IF(LEFT($X82,1)="H",SQRT(Z82*(IFERROR(INDEX(Calc!$AP$2:$AP$137,MATCH($W82,Calc!$A$2:$A$137,0)),0.5)*Config!$B$5+1-IFERROR(INDEX(Calc!$AP$2:$AP$137,MATCH($W82,Calc!$A$2:$A$137,0)),0.5))),SQRT(Z82*Config!$B$5)))</f>
        <v>4.24936817222649</v>
      </c>
      <c r="AB82" s="10" t="n">
        <f aca="false">IF(OR(F82="",Z82="",N(AA82)&lt;=0),"",1-NORMDIST(FLOOR(F82,1)+0.5,Z82,AA82,TRUE()))</f>
        <v>0.335917168812431</v>
      </c>
      <c r="AC82" s="10" t="n">
        <f aca="false">IF(AB82="","",NORMDIST(CEILING(F82,1)-0.5,Z82,AA82,TRUE()))</f>
        <v>0.574680326424514</v>
      </c>
      <c r="AD82" s="0" t="str">
        <f aca="false">IF(AB82="","",IF(AB82&gt;=0.5+Config!$B$6,"OVER",IF(AC82&gt;=0.5+Config!$B$6,"UNDER","—")))</f>
        <v>UNDER</v>
      </c>
      <c r="AE82" s="13" t="n">
        <f aca="false">IFERROR(Z82/G82,"")</f>
        <v>0.946895499076544</v>
      </c>
    </row>
    <row r="83" customFormat="false" ht="15" hidden="false" customHeight="false" outlineLevel="0" collapsed="false">
      <c r="A83" s="0" t="s">
        <v>1139</v>
      </c>
      <c r="B83" s="0" t="s">
        <v>1215</v>
      </c>
      <c r="C83" s="0" t="s">
        <v>1398</v>
      </c>
      <c r="D83" s="0" t="s">
        <v>1220</v>
      </c>
      <c r="E83" s="0" t="s">
        <v>1290</v>
      </c>
      <c r="F83" s="0" t="n">
        <v>27.5</v>
      </c>
      <c r="G83" s="11" t="n">
        <f aca="false">IFERROR(INDEX(CHOOSE(MATCH($X83,{"K1","K2","K3","K12","K13","H1","H2","H3","H12","H13"},0),Calc!$V$2:$V$137,Calc!$AC$2:$AC$137,Calc!$AJ$2:$AJ$137,Calc!$AL$2:$AL$137,Calc!$AM$2:$AM$137,Calc!$W$2:$W$137,Calc!$AD$2:$AD$137,Calc!$AK$2:$AK$137,Calc!$AN$2:$AN$137,Calc!$AO$2:$AO$137),MATCH($W83,Calc!$A$2:$A$137,0)),"")</f>
        <v>27.1889777777778</v>
      </c>
      <c r="H83" s="11" t="n">
        <f aca="false">IF(G83="","",IF(LEFT($X83,1)="H",SQRT(G83*(IFERROR(INDEX(Calc!$AP$2:$AP$137,MATCH($W83,Calc!$A$2:$A$137,0)),0.5)*Config!$B$5+1-IFERROR(INDEX(Calc!$AP$2:$AP$137,MATCH($W83,Calc!$A$2:$A$137,0)),0.5))),SQRT(G83*Config!$B$5)))</f>
        <v>6.16964900856515</v>
      </c>
      <c r="I83" s="10" t="n">
        <f aca="false">IF(OR(F83="",G83="",N(H83)&lt;=0),"",1-NORMDIST(FLOOR(F83,1)+0.5,G83,H83,TRUE()))</f>
        <v>0.479897174106332</v>
      </c>
      <c r="J83" s="10" t="n">
        <f aca="false">IF(I83="","",NORMDIST(CEILING(F83,1)-0.5,G83,H83,TRUE()))</f>
        <v>0.520102825893668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—</v>
      </c>
      <c r="M83" s="0" t="n">
        <v>29</v>
      </c>
      <c r="N83" s="0" t="n">
        <v>30.2</v>
      </c>
      <c r="O83" s="10" t="n">
        <v>0.8</v>
      </c>
      <c r="P83" s="10" t="n">
        <v>0.6</v>
      </c>
      <c r="Q83" s="10" t="n">
        <v>0.67</v>
      </c>
      <c r="R83" s="9" t="s">
        <v>1359</v>
      </c>
      <c r="S83" s="0" t="n">
        <v>2</v>
      </c>
      <c r="T83" s="0" t="str">
        <f aca="false">INDEX(Calc!$G$2:$G$137,MATCH($W83,Calc!$A$2:$A$137,0))&amp;" / "&amp;INDEX(Calc!$H$2:$H$137,MATCH($W83,Calc!$A$2:$A$137,0))</f>
        <v>Mirage / Nuke</v>
      </c>
      <c r="U83" s="0" t="str">
        <f aca="false">TEXT(INDEX(Calc!$J$2:$J$137,MATCH($W83,Calc!$A$2:$A$137,0)),"0.0")&amp;" / "&amp;TEXT(INDEX(Calc!$K$2:$K$137,MATCH($W83,Calc!$A$2:$A$137,0)),"0.0")</f>
        <v>21.4 / 21.5</v>
      </c>
      <c r="V83" s="0" t="str">
        <f aca="false">IFERROR(INDEX(Calc!$AQ$2:$AQ$137,MATCH($W83,Calc!$A$2:$A$137,0)),"")</f>
        <v/>
      </c>
      <c r="W83" s="9" t="s">
        <v>1399</v>
      </c>
      <c r="X83" s="9" t="s">
        <v>1291</v>
      </c>
      <c r="Y83" s="0" t="str">
        <f aca="false">W83&amp;"|"&amp;X83</f>
        <v>bn3mlvy0cst11z3|CS2 · BB vs FURIA|K12</v>
      </c>
      <c r="Z83" s="11" t="n">
        <f aca="false">IFERROR(INDEX(CHOOSE(MATCH($X83,{"K1","K2","K3","K12","K13","H1","H2","H3","H12","H13"},0),Calc!$BA$2:$BA$137,Calc!$BB$2:$BB$137,Calc!$BC$2:$BC$137,Calc!$BD$2:$BD$137,Calc!$BE$2:$BE$137,Calc!$BF$2:$BF$137,Calc!$BG$2:$BG$137,Calc!$BH$2:$BH$137,Calc!$BI$2:$BI$137,Calc!$BJ$2:$BJ$137),MATCH($W83,Calc!$A$2:$A$137,0)),"")</f>
        <v>25.7451105506956</v>
      </c>
      <c r="AA83" s="11" t="n">
        <f aca="false">IF(Z83="","",IF(LEFT($X83,1)="H",SQRT(Z83*(IFERROR(INDEX(Calc!$AP$2:$AP$137,MATCH($W83,Calc!$A$2:$A$137,0)),0.5)*Config!$B$5+1-IFERROR(INDEX(Calc!$AP$2:$AP$137,MATCH($W83,Calc!$A$2:$A$137,0)),0.5))),SQRT(Z83*Config!$B$5)))</f>
        <v>6.00359515382023</v>
      </c>
      <c r="AB83" s="10" t="n">
        <f aca="false">IF(OR(F83="",Z83="",N(AA83)&lt;=0),"",1-NORMDIST(FLOOR(F83,1)+0.5,Z83,AA83,TRUE()))</f>
        <v>0.385026172586434</v>
      </c>
      <c r="AC83" s="10" t="n">
        <f aca="false">IF(AB83="","",NORMDIST(CEILING(F83,1)-0.5,Z83,AA83,TRUE()))</f>
        <v>0.614973827413566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0.946895126441189</v>
      </c>
    </row>
    <row r="84" customFormat="false" ht="15" hidden="false" customHeight="false" outlineLevel="0" collapsed="false">
      <c r="A84" s="0" t="s">
        <v>1139</v>
      </c>
      <c r="B84" s="0" t="s">
        <v>1215</v>
      </c>
      <c r="C84" s="0" t="s">
        <v>1400</v>
      </c>
      <c r="D84" s="0" t="s">
        <v>1220</v>
      </c>
      <c r="E84" s="0" t="s">
        <v>1286</v>
      </c>
      <c r="F84" s="0" t="n">
        <v>8.5</v>
      </c>
      <c r="G84" s="11" t="n">
        <f aca="false">IFERROR(INDEX(CHOOSE(MATCH($X84,{"K1","K2","K3","K12","K13","H1","H2","H3","H12","H13"},0),Calc!$V$2:$V$137,Calc!$AC$2:$AC$137,Calc!$AJ$2:$AJ$137,Calc!$AL$2:$AL$137,Calc!$AM$2:$AM$137,Calc!$W$2:$W$137,Calc!$AD$2:$AD$137,Calc!$AK$2:$AK$137,Calc!$AN$2:$AN$137,Calc!$AO$2:$AO$137),MATCH($W84,Calc!$A$2:$A$137,0)),"")</f>
        <v>9.32742864778504</v>
      </c>
      <c r="H84" s="11" t="n">
        <f aca="false">IF(G84="","",IF(LEFT($X84,1)="H",SQRT(G84*(IFERROR(INDEX(Calc!$AP$2:$AP$137,MATCH($W84,Calc!$A$2:$A$137,0)),0.5)*Config!$B$5+1-IFERROR(INDEX(Calc!$AP$2:$AP$137,MATCH($W84,Calc!$A$2:$A$137,0)),0.5))),SQRT(G84*Config!$B$5)))</f>
        <v>3.22412513393283</v>
      </c>
      <c r="I84" s="10" t="n">
        <f aca="false">IF(OR(F84="",G84="",N(H84)&lt;=0),"",1-NORMDIST(FLOOR(F84,1)+0.5,G84,H84,TRUE()))</f>
        <v>0.601270357061983</v>
      </c>
      <c r="J84" s="10" t="n">
        <f aca="false">IF(I84="","",NORMDIST(CEILING(F84,1)-0.5,G84,H84,TRUE()))</f>
        <v>0.398729642938017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OVER</v>
      </c>
      <c r="N84" s="0" t="n">
        <v>9.9</v>
      </c>
      <c r="O84" s="10" t="n">
        <v>0.6</v>
      </c>
      <c r="P84" s="10" t="n">
        <v>0.6</v>
      </c>
      <c r="Q84" s="10" t="n">
        <v>0.53</v>
      </c>
      <c r="R84" s="9" t="s">
        <v>1397</v>
      </c>
      <c r="S84" s="0" t="n">
        <v>1</v>
      </c>
      <c r="T84" s="0" t="str">
        <f aca="false">INDEX(Calc!$G$2:$G$137,MATCH($W84,Calc!$A$2:$A$137,0))&amp;" / "&amp;INDEX(Calc!$H$2:$H$137,MATCH($W84,Calc!$A$2:$A$137,0))</f>
        <v>Mirage / Nuke</v>
      </c>
      <c r="U84" s="0" t="str">
        <f aca="false">TEXT(INDEX(Calc!$J$2:$J$137,MATCH($W84,Calc!$A$2:$A$137,0)),"0.0")&amp;" / "&amp;TEXT(INDEX(Calc!$K$2:$K$137,MATCH($W84,Calc!$A$2:$A$137,0)),"0.0")</f>
        <v>21.4 / 21.5</v>
      </c>
      <c r="V84" s="0" t="str">
        <f aca="false">IFERROR(INDEX(Calc!$AQ$2:$AQ$137,MATCH($W84,Calc!$A$2:$A$137,0)),"")</f>
        <v/>
      </c>
      <c r="W84" s="9" t="s">
        <v>1401</v>
      </c>
      <c r="X84" s="9" t="s">
        <v>1289</v>
      </c>
      <c r="Y84" s="0" t="str">
        <f aca="false">W84&amp;"|"&amp;X84</f>
        <v>c4m3zncm4mxvzoh|CS2 · BB vs FURIA|H12</v>
      </c>
      <c r="Z84" s="11" t="n">
        <f aca="false">IFERROR(INDEX(CHOOSE(MATCH($X84,{"K1","K2","K3","K12","K13","H1","H2","H3","H12","H13"},0),Calc!$BA$2:$BA$137,Calc!$BB$2:$BB$137,Calc!$BC$2:$BC$137,Calc!$BD$2:$BD$137,Calc!$BE$2:$BE$137,Calc!$BF$2:$BF$137,Calc!$BG$2:$BG$137,Calc!$BH$2:$BH$137,Calc!$BI$2:$BI$137,Calc!$BJ$2:$BJ$137),MATCH($W84,Calc!$A$2:$A$137,0)),"")</f>
        <v>8.83170706165215</v>
      </c>
      <c r="AA84" s="11" t="n">
        <f aca="false">IF(Z84="","",IF(LEFT($X84,1)="H",SQRT(Z84*(IFERROR(INDEX(Calc!$AP$2:$AP$137,MATCH($W84,Calc!$A$2:$A$137,0)),0.5)*Config!$B$5+1-IFERROR(INDEX(Calc!$AP$2:$AP$137,MATCH($W84,Calc!$A$2:$A$137,0)),0.5))),SQRT(Z84*Config!$B$5)))</f>
        <v>3.137279771073</v>
      </c>
      <c r="AB84" s="10" t="n">
        <f aca="false">IF(OR(F84="",Z84="",N(AA84)&lt;=0),"",1-NORMDIST(FLOOR(F84,1)+0.5,Z84,AA84,TRUE()))</f>
        <v>0.542102023925403</v>
      </c>
      <c r="AC84" s="10" t="n">
        <f aca="false">IF(AB84="","",NORMDIST(CEILING(F84,1)-0.5,Z84,AA84,TRUE()))</f>
        <v>0.457897976074597</v>
      </c>
      <c r="AD84" s="0" t="str">
        <f aca="false">IF(AB84="","",IF(AB84&gt;=0.5+Config!$B$6,"OVER",IF(AC84&gt;=0.5+Config!$B$6,"UNDER","—")))</f>
        <v>OVER</v>
      </c>
      <c r="AE84" s="13" t="n">
        <f aca="false">IFERROR(Z84/G84,"")</f>
        <v>0.946853349958286</v>
      </c>
    </row>
    <row r="85" customFormat="false" ht="15" hidden="false" customHeight="false" outlineLevel="0" collapsed="false">
      <c r="A85" s="0" t="s">
        <v>1139</v>
      </c>
      <c r="B85" s="0" t="s">
        <v>1215</v>
      </c>
      <c r="C85" s="0" t="s">
        <v>1400</v>
      </c>
      <c r="D85" s="0" t="s">
        <v>1220</v>
      </c>
      <c r="E85" s="0" t="s">
        <v>1290</v>
      </c>
      <c r="F85" s="0" t="n">
        <v>29</v>
      </c>
      <c r="G85" s="11" t="n">
        <f aca="false">IFERROR(INDEX(CHOOSE(MATCH($X85,{"K1","K2","K3","K12","K13","H1","H2","H3","H12","H13"},0),Calc!$V$2:$V$137,Calc!$AC$2:$AC$137,Calc!$AJ$2:$AJ$137,Calc!$AL$2:$AL$137,Calc!$AM$2:$AM$137,Calc!$W$2:$W$137,Calc!$AD$2:$AD$137,Calc!$AK$2:$AK$137,Calc!$AN$2:$AN$137,Calc!$AO$2:$AO$137),MATCH($W85,Calc!$A$2:$A$137,0)),"")</f>
        <v>32.5982222222222</v>
      </c>
      <c r="H85" s="11" t="n">
        <f aca="false">IF(G85="","",IF(LEFT($X85,1)="H",SQRT(G85*(IFERROR(INDEX(Calc!$AP$2:$AP$137,MATCH($W85,Calc!$A$2:$A$137,0)),0.5)*Config!$B$5+1-IFERROR(INDEX(Calc!$AP$2:$AP$137,MATCH($W85,Calc!$A$2:$A$137,0)),0.5))),SQRT(G85*Config!$B$5)))</f>
        <v>6.75555409356709</v>
      </c>
      <c r="I85" s="10" t="n">
        <f aca="false">IF(OR(F85="",G85="",N(H85)&lt;=0),"",1-NORMDIST(FLOOR(F85,1)+0.5,G85,H85,TRUE()))</f>
        <v>0.67674593268819</v>
      </c>
      <c r="J85" s="10" t="n">
        <f aca="false">IF(I85="","",NORMDIST(CEILING(F85,1)-0.5,G85,H85,TRUE()))</f>
        <v>0.27204330857955</v>
      </c>
      <c r="K85" s="10" t="n">
        <f aca="false">IF(I85="","",MAX(0,1-I85-J85))</f>
        <v>0.0512107587322599</v>
      </c>
      <c r="L85" s="0" t="str">
        <f aca="false">IF(I85="","",IF(I85&gt;=0.5+Config!$B$6,"OVER",IF(J85&gt;=0.5+Config!$B$6,"UNDER","—")))</f>
        <v>OVER</v>
      </c>
      <c r="M85" s="0" t="n">
        <v>30</v>
      </c>
      <c r="N85" s="0" t="n">
        <v>33.7</v>
      </c>
      <c r="O85" s="10" t="n">
        <v>1</v>
      </c>
      <c r="P85" s="10" t="n">
        <v>0.8</v>
      </c>
      <c r="Q85" s="10" t="n">
        <v>0.8</v>
      </c>
      <c r="R85" s="9" t="s">
        <v>1397</v>
      </c>
      <c r="S85" s="0" t="n">
        <v>7</v>
      </c>
      <c r="T85" s="0" t="str">
        <f aca="false">INDEX(Calc!$G$2:$G$137,MATCH($W85,Calc!$A$2:$A$137,0))&amp;" / "&amp;INDEX(Calc!$H$2:$H$137,MATCH($W85,Calc!$A$2:$A$137,0))</f>
        <v>Mirage / Nuke</v>
      </c>
      <c r="U85" s="0" t="str">
        <f aca="false">TEXT(INDEX(Calc!$J$2:$J$137,MATCH($W85,Calc!$A$2:$A$137,0)),"0.0")&amp;" / "&amp;TEXT(INDEX(Calc!$K$2:$K$137,MATCH($W85,Calc!$A$2:$A$137,0)),"0.0")</f>
        <v>21.4 / 21.5</v>
      </c>
      <c r="V85" s="0" t="str">
        <f aca="false">IFERROR(INDEX(Calc!$AQ$2:$AQ$137,MATCH($W85,Calc!$A$2:$A$137,0)),"")</f>
        <v/>
      </c>
      <c r="W85" s="9" t="s">
        <v>1401</v>
      </c>
      <c r="X85" s="9" t="s">
        <v>1291</v>
      </c>
      <c r="Y85" s="0" t="str">
        <f aca="false">W85&amp;"|"&amp;X85</f>
        <v>c4m3zncm4mxvzoh|CS2 · BB vs FURIA|K12</v>
      </c>
      <c r="Z85" s="11" t="n">
        <f aca="false">IFERROR(INDEX(CHOOSE(MATCH($X85,{"K1","K2","K3","K12","K13","H1","H2","H3","H12","H13"},0),Calc!$BA$2:$BA$137,Calc!$BB$2:$BB$137,Calc!$BC$2:$BC$137,Calc!$BD$2:$BD$137,Calc!$BE$2:$BE$137,Calc!$BF$2:$BF$137,Calc!$BG$2:$BG$137,Calc!$BH$2:$BH$137,Calc!$BI$2:$BI$137,Calc!$BJ$2:$BJ$137),MATCH($W85,Calc!$A$2:$A$137,0)),"")</f>
        <v>30.8668706544963</v>
      </c>
      <c r="AA85" s="11" t="n">
        <f aca="false">IF(Z85="","",IF(LEFT($X85,1)="H",SQRT(Z85*(IFERROR(INDEX(Calc!$AP$2:$AP$137,MATCH($W85,Calc!$A$2:$A$137,0)),0.5)*Config!$B$5+1-IFERROR(INDEX(Calc!$AP$2:$AP$137,MATCH($W85,Calc!$A$2:$A$137,0)),0.5))),SQRT(Z85*Config!$B$5)))</f>
        <v>6.57370663448673</v>
      </c>
      <c r="AB85" s="10" t="n">
        <f aca="false">IF(OR(F85="",Z85="",N(AA85)&lt;=0),"",1-NORMDIST(FLOOR(F85,1)+0.5,Z85,AA85,TRUE()))</f>
        <v>0.582358177912589</v>
      </c>
      <c r="AC85" s="10" t="n">
        <f aca="false">IF(AB85="","",NORMDIST(CEILING(F85,1)-0.5,Z85,AA85,TRUE()))</f>
        <v>0.359404440236941</v>
      </c>
      <c r="AD85" s="0" t="str">
        <f aca="false">IF(AB85="","",IF(AB85&gt;=0.5+Config!$B$6,"OVER",IF(AC85&gt;=0.5+Config!$B$6,"UNDER","—")))</f>
        <v>OVER</v>
      </c>
      <c r="AE85" s="13" t="n">
        <f aca="false">IFERROR(Z85/G85,"")</f>
        <v>0.946888159853527</v>
      </c>
    </row>
    <row r="86" customFormat="false" ht="15" hidden="false" customHeight="false" outlineLevel="0" collapsed="false">
      <c r="A86" s="0" t="s">
        <v>1139</v>
      </c>
      <c r="B86" s="0" t="s">
        <v>1215</v>
      </c>
      <c r="C86" s="0" t="s">
        <v>1402</v>
      </c>
      <c r="D86" s="0" t="s">
        <v>1221</v>
      </c>
      <c r="E86" s="0" t="s">
        <v>1286</v>
      </c>
      <c r="F86" s="0" t="n">
        <v>12.5</v>
      </c>
      <c r="G86" s="11" t="n">
        <f aca="false">IFERROR(INDEX(CHOOSE(MATCH($X86,{"K1","K2","K3","K12","K13","H1","H2","H3","H12","H13"},0),Calc!$V$2:$V$137,Calc!$AC$2:$AC$137,Calc!$AJ$2:$AJ$137,Calc!$AL$2:$AL$137,Calc!$AM$2:$AM$137,Calc!$W$2:$W$137,Calc!$AD$2:$AD$137,Calc!$AK$2:$AK$137,Calc!$AN$2:$AN$137,Calc!$AO$2:$AO$137),MATCH($W86,Calc!$A$2:$A$137,0)),"")</f>
        <v>12.2364257475797</v>
      </c>
      <c r="H86" s="11" t="n">
        <f aca="false">IF(G86="","",IF(LEFT($X86,1)="H",SQRT(G86*(IFERROR(INDEX(Calc!$AP$2:$AP$137,MATCH($W86,Calc!$A$2:$A$137,0)),0.5)*Config!$B$5+1-IFERROR(INDEX(Calc!$AP$2:$AP$137,MATCH($W86,Calc!$A$2:$A$137,0)),0.5))),SQRT(G86*Config!$B$5)))</f>
        <v>3.84307114720081</v>
      </c>
      <c r="I86" s="10" t="n">
        <f aca="false">IF(OR(F86="",G86="",N(H86)&lt;=0),"",1-NORMDIST(FLOOR(F86,1)+0.5,G86,H86,TRUE()))</f>
        <v>0.472660267645307</v>
      </c>
      <c r="J86" s="10" t="n">
        <f aca="false">IF(I86="","",NORMDIST(CEILING(F86,1)-0.5,G86,H86,TRUE()))</f>
        <v>0.527339732354693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—</v>
      </c>
      <c r="N86" s="0" t="n">
        <v>13.2</v>
      </c>
      <c r="O86" s="10" t="n">
        <v>0.6</v>
      </c>
      <c r="P86" s="10" t="n">
        <v>0.6</v>
      </c>
      <c r="Q86" s="10" t="n">
        <v>0.47</v>
      </c>
      <c r="R86" s="9" t="s">
        <v>1389</v>
      </c>
      <c r="S86" s="0" t="n">
        <v>-1</v>
      </c>
      <c r="T86" s="0" t="str">
        <f aca="false">INDEX(Calc!$G$2:$G$137,MATCH($W86,Calc!$A$2:$A$137,0))&amp;" / "&amp;INDEX(Calc!$H$2:$H$137,MATCH($W86,Calc!$A$2:$A$137,0))</f>
        <v>Mirage / Nuke</v>
      </c>
      <c r="U86" s="0" t="str">
        <f aca="false">TEXT(INDEX(Calc!$J$2:$J$137,MATCH($W86,Calc!$A$2:$A$137,0)),"0.0")&amp;" / "&amp;TEXT(INDEX(Calc!$K$2:$K$137,MATCH($W86,Calc!$A$2:$A$137,0)),"0.0")</f>
        <v>21.4 / 21.5</v>
      </c>
      <c r="V86" s="0" t="str">
        <f aca="false">IFERROR(INDEX(Calc!$AQ$2:$AQ$137,MATCH($W86,Calc!$A$2:$A$137,0)),"")</f>
        <v/>
      </c>
      <c r="W86" s="9" t="s">
        <v>1403</v>
      </c>
      <c r="X86" s="9" t="s">
        <v>1289</v>
      </c>
      <c r="Y86" s="0" t="str">
        <f aca="false">W86&amp;"|"&amp;X86</f>
        <v>upsdzrueyrfmr1m|CS2 · BB vs FURIA|H12</v>
      </c>
      <c r="Z86" s="11" t="n">
        <f aca="false">IFERROR(INDEX(CHOOSE(MATCH($X86,{"K1","K2","K3","K12","K13","H1","H2","H3","H12","H13"},0),Calc!$BA$2:$BA$137,Calc!$BB$2:$BB$137,Calc!$BC$2:$BC$137,Calc!$BD$2:$BD$137,Calc!$BE$2:$BE$137,Calc!$BF$2:$BF$137,Calc!$BG$2:$BG$137,Calc!$BH$2:$BH$137,Calc!$BI$2:$BI$137,Calc!$BJ$2:$BJ$137),MATCH($W86,Calc!$A$2:$A$137,0)),"")</f>
        <v>12.4787446066217</v>
      </c>
      <c r="AA86" s="11" t="n">
        <f aca="false">IF(Z86="","",IF(LEFT($X86,1)="H",SQRT(Z86*(IFERROR(INDEX(Calc!$AP$2:$AP$137,MATCH($W86,Calc!$A$2:$A$137,0)),0.5)*Config!$B$5+1-IFERROR(INDEX(Calc!$AP$2:$AP$137,MATCH($W86,Calc!$A$2:$A$137,0)),0.5))),SQRT(Z86*Config!$B$5)))</f>
        <v>3.88093691498554</v>
      </c>
      <c r="AB86" s="10" t="n">
        <f aca="false">IF(OR(F86="",Z86="",N(AA86)&lt;=0),"",1-NORMDIST(FLOOR(F86,1)+0.5,Z86,AA86,TRUE()))</f>
        <v>0.497815055256443</v>
      </c>
      <c r="AC86" s="10" t="n">
        <f aca="false">IF(AB86="","",NORMDIST(CEILING(F86,1)-0.5,Z86,AA86,TRUE()))</f>
        <v>0.502184944743558</v>
      </c>
      <c r="AD86" s="0" t="str">
        <f aca="false">IF(AB86="","",IF(AB86&gt;=0.5+Config!$B$6,"OVER",IF(AC86&gt;=0.5+Config!$B$6,"UNDER","—")))</f>
        <v>—</v>
      </c>
      <c r="AE86" s="13" t="n">
        <f aca="false">IFERROR(Z86/G86,"")</f>
        <v>1.0198030751823</v>
      </c>
    </row>
    <row r="87" customFormat="false" ht="15" hidden="false" customHeight="false" outlineLevel="0" collapsed="false">
      <c r="A87" s="0" t="s">
        <v>1139</v>
      </c>
      <c r="B87" s="0" t="s">
        <v>1215</v>
      </c>
      <c r="C87" s="0" t="s">
        <v>1402</v>
      </c>
      <c r="D87" s="0" t="s">
        <v>1221</v>
      </c>
      <c r="E87" s="0" t="s">
        <v>1290</v>
      </c>
      <c r="F87" s="0" t="n">
        <v>25</v>
      </c>
      <c r="G87" s="11" t="n">
        <f aca="false">IFERROR(INDEX(CHOOSE(MATCH($X87,{"K1","K2","K3","K12","K13","H1","H2","H3","H12","H13"},0),Calc!$V$2:$V$137,Calc!$AC$2:$AC$137,Calc!$AJ$2:$AJ$137,Calc!$AL$2:$AL$137,Calc!$AM$2:$AM$137,Calc!$W$2:$W$137,Calc!$AD$2:$AD$137,Calc!$AK$2:$AK$137,Calc!$AN$2:$AN$137,Calc!$AO$2:$AO$137),MATCH($W87,Calc!$A$2:$A$137,0)),"")</f>
        <v>23.6468545454545</v>
      </c>
      <c r="H87" s="11" t="n">
        <f aca="false">IF(G87="","",IF(LEFT($X87,1)="H",SQRT(G87*(IFERROR(INDEX(Calc!$AP$2:$AP$137,MATCH($W87,Calc!$A$2:$A$137,0)),0.5)*Config!$B$5+1-IFERROR(INDEX(Calc!$AP$2:$AP$137,MATCH($W87,Calc!$A$2:$A$137,0)),0.5))),SQRT(G87*Config!$B$5)))</f>
        <v>5.75374628947405</v>
      </c>
      <c r="I87" s="10" t="n">
        <f aca="false">IF(OR(F87="",G87="",N(H87)&lt;=0),"",1-NORMDIST(FLOOR(F87,1)+0.5,G87,H87,TRUE()))</f>
        <v>0.373697437026713</v>
      </c>
      <c r="J87" s="10" t="n">
        <f aca="false">IF(I87="","",NORMDIST(CEILING(F87,1)-0.5,G87,H87,TRUE()))</f>
        <v>0.558937726056622</v>
      </c>
      <c r="K87" s="10" t="n">
        <f aca="false">IF(I87="","",MAX(0,1-I87-J87))</f>
        <v>0.0673648369166657</v>
      </c>
      <c r="L87" s="0" t="str">
        <f aca="false">IF(I87="","",IF(I87&gt;=0.5+Config!$B$6,"OVER",IF(J87&gt;=0.5+Config!$B$6,"UNDER","—")))</f>
        <v>UNDER</v>
      </c>
      <c r="M87" s="0" t="n">
        <v>23.18</v>
      </c>
      <c r="N87" s="0" t="n">
        <v>23.8</v>
      </c>
      <c r="O87" s="10" t="n">
        <v>0.6</v>
      </c>
      <c r="P87" s="10" t="n">
        <v>0.6</v>
      </c>
      <c r="Q87" s="10" t="n">
        <v>0.47</v>
      </c>
      <c r="R87" s="9" t="s">
        <v>1397</v>
      </c>
      <c r="S87" s="0" t="n">
        <v>-1</v>
      </c>
      <c r="T87" s="0" t="str">
        <f aca="false">INDEX(Calc!$G$2:$G$137,MATCH($W87,Calc!$A$2:$A$137,0))&amp;" / "&amp;INDEX(Calc!$H$2:$H$137,MATCH($W87,Calc!$A$2:$A$137,0))</f>
        <v>Mirage / Nuke</v>
      </c>
      <c r="U87" s="0" t="str">
        <f aca="false">TEXT(INDEX(Calc!$J$2:$J$137,MATCH($W87,Calc!$A$2:$A$137,0)),"0.0")&amp;" / "&amp;TEXT(INDEX(Calc!$K$2:$K$137,MATCH($W87,Calc!$A$2:$A$137,0)),"0.0")</f>
        <v>21.4 / 21.5</v>
      </c>
      <c r="V87" s="0" t="str">
        <f aca="false">IFERROR(INDEX(Calc!$AQ$2:$AQ$137,MATCH($W87,Calc!$A$2:$A$137,0)),"")</f>
        <v/>
      </c>
      <c r="W87" s="9" t="s">
        <v>1403</v>
      </c>
      <c r="X87" s="9" t="s">
        <v>1291</v>
      </c>
      <c r="Y87" s="0" t="str">
        <f aca="false">W87&amp;"|"&amp;X87</f>
        <v>upsdzrueyrfmr1m|CS2 · BB vs FURIA|K12</v>
      </c>
      <c r="Z87" s="11" t="n">
        <f aca="false">IFERROR(INDEX(CHOOSE(MATCH($X87,{"K1","K2","K3","K12","K13","H1","H2","H3","H12","H13"},0),Calc!$BA$2:$BA$137,Calc!$BB$2:$BB$137,Calc!$BC$2:$BC$137,Calc!$BD$2:$BD$137,Calc!$BE$2:$BE$137,Calc!$BF$2:$BF$137,Calc!$BG$2:$BG$137,Calc!$BH$2:$BH$137,Calc!$BI$2:$BI$137,Calc!$BJ$2:$BJ$137),MATCH($W87,Calc!$A$2:$A$137,0)),"")</f>
        <v>24.1153807199226</v>
      </c>
      <c r="AA87" s="11" t="n">
        <f aca="false">IF(Z87="","",IF(LEFT($X87,1)="H",SQRT(Z87*(IFERROR(INDEX(Calc!$AP$2:$AP$137,MATCH($W87,Calc!$A$2:$A$137,0)),0.5)*Config!$B$5+1-IFERROR(INDEX(Calc!$AP$2:$AP$137,MATCH($W87,Calc!$A$2:$A$137,0)),0.5))),SQRT(Z87*Config!$B$5)))</f>
        <v>5.81046753780551</v>
      </c>
      <c r="AB87" s="10" t="n">
        <f aca="false">IF(OR(F87="",Z87="",N(AA87)&lt;=0),"",1-NORMDIST(FLOOR(F87,1)+0.5,Z87,AA87,TRUE()))</f>
        <v>0.405825220687113</v>
      </c>
      <c r="AC87" s="10" t="n">
        <f aca="false">IF(AB87="","",NORMDIST(CEILING(F87,1)-0.5,Z87,AA87,TRUE()))</f>
        <v>0.526388394851472</v>
      </c>
      <c r="AD87" s="0" t="str">
        <f aca="false">IF(AB87="","",IF(AB87&gt;=0.5+Config!$B$6,"OVER",IF(AC87&gt;=0.5+Config!$B$6,"UNDER","—")))</f>
        <v>—</v>
      </c>
      <c r="AE87" s="13" t="n">
        <f aca="false">IFERROR(Z87/G87,"")</f>
        <v>1.01981346709633</v>
      </c>
    </row>
    <row r="88" customFormat="false" ht="15" hidden="false" customHeight="false" outlineLevel="0" collapsed="false">
      <c r="A88" s="0" t="s">
        <v>1139</v>
      </c>
      <c r="B88" s="0" t="s">
        <v>1215</v>
      </c>
      <c r="C88" s="0" t="s">
        <v>1404</v>
      </c>
      <c r="D88" s="0" t="s">
        <v>1221</v>
      </c>
      <c r="E88" s="0" t="s">
        <v>1286</v>
      </c>
      <c r="F88" s="0" t="n">
        <v>15.5</v>
      </c>
      <c r="G88" s="11" t="n">
        <f aca="false">IFERROR(INDEX(CHOOSE(MATCH($X88,{"K1","K2","K3","K12","K13","H1","H2","H3","H12","H13"},0),Calc!$V$2:$V$137,Calc!$AC$2:$AC$137,Calc!$AJ$2:$AJ$137,Calc!$AL$2:$AL$137,Calc!$AM$2:$AM$137,Calc!$W$2:$W$137,Calc!$AD$2:$AD$137,Calc!$AK$2:$AK$137,Calc!$AN$2:$AN$137,Calc!$AO$2:$AO$137),MATCH($W88,Calc!$A$2:$A$137,0)),"")</f>
        <v>14.1768599138135</v>
      </c>
      <c r="H88" s="11" t="n">
        <f aca="false">IF(G88="","",IF(LEFT($X88,1)="H",SQRT(G88*(IFERROR(INDEX(Calc!$AP$2:$AP$137,MATCH($W88,Calc!$A$2:$A$137,0)),0.5)*Config!$B$5+1-IFERROR(INDEX(Calc!$AP$2:$AP$137,MATCH($W88,Calc!$A$2:$A$137,0)),0.5))),SQRT(G88*Config!$B$5)))</f>
        <v>4.12538383042147</v>
      </c>
      <c r="I88" s="10" t="n">
        <f aca="false">IF(OR(F88="",G88="",N(H88)&lt;=0),"",1-NORMDIST(FLOOR(F88,1)+0.5,G88,H88,TRUE()))</f>
        <v>0.374206978973188</v>
      </c>
      <c r="J88" s="10" t="n">
        <f aca="false">IF(I88="","",NORMDIST(CEILING(F88,1)-0.5,G88,H88,TRUE()))</f>
        <v>0.625793021026812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UNDER</v>
      </c>
      <c r="N88" s="0" t="n">
        <v>14.5</v>
      </c>
      <c r="O88" s="10" t="n">
        <v>0.4</v>
      </c>
      <c r="P88" s="10" t="n">
        <v>0.4</v>
      </c>
      <c r="Q88" s="10" t="n">
        <v>0.4</v>
      </c>
      <c r="R88" s="9" t="s">
        <v>1329</v>
      </c>
      <c r="S88" s="0" t="n">
        <v>1</v>
      </c>
      <c r="T88" s="0" t="str">
        <f aca="false">INDEX(Calc!$G$2:$G$137,MATCH($W88,Calc!$A$2:$A$137,0))&amp;" / "&amp;INDEX(Calc!$H$2:$H$137,MATCH($W88,Calc!$A$2:$A$137,0))</f>
        <v>Mirage / Nuke</v>
      </c>
      <c r="U88" s="0" t="str">
        <f aca="false">TEXT(INDEX(Calc!$J$2:$J$137,MATCH($W88,Calc!$A$2:$A$137,0)),"0.0")&amp;" / "&amp;TEXT(INDEX(Calc!$K$2:$K$137,MATCH($W88,Calc!$A$2:$A$137,0)),"0.0")</f>
        <v>21.4 / 21.5</v>
      </c>
      <c r="V88" s="0" t="str">
        <f aca="false">IFERROR(INDEX(Calc!$AQ$2:$AQ$137,MATCH($W88,Calc!$A$2:$A$137,0)),"")</f>
        <v/>
      </c>
      <c r="W88" s="9" t="s">
        <v>1405</v>
      </c>
      <c r="X88" s="9" t="s">
        <v>1289</v>
      </c>
      <c r="Y88" s="0" t="str">
        <f aca="false">W88&amp;"|"&amp;X88</f>
        <v>xlunjfskczbvxwn|CS2 · BB vs FURIA|H12</v>
      </c>
      <c r="Z88" s="11" t="n">
        <f aca="false">IFERROR(INDEX(CHOOSE(MATCH($X88,{"K1","K2","K3","K12","K13","H1","H2","H3","H12","H13"},0),Calc!$BA$2:$BA$137,Calc!$BB$2:$BB$137,Calc!$BC$2:$BC$137,Calc!$BD$2:$BD$137,Calc!$BE$2:$BE$137,Calc!$BF$2:$BF$137,Calc!$BG$2:$BG$137,Calc!$BH$2:$BH$137,Calc!$BI$2:$BI$137,Calc!$BJ$2:$BJ$137),MATCH($W88,Calc!$A$2:$A$137,0)),"")</f>
        <v>14.4575905042368</v>
      </c>
      <c r="AA88" s="11" t="n">
        <f aca="false">IF(Z88="","",IF(LEFT($X88,1)="H",SQRT(Z88*(IFERROR(INDEX(Calc!$AP$2:$AP$137,MATCH($W88,Calc!$A$2:$A$137,0)),0.5)*Config!$B$5+1-IFERROR(INDEX(Calc!$AP$2:$AP$137,MATCH($W88,Calc!$A$2:$A$137,0)),0.5))),SQRT(Z88*Config!$B$5)))</f>
        <v>4.16602908717458</v>
      </c>
      <c r="AB88" s="10" t="n">
        <f aca="false">IF(OR(F88="",Z88="",N(AA88)&lt;=0),"",1-NORMDIST(FLOOR(F88,1)+0.5,Z88,AA88,TRUE()))</f>
        <v>0.401209937072468</v>
      </c>
      <c r="AC88" s="10" t="n">
        <f aca="false">IF(AB88="","",NORMDIST(CEILING(F88,1)-0.5,Z88,AA88,TRUE()))</f>
        <v>0.598790062927532</v>
      </c>
      <c r="AD88" s="0" t="str">
        <f aca="false">IF(AB88="","",IF(AB88&gt;=0.5+Config!$B$6,"OVER",IF(AC88&gt;=0.5+Config!$B$6,"UNDER","—")))</f>
        <v>UNDER</v>
      </c>
      <c r="AE88" s="13" t="n">
        <f aca="false">IFERROR(Z88/G88,"")</f>
        <v>1.01980202894929</v>
      </c>
    </row>
    <row r="89" customFormat="false" ht="15" hidden="false" customHeight="false" outlineLevel="0" collapsed="false">
      <c r="A89" s="0" t="s">
        <v>1139</v>
      </c>
      <c r="B89" s="0" t="s">
        <v>1215</v>
      </c>
      <c r="C89" s="0" t="s">
        <v>1404</v>
      </c>
      <c r="D89" s="0" t="s">
        <v>1221</v>
      </c>
      <c r="E89" s="0" t="s">
        <v>1290</v>
      </c>
      <c r="F89" s="0" t="n">
        <v>31.5</v>
      </c>
      <c r="G89" s="11" t="n">
        <f aca="false">IFERROR(INDEX(CHOOSE(MATCH($X89,{"K1","K2","K3","K12","K13","H1","H2","H3","H12","H13"},0),Calc!$V$2:$V$137,Calc!$AC$2:$AC$137,Calc!$AJ$2:$AJ$137,Calc!$AL$2:$AL$137,Calc!$AM$2:$AM$137,Calc!$W$2:$W$137,Calc!$AD$2:$AD$137,Calc!$AK$2:$AK$137,Calc!$AN$2:$AN$137,Calc!$AO$2:$AO$137),MATCH($W89,Calc!$A$2:$A$137,0)),"")</f>
        <v>28.2882727272727</v>
      </c>
      <c r="H89" s="11" t="n">
        <f aca="false">IF(G89="","",IF(LEFT($X89,1)="H",SQRT(G89*(IFERROR(INDEX(Calc!$AP$2:$AP$137,MATCH($W89,Calc!$A$2:$A$137,0)),0.5)*Config!$B$5+1-IFERROR(INDEX(Calc!$AP$2:$AP$137,MATCH($W89,Calc!$A$2:$A$137,0)),0.5))),SQRT(G89*Config!$B$5)))</f>
        <v>6.29313767672231</v>
      </c>
      <c r="I89" s="10" t="n">
        <f aca="false">IF(OR(F89="",G89="",N(H89)&lt;=0),"",1-NORMDIST(FLOOR(F89,1)+0.5,G89,H89,TRUE()))</f>
        <v>0.30490177845612</v>
      </c>
      <c r="J89" s="10" t="n">
        <f aca="false">IF(I89="","",NORMDIST(CEILING(F89,1)-0.5,G89,H89,TRUE()))</f>
        <v>0.69509822154388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UNDER</v>
      </c>
      <c r="M89" s="0" t="n">
        <v>31.6</v>
      </c>
      <c r="N89" s="0" t="n">
        <v>30.6</v>
      </c>
      <c r="O89" s="10" t="n">
        <v>0.2</v>
      </c>
      <c r="P89" s="10" t="n">
        <v>0.4</v>
      </c>
      <c r="Q89" s="10" t="n">
        <v>0.4</v>
      </c>
      <c r="R89" s="9" t="s">
        <v>1395</v>
      </c>
      <c r="S89" s="0" t="n">
        <v>1</v>
      </c>
      <c r="T89" s="0" t="str">
        <f aca="false">INDEX(Calc!$G$2:$G$137,MATCH($W89,Calc!$A$2:$A$137,0))&amp;" / "&amp;INDEX(Calc!$H$2:$H$137,MATCH($W89,Calc!$A$2:$A$137,0))</f>
        <v>Mirage / Nuke</v>
      </c>
      <c r="U89" s="0" t="str">
        <f aca="false">TEXT(INDEX(Calc!$J$2:$J$137,MATCH($W89,Calc!$A$2:$A$137,0)),"0.0")&amp;" / "&amp;TEXT(INDEX(Calc!$K$2:$K$137,MATCH($W89,Calc!$A$2:$A$137,0)),"0.0")</f>
        <v>21.4 / 21.5</v>
      </c>
      <c r="V89" s="0" t="str">
        <f aca="false">IFERROR(INDEX(Calc!$AQ$2:$AQ$137,MATCH($W89,Calc!$A$2:$A$137,0)),"")</f>
        <v/>
      </c>
      <c r="W89" s="9" t="s">
        <v>1405</v>
      </c>
      <c r="X89" s="9" t="s">
        <v>1291</v>
      </c>
      <c r="Y89" s="0" t="str">
        <f aca="false">W89&amp;"|"&amp;X89</f>
        <v>xlunjfskczbvxwn|CS2 · BB vs FURIA|K12</v>
      </c>
      <c r="Z89" s="11" t="n">
        <f aca="false">IFERROR(INDEX(CHOOSE(MATCH($X89,{"K1","K2","K3","K12","K13","H1","H2","H3","H12","H13"},0),Calc!$BA$2:$BA$137,Calc!$BB$2:$BB$137,Calc!$BC$2:$BC$137,Calc!$BD$2:$BD$137,Calc!$BE$2:$BE$137,Calc!$BF$2:$BF$137,Calc!$BG$2:$BG$137,Calc!$BH$2:$BH$137,Calc!$BI$2:$BI$137,Calc!$BJ$2:$BJ$137),MATCH($W89,Calc!$A$2:$A$137,0)),"")</f>
        <v>28.8482076482026</v>
      </c>
      <c r="AA89" s="11" t="n">
        <f aca="false">IF(Z89="","",IF(LEFT($X89,1)="H",SQRT(Z89*(IFERROR(INDEX(Calc!$AP$2:$AP$137,MATCH($W89,Calc!$A$2:$A$137,0)),0.5)*Config!$B$5+1-IFERROR(INDEX(Calc!$AP$2:$AP$137,MATCH($W89,Calc!$A$2:$A$137,0)),0.5))),SQRT(Z89*Config!$B$5)))</f>
        <v>6.35511531818925</v>
      </c>
      <c r="AB89" s="10" t="n">
        <f aca="false">IF(OR(F89="",Z89="",N(AA89)&lt;=0),"",1-NORMDIST(FLOOR(F89,1)+0.5,Z89,AA89,TRUE()))</f>
        <v>0.338240845350189</v>
      </c>
      <c r="AC89" s="10" t="n">
        <f aca="false">IF(AB89="","",NORMDIST(CEILING(F89,1)-0.5,Z89,AA89,TRUE()))</f>
        <v>0.661759154649811</v>
      </c>
      <c r="AD89" s="0" t="str">
        <f aca="false">IF(AB89="","",IF(AB89&gt;=0.5+Config!$B$6,"OVER",IF(AC89&gt;=0.5+Config!$B$6,"UNDER","—")))</f>
        <v>UNDER</v>
      </c>
      <c r="AE89" s="13" t="n">
        <f aca="false">IFERROR(Z89/G89,"")</f>
        <v>1.01979388866645</v>
      </c>
    </row>
    <row r="90" customFormat="false" ht="15" hidden="false" customHeight="false" outlineLevel="0" collapsed="false">
      <c r="A90" s="0" t="s">
        <v>1139</v>
      </c>
      <c r="B90" s="0" t="s">
        <v>1215</v>
      </c>
      <c r="C90" s="0" t="s">
        <v>1406</v>
      </c>
      <c r="D90" s="0" t="s">
        <v>1221</v>
      </c>
      <c r="E90" s="0" t="s">
        <v>1286</v>
      </c>
      <c r="F90" s="0" t="n">
        <v>12</v>
      </c>
      <c r="G90" s="11" t="n">
        <f aca="false">IFERROR(INDEX(CHOOSE(MATCH($X90,{"K1","K2","K3","K12","K13","H1","H2","H3","H12","H13"},0),Calc!$V$2:$V$137,Calc!$AC$2:$AC$137,Calc!$AJ$2:$AJ$137,Calc!$AL$2:$AL$137,Calc!$AM$2:$AM$137,Calc!$W$2:$W$137,Calc!$AD$2:$AD$137,Calc!$AK$2:$AK$137,Calc!$AN$2:$AN$137,Calc!$AO$2:$AO$137),MATCH($W90,Calc!$A$2:$A$137,0)),"")</f>
        <v>12.0824398635773</v>
      </c>
      <c r="H90" s="11" t="n">
        <f aca="false">IF(G90="","",IF(LEFT($X90,1)="H",SQRT(G90*(IFERROR(INDEX(Calc!$AP$2:$AP$137,MATCH($W90,Calc!$A$2:$A$137,0)),0.5)*Config!$B$5+1-IFERROR(INDEX(Calc!$AP$2:$AP$137,MATCH($W90,Calc!$A$2:$A$137,0)),0.5))),SQRT(G90*Config!$B$5)))</f>
        <v>3.72673009289726</v>
      </c>
      <c r="I90" s="10" t="n">
        <f aca="false">IF(OR(F90="",G90="",N(H90)&lt;=0),"",1-NORMDIST(FLOOR(F90,1)+0.5,G90,H90,TRUE()))</f>
        <v>0.455394005384506</v>
      </c>
      <c r="J90" s="10" t="n">
        <f aca="false">IF(I90="","",NORMDIST(CEILING(F90,1)-0.5,G90,H90,TRUE()))</f>
        <v>0.437903359419947</v>
      </c>
      <c r="K90" s="10" t="n">
        <f aca="false">IF(I90="","",MAX(0,1-I90-J90))</f>
        <v>0.106702635195548</v>
      </c>
      <c r="L90" s="0" t="str">
        <f aca="false">IF(I90="","",IF(I90&gt;=0.5+Config!$B$6,"OVER",IF(J90&gt;=0.5+Config!$B$6,"UNDER","—")))</f>
        <v>—</v>
      </c>
      <c r="N90" s="0" t="n">
        <v>11.7</v>
      </c>
      <c r="O90" s="10" t="n">
        <v>0.6</v>
      </c>
      <c r="P90" s="10" t="n">
        <v>0.6</v>
      </c>
      <c r="Q90" s="10" t="n">
        <v>0.6</v>
      </c>
      <c r="R90" s="9" t="s">
        <v>1407</v>
      </c>
      <c r="S90" s="0" t="n">
        <v>-1</v>
      </c>
      <c r="T90" s="0" t="str">
        <f aca="false">INDEX(Calc!$G$2:$G$137,MATCH($W90,Calc!$A$2:$A$137,0))&amp;" / "&amp;INDEX(Calc!$H$2:$H$137,MATCH($W90,Calc!$A$2:$A$137,0))</f>
        <v>Mirage / Nuke</v>
      </c>
      <c r="U90" s="0" t="str">
        <f aca="false">TEXT(INDEX(Calc!$J$2:$J$137,MATCH($W90,Calc!$A$2:$A$137,0)),"0.0")&amp;" / "&amp;TEXT(INDEX(Calc!$K$2:$K$137,MATCH($W90,Calc!$A$2:$A$137,0)),"0.0")</f>
        <v>21.4 / 21.5</v>
      </c>
      <c r="V90" s="0" t="str">
        <f aca="false">IFERROR(INDEX(Calc!$AQ$2:$AQ$137,MATCH($W90,Calc!$A$2:$A$137,0)),"")</f>
        <v/>
      </c>
      <c r="W90" s="9" t="s">
        <v>1408</v>
      </c>
      <c r="X90" s="9" t="s">
        <v>1289</v>
      </c>
      <c r="Y90" s="0" t="str">
        <f aca="false">W90&amp;"|"&amp;X90</f>
        <v>g1czin1kua6nls5|CS2 · BB vs FURIA|H12</v>
      </c>
      <c r="Z90" s="11" t="n">
        <f aca="false">IFERROR(INDEX(CHOOSE(MATCH($X90,{"K1","K2","K3","K12","K13","H1","H2","H3","H12","H13"},0),Calc!$BA$2:$BA$137,Calc!$BB$2:$BB$137,Calc!$BC$2:$BC$137,Calc!$BD$2:$BD$137,Calc!$BE$2:$BE$137,Calc!$BF$2:$BF$137,Calc!$BG$2:$BG$137,Calc!$BH$2:$BH$137,Calc!$BI$2:$BI$137,Calc!$BJ$2:$BJ$137),MATCH($W90,Calc!$A$2:$A$137,0)),"")</f>
        <v>12.322306588294</v>
      </c>
      <c r="AA90" s="11" t="n">
        <f aca="false">IF(Z90="","",IF(LEFT($X90,1)="H",SQRT(Z90*(IFERROR(INDEX(Calc!$AP$2:$AP$137,MATCH($W90,Calc!$A$2:$A$137,0)),0.5)*Config!$B$5+1-IFERROR(INDEX(Calc!$AP$2:$AP$137,MATCH($W90,Calc!$A$2:$A$137,0)),0.5))),SQRT(Z90*Config!$B$5)))</f>
        <v>3.76354076277986</v>
      </c>
      <c r="AB90" s="10" t="n">
        <f aca="false">IF(OR(F90="",Z90="",N(AA90)&lt;=0),"",1-NORMDIST(FLOOR(F90,1)+0.5,Z90,AA90,TRUE()))</f>
        <v>0.481171165573484</v>
      </c>
      <c r="AC90" s="10" t="n">
        <f aca="false">IF(AB90="","",NORMDIST(CEILING(F90,1)-0.5,Z90,AA90,TRUE()))</f>
        <v>0.413522580776489</v>
      </c>
      <c r="AD90" s="0" t="str">
        <f aca="false">IF(AB90="","",IF(AB90&gt;=0.5+Config!$B$6,"OVER",IF(AC90&gt;=0.5+Config!$B$6,"UNDER","—")))</f>
        <v>—</v>
      </c>
      <c r="AE90" s="13" t="n">
        <f aca="false">IFERROR(Z90/G90,"")</f>
        <v>1.01985250722743</v>
      </c>
    </row>
    <row r="91" customFormat="false" ht="15" hidden="false" customHeight="false" outlineLevel="0" collapsed="false">
      <c r="A91" s="0" t="s">
        <v>1139</v>
      </c>
      <c r="B91" s="0" t="s">
        <v>1215</v>
      </c>
      <c r="C91" s="0" t="s">
        <v>1406</v>
      </c>
      <c r="D91" s="0" t="s">
        <v>1221</v>
      </c>
      <c r="E91" s="0" t="s">
        <v>1290</v>
      </c>
      <c r="F91" s="0" t="n">
        <v>32.5</v>
      </c>
      <c r="G91" s="11" t="n">
        <f aca="false">IFERROR(INDEX(CHOOSE(MATCH($X91,{"K1","K2","K3","K12","K13","H1","H2","H3","H12","H13"},0),Calc!$V$2:$V$137,Calc!$AC$2:$AC$137,Calc!$AJ$2:$AJ$137,Calc!$AL$2:$AL$137,Calc!$AM$2:$AM$137,Calc!$W$2:$W$137,Calc!$AD$2:$AD$137,Calc!$AK$2:$AK$137,Calc!$AN$2:$AN$137,Calc!$AO$2:$AO$137),MATCH($W91,Calc!$A$2:$A$137,0)),"")</f>
        <v>32.3320272727273</v>
      </c>
      <c r="H91" s="11" t="n">
        <f aca="false">IF(G91="","",IF(LEFT($X91,1)="H",SQRT(G91*(IFERROR(INDEX(Calc!$AP$2:$AP$137,MATCH($W91,Calc!$A$2:$A$137,0)),0.5)*Config!$B$5+1-IFERROR(INDEX(Calc!$AP$2:$AP$137,MATCH($W91,Calc!$A$2:$A$137,0)),0.5))),SQRT(G91*Config!$B$5)))</f>
        <v>6.72791484650469</v>
      </c>
      <c r="I91" s="10" t="n">
        <f aca="false">IF(OR(F91="",G91="",N(H91)&lt;=0),"",1-NORMDIST(FLOOR(F91,1)+0.5,G91,H91,TRUE()))</f>
        <v>0.49004082789969</v>
      </c>
      <c r="J91" s="10" t="n">
        <f aca="false">IF(I91="","",NORMDIST(CEILING(F91,1)-0.5,G91,H91,TRUE()))</f>
        <v>0.50995917210031</v>
      </c>
      <c r="K91" s="10" t="n">
        <f aca="false">IF(I91="","",MAX(0,1-I91-J91))</f>
        <v>0</v>
      </c>
      <c r="L91" s="0" t="str">
        <f aca="false">IF(I91="","",IF(I91&gt;=0.5+Config!$B$6,"OVER",IF(J91&gt;=0.5+Config!$B$6,"UNDER","—")))</f>
        <v>—</v>
      </c>
      <c r="M91" s="0" t="n">
        <v>32.45</v>
      </c>
      <c r="N91" s="0" t="n">
        <v>31.9</v>
      </c>
      <c r="O91" s="10" t="n">
        <v>0.4</v>
      </c>
      <c r="P91" s="10" t="n">
        <v>0.4</v>
      </c>
      <c r="Q91" s="10" t="n">
        <v>0.4</v>
      </c>
      <c r="R91" s="9" t="s">
        <v>1407</v>
      </c>
      <c r="S91" s="0" t="n">
        <v>-2</v>
      </c>
      <c r="T91" s="0" t="str">
        <f aca="false">INDEX(Calc!$G$2:$G$137,MATCH($W91,Calc!$A$2:$A$137,0))&amp;" / "&amp;INDEX(Calc!$H$2:$H$137,MATCH($W91,Calc!$A$2:$A$137,0))</f>
        <v>Mirage / Nuke</v>
      </c>
      <c r="U91" s="0" t="str">
        <f aca="false">TEXT(INDEX(Calc!$J$2:$J$137,MATCH($W91,Calc!$A$2:$A$137,0)),"0.0")&amp;" / "&amp;TEXT(INDEX(Calc!$K$2:$K$137,MATCH($W91,Calc!$A$2:$A$137,0)),"0.0")</f>
        <v>21.4 / 21.5</v>
      </c>
      <c r="V91" s="0" t="str">
        <f aca="false">IFERROR(INDEX(Calc!$AQ$2:$AQ$137,MATCH($W91,Calc!$A$2:$A$137,0)),"")</f>
        <v/>
      </c>
      <c r="W91" s="9" t="s">
        <v>1408</v>
      </c>
      <c r="X91" s="9" t="s">
        <v>1291</v>
      </c>
      <c r="Y91" s="0" t="str">
        <f aca="false">W91&amp;"|"&amp;X91</f>
        <v>g1czin1kua6nls5|CS2 · BB vs FURIA|K12</v>
      </c>
      <c r="Z91" s="11" t="n">
        <f aca="false">IFERROR(INDEX(CHOOSE(MATCH($X91,{"K1","K2","K3","K12","K13","H1","H2","H3","H12","H13"},0),Calc!$BA$2:$BA$137,Calc!$BB$2:$BB$137,Calc!$BC$2:$BC$137,Calc!$BD$2:$BD$137,Calc!$BE$2:$BE$137,Calc!$BF$2:$BF$137,Calc!$BG$2:$BG$137,Calc!$BH$2:$BH$137,Calc!$BI$2:$BI$137,Calc!$BJ$2:$BJ$137),MATCH($W91,Calc!$A$2:$A$137,0)),"")</f>
        <v>32.972564322537</v>
      </c>
      <c r="AA91" s="11" t="n">
        <f aca="false">IF(Z91="","",IF(LEFT($X91,1)="H",SQRT(Z91*(IFERROR(INDEX(Calc!$AP$2:$AP$137,MATCH($W91,Calc!$A$2:$A$137,0)),0.5)*Config!$B$5+1-IFERROR(INDEX(Calc!$AP$2:$AP$137,MATCH($W91,Calc!$A$2:$A$137,0)),0.5))),SQRT(Z91*Config!$B$5)))</f>
        <v>6.79423211640225</v>
      </c>
      <c r="AB91" s="10" t="n">
        <f aca="false">IF(OR(F91="",Z91="",N(AA91)&lt;=0),"",1-NORMDIST(FLOOR(F91,1)+0.5,Z91,AA91,TRUE()))</f>
        <v>0.527725575082277</v>
      </c>
      <c r="AC91" s="10" t="n">
        <f aca="false">IF(AB91="","",NORMDIST(CEILING(F91,1)-0.5,Z91,AA91,TRUE()))</f>
        <v>0.472274424917723</v>
      </c>
      <c r="AD91" s="0" t="str">
        <f aca="false">IF(AB91="","",IF(AB91&gt;=0.5+Config!$B$6,"OVER",IF(AC91&gt;=0.5+Config!$B$6,"UNDER","—")))</f>
        <v>—</v>
      </c>
      <c r="AE91" s="13" t="n">
        <f aca="false">IFERROR(Z91/G91,"")</f>
        <v>1.01981122446813</v>
      </c>
    </row>
    <row r="92" customFormat="false" ht="15" hidden="false" customHeight="false" outlineLevel="0" collapsed="false">
      <c r="A92" s="0" t="s">
        <v>1139</v>
      </c>
      <c r="B92" s="0" t="s">
        <v>1215</v>
      </c>
      <c r="C92" s="0" t="s">
        <v>1409</v>
      </c>
      <c r="D92" s="0" t="s">
        <v>1221</v>
      </c>
      <c r="E92" s="0" t="s">
        <v>1286</v>
      </c>
      <c r="F92" s="0" t="n">
        <v>18.5</v>
      </c>
      <c r="G92" s="11" t="n">
        <f aca="false">IFERROR(INDEX(CHOOSE(MATCH($X92,{"K1","K2","K3","K12","K13","H1","H2","H3","H12","H13"},0),Calc!$V$2:$V$137,Calc!$AC$2:$AC$137,Calc!$AJ$2:$AJ$137,Calc!$AL$2:$AL$137,Calc!$AM$2:$AM$137,Calc!$W$2:$W$137,Calc!$AD$2:$AD$137,Calc!$AK$2:$AK$137,Calc!$AN$2:$AN$137,Calc!$AO$2:$AO$137),MATCH($W92,Calc!$A$2:$A$137,0)),"")</f>
        <v>17.1448100818182</v>
      </c>
      <c r="H92" s="11" t="n">
        <f aca="false">IF(G92="","",IF(LEFT($X92,1)="H",SQRT(G92*(IFERROR(INDEX(Calc!$AP$2:$AP$137,MATCH($W92,Calc!$A$2:$A$137,0)),0.5)*Config!$B$5+1-IFERROR(INDEX(Calc!$AP$2:$AP$137,MATCH($W92,Calc!$A$2:$A$137,0)),0.5))),SQRT(G92*Config!$B$5)))</f>
        <v>4.6030478433471</v>
      </c>
      <c r="I92" s="10" t="n">
        <f aca="false">IF(OR(F92="",G92="",N(H92)&lt;=0),"",1-NORMDIST(FLOOR(F92,1)+0.5,G92,H92,TRUE()))</f>
        <v>0.384221765255637</v>
      </c>
      <c r="J92" s="10" t="n">
        <f aca="false">IF(I92="","",NORMDIST(CEILING(F92,1)-0.5,G92,H92,TRUE()))</f>
        <v>0.615778234744363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UNDER</v>
      </c>
      <c r="N92" s="0" t="n">
        <v>18.3</v>
      </c>
      <c r="O92" s="10" t="n">
        <v>0.4</v>
      </c>
      <c r="P92" s="10" t="n">
        <v>0.3</v>
      </c>
      <c r="Q92" s="10" t="n">
        <v>0.33</v>
      </c>
      <c r="R92" s="9" t="s">
        <v>1359</v>
      </c>
      <c r="S92" s="0" t="n">
        <v>1</v>
      </c>
      <c r="T92" s="0" t="str">
        <f aca="false">INDEX(Calc!$G$2:$G$137,MATCH($W92,Calc!$A$2:$A$137,0))&amp;" / "&amp;INDEX(Calc!$H$2:$H$137,MATCH($W92,Calc!$A$2:$A$137,0))</f>
        <v>Mirage / Nuke</v>
      </c>
      <c r="U92" s="0" t="str">
        <f aca="false">TEXT(INDEX(Calc!$J$2:$J$137,MATCH($W92,Calc!$A$2:$A$137,0)),"0.0")&amp;" / "&amp;TEXT(INDEX(Calc!$K$2:$K$137,MATCH($W92,Calc!$A$2:$A$137,0)),"0.0")</f>
        <v>21.4 / 21.5</v>
      </c>
      <c r="V92" s="0" t="str">
        <f aca="false">IFERROR(INDEX(Calc!$AQ$2:$AQ$137,MATCH($W92,Calc!$A$2:$A$137,0)),"")</f>
        <v/>
      </c>
      <c r="W92" s="9" t="s">
        <v>1410</v>
      </c>
      <c r="X92" s="9" t="s">
        <v>1289</v>
      </c>
      <c r="Y92" s="0" t="str">
        <f aca="false">W92&amp;"|"&amp;X92</f>
        <v>vl5i6xbqmsocy69|CS2 · BB vs FURIA|H12</v>
      </c>
      <c r="Z92" s="11" t="n">
        <f aca="false">IFERROR(INDEX(CHOOSE(MATCH($X92,{"K1","K2","K3","K12","K13","H1","H2","H3","H12","H13"},0),Calc!$BA$2:$BA$137,Calc!$BB$2:$BB$137,Calc!$BC$2:$BC$137,Calc!$BD$2:$BD$137,Calc!$BE$2:$BE$137,Calc!$BF$2:$BF$137,Calc!$BG$2:$BG$137,Calc!$BH$2:$BH$137,Calc!$BI$2:$BI$137,Calc!$BJ$2:$BJ$137),MATCH($W92,Calc!$A$2:$A$137,0)),"")</f>
        <v>17.485379675913</v>
      </c>
      <c r="AA92" s="11" t="n">
        <f aca="false">IF(Z92="","",IF(LEFT($X92,1)="H",SQRT(Z92*(IFERROR(INDEX(Calc!$AP$2:$AP$137,MATCH($W92,Calc!$A$2:$A$137,0)),0.5)*Config!$B$5+1-IFERROR(INDEX(Calc!$AP$2:$AP$137,MATCH($W92,Calc!$A$2:$A$137,0)),0.5))),SQRT(Z92*Config!$B$5)))</f>
        <v>4.64854118499378</v>
      </c>
      <c r="AB92" s="10" t="n">
        <f aca="false">IF(OR(F92="",Z92="",N(AA92)&lt;=0),"",1-NORMDIST(FLOOR(F92,1)+0.5,Z92,AA92,TRUE()))</f>
        <v>0.413610778265863</v>
      </c>
      <c r="AC92" s="10" t="n">
        <f aca="false">IF(AB92="","",NORMDIST(CEILING(F92,1)-0.5,Z92,AA92,TRUE()))</f>
        <v>0.586389221734137</v>
      </c>
      <c r="AD92" s="0" t="str">
        <f aca="false">IF(AB92="","",IF(AB92&gt;=0.5+Config!$B$6,"OVER",IF(AC92&gt;=0.5+Config!$B$6,"UNDER","—")))</f>
        <v>UNDER</v>
      </c>
      <c r="AE92" s="13" t="n">
        <f aca="false">IFERROR(Z92/G92,"")</f>
        <v>1.01986429668626</v>
      </c>
    </row>
    <row r="93" customFormat="false" ht="15" hidden="false" customHeight="false" outlineLevel="0" collapsed="false">
      <c r="A93" s="0" t="s">
        <v>1139</v>
      </c>
      <c r="B93" s="0" t="s">
        <v>1215</v>
      </c>
      <c r="C93" s="0" t="s">
        <v>1409</v>
      </c>
      <c r="D93" s="0" t="s">
        <v>1221</v>
      </c>
      <c r="E93" s="0" t="s">
        <v>1290</v>
      </c>
      <c r="F93" s="0" t="n">
        <v>30.5</v>
      </c>
      <c r="G93" s="11" t="n">
        <f aca="false">IFERROR(INDEX(CHOOSE(MATCH($X93,{"K1","K2","K3","K12","K13","H1","H2","H3","H12","H13"},0),Calc!$V$2:$V$137,Calc!$AC$2:$AC$137,Calc!$AJ$2:$AJ$137,Calc!$AL$2:$AL$137,Calc!$AM$2:$AM$137,Calc!$W$2:$W$137,Calc!$AD$2:$AD$137,Calc!$AK$2:$AK$137,Calc!$AN$2:$AN$137,Calc!$AO$2:$AO$137),MATCH($W93,Calc!$A$2:$A$137,0)),"")</f>
        <v>29.0801</v>
      </c>
      <c r="H93" s="11" t="n">
        <f aca="false">IF(G93="","",IF(LEFT($X93,1)="H",SQRT(G93*(IFERROR(INDEX(Calc!$AP$2:$AP$137,MATCH($W93,Calc!$A$2:$A$137,0)),0.5)*Config!$B$5+1-IFERROR(INDEX(Calc!$AP$2:$AP$137,MATCH($W93,Calc!$A$2:$A$137,0)),0.5))),SQRT(G93*Config!$B$5)))</f>
        <v>6.38060655423918</v>
      </c>
      <c r="I93" s="10" t="n">
        <f aca="false">IF(OR(F93="",G93="",N(H93)&lt;=0),"",1-NORMDIST(FLOOR(F93,1)+0.5,G93,H93,TRUE()))</f>
        <v>0.411949220103847</v>
      </c>
      <c r="J93" s="10" t="n">
        <f aca="false">IF(I93="","",NORMDIST(CEILING(F93,1)-0.5,G93,H93,TRUE()))</f>
        <v>0.588050779896153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UNDER</v>
      </c>
      <c r="M93" s="0" t="n">
        <v>29.24</v>
      </c>
      <c r="N93" s="0" t="n">
        <v>30.1</v>
      </c>
      <c r="O93" s="10" t="n">
        <v>0.4</v>
      </c>
      <c r="P93" s="10" t="n">
        <v>0.4</v>
      </c>
      <c r="Q93" s="10" t="n">
        <v>0.4</v>
      </c>
      <c r="R93" s="9" t="s">
        <v>1407</v>
      </c>
      <c r="S93" s="0" t="n">
        <v>1</v>
      </c>
      <c r="T93" s="0" t="str">
        <f aca="false">INDEX(Calc!$G$2:$G$137,MATCH($W93,Calc!$A$2:$A$137,0))&amp;" / "&amp;INDEX(Calc!$H$2:$H$137,MATCH($W93,Calc!$A$2:$A$137,0))</f>
        <v>Mirage / Nuke</v>
      </c>
      <c r="U93" s="0" t="str">
        <f aca="false">TEXT(INDEX(Calc!$J$2:$J$137,MATCH($W93,Calc!$A$2:$A$137,0)),"0.0")&amp;" / "&amp;TEXT(INDEX(Calc!$K$2:$K$137,MATCH($W93,Calc!$A$2:$A$137,0)),"0.0")</f>
        <v>21.4 / 21.5</v>
      </c>
      <c r="V93" s="0" t="str">
        <f aca="false">IFERROR(INDEX(Calc!$AQ$2:$AQ$137,MATCH($W93,Calc!$A$2:$A$137,0)),"")</f>
        <v/>
      </c>
      <c r="W93" s="9" t="s">
        <v>1410</v>
      </c>
      <c r="X93" s="9" t="s">
        <v>1291</v>
      </c>
      <c r="Y93" s="0" t="str">
        <f aca="false">W93&amp;"|"&amp;X93</f>
        <v>vl5i6xbqmsocy69|CS2 · BB vs FURIA|K12</v>
      </c>
      <c r="Z93" s="11" t="n">
        <f aca="false">IFERROR(INDEX(CHOOSE(MATCH($X93,{"K1","K2","K3","K12","K13","H1","H2","H3","H12","H13"},0),Calc!$BA$2:$BA$137,Calc!$BB$2:$BB$137,Calc!$BC$2:$BC$137,Calc!$BD$2:$BD$137,Calc!$BE$2:$BE$137,Calc!$BF$2:$BF$137,Calc!$BG$2:$BG$137,Calc!$BH$2:$BH$137,Calc!$BI$2:$BI$137,Calc!$BJ$2:$BJ$137),MATCH($W93,Calc!$A$2:$A$137,0)),"")</f>
        <v>29.6573324731673</v>
      </c>
      <c r="AA93" s="11" t="n">
        <f aca="false">IF(Z93="","",IF(LEFT($X93,1)="H",SQRT(Z93*(IFERROR(INDEX(Calc!$AP$2:$AP$137,MATCH($W93,Calc!$A$2:$A$137,0)),0.5)*Config!$B$5+1-IFERROR(INDEX(Calc!$AP$2:$AP$137,MATCH($W93,Calc!$A$2:$A$137,0)),0.5))),SQRT(Z93*Config!$B$5)))</f>
        <v>6.44362207631967</v>
      </c>
      <c r="AB93" s="10" t="n">
        <f aca="false">IF(OR(F93="",Z93="",N(AA93)&lt;=0),"",1-NORMDIST(FLOOR(F93,1)+0.5,Z93,AA93,TRUE()))</f>
        <v>0.447976475181628</v>
      </c>
      <c r="AC93" s="10" t="n">
        <f aca="false">IF(AB93="","",NORMDIST(CEILING(F93,1)-0.5,Z93,AA93,TRUE()))</f>
        <v>0.552023524818372</v>
      </c>
      <c r="AD93" s="0" t="str">
        <f aca="false">IF(AB93="","",IF(AB93&gt;=0.5+Config!$B$6,"OVER",IF(AC93&gt;=0.5+Config!$B$6,"UNDER","—")))</f>
        <v>UNDER</v>
      </c>
      <c r="AE93" s="13" t="n">
        <f aca="false">IFERROR(Z93/G93,"")</f>
        <v>1.01984974168477</v>
      </c>
    </row>
    <row r="94" customFormat="false" ht="15" hidden="false" customHeight="false" outlineLevel="0" collapsed="false">
      <c r="A94" s="0" t="s">
        <v>1139</v>
      </c>
      <c r="B94" s="0" t="s">
        <v>1215</v>
      </c>
      <c r="C94" s="0" t="s">
        <v>1411</v>
      </c>
      <c r="D94" s="0" t="s">
        <v>1221</v>
      </c>
      <c r="E94" s="0" t="s">
        <v>1286</v>
      </c>
      <c r="F94" s="0" t="n">
        <v>12.5</v>
      </c>
      <c r="G94" s="11" t="n">
        <f aca="false">IFERROR(INDEX(CHOOSE(MATCH($X94,{"K1","K2","K3","K12","K13","H1","H2","H3","H12","H13"},0),Calc!$V$2:$V$137,Calc!$AC$2:$AC$137,Calc!$AJ$2:$AJ$137,Calc!$AL$2:$AL$137,Calc!$AM$2:$AM$137,Calc!$W$2:$W$137,Calc!$AD$2:$AD$137,Calc!$AK$2:$AK$137,Calc!$AN$2:$AN$137,Calc!$AO$2:$AO$137),MATCH($W94,Calc!$A$2:$A$137,0)),"")</f>
        <v>12.3087945675325</v>
      </c>
      <c r="H94" s="11" t="n">
        <f aca="false">IF(G94="","",IF(LEFT($X94,1)="H",SQRT(G94*(IFERROR(INDEX(Calc!$AP$2:$AP$137,MATCH($W94,Calc!$A$2:$A$137,0)),0.5)*Config!$B$5+1-IFERROR(INDEX(Calc!$AP$2:$AP$137,MATCH($W94,Calc!$A$2:$A$137,0)),0.5))),SQRT(G94*Config!$B$5)))</f>
        <v>3.82073845468342</v>
      </c>
      <c r="I94" s="10" t="n">
        <f aca="false">IF(OR(F94="",G94="",N(H94)&lt;=0),"",1-NORMDIST(FLOOR(F94,1)+0.5,G94,H94,TRUE()))</f>
        <v>0.480043621222661</v>
      </c>
      <c r="J94" s="10" t="n">
        <f aca="false">IF(I94="","",NORMDIST(CEILING(F94,1)-0.5,G94,H94,TRUE()))</f>
        <v>0.519956378777339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—</v>
      </c>
      <c r="N94" s="0" t="n">
        <v>12</v>
      </c>
      <c r="O94" s="10" t="n">
        <v>0.2</v>
      </c>
      <c r="P94" s="10" t="n">
        <v>0.3</v>
      </c>
      <c r="Q94" s="10" t="n">
        <v>0.4</v>
      </c>
      <c r="R94" s="9" t="s">
        <v>1329</v>
      </c>
      <c r="S94" s="0" t="n">
        <v>1</v>
      </c>
      <c r="T94" s="0" t="str">
        <f aca="false">INDEX(Calc!$G$2:$G$137,MATCH($W94,Calc!$A$2:$A$137,0))&amp;" / "&amp;INDEX(Calc!$H$2:$H$137,MATCH($W94,Calc!$A$2:$A$137,0))</f>
        <v>Mirage / Nuke</v>
      </c>
      <c r="U94" s="0" t="str">
        <f aca="false">TEXT(INDEX(Calc!$J$2:$J$137,MATCH($W94,Calc!$A$2:$A$137,0)),"0.0")&amp;" / "&amp;TEXT(INDEX(Calc!$K$2:$K$137,MATCH($W94,Calc!$A$2:$A$137,0)),"0.0")</f>
        <v>21.4 / 21.5</v>
      </c>
      <c r="V94" s="0" t="str">
        <f aca="false">IFERROR(INDEX(Calc!$AQ$2:$AQ$137,MATCH($W94,Calc!$A$2:$A$137,0)),"")</f>
        <v/>
      </c>
      <c r="W94" s="9" t="s">
        <v>1412</v>
      </c>
      <c r="X94" s="9" t="s">
        <v>1289</v>
      </c>
      <c r="Y94" s="0" t="str">
        <f aca="false">W94&amp;"|"&amp;X94</f>
        <v>npowbduexyegr6i|CS2 · BB vs FURIA|H12</v>
      </c>
      <c r="Z94" s="11" t="n">
        <f aca="false">IFERROR(INDEX(CHOOSE(MATCH($X94,{"K1","K2","K3","K12","K13","H1","H2","H3","H12","H13"},0),Calc!$BA$2:$BA$137,Calc!$BB$2:$BB$137,Calc!$BC$2:$BC$137,Calc!$BD$2:$BD$137,Calc!$BE$2:$BE$137,Calc!$BF$2:$BF$137,Calc!$BG$2:$BG$137,Calc!$BH$2:$BH$137,Calc!$BI$2:$BI$137,Calc!$BJ$2:$BJ$137),MATCH($W94,Calc!$A$2:$A$137,0)),"")</f>
        <v>12.5523798232644</v>
      </c>
      <c r="AA94" s="11" t="n">
        <f aca="false">IF(Z94="","",IF(LEFT($X94,1)="H",SQRT(Z94*(IFERROR(INDEX(Calc!$AP$2:$AP$137,MATCH($W94,Calc!$A$2:$A$137,0)),0.5)*Config!$B$5+1-IFERROR(INDEX(Calc!$AP$2:$AP$137,MATCH($W94,Calc!$A$2:$A$137,0)),0.5))),SQRT(Z94*Config!$B$5)))</f>
        <v>3.8583585540495</v>
      </c>
      <c r="AB94" s="10" t="n">
        <f aca="false">IF(OR(F94="",Z94="",N(AA94)&lt;=0),"",1-NORMDIST(FLOOR(F94,1)+0.5,Z94,AA94,TRUE()))</f>
        <v>0.505415744544508</v>
      </c>
      <c r="AC94" s="10" t="n">
        <f aca="false">IF(AB94="","",NORMDIST(CEILING(F94,1)-0.5,Z94,AA94,TRUE()))</f>
        <v>0.494584255455492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1.01978952970541</v>
      </c>
    </row>
    <row r="95" customFormat="false" ht="15" hidden="false" customHeight="false" outlineLevel="0" collapsed="false">
      <c r="A95" s="0" t="s">
        <v>1139</v>
      </c>
      <c r="B95" s="0" t="s">
        <v>1215</v>
      </c>
      <c r="C95" s="0" t="s">
        <v>1411</v>
      </c>
      <c r="D95" s="0" t="s">
        <v>1221</v>
      </c>
      <c r="E95" s="0" t="s">
        <v>1290</v>
      </c>
      <c r="F95" s="0" t="n">
        <v>27</v>
      </c>
      <c r="G95" s="11" t="n">
        <f aca="false">IFERROR(INDEX(CHOOSE(MATCH($X95,{"K1","K2","K3","K12","K13","H1","H2","H3","H12","H13"},0),Calc!$V$2:$V$137,Calc!$AC$2:$AC$137,Calc!$AJ$2:$AJ$137,Calc!$AL$2:$AL$137,Calc!$AM$2:$AM$137,Calc!$W$2:$W$137,Calc!$AD$2:$AD$137,Calc!$AK$2:$AK$137,Calc!$AN$2:$AN$137,Calc!$AO$2:$AO$137),MATCH($W95,Calc!$A$2:$A$137,0)),"")</f>
        <v>26.4727</v>
      </c>
      <c r="H95" s="11" t="n">
        <f aca="false">IF(G95="","",IF(LEFT($X95,1)="H",SQRT(G95*(IFERROR(INDEX(Calc!$AP$2:$AP$137,MATCH($W95,Calc!$A$2:$A$137,0)),0.5)*Config!$B$5+1-IFERROR(INDEX(Calc!$AP$2:$AP$137,MATCH($W95,Calc!$A$2:$A$137,0)),0.5))),SQRT(G95*Config!$B$5)))</f>
        <v>6.08783869694328</v>
      </c>
      <c r="I95" s="10" t="n">
        <f aca="false">IF(OR(F95="",G95="",N(H95)&lt;=0),"",1-NORMDIST(FLOOR(F95,1)+0.5,G95,H95,TRUE()))</f>
        <v>0.432998115893228</v>
      </c>
      <c r="J95" s="10" t="n">
        <f aca="false">IF(I95="","",NORMDIST(CEILING(F95,1)-0.5,G95,H95,TRUE()))</f>
        <v>0.50178899085454</v>
      </c>
      <c r="K95" s="10" t="n">
        <f aca="false">IF(I95="","",MAX(0,1-I95-J95))</f>
        <v>0.0652128932522319</v>
      </c>
      <c r="L95" s="0" t="str">
        <f aca="false">IF(I95="","",IF(I95&gt;=0.5+Config!$B$6,"OVER",IF(J95&gt;=0.5+Config!$B$6,"UNDER","—")))</f>
        <v>—</v>
      </c>
      <c r="M95" s="0" t="n">
        <v>25</v>
      </c>
      <c r="N95" s="0" t="n">
        <v>27.1</v>
      </c>
      <c r="O95" s="10" t="n">
        <v>0.4</v>
      </c>
      <c r="P95" s="10" t="n">
        <v>0.5</v>
      </c>
      <c r="Q95" s="10" t="n">
        <v>0.47</v>
      </c>
      <c r="R95" s="9" t="s">
        <v>1395</v>
      </c>
      <c r="S95" s="0" t="n">
        <v>1</v>
      </c>
      <c r="T95" s="0" t="str">
        <f aca="false">INDEX(Calc!$G$2:$G$137,MATCH($W95,Calc!$A$2:$A$137,0))&amp;" / "&amp;INDEX(Calc!$H$2:$H$137,MATCH($W95,Calc!$A$2:$A$137,0))</f>
        <v>Mirage / Nuke</v>
      </c>
      <c r="U95" s="0" t="str">
        <f aca="false">TEXT(INDEX(Calc!$J$2:$J$137,MATCH($W95,Calc!$A$2:$A$137,0)),"0.0")&amp;" / "&amp;TEXT(INDEX(Calc!$K$2:$K$137,MATCH($W95,Calc!$A$2:$A$137,0)),"0.0")</f>
        <v>21.4 / 21.5</v>
      </c>
      <c r="V95" s="0" t="str">
        <f aca="false">IFERROR(INDEX(Calc!$AQ$2:$AQ$137,MATCH($W95,Calc!$A$2:$A$137,0)),"")</f>
        <v/>
      </c>
      <c r="W95" s="9" t="s">
        <v>1412</v>
      </c>
      <c r="X95" s="9" t="s">
        <v>1291</v>
      </c>
      <c r="Y95" s="0" t="str">
        <f aca="false">W95&amp;"|"&amp;X95</f>
        <v>npowbduexyegr6i|CS2 · BB vs FURIA|K12</v>
      </c>
      <c r="Z95" s="11" t="n">
        <f aca="false">IFERROR(INDEX(CHOOSE(MATCH($X95,{"K1","K2","K3","K12","K13","H1","H2","H3","H12","H13"},0),Calc!$BA$2:$BA$137,Calc!$BB$2:$BB$137,Calc!$BC$2:$BC$137,Calc!$BD$2:$BD$137,Calc!$BE$2:$BE$137,Calc!$BF$2:$BF$137,Calc!$BG$2:$BG$137,Calc!$BH$2:$BH$137,Calc!$BI$2:$BI$137,Calc!$BJ$2:$BJ$137),MATCH($W95,Calc!$A$2:$A$137,0)),"")</f>
        <v>26.9976854429816</v>
      </c>
      <c r="AA95" s="11" t="n">
        <f aca="false">IF(Z95="","",IF(LEFT($X95,1)="H",SQRT(Z95*(IFERROR(INDEX(Calc!$AP$2:$AP$137,MATCH($W95,Calc!$A$2:$A$137,0)),0.5)*Config!$B$5+1-IFERROR(INDEX(Calc!$AP$2:$AP$137,MATCH($W95,Calc!$A$2:$A$137,0)),0.5))),SQRT(Z95*Config!$B$5)))</f>
        <v>6.14790693001888</v>
      </c>
      <c r="AB95" s="10" t="n">
        <f aca="false">IF(OR(F95="",Z95="",N(AA95)&lt;=0),"",1-NORMDIST(FLOOR(F95,1)+0.5,Z95,AA95,TRUE()))</f>
        <v>0.467440662672938</v>
      </c>
      <c r="AC95" s="10" t="n">
        <f aca="false">IF(AB95="","",NORMDIST(CEILING(F95,1)-0.5,Z95,AA95,TRUE()))</f>
        <v>0.467740057552723</v>
      </c>
      <c r="AD95" s="0" t="str">
        <f aca="false">IF(AB95="","",IF(AB95&gt;=0.5+Config!$B$6,"OVER",IF(AC95&gt;=0.5+Config!$B$6,"UNDER","—")))</f>
        <v>—</v>
      </c>
      <c r="AE95" s="13" t="n">
        <f aca="false">IFERROR(Z95/G95,"")</f>
        <v>1.01983120131235</v>
      </c>
    </row>
    <row r="96" customFormat="false" ht="15" hidden="false" customHeight="false" outlineLevel="0" collapsed="false">
      <c r="A96" s="0" t="s">
        <v>1139</v>
      </c>
      <c r="B96" s="0" t="s">
        <v>1235</v>
      </c>
      <c r="C96" s="0" t="s">
        <v>1413</v>
      </c>
      <c r="D96" s="0" t="s">
        <v>1237</v>
      </c>
      <c r="E96" s="0" t="s">
        <v>1286</v>
      </c>
      <c r="F96" s="0" t="n">
        <v>18.5</v>
      </c>
      <c r="G96" s="11" t="n">
        <f aca="false">IFERROR(INDEX(CHOOSE(MATCH($X96,{"K1","K2","K3","K12","K13","H1","H2","H3","H12","H13"},0),Calc!$V$2:$V$137,Calc!$AC$2:$AC$137,Calc!$AJ$2:$AJ$137,Calc!$AL$2:$AL$137,Calc!$AM$2:$AM$137,Calc!$W$2:$W$137,Calc!$AD$2:$AD$137,Calc!$AK$2:$AK$137,Calc!$AN$2:$AN$137,Calc!$AO$2:$AO$137),MATCH($W96,Calc!$A$2:$A$137,0)),"")</f>
        <v>16.3887585559917</v>
      </c>
      <c r="H96" s="11" t="n">
        <f aca="false">IF(G96="","",IF(LEFT($X96,1)="H",SQRT(G96*(IFERROR(INDEX(Calc!$AP$2:$AP$137,MATCH($W96,Calc!$A$2:$A$137,0)),0.5)*Config!$B$5+1-IFERROR(INDEX(Calc!$AP$2:$AP$137,MATCH($W96,Calc!$A$2:$A$137,0)),0.5))),SQRT(G96*Config!$B$5)))</f>
        <v>4.48884674088083</v>
      </c>
      <c r="I96" s="10" t="n">
        <f aca="false">IF(OR(F96="",G96="",N(H96)&lt;=0),"",1-NORMDIST(FLOOR(F96,1)+0.5,G96,H96,TRUE()))</f>
        <v>0.319059461990171</v>
      </c>
      <c r="J96" s="10" t="n">
        <f aca="false">IF(I96="","",NORMDIST(CEILING(F96,1)-0.5,G96,H96,TRUE()))</f>
        <v>0.680940538009829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UNDER</v>
      </c>
      <c r="N96" s="0" t="n">
        <v>19.3</v>
      </c>
      <c r="O96" s="10" t="n">
        <v>0.6</v>
      </c>
      <c r="P96" s="10" t="n">
        <v>0.6</v>
      </c>
      <c r="Q96" s="10" t="n">
        <v>0.6</v>
      </c>
      <c r="R96" s="9" t="s">
        <v>1287</v>
      </c>
      <c r="S96" s="0" t="n">
        <v>-1</v>
      </c>
      <c r="T96" s="0" t="str">
        <f aca="false">INDEX(Calc!$G$2:$G$137,MATCH($W96,Calc!$A$2:$A$137,0))&amp;" / "&amp;INDEX(Calc!$H$2:$H$137,MATCH($W96,Calc!$A$2:$A$137,0))</f>
        <v>Cache / Mirage</v>
      </c>
      <c r="U96" s="0" t="str">
        <f aca="false">TEXT(INDEX(Calc!$J$2:$J$137,MATCH($W96,Calc!$A$2:$A$137,0)),"0.0")&amp;" / "&amp;TEXT(INDEX(Calc!$K$2:$K$137,MATCH($W96,Calc!$A$2:$A$137,0)),"0.0")</f>
        <v>19.3 / 19.3</v>
      </c>
      <c r="V96" s="0" t="str">
        <f aca="false">IFERROR(INDEX(Calc!$AQ$2:$AQ$137,MATCH($W96,Calc!$A$2:$A$137,0)),"")</f>
        <v/>
      </c>
      <c r="W96" s="9" t="s">
        <v>1414</v>
      </c>
      <c r="X96" s="9" t="s">
        <v>1289</v>
      </c>
      <c r="Y96" s="0" t="str">
        <f aca="false">W96&amp;"|"&amp;X96</f>
        <v>oilrc57yb4vi4v4|CS2 · DEN vs Low Cortisol|H12</v>
      </c>
      <c r="Z96" s="11" t="n">
        <f aca="false">IFERROR(INDEX(CHOOSE(MATCH($X96,{"K1","K2","K3","K12","K13","H1","H2","H3","H12","H13"},0),Calc!$BA$2:$BA$137,Calc!$BB$2:$BB$137,Calc!$BC$2:$BC$137,Calc!$BD$2:$BD$137,Calc!$BE$2:$BE$137,Calc!$BF$2:$BF$137,Calc!$BG$2:$BG$137,Calc!$BH$2:$BH$137,Calc!$BI$2:$BI$137,Calc!$BJ$2:$BJ$137),MATCH($W96,Calc!$A$2:$A$137,0)),"")</f>
        <v>17.4847410157325</v>
      </c>
      <c r="AA96" s="11" t="n">
        <f aca="false">IF(Z96="","",IF(LEFT($X96,1)="H",SQRT(Z96*(IFERROR(INDEX(Calc!$AP$2:$AP$137,MATCH($W96,Calc!$A$2:$A$137,0)),0.5)*Config!$B$5+1-IFERROR(INDEX(Calc!$AP$2:$AP$137,MATCH($W96,Calc!$A$2:$A$137,0)),0.5))),SQRT(Z96*Config!$B$5)))</f>
        <v>4.63651160645924</v>
      </c>
      <c r="AB96" s="10" t="n">
        <f aca="false">IF(OR(F96="",Z96="",N(AA96)&lt;=0),"",1-NORMDIST(FLOOR(F96,1)+0.5,Z96,AA96,TRUE()))</f>
        <v>0.413336537412715</v>
      </c>
      <c r="AC96" s="10" t="n">
        <f aca="false">IF(AB96="","",NORMDIST(CEILING(F96,1)-0.5,Z96,AA96,TRUE()))</f>
        <v>0.586663462587285</v>
      </c>
      <c r="AD96" s="0" t="str">
        <f aca="false">IF(AB96="","",IF(AB96&gt;=0.5+Config!$B$6,"OVER",IF(AC96&gt;=0.5+Config!$B$6,"UNDER","—")))</f>
        <v>UNDER</v>
      </c>
      <c r="AE96" s="13" t="n">
        <f aca="false">IFERROR(Z96/G96,"")</f>
        <v>1.06687403783492</v>
      </c>
    </row>
    <row r="97" customFormat="false" ht="15" hidden="false" customHeight="false" outlineLevel="0" collapsed="false">
      <c r="A97" s="0" t="s">
        <v>1139</v>
      </c>
      <c r="B97" s="0" t="s">
        <v>1235</v>
      </c>
      <c r="C97" s="0" t="s">
        <v>1413</v>
      </c>
      <c r="D97" s="0" t="s">
        <v>1237</v>
      </c>
      <c r="E97" s="0" t="s">
        <v>1290</v>
      </c>
      <c r="F97" s="0" t="n">
        <v>32.5</v>
      </c>
      <c r="G97" s="11" t="n">
        <f aca="false">IFERROR(INDEX(CHOOSE(MATCH($X97,{"K1","K2","K3","K12","K13","H1","H2","H3","H12","H13"},0),Calc!$V$2:$V$137,Calc!$AC$2:$AC$137,Calc!$AJ$2:$AJ$137,Calc!$AL$2:$AL$137,Calc!$AM$2:$AM$137,Calc!$W$2:$W$137,Calc!$AD$2:$AD$137,Calc!$AK$2:$AK$137,Calc!$AN$2:$AN$137,Calc!$AO$2:$AO$137),MATCH($W97,Calc!$A$2:$A$137,0)),"")</f>
        <v>28.5660590909091</v>
      </c>
      <c r="H97" s="11" t="n">
        <f aca="false">IF(G97="","",IF(LEFT($X97,1)="H",SQRT(G97*(IFERROR(INDEX(Calc!$AP$2:$AP$137,MATCH($W97,Calc!$A$2:$A$137,0)),0.5)*Config!$B$5+1-IFERROR(INDEX(Calc!$AP$2:$AP$137,MATCH($W97,Calc!$A$2:$A$137,0)),0.5))),SQRT(G97*Config!$B$5)))</f>
        <v>6.32396099982224</v>
      </c>
      <c r="I97" s="10" t="n">
        <f aca="false">IF(OR(F97="",G97="",N(H97)&lt;=0),"",1-NORMDIST(FLOOR(F97,1)+0.5,G97,H97,TRUE()))</f>
        <v>0.266948206680308</v>
      </c>
      <c r="J97" s="10" t="n">
        <f aca="false">IF(I97="","",NORMDIST(CEILING(F97,1)-0.5,G97,H97,TRUE()))</f>
        <v>0.733051793319692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UNDER</v>
      </c>
      <c r="M97" s="0" t="n">
        <v>32.54</v>
      </c>
      <c r="N97" s="0" t="n">
        <v>32.5</v>
      </c>
      <c r="O97" s="10" t="n">
        <v>0.6</v>
      </c>
      <c r="P97" s="10" t="n">
        <v>0.5</v>
      </c>
      <c r="Q97" s="10" t="n">
        <v>0.53</v>
      </c>
      <c r="R97" s="9" t="s">
        <v>1287</v>
      </c>
      <c r="S97" s="0" t="n">
        <v>-1</v>
      </c>
      <c r="T97" s="0" t="str">
        <f aca="false">INDEX(Calc!$G$2:$G$137,MATCH($W97,Calc!$A$2:$A$137,0))&amp;" / "&amp;INDEX(Calc!$H$2:$H$137,MATCH($W97,Calc!$A$2:$A$137,0))</f>
        <v>Cache / Mirage</v>
      </c>
      <c r="U97" s="0" t="str">
        <f aca="false">TEXT(INDEX(Calc!$J$2:$J$137,MATCH($W97,Calc!$A$2:$A$137,0)),"0.0")&amp;" / "&amp;TEXT(INDEX(Calc!$K$2:$K$137,MATCH($W97,Calc!$A$2:$A$137,0)),"0.0")</f>
        <v>19.3 / 19.3</v>
      </c>
      <c r="V97" s="0" t="str">
        <f aca="false">IFERROR(INDEX(Calc!$AQ$2:$AQ$137,MATCH($W97,Calc!$A$2:$A$137,0)),"")</f>
        <v/>
      </c>
      <c r="W97" s="9" t="s">
        <v>1414</v>
      </c>
      <c r="X97" s="9" t="s">
        <v>1291</v>
      </c>
      <c r="Y97" s="0" t="str">
        <f aca="false">W97&amp;"|"&amp;X97</f>
        <v>oilrc57yb4vi4v4|CS2 · DEN vs Low Cortisol|K12</v>
      </c>
      <c r="Z97" s="11" t="n">
        <f aca="false">IFERROR(INDEX(CHOOSE(MATCH($X97,{"K1","K2","K3","K12","K13","H1","H2","H3","H12","H13"},0),Calc!$BA$2:$BA$137,Calc!$BB$2:$BB$137,Calc!$BC$2:$BC$137,Calc!$BD$2:$BD$137,Calc!$BE$2:$BE$137,Calc!$BF$2:$BF$137,Calc!$BG$2:$BG$137,Calc!$BH$2:$BH$137,Calc!$BI$2:$BI$137,Calc!$BJ$2:$BJ$137),MATCH($W97,Calc!$A$2:$A$137,0)),"")</f>
        <v>30.474363904724</v>
      </c>
      <c r="AA97" s="11" t="n">
        <f aca="false">IF(Z97="","",IF(LEFT($X97,1)="H",SQRT(Z97*(IFERROR(INDEX(Calc!$AP$2:$AP$137,MATCH($W97,Calc!$A$2:$A$137,0)),0.5)*Config!$B$5+1-IFERROR(INDEX(Calc!$AP$2:$AP$137,MATCH($W97,Calc!$A$2:$A$137,0)),0.5))),SQRT(Z97*Config!$B$5)))</f>
        <v>6.53177689963562</v>
      </c>
      <c r="AB97" s="10" t="n">
        <f aca="false">IF(OR(F97="",Z97="",N(AA97)&lt;=0),"",1-NORMDIST(FLOOR(F97,1)+0.5,Z97,AA97,TRUE()))</f>
        <v>0.378234767858332</v>
      </c>
      <c r="AC97" s="10" t="n">
        <f aca="false">IF(AB97="","",NORMDIST(CEILING(F97,1)-0.5,Z97,AA97,TRUE()))</f>
        <v>0.621765232141668</v>
      </c>
      <c r="AD97" s="0" t="str">
        <f aca="false">IF(AB97="","",IF(AB97&gt;=0.5+Config!$B$6,"OVER",IF(AC97&gt;=0.5+Config!$B$6,"UNDER","—")))</f>
        <v>UNDER</v>
      </c>
      <c r="AE97" s="13" t="n">
        <f aca="false">IFERROR(Z97/G97,"")</f>
        <v>1.06680322293467</v>
      </c>
    </row>
    <row r="98" customFormat="false" ht="15" hidden="false" customHeight="false" outlineLevel="0" collapsed="false">
      <c r="A98" s="0" t="s">
        <v>1139</v>
      </c>
      <c r="B98" s="0" t="s">
        <v>1235</v>
      </c>
      <c r="C98" s="0" t="s">
        <v>1415</v>
      </c>
      <c r="D98" s="0" t="s">
        <v>1237</v>
      </c>
      <c r="E98" s="0" t="s">
        <v>1286</v>
      </c>
      <c r="F98" s="0" t="n">
        <v>12</v>
      </c>
      <c r="G98" s="11" t="n">
        <f aca="false">IFERROR(INDEX(CHOOSE(MATCH($X98,{"K1","K2","K3","K12","K13","H1","H2","H3","H12","H13"},0),Calc!$V$2:$V$137,Calc!$AC$2:$AC$137,Calc!$AJ$2:$AJ$137,Calc!$AL$2:$AL$137,Calc!$AM$2:$AM$137,Calc!$W$2:$W$137,Calc!$AD$2:$AD$137,Calc!$AK$2:$AK$137,Calc!$AN$2:$AN$137,Calc!$AO$2:$AO$137),MATCH($W98,Calc!$A$2:$A$137,0)),"")</f>
        <v>9.8502488</v>
      </c>
      <c r="H98" s="11" t="n">
        <f aca="false">IF(G98="","",IF(LEFT($X98,1)="H",SQRT(G98*(IFERROR(INDEX(Calc!$AP$2:$AP$137,MATCH($W98,Calc!$A$2:$A$137,0)),0.5)*Config!$B$5+1-IFERROR(INDEX(Calc!$AP$2:$AP$137,MATCH($W98,Calc!$A$2:$A$137,0)),0.5))),SQRT(G98*Config!$B$5)))</f>
        <v>3.40337186291297</v>
      </c>
      <c r="I98" s="10" t="n">
        <f aca="false">IF(OR(F98="",G98="",N(H98)&lt;=0),"",1-NORMDIST(FLOOR(F98,1)+0.5,G98,H98,TRUE()))</f>
        <v>0.21811756999693</v>
      </c>
      <c r="J98" s="10" t="n">
        <f aca="false">IF(I98="","",NORMDIST(CEILING(F98,1)-0.5,G98,H98,TRUE()))</f>
        <v>0.686069681084691</v>
      </c>
      <c r="K98" s="10" t="n">
        <f aca="false">IF(I98="","",MAX(0,1-I98-J98))</f>
        <v>0.0958127489183789</v>
      </c>
      <c r="L98" s="0" t="str">
        <f aca="false">IF(I98="","",IF(I98&gt;=0.5+Config!$B$6,"OVER",IF(J98&gt;=0.5+Config!$B$6,"UNDER","—")))</f>
        <v>UNDER</v>
      </c>
      <c r="N98" s="0" t="n">
        <v>11.2</v>
      </c>
      <c r="O98" s="10" t="n">
        <v>0.4</v>
      </c>
      <c r="P98" s="10" t="n">
        <v>0.4</v>
      </c>
      <c r="Q98" s="10" t="n">
        <v>0.4</v>
      </c>
      <c r="R98" s="9" t="s">
        <v>1287</v>
      </c>
      <c r="S98" s="0" t="n">
        <v>-2</v>
      </c>
      <c r="T98" s="0" t="str">
        <f aca="false">INDEX(Calc!$G$2:$G$137,MATCH($W98,Calc!$A$2:$A$137,0))&amp;" / "&amp;INDEX(Calc!$H$2:$H$137,MATCH($W98,Calc!$A$2:$A$137,0))</f>
        <v>Cache / Mirage</v>
      </c>
      <c r="U98" s="0" t="str">
        <f aca="false">TEXT(INDEX(Calc!$J$2:$J$137,MATCH($W98,Calc!$A$2:$A$137,0)),"0.0")&amp;" / "&amp;TEXT(INDEX(Calc!$K$2:$K$137,MATCH($W98,Calc!$A$2:$A$137,0)),"0.0")</f>
        <v>19.3 / 19.3</v>
      </c>
      <c r="V98" s="0" t="str">
        <f aca="false">IFERROR(INDEX(Calc!$AQ$2:$AQ$137,MATCH($W98,Calc!$A$2:$A$137,0)),"")</f>
        <v/>
      </c>
      <c r="W98" s="9" t="s">
        <v>1416</v>
      </c>
      <c r="X98" s="9" t="s">
        <v>1289</v>
      </c>
      <c r="Y98" s="0" t="str">
        <f aca="false">W98&amp;"|"&amp;X98</f>
        <v>xq939tnpy5hluwa|CS2 · DEN vs Low Cortisol|H12</v>
      </c>
      <c r="Z98" s="11" t="n">
        <f aca="false">IFERROR(INDEX(CHOOSE(MATCH($X98,{"K1","K2","K3","K12","K13","H1","H2","H3","H12","H13"},0),Calc!$BA$2:$BA$137,Calc!$BB$2:$BB$137,Calc!$BC$2:$BC$137,Calc!$BD$2:$BD$137,Calc!$BE$2:$BE$137,Calc!$BF$2:$BF$137,Calc!$BG$2:$BG$137,Calc!$BH$2:$BH$137,Calc!$BI$2:$BI$137,Calc!$BJ$2:$BJ$137),MATCH($W98,Calc!$A$2:$A$137,0)),"")</f>
        <v>10.5424646574284</v>
      </c>
      <c r="AA98" s="11" t="n">
        <f aca="false">IF(Z98="","",IF(LEFT($X98,1)="H",SQRT(Z98*(IFERROR(INDEX(Calc!$AP$2:$AP$137,MATCH($W98,Calc!$A$2:$A$137,0)),0.5)*Config!$B$5+1-IFERROR(INDEX(Calc!$AP$2:$AP$137,MATCH($W98,Calc!$A$2:$A$137,0)),0.5))),SQRT(Z98*Config!$B$5)))</f>
        <v>3.52092586488953</v>
      </c>
      <c r="AB98" s="10" t="n">
        <f aca="false">IF(OR(F98="",Z98="",N(AA98)&lt;=0),"",1-NORMDIST(FLOOR(F98,1)+0.5,Z98,AA98,TRUE()))</f>
        <v>0.289115080830327</v>
      </c>
      <c r="AC98" s="10" t="n">
        <f aca="false">IF(AB98="","",NORMDIST(CEILING(F98,1)-0.5,Z98,AA98,TRUE()))</f>
        <v>0.607171902595978</v>
      </c>
      <c r="AD98" s="0" t="str">
        <f aca="false">IF(AB98="","",IF(AB98&gt;=0.5+Config!$B$6,"OVER",IF(AC98&gt;=0.5+Config!$B$6,"UNDER","—")))</f>
        <v>UNDER</v>
      </c>
      <c r="AE98" s="13" t="n">
        <f aca="false">IFERROR(Z98/G98,"")</f>
        <v>1.07027394652493</v>
      </c>
    </row>
    <row r="99" customFormat="false" ht="15" hidden="false" customHeight="false" outlineLevel="0" collapsed="false">
      <c r="A99" s="0" t="s">
        <v>1139</v>
      </c>
      <c r="B99" s="0" t="s">
        <v>1235</v>
      </c>
      <c r="C99" s="0" t="s">
        <v>1415</v>
      </c>
      <c r="D99" s="0" t="s">
        <v>1237</v>
      </c>
      <c r="E99" s="0" t="s">
        <v>1290</v>
      </c>
      <c r="F99" s="0" t="n">
        <v>25.5</v>
      </c>
      <c r="G99" s="11" t="n">
        <f aca="false">IFERROR(INDEX(CHOOSE(MATCH($X99,{"K1","K2","K3","K12","K13","H1","H2","H3","H12","H13"},0),Calc!$V$2:$V$137,Calc!$AC$2:$AC$137,Calc!$AJ$2:$AJ$137,Calc!$AL$2:$AL$137,Calc!$AM$2:$AM$137,Calc!$W$2:$W$137,Calc!$AD$2:$AD$137,Calc!$AK$2:$AK$137,Calc!$AN$2:$AN$137,Calc!$AO$2:$AO$137),MATCH($W99,Calc!$A$2:$A$137,0)),"")</f>
        <v>22.3992363636364</v>
      </c>
      <c r="H99" s="11" t="n">
        <f aca="false">IF(G99="","",IF(LEFT($X99,1)="H",SQRT(G99*(IFERROR(INDEX(Calc!$AP$2:$AP$137,MATCH($W99,Calc!$A$2:$A$137,0)),0.5)*Config!$B$5+1-IFERROR(INDEX(Calc!$AP$2:$AP$137,MATCH($W99,Calc!$A$2:$A$137,0)),0.5))),SQRT(G99*Config!$B$5)))</f>
        <v>5.599904544641</v>
      </c>
      <c r="I99" s="10" t="n">
        <f aca="false">IF(OR(F99="",G99="",N(H99)&lt;=0),"",1-NORMDIST(FLOOR(F99,1)+0.5,G99,H99,TRUE()))</f>
        <v>0.289886190573876</v>
      </c>
      <c r="J99" s="10" t="n">
        <f aca="false">IF(I99="","",NORMDIST(CEILING(F99,1)-0.5,G99,H99,TRUE()))</f>
        <v>0.710113809426125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UNDER</v>
      </c>
      <c r="M99" s="0" t="n">
        <v>23.3</v>
      </c>
      <c r="N99" s="0" t="n">
        <v>24.8</v>
      </c>
      <c r="O99" s="10" t="n">
        <v>0.6</v>
      </c>
      <c r="P99" s="10" t="n">
        <v>0.5</v>
      </c>
      <c r="Q99" s="10" t="n">
        <v>0.53</v>
      </c>
      <c r="R99" s="9" t="s">
        <v>1287</v>
      </c>
      <c r="S99" s="0" t="n">
        <v>-1</v>
      </c>
      <c r="T99" s="0" t="str">
        <f aca="false">INDEX(Calc!$G$2:$G$137,MATCH($W99,Calc!$A$2:$A$137,0))&amp;" / "&amp;INDEX(Calc!$H$2:$H$137,MATCH($W99,Calc!$A$2:$A$137,0))</f>
        <v>Cache / Mirage</v>
      </c>
      <c r="U99" s="0" t="str">
        <f aca="false">TEXT(INDEX(Calc!$J$2:$J$137,MATCH($W99,Calc!$A$2:$A$137,0)),"0.0")&amp;" / "&amp;TEXT(INDEX(Calc!$K$2:$K$137,MATCH($W99,Calc!$A$2:$A$137,0)),"0.0")</f>
        <v>19.3 / 19.3</v>
      </c>
      <c r="V99" s="0" t="str">
        <f aca="false">IFERROR(INDEX(Calc!$AQ$2:$AQ$137,MATCH($W99,Calc!$A$2:$A$137,0)),"")</f>
        <v/>
      </c>
      <c r="W99" s="9" t="s">
        <v>1416</v>
      </c>
      <c r="X99" s="9" t="s">
        <v>1291</v>
      </c>
      <c r="Y99" s="0" t="str">
        <f aca="false">W99&amp;"|"&amp;X99</f>
        <v>xq939tnpy5hluwa|CS2 · DEN vs Low Cortisol|K12</v>
      </c>
      <c r="Z99" s="11" t="n">
        <f aca="false">IFERROR(INDEX(CHOOSE(MATCH($X99,{"K1","K2","K3","K12","K13","H1","H2","H3","H12","H13"},0),Calc!$BA$2:$BA$137,Calc!$BB$2:$BB$137,Calc!$BC$2:$BC$137,Calc!$BD$2:$BD$137,Calc!$BE$2:$BE$137,Calc!$BF$2:$BF$137,Calc!$BG$2:$BG$137,Calc!$BH$2:$BH$137,Calc!$BI$2:$BI$137,Calc!$BJ$2:$BJ$137),MATCH($W99,Calc!$A$2:$A$137,0)),"")</f>
        <v>23.914324029645</v>
      </c>
      <c r="AA99" s="11" t="n">
        <f aca="false">IF(Z99="","",IF(LEFT($X99,1)="H",SQRT(Z99*(IFERROR(INDEX(Calc!$AP$2:$AP$137,MATCH($W99,Calc!$A$2:$A$137,0)),0.5)*Config!$B$5+1-IFERROR(INDEX(Calc!$AP$2:$AP$137,MATCH($W99,Calc!$A$2:$A$137,0)),0.5))),SQRT(Z99*Config!$B$5)))</f>
        <v>5.78619509189787</v>
      </c>
      <c r="AB99" s="10" t="n">
        <f aca="false">IF(OR(F99="",Z99="",N(AA99)&lt;=0),"",1-NORMDIST(FLOOR(F99,1)+0.5,Z99,AA99,TRUE()))</f>
        <v>0.392025143693516</v>
      </c>
      <c r="AC99" s="10" t="n">
        <f aca="false">IF(AB99="","",NORMDIST(CEILING(F99,1)-0.5,Z99,AA99,TRUE()))</f>
        <v>0.607974856306484</v>
      </c>
      <c r="AD99" s="0" t="str">
        <f aca="false">IF(AB99="","",IF(AB99&gt;=0.5+Config!$B$6,"OVER",IF(AC99&gt;=0.5+Config!$B$6,"UNDER","—")))</f>
        <v>UNDER</v>
      </c>
      <c r="AE99" s="13" t="n">
        <f aca="false">IFERROR(Z99/G99,"")</f>
        <v>1.06764014814667</v>
      </c>
    </row>
    <row r="100" customFormat="false" ht="15" hidden="false" customHeight="false" outlineLevel="0" collapsed="false">
      <c r="A100" s="0" t="s">
        <v>1139</v>
      </c>
      <c r="B100" s="0" t="s">
        <v>1235</v>
      </c>
      <c r="C100" s="0" t="s">
        <v>1417</v>
      </c>
      <c r="D100" s="0" t="s">
        <v>1237</v>
      </c>
      <c r="E100" s="0" t="s">
        <v>1286</v>
      </c>
      <c r="F100" s="0" t="n">
        <v>15</v>
      </c>
      <c r="G100" s="11" t="n">
        <f aca="false">IFERROR(INDEX(CHOOSE(MATCH($X100,{"K1","K2","K3","K12","K13","H1","H2","H3","H12","H13"},0),Calc!$V$2:$V$137,Calc!$AC$2:$AC$137,Calc!$AJ$2:$AJ$137,Calc!$AL$2:$AL$137,Calc!$AM$2:$AM$137,Calc!$W$2:$W$137,Calc!$AD$2:$AD$137,Calc!$AK$2:$AK$137,Calc!$AN$2:$AN$137,Calc!$AO$2:$AO$137),MATCH($W100,Calc!$A$2:$A$137,0)),"")</f>
        <v>12.3339581977961</v>
      </c>
      <c r="H100" s="11" t="n">
        <f aca="false">IF(G100="","",IF(LEFT($X100,1)="H",SQRT(G100*(IFERROR(INDEX(Calc!$AP$2:$AP$137,MATCH($W100,Calc!$A$2:$A$137,0)),0.5)*Config!$B$5+1-IFERROR(INDEX(Calc!$AP$2:$AP$137,MATCH($W100,Calc!$A$2:$A$137,0)),0.5))),SQRT(G100*Config!$B$5)))</f>
        <v>3.84589247542072</v>
      </c>
      <c r="I100" s="10" t="n">
        <f aca="false">IF(OR(F100="",G100="",N(H100)&lt;=0),"",1-NORMDIST(FLOOR(F100,1)+0.5,G100,H100,TRUE()))</f>
        <v>0.205189512171309</v>
      </c>
      <c r="J100" s="10" t="n">
        <f aca="false">IF(I100="","",NORMDIST(CEILING(F100,1)-0.5,G100,H100,TRUE()))</f>
        <v>0.713353760865849</v>
      </c>
      <c r="K100" s="10" t="n">
        <f aca="false">IF(I100="","",MAX(0,1-I100-J100))</f>
        <v>0.081456726962842</v>
      </c>
      <c r="L100" s="0" t="str">
        <f aca="false">IF(I100="","",IF(I100&gt;=0.5+Config!$B$6,"OVER",IF(J100&gt;=0.5+Config!$B$6,"UNDER","—")))</f>
        <v>UNDER</v>
      </c>
      <c r="N100" s="0" t="n">
        <v>16.7</v>
      </c>
      <c r="O100" s="10" t="n">
        <v>0.4</v>
      </c>
      <c r="P100" s="10" t="n">
        <v>0.6</v>
      </c>
      <c r="Q100" s="10" t="n">
        <v>0.67</v>
      </c>
      <c r="R100" s="9" t="s">
        <v>1287</v>
      </c>
      <c r="S100" s="0" t="n">
        <v>2</v>
      </c>
      <c r="T100" s="0" t="str">
        <f aca="false">INDEX(Calc!$G$2:$G$137,MATCH($W100,Calc!$A$2:$A$137,0))&amp;" / "&amp;INDEX(Calc!$H$2:$H$137,MATCH($W100,Calc!$A$2:$A$137,0))</f>
        <v>Cache / Mirage</v>
      </c>
      <c r="U100" s="0" t="str">
        <f aca="false">TEXT(INDEX(Calc!$J$2:$J$137,MATCH($W100,Calc!$A$2:$A$137,0)),"0.0")&amp;" / "&amp;TEXT(INDEX(Calc!$K$2:$K$137,MATCH($W100,Calc!$A$2:$A$137,0)),"0.0")</f>
        <v>19.3 / 19.3</v>
      </c>
      <c r="V100" s="0" t="str">
        <f aca="false">IFERROR(INDEX(Calc!$AQ$2:$AQ$137,MATCH($W100,Calc!$A$2:$A$137,0)),"")</f>
        <v/>
      </c>
      <c r="W100" s="9" t="s">
        <v>1418</v>
      </c>
      <c r="X100" s="9" t="s">
        <v>1289</v>
      </c>
      <c r="Y100" s="0" t="str">
        <f aca="false">W100&amp;"|"&amp;X100</f>
        <v>at2vo8jmt9hrk3m|CS2 · DEN vs Low Cortisol|H12</v>
      </c>
      <c r="Z100" s="11" t="n">
        <f aca="false">IFERROR(INDEX(CHOOSE(MATCH($X100,{"K1","K2","K3","K12","K13","H1","H2","H3","H12","H13"},0),Calc!$BA$2:$BA$137,Calc!$BB$2:$BB$137,Calc!$BC$2:$BC$137,Calc!$BD$2:$BD$137,Calc!$BE$2:$BE$137,Calc!$BF$2:$BF$137,Calc!$BG$2:$BG$137,Calc!$BH$2:$BH$137,Calc!$BI$2:$BI$137,Calc!$BJ$2:$BJ$137),MATCH($W100,Calc!$A$2:$A$137,0)),"")</f>
        <v>13.1300308310372</v>
      </c>
      <c r="AA100" s="11" t="n">
        <f aca="false">IF(Z100="","",IF(LEFT($X100,1)="H",SQRT(Z100*(IFERROR(INDEX(Calc!$AP$2:$AP$137,MATCH($W100,Calc!$A$2:$A$137,0)),0.5)*Config!$B$5+1-IFERROR(INDEX(Calc!$AP$2:$AP$137,MATCH($W100,Calc!$A$2:$A$137,0)),0.5))),SQRT(Z100*Config!$B$5)))</f>
        <v>3.96806497406863</v>
      </c>
      <c r="AB100" s="10" t="n">
        <f aca="false">IF(OR(F100="",Z100="",N(AA100)&lt;=0),"",1-NORMDIST(FLOOR(F100,1)+0.5,Z100,AA100,TRUE()))</f>
        <v>0.275166677303461</v>
      </c>
      <c r="AC100" s="10" t="n">
        <f aca="false">IF(AB100="","",NORMDIST(CEILING(F100,1)-0.5,Z100,AA100,TRUE()))</f>
        <v>0.635046285253942</v>
      </c>
      <c r="AD100" s="0" t="str">
        <f aca="false">IF(AB100="","",IF(AB100&gt;=0.5+Config!$B$6,"OVER",IF(AC100&gt;=0.5+Config!$B$6,"UNDER","—")))</f>
        <v>UNDER</v>
      </c>
      <c r="AE100" s="13" t="n">
        <f aca="false">IFERROR(Z100/G100,"")</f>
        <v>1.06454315966332</v>
      </c>
    </row>
    <row r="101" customFormat="false" ht="15" hidden="false" customHeight="false" outlineLevel="0" collapsed="false">
      <c r="A101" s="0" t="s">
        <v>1139</v>
      </c>
      <c r="B101" s="0" t="s">
        <v>1235</v>
      </c>
      <c r="C101" s="0" t="s">
        <v>1417</v>
      </c>
      <c r="D101" s="0" t="s">
        <v>1237</v>
      </c>
      <c r="E101" s="0" t="s">
        <v>1290</v>
      </c>
      <c r="F101" s="0" t="n">
        <v>30.5</v>
      </c>
      <c r="G101" s="11" t="n">
        <f aca="false">IFERROR(INDEX(CHOOSE(MATCH($X101,{"K1","K2","K3","K12","K13","H1","H2","H3","H12","H13"},0),Calc!$V$2:$V$137,Calc!$AC$2:$AC$137,Calc!$AJ$2:$AJ$137,Calc!$AL$2:$AL$137,Calc!$AM$2:$AM$137,Calc!$W$2:$W$137,Calc!$AD$2:$AD$137,Calc!$AK$2:$AK$137,Calc!$AN$2:$AN$137,Calc!$AO$2:$AO$137),MATCH($W101,Calc!$A$2:$A$137,0)),"")</f>
        <v>24.7669212121212</v>
      </c>
      <c r="H101" s="11" t="n">
        <f aca="false">IF(G101="","",IF(LEFT($X101,1)="H",SQRT(G101*(IFERROR(INDEX(Calc!$AP$2:$AP$137,MATCH($W101,Calc!$A$2:$A$137,0)),0.5)*Config!$B$5+1-IFERROR(INDEX(Calc!$AP$2:$AP$137,MATCH($W101,Calc!$A$2:$A$137,0)),0.5))),SQRT(G101*Config!$B$5)))</f>
        <v>5.88843694854328</v>
      </c>
      <c r="I101" s="10" t="n">
        <f aca="false">IF(OR(F101="",G101="",N(H101)&lt;=0),"",1-NORMDIST(FLOOR(F101,1)+0.5,G101,H101,TRUE()))</f>
        <v>0.16512351995842</v>
      </c>
      <c r="J101" s="10" t="n">
        <f aca="false">IF(I101="","",NORMDIST(CEILING(F101,1)-0.5,G101,H101,TRUE()))</f>
        <v>0.83487648004158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UNDER</v>
      </c>
      <c r="M101" s="0" t="n">
        <v>29.16</v>
      </c>
      <c r="N101" s="0" t="n">
        <v>30.5</v>
      </c>
      <c r="O101" s="10" t="n">
        <v>0.4</v>
      </c>
      <c r="P101" s="10" t="n">
        <v>0.6</v>
      </c>
      <c r="Q101" s="10" t="n">
        <v>0.6</v>
      </c>
      <c r="R101" s="9" t="s">
        <v>1287</v>
      </c>
      <c r="S101" s="0" t="n">
        <v>-1</v>
      </c>
      <c r="T101" s="0" t="str">
        <f aca="false">INDEX(Calc!$G$2:$G$137,MATCH($W101,Calc!$A$2:$A$137,0))&amp;" / "&amp;INDEX(Calc!$H$2:$H$137,MATCH($W101,Calc!$A$2:$A$137,0))</f>
        <v>Cache / Mirage</v>
      </c>
      <c r="U101" s="0" t="str">
        <f aca="false">TEXT(INDEX(Calc!$J$2:$J$137,MATCH($W101,Calc!$A$2:$A$137,0)),"0.0")&amp;" / "&amp;TEXT(INDEX(Calc!$K$2:$K$137,MATCH($W101,Calc!$A$2:$A$137,0)),"0.0")</f>
        <v>19.3 / 19.3</v>
      </c>
      <c r="V101" s="0" t="str">
        <f aca="false">IFERROR(INDEX(Calc!$AQ$2:$AQ$137,MATCH($W101,Calc!$A$2:$A$137,0)),"")</f>
        <v/>
      </c>
      <c r="W101" s="9" t="s">
        <v>1418</v>
      </c>
      <c r="X101" s="9" t="s">
        <v>1291</v>
      </c>
      <c r="Y101" s="0" t="str">
        <f aca="false">W101&amp;"|"&amp;X101</f>
        <v>at2vo8jmt9hrk3m|CS2 · DEN vs Low Cortisol|K12</v>
      </c>
      <c r="Z101" s="11" t="n">
        <f aca="false">IFERROR(INDEX(CHOOSE(MATCH($X101,{"K1","K2","K3","K12","K13","H1","H2","H3","H12","H13"},0),Calc!$BA$2:$BA$137,Calc!$BB$2:$BB$137,Calc!$BC$2:$BC$137,Calc!$BD$2:$BD$137,Calc!$BE$2:$BE$137,Calc!$BF$2:$BF$137,Calc!$BG$2:$BG$137,Calc!$BH$2:$BH$137,Calc!$BI$2:$BI$137,Calc!$BJ$2:$BJ$137),MATCH($W101,Calc!$A$2:$A$137,0)),"")</f>
        <v>26.3845707776767</v>
      </c>
      <c r="AA101" s="11" t="n">
        <f aca="false">IF(Z101="","",IF(LEFT($X101,1)="H",SQRT(Z101*(IFERROR(INDEX(Calc!$AP$2:$AP$137,MATCH($W101,Calc!$A$2:$A$137,0)),0.5)*Config!$B$5+1-IFERROR(INDEX(Calc!$AP$2:$AP$137,MATCH($W101,Calc!$A$2:$A$137,0)),0.5))),SQRT(Z101*Config!$B$5)))</f>
        <v>6.07769685725995</v>
      </c>
      <c r="AB101" s="10" t="n">
        <f aca="false">IF(OR(F101="",Z101="",N(AA101)&lt;=0),"",1-NORMDIST(FLOOR(F101,1)+0.5,Z101,AA101,TRUE()))</f>
        <v>0.249159736515312</v>
      </c>
      <c r="AC101" s="10" t="n">
        <f aca="false">IF(AB101="","",NORMDIST(CEILING(F101,1)-0.5,Z101,AA101,TRUE()))</f>
        <v>0.750840263484688</v>
      </c>
      <c r="AD101" s="0" t="str">
        <f aca="false">IF(AB101="","",IF(AB101&gt;=0.5+Config!$B$6,"OVER",IF(AC101&gt;=0.5+Config!$B$6,"UNDER","—")))</f>
        <v>UNDER</v>
      </c>
      <c r="AE101" s="13" t="n">
        <f aca="false">IFERROR(Z101/G101,"")</f>
        <v>1.06531492355068</v>
      </c>
    </row>
    <row r="102" customFormat="false" ht="15" hidden="false" customHeight="false" outlineLevel="0" collapsed="false">
      <c r="A102" s="0" t="s">
        <v>1139</v>
      </c>
      <c r="B102" s="0" t="s">
        <v>1235</v>
      </c>
      <c r="C102" s="0" t="s">
        <v>1419</v>
      </c>
      <c r="D102" s="0" t="s">
        <v>1237</v>
      </c>
      <c r="E102" s="0" t="s">
        <v>1286</v>
      </c>
      <c r="F102" s="0" t="n">
        <v>8.5</v>
      </c>
      <c r="G102" s="11" t="n">
        <f aca="false">IFERROR(INDEX(CHOOSE(MATCH($X102,{"K1","K2","K3","K12","K13","H1","H2","H3","H12","H13"},0),Calc!$V$2:$V$137,Calc!$AC$2:$AC$137,Calc!$AJ$2:$AJ$137,Calc!$AL$2:$AL$137,Calc!$AM$2:$AM$137,Calc!$W$2:$W$137,Calc!$AD$2:$AD$137,Calc!$AK$2:$AK$137,Calc!$AN$2:$AN$137,Calc!$AO$2:$AO$137),MATCH($W102,Calc!$A$2:$A$137,0)),"")</f>
        <v>6.52585257844353</v>
      </c>
      <c r="H102" s="11" t="n">
        <f aca="false">IF(G102="","",IF(LEFT($X102,1)="H",SQRT(G102*(IFERROR(INDEX(Calc!$AP$2:$AP$137,MATCH($W102,Calc!$A$2:$A$137,0)),0.5)*Config!$B$5+1-IFERROR(INDEX(Calc!$AP$2:$AP$137,MATCH($W102,Calc!$A$2:$A$137,0)),0.5))),SQRT(G102*Config!$B$5)))</f>
        <v>2.6885539788222</v>
      </c>
      <c r="I102" s="10" t="n">
        <f aca="false">IF(OR(F102="",G102="",N(H102)&lt;=0),"",1-NORMDIST(FLOOR(F102,1)+0.5,G102,H102,TRUE()))</f>
        <v>0.231389504942749</v>
      </c>
      <c r="J102" s="10" t="n">
        <f aca="false">IF(I102="","",NORMDIST(CEILING(F102,1)-0.5,G102,H102,TRUE()))</f>
        <v>0.768610495057251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UNDER</v>
      </c>
      <c r="N102" s="0" t="n">
        <v>7.1</v>
      </c>
      <c r="O102" s="10" t="n">
        <v>0.2</v>
      </c>
      <c r="P102" s="10" t="n">
        <v>0.3</v>
      </c>
      <c r="Q102" s="10" t="n">
        <v>0.47</v>
      </c>
      <c r="R102" s="9" t="s">
        <v>1287</v>
      </c>
      <c r="S102" s="0" t="n">
        <v>-2</v>
      </c>
      <c r="T102" s="0" t="str">
        <f aca="false">INDEX(Calc!$G$2:$G$137,MATCH($W102,Calc!$A$2:$A$137,0))&amp;" / "&amp;INDEX(Calc!$H$2:$H$137,MATCH($W102,Calc!$A$2:$A$137,0))</f>
        <v>Cache / Mirage</v>
      </c>
      <c r="U102" s="0" t="str">
        <f aca="false">TEXT(INDEX(Calc!$J$2:$J$137,MATCH($W102,Calc!$A$2:$A$137,0)),"0.0")&amp;" / "&amp;TEXT(INDEX(Calc!$K$2:$K$137,MATCH($W102,Calc!$A$2:$A$137,0)),"0.0")</f>
        <v>19.3 / 19.3</v>
      </c>
      <c r="V102" s="0" t="str">
        <f aca="false">IFERROR(INDEX(Calc!$AQ$2:$AQ$137,MATCH($W102,Calc!$A$2:$A$137,0)),"")</f>
        <v/>
      </c>
      <c r="W102" s="9" t="s">
        <v>1420</v>
      </c>
      <c r="X102" s="9" t="s">
        <v>1289</v>
      </c>
      <c r="Y102" s="0" t="str">
        <f aca="false">W102&amp;"|"&amp;X102</f>
        <v>sir58v1hxyyne29|CS2 · DEN vs Low Cortisol|H12</v>
      </c>
      <c r="Z102" s="11" t="n">
        <f aca="false">IFERROR(INDEX(CHOOSE(MATCH($X102,{"K1","K2","K3","K12","K13","H1","H2","H3","H12","H13"},0),Calc!$BA$2:$BA$137,Calc!$BB$2:$BB$137,Calc!$BC$2:$BC$137,Calc!$BD$2:$BD$137,Calc!$BE$2:$BE$137,Calc!$BF$2:$BF$137,Calc!$BG$2:$BG$137,Calc!$BH$2:$BH$137,Calc!$BI$2:$BI$137,Calc!$BJ$2:$BJ$137),MATCH($W102,Calc!$A$2:$A$137,0)),"")</f>
        <v>6.93893026132249</v>
      </c>
      <c r="AA102" s="11" t="n">
        <f aca="false">IF(Z102="","",IF(LEFT($X102,1)="H",SQRT(Z102*(IFERROR(INDEX(Calc!$AP$2:$AP$137,MATCH($W102,Calc!$A$2:$A$137,0)),0.5)*Config!$B$5+1-IFERROR(INDEX(Calc!$AP$2:$AP$137,MATCH($W102,Calc!$A$2:$A$137,0)),0.5))),SQRT(Z102*Config!$B$5)))</f>
        <v>2.77233936957161</v>
      </c>
      <c r="AB102" s="10" t="n">
        <f aca="false">IF(OR(F102="",Z102="",N(AA102)&lt;=0),"",1-NORMDIST(FLOOR(F102,1)+0.5,Z102,AA102,TRUE()))</f>
        <v>0.286687639890215</v>
      </c>
      <c r="AC102" s="10" t="n">
        <f aca="false">IF(AB102="","",NORMDIST(CEILING(F102,1)-0.5,Z102,AA102,TRUE()))</f>
        <v>0.713312360109785</v>
      </c>
      <c r="AD102" s="0" t="str">
        <f aca="false">IF(AB102="","",IF(AB102&gt;=0.5+Config!$B$6,"OVER",IF(AC102&gt;=0.5+Config!$B$6,"UNDER","—")))</f>
        <v>UNDER</v>
      </c>
      <c r="AE102" s="13" t="n">
        <f aca="false">IFERROR(Z102/G102,"")</f>
        <v>1.06329865376418</v>
      </c>
    </row>
    <row r="103" customFormat="false" ht="15" hidden="false" customHeight="false" outlineLevel="0" collapsed="false">
      <c r="A103" s="0" t="s">
        <v>1139</v>
      </c>
      <c r="B103" s="0" t="s">
        <v>1235</v>
      </c>
      <c r="C103" s="0" t="s">
        <v>1419</v>
      </c>
      <c r="D103" s="0" t="s">
        <v>1237</v>
      </c>
      <c r="E103" s="0" t="s">
        <v>1290</v>
      </c>
      <c r="F103" s="0" t="n">
        <v>28.5</v>
      </c>
      <c r="G103" s="11" t="n">
        <f aca="false">IFERROR(INDEX(CHOOSE(MATCH($X103,{"K1","K2","K3","K12","K13","H1","H2","H3","H12","H13"},0),Calc!$V$2:$V$137,Calc!$AC$2:$AC$137,Calc!$AJ$2:$AJ$137,Calc!$AL$2:$AL$137,Calc!$AM$2:$AM$137,Calc!$W$2:$W$137,Calc!$AD$2:$AD$137,Calc!$AK$2:$AK$137,Calc!$AN$2:$AN$137,Calc!$AO$2:$AO$137),MATCH($W103,Calc!$A$2:$A$137,0)),"")</f>
        <v>24.2497227272727</v>
      </c>
      <c r="H103" s="11" t="n">
        <f aca="false">IF(G103="","",IF(LEFT($X103,1)="H",SQRT(G103*(IFERROR(INDEX(Calc!$AP$2:$AP$137,MATCH($W103,Calc!$A$2:$A$137,0)),0.5)*Config!$B$5+1-IFERROR(INDEX(Calc!$AP$2:$AP$137,MATCH($W103,Calc!$A$2:$A$137,0)),0.5))),SQRT(G103*Config!$B$5)))</f>
        <v>5.82662954186911</v>
      </c>
      <c r="I103" s="10" t="n">
        <f aca="false">IF(OR(F103="",G103="",N(H103)&lt;=0),"",1-NORMDIST(FLOOR(F103,1)+0.5,G103,H103,TRUE()))</f>
        <v>0.232860998644824</v>
      </c>
      <c r="J103" s="10" t="n">
        <f aca="false">IF(I103="","",NORMDIST(CEILING(F103,1)-0.5,G103,H103,TRUE()))</f>
        <v>0.767139001355176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UNDER</v>
      </c>
      <c r="M103" s="0" t="n">
        <v>26.21</v>
      </c>
      <c r="N103" s="0" t="n">
        <v>27.8</v>
      </c>
      <c r="O103" s="10" t="n">
        <v>0.2</v>
      </c>
      <c r="P103" s="10" t="n">
        <v>0.4</v>
      </c>
      <c r="Q103" s="10" t="n">
        <v>0.53</v>
      </c>
      <c r="R103" s="9" t="s">
        <v>1287</v>
      </c>
      <c r="S103" s="0" t="n">
        <v>-2</v>
      </c>
      <c r="T103" s="0" t="str">
        <f aca="false">INDEX(Calc!$G$2:$G$137,MATCH($W103,Calc!$A$2:$A$137,0))&amp;" / "&amp;INDEX(Calc!$H$2:$H$137,MATCH($W103,Calc!$A$2:$A$137,0))</f>
        <v>Cache / Mirage</v>
      </c>
      <c r="U103" s="0" t="str">
        <f aca="false">TEXT(INDEX(Calc!$J$2:$J$137,MATCH($W103,Calc!$A$2:$A$137,0)),"0.0")&amp;" / "&amp;TEXT(INDEX(Calc!$K$2:$K$137,MATCH($W103,Calc!$A$2:$A$137,0)),"0.0")</f>
        <v>19.3 / 19.3</v>
      </c>
      <c r="V103" s="0" t="str">
        <f aca="false">IFERROR(INDEX(Calc!$AQ$2:$AQ$137,MATCH($W103,Calc!$A$2:$A$137,0)),"")</f>
        <v/>
      </c>
      <c r="W103" s="9" t="s">
        <v>1420</v>
      </c>
      <c r="X103" s="9" t="s">
        <v>1291</v>
      </c>
      <c r="Y103" s="0" t="str">
        <f aca="false">W103&amp;"|"&amp;X103</f>
        <v>sir58v1hxyyne29|CS2 · DEN vs Low Cortisol|K12</v>
      </c>
      <c r="Z103" s="11" t="n">
        <f aca="false">IFERROR(INDEX(CHOOSE(MATCH($X103,{"K1","K2","K3","K12","K13","H1","H2","H3","H12","H13"},0),Calc!$BA$2:$BA$137,Calc!$BB$2:$BB$137,Calc!$BC$2:$BC$137,Calc!$BD$2:$BD$137,Calc!$BE$2:$BE$137,Calc!$BF$2:$BF$137,Calc!$BG$2:$BG$137,Calc!$BH$2:$BH$137,Calc!$BI$2:$BI$137,Calc!$BJ$2:$BJ$137),MATCH($W103,Calc!$A$2:$A$137,0)),"")</f>
        <v>25.8231293241491</v>
      </c>
      <c r="AA103" s="11" t="n">
        <f aca="false">IF(Z103="","",IF(LEFT($X103,1)="H",SQRT(Z103*(IFERROR(INDEX(Calc!$AP$2:$AP$137,MATCH($W103,Calc!$A$2:$A$137,0)),0.5)*Config!$B$5+1-IFERROR(INDEX(Calc!$AP$2:$AP$137,MATCH($W103,Calc!$A$2:$A$137,0)),0.5))),SQRT(Z103*Config!$B$5)))</f>
        <v>6.01268501202322</v>
      </c>
      <c r="AB103" s="10" t="n">
        <f aca="false">IF(OR(F103="",Z103="",N(AA103)&lt;=0),"",1-NORMDIST(FLOOR(F103,1)+0.5,Z103,AA103,TRUE()))</f>
        <v>0.328086212762929</v>
      </c>
      <c r="AC103" s="10" t="n">
        <f aca="false">IF(AB103="","",NORMDIST(CEILING(F103,1)-0.5,Z103,AA103,TRUE()))</f>
        <v>0.671913787237071</v>
      </c>
      <c r="AD103" s="0" t="str">
        <f aca="false">IF(AB103="","",IF(AB103&gt;=0.5+Config!$B$6,"OVER",IF(AC103&gt;=0.5+Config!$B$6,"UNDER","—")))</f>
        <v>UNDER</v>
      </c>
      <c r="AE103" s="13" t="n">
        <f aca="false">IFERROR(Z103/G103,"")</f>
        <v>1.064883488136</v>
      </c>
    </row>
    <row r="104" customFormat="false" ht="15" hidden="false" customHeight="false" outlineLevel="0" collapsed="false">
      <c r="A104" s="0" t="s">
        <v>1139</v>
      </c>
      <c r="B104" s="0" t="s">
        <v>1235</v>
      </c>
      <c r="C104" s="0" t="s">
        <v>1421</v>
      </c>
      <c r="D104" s="0" t="s">
        <v>1237</v>
      </c>
      <c r="E104" s="0" t="s">
        <v>1286</v>
      </c>
      <c r="F104" s="0" t="n">
        <v>17.5</v>
      </c>
      <c r="G104" s="11" t="n">
        <f aca="false">IFERROR(INDEX(CHOOSE(MATCH($X104,{"K1","K2","K3","K12","K13","H1","H2","H3","H12","H13"},0),Calc!$V$2:$V$137,Calc!$AC$2:$AC$137,Calc!$AJ$2:$AJ$137,Calc!$AL$2:$AL$137,Calc!$AM$2:$AM$137,Calc!$W$2:$W$137,Calc!$AD$2:$AD$137,Calc!$AK$2:$AK$137,Calc!$AN$2:$AN$137,Calc!$AO$2:$AO$137),MATCH($W104,Calc!$A$2:$A$137,0)),"")</f>
        <v>16.4875015099862</v>
      </c>
      <c r="H104" s="11" t="n">
        <f aca="false">IF(G104="","",IF(LEFT($X104,1)="H",SQRT(G104*(IFERROR(INDEX(Calc!$AP$2:$AP$137,MATCH($W104,Calc!$A$2:$A$137,0)),0.5)*Config!$B$5+1-IFERROR(INDEX(Calc!$AP$2:$AP$137,MATCH($W104,Calc!$A$2:$A$137,0)),0.5))),SQRT(G104*Config!$B$5)))</f>
        <v>4.49777991250585</v>
      </c>
      <c r="I104" s="10" t="n">
        <f aca="false">IF(OR(F104="",G104="",N(H104)&lt;=0),"",1-NORMDIST(FLOOR(F104,1)+0.5,G104,H104,TRUE()))</f>
        <v>0.410946569481031</v>
      </c>
      <c r="J104" s="10" t="n">
        <f aca="false">IF(I104="","",NORMDIST(CEILING(F104,1)-0.5,G104,H104,TRUE()))</f>
        <v>0.589053430518969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UNDER</v>
      </c>
      <c r="N104" s="0" t="n">
        <v>18.1</v>
      </c>
      <c r="O104" s="10" t="n">
        <v>0.4</v>
      </c>
      <c r="P104" s="10" t="n">
        <v>0.4</v>
      </c>
      <c r="Q104" s="10" t="n">
        <v>0.27</v>
      </c>
      <c r="R104" s="9" t="s">
        <v>1287</v>
      </c>
      <c r="S104" s="0" t="n">
        <v>-1</v>
      </c>
      <c r="T104" s="0" t="str">
        <f aca="false">INDEX(Calc!$G$2:$G$137,MATCH($W104,Calc!$A$2:$A$137,0))&amp;" / "&amp;INDEX(Calc!$H$2:$H$137,MATCH($W104,Calc!$A$2:$A$137,0))</f>
        <v>Cache / Mirage</v>
      </c>
      <c r="U104" s="0" t="str">
        <f aca="false">TEXT(INDEX(Calc!$J$2:$J$137,MATCH($W104,Calc!$A$2:$A$137,0)),"0.0")&amp;" / "&amp;TEXT(INDEX(Calc!$K$2:$K$137,MATCH($W104,Calc!$A$2:$A$137,0)),"0.0")</f>
        <v>19.3 / 19.3</v>
      </c>
      <c r="V104" s="0" t="str">
        <f aca="false">IFERROR(INDEX(Calc!$AQ$2:$AQ$137,MATCH($W104,Calc!$A$2:$A$137,0)),"")</f>
        <v/>
      </c>
      <c r="W104" s="9" t="s">
        <v>1422</v>
      </c>
      <c r="X104" s="9" t="s">
        <v>1289</v>
      </c>
      <c r="Y104" s="0" t="str">
        <f aca="false">W104&amp;"|"&amp;X104</f>
        <v>a0u1qo22a3z9rh8|CS2 · DEN vs Low Cortisol|H12</v>
      </c>
      <c r="Z104" s="11" t="n">
        <f aca="false">IFERROR(INDEX(CHOOSE(MATCH($X104,{"K1","K2","K3","K12","K13","H1","H2","H3","H12","H13"},0),Calc!$BA$2:$BA$137,Calc!$BB$2:$BB$137,Calc!$BC$2:$BC$137,Calc!$BD$2:$BD$137,Calc!$BE$2:$BE$137,Calc!$BF$2:$BF$137,Calc!$BG$2:$BG$137,Calc!$BH$2:$BH$137,Calc!$BI$2:$BI$137,Calc!$BJ$2:$BJ$137),MATCH($W104,Calc!$A$2:$A$137,0)),"")</f>
        <v>17.6320139884321</v>
      </c>
      <c r="AA104" s="11" t="n">
        <f aca="false">IF(Z104="","",IF(LEFT($X104,1)="H",SQRT(Z104*(IFERROR(INDEX(Calc!$AP$2:$AP$137,MATCH($W104,Calc!$A$2:$A$137,0)),0.5)*Config!$B$5+1-IFERROR(INDEX(Calc!$AP$2:$AP$137,MATCH($W104,Calc!$A$2:$A$137,0)),0.5))),SQRT(Z104*Config!$B$5)))</f>
        <v>4.65127200014599</v>
      </c>
      <c r="AB104" s="10" t="n">
        <f aca="false">IF(OR(F104="",Z104="",N(AA104)&lt;=0),"",1-NORMDIST(FLOOR(F104,1)+0.5,Z104,AA104,TRUE()))</f>
        <v>0.511321395853535</v>
      </c>
      <c r="AC104" s="10" t="n">
        <f aca="false">IF(AB104="","",NORMDIST(CEILING(F104,1)-0.5,Z104,AA104,TRUE()))</f>
        <v>0.488678604146465</v>
      </c>
      <c r="AD104" s="0" t="str">
        <f aca="false">IF(AB104="","",IF(AB104&gt;=0.5+Config!$B$6,"OVER",IF(AC104&gt;=0.5+Config!$B$6,"UNDER","—")))</f>
        <v>—</v>
      </c>
      <c r="AE104" s="13" t="n">
        <f aca="false">IFERROR(Z104/G104,"")</f>
        <v>1.06941697489778</v>
      </c>
    </row>
    <row r="105" customFormat="false" ht="15" hidden="false" customHeight="false" outlineLevel="0" collapsed="false">
      <c r="A105" s="0" t="s">
        <v>1139</v>
      </c>
      <c r="B105" s="0" t="s">
        <v>1235</v>
      </c>
      <c r="C105" s="0" t="s">
        <v>1421</v>
      </c>
      <c r="D105" s="0" t="s">
        <v>1237</v>
      </c>
      <c r="E105" s="0" t="s">
        <v>1290</v>
      </c>
      <c r="F105" s="0" t="n">
        <v>29.5</v>
      </c>
      <c r="G105" s="11" t="n">
        <f aca="false">IFERROR(INDEX(CHOOSE(MATCH($X105,{"K1","K2","K3","K12","K13","H1","H2","H3","H12","H13"},0),Calc!$V$2:$V$137,Calc!$AC$2:$AC$137,Calc!$AJ$2:$AJ$137,Calc!$AL$2:$AL$137,Calc!$AM$2:$AM$137,Calc!$W$2:$W$137,Calc!$AD$2:$AD$137,Calc!$AK$2:$AK$137,Calc!$AN$2:$AN$137,Calc!$AO$2:$AO$137),MATCH($W105,Calc!$A$2:$A$137,0)),"")</f>
        <v>29.0539545454545</v>
      </c>
      <c r="H105" s="11" t="n">
        <f aca="false">IF(G105="","",IF(LEFT($X105,1)="H",SQRT(G105*(IFERROR(INDEX(Calc!$AP$2:$AP$137,MATCH($W105,Calc!$A$2:$A$137,0)),0.5)*Config!$B$5+1-IFERROR(INDEX(Calc!$AP$2:$AP$137,MATCH($W105,Calc!$A$2:$A$137,0)),0.5))),SQRT(G105*Config!$B$5)))</f>
        <v>6.37773755838513</v>
      </c>
      <c r="I105" s="10" t="n">
        <f aca="false">IF(OR(F105="",G105="",N(H105)&lt;=0),"",1-NORMDIST(FLOOR(F105,1)+0.5,G105,H105,TRUE()))</f>
        <v>0.472121550869197</v>
      </c>
      <c r="J105" s="10" t="n">
        <f aca="false">IF(I105="","",NORMDIST(CEILING(F105,1)-0.5,G105,H105,TRUE()))</f>
        <v>0.527878449130803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—</v>
      </c>
      <c r="M105" s="0" t="n">
        <v>27.91</v>
      </c>
      <c r="N105" s="0" t="n">
        <v>30.7</v>
      </c>
      <c r="O105" s="10" t="n">
        <v>0.6</v>
      </c>
      <c r="P105" s="10" t="n">
        <v>0.6</v>
      </c>
      <c r="Q105" s="10" t="n">
        <v>0.47</v>
      </c>
      <c r="R105" s="9" t="s">
        <v>1287</v>
      </c>
      <c r="S105" s="0" t="n">
        <v>-1</v>
      </c>
      <c r="T105" s="0" t="str">
        <f aca="false">INDEX(Calc!$G$2:$G$137,MATCH($W105,Calc!$A$2:$A$137,0))&amp;" / "&amp;INDEX(Calc!$H$2:$H$137,MATCH($W105,Calc!$A$2:$A$137,0))</f>
        <v>Cache / Mirage</v>
      </c>
      <c r="U105" s="0" t="str">
        <f aca="false">TEXT(INDEX(Calc!$J$2:$J$137,MATCH($W105,Calc!$A$2:$A$137,0)),"0.0")&amp;" / "&amp;TEXT(INDEX(Calc!$K$2:$K$137,MATCH($W105,Calc!$A$2:$A$137,0)),"0.0")</f>
        <v>19.3 / 19.3</v>
      </c>
      <c r="V105" s="0" t="str">
        <f aca="false">IFERROR(INDEX(Calc!$AQ$2:$AQ$137,MATCH($W105,Calc!$A$2:$A$137,0)),"")</f>
        <v/>
      </c>
      <c r="W105" s="9" t="s">
        <v>1422</v>
      </c>
      <c r="X105" s="9" t="s">
        <v>1291</v>
      </c>
      <c r="Y105" s="0" t="str">
        <f aca="false">W105&amp;"|"&amp;X105</f>
        <v>a0u1qo22a3z9rh8|CS2 · DEN vs Low Cortisol|K12</v>
      </c>
      <c r="Z105" s="11" t="n">
        <f aca="false">IFERROR(INDEX(CHOOSE(MATCH($X105,{"K1","K2","K3","K12","K13","H1","H2","H3","H12","H13"},0),Calc!$BA$2:$BA$137,Calc!$BB$2:$BB$137,Calc!$BC$2:$BC$137,Calc!$BD$2:$BD$137,Calc!$BE$2:$BE$137,Calc!$BF$2:$BF$137,Calc!$BG$2:$BG$137,Calc!$BH$2:$BH$137,Calc!$BI$2:$BI$137,Calc!$BJ$2:$BJ$137),MATCH($W105,Calc!$A$2:$A$137,0)),"")</f>
        <v>31.0209605131963</v>
      </c>
      <c r="AA105" s="11" t="n">
        <f aca="false">IF(Z105="","",IF(LEFT($X105,1)="H",SQRT(Z105*(IFERROR(INDEX(Calc!$AP$2:$AP$137,MATCH($W105,Calc!$A$2:$A$137,0)),0.5)*Config!$B$5+1-IFERROR(INDEX(Calc!$AP$2:$AP$137,MATCH($W105,Calc!$A$2:$A$137,0)),0.5))),SQRT(Z105*Config!$B$5)))</f>
        <v>6.59009443926829</v>
      </c>
      <c r="AB105" s="10" t="n">
        <f aca="false">IF(OR(F105="",Z105="",N(AA105)&lt;=0),"",1-NORMDIST(FLOOR(F105,1)+0.5,Z105,AA105,TRUE()))</f>
        <v>0.591262947473275</v>
      </c>
      <c r="AC105" s="10" t="n">
        <f aca="false">IF(AB105="","",NORMDIST(CEILING(F105,1)-0.5,Z105,AA105,TRUE()))</f>
        <v>0.408737052526725</v>
      </c>
      <c r="AD105" s="0" t="str">
        <f aca="false">IF(AB105="","",IF(AB105&gt;=0.5+Config!$B$6,"OVER",IF(AC105&gt;=0.5+Config!$B$6,"UNDER","—")))</f>
        <v>OVER</v>
      </c>
      <c r="AE105" s="13" t="n">
        <f aca="false">IFERROR(Z105/G105,"")</f>
        <v>1.06770183262538</v>
      </c>
    </row>
    <row r="106" customFormat="false" ht="15" hidden="false" customHeight="false" outlineLevel="0" collapsed="false">
      <c r="A106" s="0" t="s">
        <v>1139</v>
      </c>
      <c r="B106" s="0" t="s">
        <v>1154</v>
      </c>
      <c r="C106" s="0" t="s">
        <v>1423</v>
      </c>
      <c r="D106" s="0" t="s">
        <v>1160</v>
      </c>
      <c r="E106" s="0" t="s">
        <v>1286</v>
      </c>
      <c r="F106" s="0" t="n">
        <v>15.5</v>
      </c>
      <c r="G106" s="11" t="n">
        <f aca="false">IFERROR(INDEX(CHOOSE(MATCH($X106,{"K1","K2","K3","K12","K13","H1","H2","H3","H12","H13"},0),Calc!$V$2:$V$137,Calc!$AC$2:$AC$137,Calc!$AJ$2:$AJ$137,Calc!$AL$2:$AL$137,Calc!$AM$2:$AM$137,Calc!$W$2:$W$137,Calc!$AD$2:$AD$137,Calc!$AK$2:$AK$137,Calc!$AN$2:$AN$137,Calc!$AO$2:$AO$137),MATCH($W106,Calc!$A$2:$A$137,0)),"")</f>
        <v>14.5342379018559</v>
      </c>
      <c r="H106" s="11" t="n">
        <f aca="false">IF(G106="","",IF(LEFT($X106,1)="H",SQRT(G106*(IFERROR(INDEX(Calc!$AP$2:$AP$137,MATCH($W106,Calc!$A$2:$A$137,0)),0.5)*Config!$B$5+1-IFERROR(INDEX(Calc!$AP$2:$AP$137,MATCH($W106,Calc!$A$2:$A$137,0)),0.5))),SQRT(G106*Config!$B$5)))</f>
        <v>4.13940607695481</v>
      </c>
      <c r="I106" s="10" t="n">
        <f aca="false">IF(OR(F106="",G106="",N(H106)&lt;=0),"",1-NORMDIST(FLOOR(F106,1)+0.5,G106,H106,TRUE()))</f>
        <v>0.407760603378776</v>
      </c>
      <c r="J106" s="10" t="n">
        <f aca="false">IF(I106="","",NORMDIST(CEILING(F106,1)-0.5,G106,H106,TRUE()))</f>
        <v>0.592239396621224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UNDER</v>
      </c>
      <c r="N106" s="0" t="n">
        <v>13.6</v>
      </c>
      <c r="O106" s="10" t="n">
        <v>0.4</v>
      </c>
      <c r="P106" s="10" t="n">
        <v>0.3</v>
      </c>
      <c r="Q106" s="10" t="n">
        <v>0.53</v>
      </c>
      <c r="R106" s="9" t="s">
        <v>1320</v>
      </c>
      <c r="S106" s="0" t="n">
        <v>-1</v>
      </c>
      <c r="T106" s="0" t="str">
        <f aca="false">INDEX(Calc!$G$2:$G$137,MATCH($W106,Calc!$A$2:$A$137,0))&amp;" / "&amp;INDEX(Calc!$H$2:$H$137,MATCH($W106,Calc!$A$2:$A$137,0))</f>
        <v>Cache / Ancient</v>
      </c>
      <c r="U106" s="0" t="str">
        <f aca="false">TEXT(INDEX(Calc!$J$2:$J$137,MATCH($W106,Calc!$A$2:$A$137,0)),"0.0")&amp;" / "&amp;TEXT(INDEX(Calc!$K$2:$K$137,MATCH($W106,Calc!$A$2:$A$137,0)),"0.0")</f>
        <v>21.5 / 21.4</v>
      </c>
      <c r="V106" s="0" t="str">
        <f aca="false">IFERROR(INDEX(Calc!$AQ$2:$AQ$137,MATCH($W106,Calc!$A$2:$A$137,0)),"")</f>
        <v/>
      </c>
      <c r="W106" s="9" t="s">
        <v>1424</v>
      </c>
      <c r="X106" s="9" t="s">
        <v>1289</v>
      </c>
      <c r="Y106" s="0" t="str">
        <f aca="false">W106&amp;"|"&amp;X106</f>
        <v>8trkhn8eds1uu4p|CS2 · EF vs BIG|H12</v>
      </c>
      <c r="Z106" s="11" t="n">
        <f aca="false">IFERROR(INDEX(CHOOSE(MATCH($X106,{"K1","K2","K3","K12","K13","H1","H2","H3","H12","H13"},0),Calc!$BA$2:$BA$137,Calc!$BB$2:$BB$137,Calc!$BC$2:$BC$137,Calc!$BD$2:$BD$137,Calc!$BE$2:$BE$137,Calc!$BF$2:$BF$137,Calc!$BG$2:$BG$137,Calc!$BH$2:$BH$137,Calc!$BI$2:$BI$137,Calc!$BJ$2:$BJ$137),MATCH($W106,Calc!$A$2:$A$137,0)),"")</f>
        <v>14.594618084858</v>
      </c>
      <c r="AA106" s="11" t="n">
        <f aca="false">IF(Z106="","",IF(LEFT($X106,1)="H",SQRT(Z106*(IFERROR(INDEX(Calc!$AP$2:$AP$137,MATCH($W106,Calc!$A$2:$A$137,0)),0.5)*Config!$B$5+1-IFERROR(INDEX(Calc!$AP$2:$AP$137,MATCH($W106,Calc!$A$2:$A$137,0)),0.5))),SQRT(Z106*Config!$B$5)))</f>
        <v>4.14799541799564</v>
      </c>
      <c r="AB106" s="10" t="n">
        <f aca="false">IF(OR(F106="",Z106="",N(AA106)&lt;=0),"",1-NORMDIST(FLOOR(F106,1)+0.5,Z106,AA106,TRUE()))</f>
        <v>0.413609471849034</v>
      </c>
      <c r="AC106" s="10" t="n">
        <f aca="false">IF(AB106="","",NORMDIST(CEILING(F106,1)-0.5,Z106,AA106,TRUE()))</f>
        <v>0.586390528150967</v>
      </c>
      <c r="AD106" s="0" t="str">
        <f aca="false">IF(AB106="","",IF(AB106&gt;=0.5+Config!$B$6,"OVER",IF(AC106&gt;=0.5+Config!$B$6,"UNDER","—")))</f>
        <v>UNDER</v>
      </c>
      <c r="AE106" s="13" t="n">
        <f aca="false">IFERROR(Z106/G106,"")</f>
        <v>1.00415434117769</v>
      </c>
    </row>
    <row r="107" customFormat="false" ht="15" hidden="false" customHeight="false" outlineLevel="0" collapsed="false">
      <c r="A107" s="0" t="s">
        <v>1139</v>
      </c>
      <c r="B107" s="0" t="s">
        <v>1154</v>
      </c>
      <c r="C107" s="0" t="s">
        <v>1423</v>
      </c>
      <c r="D107" s="0" t="s">
        <v>1160</v>
      </c>
      <c r="E107" s="0" t="s">
        <v>1290</v>
      </c>
      <c r="F107" s="0" t="n">
        <v>33.5</v>
      </c>
      <c r="G107" s="11" t="n">
        <f aca="false">IFERROR(INDEX(CHOOSE(MATCH($X107,{"K1","K2","K3","K12","K13","H1","H2","H3","H12","H13"},0),Calc!$V$2:$V$137,Calc!$AC$2:$AC$137,Calc!$AJ$2:$AJ$137,Calc!$AL$2:$AL$137,Calc!$AM$2:$AM$137,Calc!$W$2:$W$137,Calc!$AD$2:$AD$137,Calc!$AK$2:$AK$137,Calc!$AN$2:$AN$137,Calc!$AO$2:$AO$137),MATCH($W107,Calc!$A$2:$A$137,0)),"")</f>
        <v>32.4935294117647</v>
      </c>
      <c r="H107" s="11" t="n">
        <f aca="false">IF(G107="","",IF(LEFT($X107,1)="H",SQRT(G107*(IFERROR(INDEX(Calc!$AP$2:$AP$137,MATCH($W107,Calc!$A$2:$A$137,0)),0.5)*Config!$B$5+1-IFERROR(INDEX(Calc!$AP$2:$AP$137,MATCH($W107,Calc!$A$2:$A$137,0)),0.5))),SQRT(G107*Config!$B$5)))</f>
        <v>6.74469726351529</v>
      </c>
      <c r="I107" s="10" t="n">
        <f aca="false">IF(OR(F107="",G107="",N(H107)&lt;=0),"",1-NORMDIST(FLOOR(F107,1)+0.5,G107,H107,TRUE()))</f>
        <v>0.440688448174381</v>
      </c>
      <c r="J107" s="10" t="n">
        <f aca="false">IF(I107="","",NORMDIST(CEILING(F107,1)-0.5,G107,H107,TRUE()))</f>
        <v>0.559311551825619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UNDER</v>
      </c>
      <c r="N107" s="0" t="n">
        <v>30.7</v>
      </c>
      <c r="O107" s="10" t="n">
        <v>0.2</v>
      </c>
      <c r="P107" s="10" t="n">
        <v>0.3</v>
      </c>
      <c r="Q107" s="10" t="n">
        <v>0.47</v>
      </c>
      <c r="R107" s="9" t="s">
        <v>1320</v>
      </c>
      <c r="S107" s="0" t="n">
        <v>-3</v>
      </c>
      <c r="T107" s="0" t="str">
        <f aca="false">INDEX(Calc!$G$2:$G$137,MATCH($W107,Calc!$A$2:$A$137,0))&amp;" / "&amp;INDEX(Calc!$H$2:$H$137,MATCH($W107,Calc!$A$2:$A$137,0))</f>
        <v>Cache / Ancient</v>
      </c>
      <c r="U107" s="0" t="str">
        <f aca="false">TEXT(INDEX(Calc!$J$2:$J$137,MATCH($W107,Calc!$A$2:$A$137,0)),"0.0")&amp;" / "&amp;TEXT(INDEX(Calc!$K$2:$K$137,MATCH($W107,Calc!$A$2:$A$137,0)),"0.0")</f>
        <v>21.5 / 21.4</v>
      </c>
      <c r="V107" s="0" t="str">
        <f aca="false">IFERROR(INDEX(Calc!$AQ$2:$AQ$137,MATCH($W107,Calc!$A$2:$A$137,0)),"")</f>
        <v/>
      </c>
      <c r="W107" s="9" t="s">
        <v>1424</v>
      </c>
      <c r="X107" s="9" t="s">
        <v>1291</v>
      </c>
      <c r="Y107" s="0" t="str">
        <f aca="false">W107&amp;"|"&amp;X107</f>
        <v>8trkhn8eds1uu4p|CS2 · EF vs BIG|K12</v>
      </c>
      <c r="Z107" s="11" t="n">
        <f aca="false">IFERROR(INDEX(CHOOSE(MATCH($X107,{"K1","K2","K3","K12","K13","H1","H2","H3","H12","H13"},0),Calc!$BA$2:$BA$137,Calc!$BB$2:$BB$137,Calc!$BC$2:$BC$137,Calc!$BD$2:$BD$137,Calc!$BE$2:$BE$137,Calc!$BF$2:$BF$137,Calc!$BG$2:$BG$137,Calc!$BH$2:$BH$137,Calc!$BI$2:$BI$137,Calc!$BJ$2:$BJ$137),MATCH($W107,Calc!$A$2:$A$137,0)),"")</f>
        <v>32.6162485144277</v>
      </c>
      <c r="AA107" s="11" t="n">
        <f aca="false">IF(Z107="","",IF(LEFT($X107,1)="H",SQRT(Z107*(IFERROR(INDEX(Calc!$AP$2:$AP$137,MATCH($W107,Calc!$A$2:$A$137,0)),0.5)*Config!$B$5+1-IFERROR(INDEX(Calc!$AP$2:$AP$137,MATCH($W107,Calc!$A$2:$A$137,0)),0.5))),SQRT(Z107*Config!$B$5)))</f>
        <v>6.75742169175484</v>
      </c>
      <c r="AB107" s="10" t="n">
        <f aca="false">IF(OR(F107="",Z107="",N(AA107)&lt;=0),"",1-NORMDIST(FLOOR(F107,1)+0.5,Z107,AA107,TRUE()))</f>
        <v>0.447973743048979</v>
      </c>
      <c r="AC107" s="10" t="n">
        <f aca="false">IF(AB107="","",NORMDIST(CEILING(F107,1)-0.5,Z107,AA107,TRUE()))</f>
        <v>0.552026256951021</v>
      </c>
      <c r="AD107" s="0" t="str">
        <f aca="false">IF(AB107="","",IF(AB107&gt;=0.5+Config!$B$6,"OVER",IF(AC107&gt;=0.5+Config!$B$6,"UNDER","—")))</f>
        <v>UNDER</v>
      </c>
      <c r="AE107" s="13" t="n">
        <f aca="false">IFERROR(Z107/G107,"")</f>
        <v>1.00377672431664</v>
      </c>
    </row>
    <row r="108" customFormat="false" ht="15" hidden="false" customHeight="false" outlineLevel="0" collapsed="false">
      <c r="A108" s="0" t="s">
        <v>1139</v>
      </c>
      <c r="B108" s="0" t="s">
        <v>1154</v>
      </c>
      <c r="C108" s="0" t="s">
        <v>1425</v>
      </c>
      <c r="D108" s="0" t="s">
        <v>1160</v>
      </c>
      <c r="E108" s="0" t="s">
        <v>1286</v>
      </c>
      <c r="F108" s="0" t="n">
        <v>16.5</v>
      </c>
      <c r="G108" s="11" t="n">
        <f aca="false">IFERROR(INDEX(CHOOSE(MATCH($X108,{"K1","K2","K3","K12","K13","H1","H2","H3","H12","H13"},0),Calc!$V$2:$V$137,Calc!$AC$2:$AC$137,Calc!$AJ$2:$AJ$137,Calc!$AL$2:$AL$137,Calc!$AM$2:$AM$137,Calc!$W$2:$W$137,Calc!$AD$2:$AD$137,Calc!$AK$2:$AK$137,Calc!$AN$2:$AN$137,Calc!$AO$2:$AO$137),MATCH($W108,Calc!$A$2:$A$137,0)),"")</f>
        <v>16.8732820542767</v>
      </c>
      <c r="H108" s="11" t="n">
        <f aca="false">IF(G108="","",IF(LEFT($X108,1)="H",SQRT(G108*(IFERROR(INDEX(Calc!$AP$2:$AP$137,MATCH($W108,Calc!$A$2:$A$137,0)),0.5)*Config!$B$5+1-IFERROR(INDEX(Calc!$AP$2:$AP$137,MATCH($W108,Calc!$A$2:$A$137,0)),0.5))),SQRT(G108*Config!$B$5)))</f>
        <v>4.56967868819929</v>
      </c>
      <c r="I108" s="10" t="n">
        <f aca="false">IF(OR(F108="",G108="",N(H108)&lt;=0),"",1-NORMDIST(FLOOR(F108,1)+0.5,G108,H108,TRUE()))</f>
        <v>0.532552079713354</v>
      </c>
      <c r="J108" s="10" t="n">
        <f aca="false">IF(I108="","",NORMDIST(CEILING(F108,1)-0.5,G108,H108,TRUE()))</f>
        <v>0.467447920286646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—</v>
      </c>
      <c r="N108" s="0" t="n">
        <v>15.8</v>
      </c>
      <c r="O108" s="10" t="n">
        <v>0.4</v>
      </c>
      <c r="P108" s="10" t="n">
        <v>0.6</v>
      </c>
      <c r="Q108" s="10" t="n">
        <v>0.6</v>
      </c>
      <c r="R108" s="9" t="s">
        <v>1320</v>
      </c>
      <c r="S108" s="0" t="n">
        <v>-1</v>
      </c>
      <c r="T108" s="0" t="str">
        <f aca="false">INDEX(Calc!$G$2:$G$137,MATCH($W108,Calc!$A$2:$A$137,0))&amp;" / "&amp;INDEX(Calc!$H$2:$H$137,MATCH($W108,Calc!$A$2:$A$137,0))</f>
        <v>Cache / Ancient</v>
      </c>
      <c r="U108" s="0" t="str">
        <f aca="false">TEXT(INDEX(Calc!$J$2:$J$137,MATCH($W108,Calc!$A$2:$A$137,0)),"0.0")&amp;" / "&amp;TEXT(INDEX(Calc!$K$2:$K$137,MATCH($W108,Calc!$A$2:$A$137,0)),"0.0")</f>
        <v>21.5 / 21.4</v>
      </c>
      <c r="V108" s="0" t="str">
        <f aca="false">IFERROR(INDEX(Calc!$AQ$2:$AQ$137,MATCH($W108,Calc!$A$2:$A$137,0)),"")</f>
        <v/>
      </c>
      <c r="W108" s="9" t="s">
        <v>1426</v>
      </c>
      <c r="X108" s="9" t="s">
        <v>1289</v>
      </c>
      <c r="Y108" s="0" t="str">
        <f aca="false">W108&amp;"|"&amp;X108</f>
        <v>8aq8zm8lnarakek|CS2 · EF vs BIG|H12</v>
      </c>
      <c r="Z108" s="11" t="n">
        <f aca="false">IFERROR(INDEX(CHOOSE(MATCH($X108,{"K1","K2","K3","K12","K13","H1","H2","H3","H12","H13"},0),Calc!$BA$2:$BA$137,Calc!$BB$2:$BB$137,Calc!$BC$2:$BC$137,Calc!$BD$2:$BD$137,Calc!$BE$2:$BE$137,Calc!$BF$2:$BF$137,Calc!$BG$2:$BG$137,Calc!$BH$2:$BH$137,Calc!$BI$2:$BI$137,Calc!$BJ$2:$BJ$137),MATCH($W108,Calc!$A$2:$A$137,0)),"")</f>
        <v>16.9450758118138</v>
      </c>
      <c r="AA108" s="11" t="n">
        <f aca="false">IF(Z108="","",IF(LEFT($X108,1)="H",SQRT(Z108*(IFERROR(INDEX(Calc!$AP$2:$AP$137,MATCH($W108,Calc!$A$2:$A$137,0)),0.5)*Config!$B$5+1-IFERROR(INDEX(Calc!$AP$2:$AP$137,MATCH($W108,Calc!$A$2:$A$137,0)),0.5))),SQRT(Z108*Config!$B$5)))</f>
        <v>4.57939008175116</v>
      </c>
      <c r="AB108" s="10" t="n">
        <f aca="false">IF(OR(F108="",Z108="",N(AA108)&lt;=0),"",1-NORMDIST(FLOOR(F108,1)+0.5,Z108,AA108,TRUE()))</f>
        <v>0.538712669327643</v>
      </c>
      <c r="AC108" s="10" t="n">
        <f aca="false">IF(AB108="","",NORMDIST(CEILING(F108,1)-0.5,Z108,AA108,TRUE()))</f>
        <v>0.461287330672357</v>
      </c>
      <c r="AD108" s="0" t="str">
        <f aca="false">IF(AB108="","",IF(AB108&gt;=0.5+Config!$B$6,"OVER",IF(AC108&gt;=0.5+Config!$B$6,"UNDER","—")))</f>
        <v>—</v>
      </c>
      <c r="AE108" s="13" t="n">
        <f aca="false">IFERROR(Z108/G108,"")</f>
        <v>1.00425487805551</v>
      </c>
    </row>
    <row r="109" customFormat="false" ht="15" hidden="false" customHeight="false" outlineLevel="0" collapsed="false">
      <c r="A109" s="0" t="s">
        <v>1139</v>
      </c>
      <c r="B109" s="0" t="s">
        <v>1154</v>
      </c>
      <c r="C109" s="0" t="s">
        <v>1425</v>
      </c>
      <c r="D109" s="0" t="s">
        <v>1160</v>
      </c>
      <c r="E109" s="0" t="s">
        <v>1290</v>
      </c>
      <c r="F109" s="0" t="n">
        <v>28.5</v>
      </c>
      <c r="G109" s="11" t="n">
        <f aca="false">IFERROR(INDEX(CHOOSE(MATCH($X109,{"K1","K2","K3","K12","K13","H1","H2","H3","H12","H13"},0),Calc!$V$2:$V$137,Calc!$AC$2:$AC$137,Calc!$AJ$2:$AJ$137,Calc!$AL$2:$AL$137,Calc!$AM$2:$AM$137,Calc!$W$2:$W$137,Calc!$AD$2:$AD$137,Calc!$AK$2:$AK$137,Calc!$AN$2:$AN$137,Calc!$AO$2:$AO$137),MATCH($W109,Calc!$A$2:$A$137,0)),"")</f>
        <v>28.4091080213904</v>
      </c>
      <c r="H109" s="11" t="n">
        <f aca="false">IF(G109="","",IF(LEFT($X109,1)="H",SQRT(G109*(IFERROR(INDEX(Calc!$AP$2:$AP$137,MATCH($W109,Calc!$A$2:$A$137,0)),0.5)*Config!$B$5+1-IFERROR(INDEX(Calc!$AP$2:$AP$137,MATCH($W109,Calc!$A$2:$A$137,0)),0.5))),SQRT(G109*Config!$B$5)))</f>
        <v>6.30656413825678</v>
      </c>
      <c r="I109" s="10" t="n">
        <f aca="false">IF(OR(F109="",G109="",N(H109)&lt;=0),"",1-NORMDIST(FLOOR(F109,1)+0.5,G109,H109,TRUE()))</f>
        <v>0.494250530533868</v>
      </c>
      <c r="J109" s="10" t="n">
        <f aca="false">IF(I109="","",NORMDIST(CEILING(F109,1)-0.5,G109,H109,TRUE()))</f>
        <v>0.505749469466132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—</v>
      </c>
      <c r="N109" s="0" t="n">
        <v>28.9</v>
      </c>
      <c r="O109" s="10" t="n">
        <v>0.6</v>
      </c>
      <c r="P109" s="10" t="n">
        <v>0.6</v>
      </c>
      <c r="Q109" s="10" t="n">
        <v>0.53</v>
      </c>
      <c r="R109" s="9" t="s">
        <v>1317</v>
      </c>
      <c r="S109" s="0" t="n">
        <v>-1</v>
      </c>
      <c r="T109" s="0" t="str">
        <f aca="false">INDEX(Calc!$G$2:$G$137,MATCH($W109,Calc!$A$2:$A$137,0))&amp;" / "&amp;INDEX(Calc!$H$2:$H$137,MATCH($W109,Calc!$A$2:$A$137,0))</f>
        <v>Cache / Ancient</v>
      </c>
      <c r="U109" s="0" t="str">
        <f aca="false">TEXT(INDEX(Calc!$J$2:$J$137,MATCH($W109,Calc!$A$2:$A$137,0)),"0.0")&amp;" / "&amp;TEXT(INDEX(Calc!$K$2:$K$137,MATCH($W109,Calc!$A$2:$A$137,0)),"0.0")</f>
        <v>21.5 / 21.4</v>
      </c>
      <c r="V109" s="0" t="str">
        <f aca="false">IFERROR(INDEX(Calc!$AQ$2:$AQ$137,MATCH($W109,Calc!$A$2:$A$137,0)),"")</f>
        <v/>
      </c>
      <c r="W109" s="9" t="s">
        <v>1426</v>
      </c>
      <c r="X109" s="9" t="s">
        <v>1291</v>
      </c>
      <c r="Y109" s="0" t="str">
        <f aca="false">W109&amp;"|"&amp;X109</f>
        <v>8aq8zm8lnarakek|CS2 · EF vs BIG|K12</v>
      </c>
      <c r="Z109" s="11" t="n">
        <f aca="false">IFERROR(INDEX(CHOOSE(MATCH($X109,{"K1","K2","K3","K12","K13","H1","H2","H3","H12","H13"},0),Calc!$BA$2:$BA$137,Calc!$BB$2:$BB$137,Calc!$BC$2:$BC$137,Calc!$BD$2:$BD$137,Calc!$BE$2:$BE$137,Calc!$BF$2:$BF$137,Calc!$BG$2:$BG$137,Calc!$BH$2:$BH$137,Calc!$BI$2:$BI$137,Calc!$BJ$2:$BJ$137),MATCH($W109,Calc!$A$2:$A$137,0)),"")</f>
        <v>28.522066696233</v>
      </c>
      <c r="AA109" s="11" t="n">
        <f aca="false">IF(Z109="","",IF(LEFT($X109,1)="H",SQRT(Z109*(IFERROR(INDEX(Calc!$AP$2:$AP$137,MATCH($W109,Calc!$A$2:$A$137,0)),0.5)*Config!$B$5+1-IFERROR(INDEX(Calc!$AP$2:$AP$137,MATCH($W109,Calc!$A$2:$A$137,0)),0.5))),SQRT(Z109*Config!$B$5)))</f>
        <v>6.31908960015018</v>
      </c>
      <c r="AB109" s="10" t="n">
        <f aca="false">IF(OR(F109="",Z109="",N(AA109)&lt;=0),"",1-NORMDIST(FLOOR(F109,1)+0.5,Z109,AA109,TRUE()))</f>
        <v>0.501393131096579</v>
      </c>
      <c r="AC109" s="10" t="n">
        <f aca="false">IF(AB109="","",NORMDIST(CEILING(F109,1)-0.5,Z109,AA109,TRUE()))</f>
        <v>0.498606868903421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1.00397614295942</v>
      </c>
    </row>
    <row r="110" customFormat="false" ht="15" hidden="false" customHeight="false" outlineLevel="0" collapsed="false">
      <c r="A110" s="0" t="s">
        <v>1139</v>
      </c>
      <c r="B110" s="0" t="s">
        <v>1154</v>
      </c>
      <c r="C110" s="0" t="s">
        <v>1427</v>
      </c>
      <c r="D110" s="0" t="s">
        <v>1160</v>
      </c>
      <c r="E110" s="0" t="s">
        <v>1290</v>
      </c>
      <c r="F110" s="0" t="n">
        <v>30.5</v>
      </c>
      <c r="G110" s="11" t="n">
        <f aca="false">IFERROR(INDEX(CHOOSE(MATCH($X110,{"K1","K2","K3","K12","K13","H1","H2","H3","H12","H13"},0),Calc!$V$2:$V$137,Calc!$AC$2:$AC$137,Calc!$AJ$2:$AJ$137,Calc!$AL$2:$AL$137,Calc!$AM$2:$AM$137,Calc!$W$2:$W$137,Calc!$AD$2:$AD$137,Calc!$AK$2:$AK$137,Calc!$AN$2:$AN$137,Calc!$AO$2:$AO$137),MATCH($W110,Calc!$A$2:$A$137,0)),"")</f>
        <v>26.7035422459893</v>
      </c>
      <c r="H110" s="11" t="n">
        <f aca="false">IF(G110="","",IF(LEFT($X110,1)="H",SQRT(G110*(IFERROR(INDEX(Calc!$AP$2:$AP$137,MATCH($W110,Calc!$A$2:$A$137,0)),0.5)*Config!$B$5+1-IFERROR(INDEX(Calc!$AP$2:$AP$137,MATCH($W110,Calc!$A$2:$A$137,0)),0.5))),SQRT(G110*Config!$B$5)))</f>
        <v>6.11432409546509</v>
      </c>
      <c r="I110" s="10" t="n">
        <f aca="false">IF(OR(F110="",G110="",N(H110)&lt;=0),"",1-NORMDIST(FLOOR(F110,1)+0.5,G110,H110,TRUE()))</f>
        <v>0.267328732938018</v>
      </c>
      <c r="J110" s="10" t="n">
        <f aca="false">IF(I110="","",NORMDIST(CEILING(F110,1)-0.5,G110,H110,TRUE()))</f>
        <v>0.732671267061982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UNDER</v>
      </c>
      <c r="N110" s="0" t="n">
        <v>26.4</v>
      </c>
      <c r="O110" s="10" t="n">
        <v>0.4</v>
      </c>
      <c r="P110" s="10" t="n">
        <v>0.3</v>
      </c>
      <c r="Q110" s="10" t="n">
        <v>0.4</v>
      </c>
      <c r="R110" s="9" t="s">
        <v>1338</v>
      </c>
      <c r="S110" s="0" t="n">
        <v>1</v>
      </c>
      <c r="T110" s="0" t="str">
        <f aca="false">INDEX(Calc!$G$2:$G$137,MATCH($W110,Calc!$A$2:$A$137,0))&amp;" / "&amp;INDEX(Calc!$H$2:$H$137,MATCH($W110,Calc!$A$2:$A$137,0))</f>
        <v>Cache / Ancient</v>
      </c>
      <c r="U110" s="0" t="str">
        <f aca="false">TEXT(INDEX(Calc!$J$2:$J$137,MATCH($W110,Calc!$A$2:$A$137,0)),"0.0")&amp;" / "&amp;TEXT(INDEX(Calc!$K$2:$K$137,MATCH($W110,Calc!$A$2:$A$137,0)),"0.0")</f>
        <v>21.5 / 21.4</v>
      </c>
      <c r="V110" s="0" t="str">
        <f aca="false">IFERROR(INDEX(Calc!$AQ$2:$AQ$137,MATCH($W110,Calc!$A$2:$A$137,0)),"")</f>
        <v/>
      </c>
      <c r="W110" s="9" t="s">
        <v>1428</v>
      </c>
      <c r="X110" s="9" t="s">
        <v>1291</v>
      </c>
      <c r="Y110" s="0" t="str">
        <f aca="false">W110&amp;"|"&amp;X110</f>
        <v>3m04868n6ftaamy|CS2 · EF vs BIG|K12</v>
      </c>
      <c r="Z110" s="11" t="n">
        <f aca="false">IFERROR(INDEX(CHOOSE(MATCH($X110,{"K1","K2","K3","K12","K13","H1","H2","H3","H12","H13"},0),Calc!$BA$2:$BA$137,Calc!$BB$2:$BB$137,Calc!$BC$2:$BC$137,Calc!$BD$2:$BD$137,Calc!$BE$2:$BE$137,Calc!$BF$2:$BF$137,Calc!$BG$2:$BG$137,Calc!$BH$2:$BH$137,Calc!$BI$2:$BI$137,Calc!$BJ$2:$BJ$137),MATCH($W110,Calc!$A$2:$A$137,0)),"")</f>
        <v>26.8003257893923</v>
      </c>
      <c r="AA110" s="11" t="n">
        <f aca="false">IF(Z110="","",IF(LEFT($X110,1)="H",SQRT(Z110*(IFERROR(INDEX(Calc!$AP$2:$AP$137,MATCH($W110,Calc!$A$2:$A$137,0)),0.5)*Config!$B$5+1-IFERROR(INDEX(Calc!$AP$2:$AP$137,MATCH($W110,Calc!$A$2:$A$137,0)),0.5))),SQRT(Z110*Config!$B$5)))</f>
        <v>6.12539436323484</v>
      </c>
      <c r="AB110" s="10" t="n">
        <f aca="false">IF(OR(F110="",Z110="",N(AA110)&lt;=0),"",1-NORMDIST(FLOOR(F110,1)+0.5,Z110,AA110,TRUE()))</f>
        <v>0.272925293530305</v>
      </c>
      <c r="AC110" s="10" t="n">
        <f aca="false">IF(AB110="","",NORMDIST(CEILING(F110,1)-0.5,Z110,AA110,TRUE()))</f>
        <v>0.727074706469695</v>
      </c>
      <c r="AD110" s="0" t="str">
        <f aca="false">IF(AB110="","",IF(AB110&gt;=0.5+Config!$B$6,"OVER",IF(AC110&gt;=0.5+Config!$B$6,"UNDER","—")))</f>
        <v>UNDER</v>
      </c>
      <c r="AE110" s="13" t="n">
        <f aca="false">IFERROR(Z110/G110,"")</f>
        <v>1.00362437097339</v>
      </c>
    </row>
    <row r="111" customFormat="false" ht="15" hidden="false" customHeight="false" outlineLevel="0" collapsed="false">
      <c r="A111" s="0" t="s">
        <v>1139</v>
      </c>
      <c r="B111" s="0" t="s">
        <v>1154</v>
      </c>
      <c r="C111" s="0" t="s">
        <v>1429</v>
      </c>
      <c r="D111" s="0" t="s">
        <v>1160</v>
      </c>
      <c r="E111" s="0" t="s">
        <v>1286</v>
      </c>
      <c r="F111" s="0" t="n">
        <v>15.5</v>
      </c>
      <c r="G111" s="11" t="n">
        <f aca="false">IFERROR(INDEX(CHOOSE(MATCH($X111,{"K1","K2","K3","K12","K13","H1","H2","H3","H12","H13"},0),Calc!$V$2:$V$137,Calc!$AC$2:$AC$137,Calc!$AJ$2:$AJ$137,Calc!$AL$2:$AL$137,Calc!$AM$2:$AM$137,Calc!$W$2:$W$137,Calc!$AD$2:$AD$137,Calc!$AK$2:$AK$137,Calc!$AN$2:$AN$137,Calc!$AO$2:$AO$137),MATCH($W111,Calc!$A$2:$A$137,0)),"")</f>
        <v>14.0116876210129</v>
      </c>
      <c r="H111" s="11" t="n">
        <f aca="false">IF(G111="","",IF(LEFT($X111,1)="H",SQRT(G111*(IFERROR(INDEX(Calc!$AP$2:$AP$137,MATCH($W111,Calc!$A$2:$A$137,0)),0.5)*Config!$B$5+1-IFERROR(INDEX(Calc!$AP$2:$AP$137,MATCH($W111,Calc!$A$2:$A$137,0)),0.5))),SQRT(G111*Config!$B$5)))</f>
        <v>4.1343449568199</v>
      </c>
      <c r="I111" s="10" t="n">
        <f aca="false">IF(OR(F111="",G111="",N(H111)&lt;=0),"",1-NORMDIST(FLOOR(F111,1)+0.5,G111,H111,TRUE()))</f>
        <v>0.359428252084715</v>
      </c>
      <c r="J111" s="10" t="n">
        <f aca="false">IF(I111="","",NORMDIST(CEILING(F111,1)-0.5,G111,H111,TRUE()))</f>
        <v>0.640571747915286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UNDER</v>
      </c>
      <c r="N111" s="0" t="n">
        <v>14.7</v>
      </c>
      <c r="O111" s="10" t="n">
        <v>0.4</v>
      </c>
      <c r="P111" s="10" t="n">
        <v>0.5</v>
      </c>
      <c r="Q111" s="10" t="n">
        <v>0.47</v>
      </c>
      <c r="R111" s="9" t="s">
        <v>1338</v>
      </c>
      <c r="S111" s="0" t="n">
        <v>-2</v>
      </c>
      <c r="T111" s="0" t="str">
        <f aca="false">INDEX(Calc!$G$2:$G$137,MATCH($W111,Calc!$A$2:$A$137,0))&amp;" / "&amp;INDEX(Calc!$H$2:$H$137,MATCH($W111,Calc!$A$2:$A$137,0))</f>
        <v>Cache / Ancient</v>
      </c>
      <c r="U111" s="0" t="str">
        <f aca="false">TEXT(INDEX(Calc!$J$2:$J$137,MATCH($W111,Calc!$A$2:$A$137,0)),"0.0")&amp;" / "&amp;TEXT(INDEX(Calc!$K$2:$K$137,MATCH($W111,Calc!$A$2:$A$137,0)),"0.0")</f>
        <v>21.5 / 21.4</v>
      </c>
      <c r="V111" s="0" t="str">
        <f aca="false">IFERROR(INDEX(Calc!$AQ$2:$AQ$137,MATCH($W111,Calc!$A$2:$A$137,0)),"")</f>
        <v/>
      </c>
      <c r="W111" s="9" t="s">
        <v>1430</v>
      </c>
      <c r="X111" s="9" t="s">
        <v>1289</v>
      </c>
      <c r="Y111" s="0" t="str">
        <f aca="false">W111&amp;"|"&amp;X111</f>
        <v>cbsjkz3yqg99r06|CS2 · EF vs BIG|H12</v>
      </c>
      <c r="Z111" s="11" t="n">
        <f aca="false">IFERROR(INDEX(CHOOSE(MATCH($X111,{"K1","K2","K3","K12","K13","H1","H2","H3","H12","H13"},0),Calc!$BA$2:$BA$137,Calc!$BB$2:$BB$137,Calc!$BC$2:$BC$137,Calc!$BD$2:$BD$137,Calc!$BE$2:$BE$137,Calc!$BF$2:$BF$137,Calc!$BG$2:$BG$137,Calc!$BH$2:$BH$137,Calc!$BI$2:$BI$137,Calc!$BJ$2:$BJ$137),MATCH($W111,Calc!$A$2:$A$137,0)),"")</f>
        <v>14.0558349035132</v>
      </c>
      <c r="AA111" s="11" t="n">
        <f aca="false">IF(Z111="","",IF(LEFT($X111,1)="H",SQRT(Z111*(IFERROR(INDEX(Calc!$AP$2:$AP$137,MATCH($W111,Calc!$A$2:$A$137,0)),0.5)*Config!$B$5+1-IFERROR(INDEX(Calc!$AP$2:$AP$137,MATCH($W111,Calc!$A$2:$A$137,0)),0.5))),SQRT(Z111*Config!$B$5)))</f>
        <v>4.14085297202408</v>
      </c>
      <c r="AB111" s="10" t="n">
        <f aca="false">IF(OR(F111="",Z111="",N(AA111)&lt;=0),"",1-NORMDIST(FLOOR(F111,1)+0.5,Z111,AA111,TRUE()))</f>
        <v>0.36363463766361</v>
      </c>
      <c r="AC111" s="10" t="n">
        <f aca="false">IF(AB111="","",NORMDIST(CEILING(F111,1)-0.5,Z111,AA111,TRUE()))</f>
        <v>0.63636536233639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1.00315074698312</v>
      </c>
    </row>
    <row r="112" customFormat="false" ht="15" hidden="false" customHeight="false" outlineLevel="0" collapsed="false">
      <c r="A112" s="0" t="s">
        <v>1139</v>
      </c>
      <c r="B112" s="0" t="s">
        <v>1154</v>
      </c>
      <c r="C112" s="0" t="s">
        <v>1429</v>
      </c>
      <c r="D112" s="0" t="s">
        <v>1160</v>
      </c>
      <c r="E112" s="0" t="s">
        <v>1290</v>
      </c>
      <c r="F112" s="0" t="n">
        <v>28.5</v>
      </c>
      <c r="G112" s="11" t="n">
        <f aca="false">IFERROR(INDEX(CHOOSE(MATCH($X112,{"K1","K2","K3","K12","K13","H1","H2","H3","H12","H13"},0),Calc!$V$2:$V$137,Calc!$AC$2:$AC$137,Calc!$AJ$2:$AJ$137,Calc!$AL$2:$AL$137,Calc!$AM$2:$AM$137,Calc!$W$2:$W$137,Calc!$AD$2:$AD$137,Calc!$AK$2:$AK$137,Calc!$AN$2:$AN$137,Calc!$AO$2:$AO$137),MATCH($W112,Calc!$A$2:$A$137,0)),"")</f>
        <v>25.4877903743316</v>
      </c>
      <c r="H112" s="11" t="n">
        <f aca="false">IF(G112="","",IF(LEFT($X112,1)="H",SQRT(G112*(IFERROR(INDEX(Calc!$AP$2:$AP$137,MATCH($W112,Calc!$A$2:$A$137,0)),0.5)*Config!$B$5+1-IFERROR(INDEX(Calc!$AP$2:$AP$137,MATCH($W112,Calc!$A$2:$A$137,0)),0.5))),SQRT(G112*Config!$B$5)))</f>
        <v>5.97351709833195</v>
      </c>
      <c r="I112" s="10" t="n">
        <f aca="false">IF(OR(F112="",G112="",N(H112)&lt;=0),"",1-NORMDIST(FLOOR(F112,1)+0.5,G112,H112,TRUE()))</f>
        <v>0.30703911212156</v>
      </c>
      <c r="J112" s="10" t="n">
        <f aca="false">IF(I112="","",NORMDIST(CEILING(F112,1)-0.5,G112,H112,TRUE()))</f>
        <v>0.69296088787844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UNDER</v>
      </c>
      <c r="N112" s="0" t="n">
        <v>26.8</v>
      </c>
      <c r="O112" s="10" t="n">
        <v>0.6</v>
      </c>
      <c r="P112" s="10" t="n">
        <v>0.5</v>
      </c>
      <c r="Q112" s="10" t="n">
        <v>0.47</v>
      </c>
      <c r="R112" s="9" t="s">
        <v>1338</v>
      </c>
      <c r="S112" s="0" t="n">
        <v>-1</v>
      </c>
      <c r="T112" s="0" t="str">
        <f aca="false">INDEX(Calc!$G$2:$G$137,MATCH($W112,Calc!$A$2:$A$137,0))&amp;" / "&amp;INDEX(Calc!$H$2:$H$137,MATCH($W112,Calc!$A$2:$A$137,0))</f>
        <v>Cache / Ancient</v>
      </c>
      <c r="U112" s="0" t="str">
        <f aca="false">TEXT(INDEX(Calc!$J$2:$J$137,MATCH($W112,Calc!$A$2:$A$137,0)),"0.0")&amp;" / "&amp;TEXT(INDEX(Calc!$K$2:$K$137,MATCH($W112,Calc!$A$2:$A$137,0)),"0.0")</f>
        <v>21.5 / 21.4</v>
      </c>
      <c r="V112" s="0" t="str">
        <f aca="false">IFERROR(INDEX(Calc!$AQ$2:$AQ$137,MATCH($W112,Calc!$A$2:$A$137,0)),"")</f>
        <v/>
      </c>
      <c r="W112" s="9" t="s">
        <v>1430</v>
      </c>
      <c r="X112" s="9" t="s">
        <v>1291</v>
      </c>
      <c r="Y112" s="0" t="str">
        <f aca="false">W112&amp;"|"&amp;X112</f>
        <v>cbsjkz3yqg99r06|CS2 · EF vs BIG|K12</v>
      </c>
      <c r="Z112" s="11" t="n">
        <f aca="false">IFERROR(INDEX(CHOOSE(MATCH($X112,{"K1","K2","K3","K12","K13","H1","H2","H3","H12","H13"},0),Calc!$BA$2:$BA$137,Calc!$BB$2:$BB$137,Calc!$BC$2:$BC$137,Calc!$BD$2:$BD$137,Calc!$BE$2:$BE$137,Calc!$BF$2:$BF$137,Calc!$BG$2:$BG$137,Calc!$BH$2:$BH$137,Calc!$BI$2:$BI$137,Calc!$BJ$2:$BJ$137),MATCH($W112,Calc!$A$2:$A$137,0)),"")</f>
        <v>25.555176050009</v>
      </c>
      <c r="AA112" s="11" t="n">
        <f aca="false">IF(Z112="","",IF(LEFT($X112,1)="H",SQRT(Z112*(IFERROR(INDEX(Calc!$AP$2:$AP$137,MATCH($W112,Calc!$A$2:$A$137,0)),0.5)*Config!$B$5+1-IFERROR(INDEX(Calc!$AP$2:$AP$137,MATCH($W112,Calc!$A$2:$A$137,0)),0.5))),SQRT(Z112*Config!$B$5)))</f>
        <v>5.98140840187431</v>
      </c>
      <c r="AB112" s="10" t="n">
        <f aca="false">IF(OR(F112="",Z112="",N(AA112)&lt;=0),"",1-NORMDIST(FLOOR(F112,1)+0.5,Z112,AA112,TRUE()))</f>
        <v>0.311243206061346</v>
      </c>
      <c r="AC112" s="10" t="n">
        <f aca="false">IF(AB112="","",NORMDIST(CEILING(F112,1)-0.5,Z112,AA112,TRUE()))</f>
        <v>0.688756793938654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1.00264384141143</v>
      </c>
    </row>
    <row r="113" customFormat="false" ht="15" hidden="false" customHeight="false" outlineLevel="0" collapsed="false">
      <c r="A113" s="0" t="s">
        <v>1139</v>
      </c>
      <c r="B113" s="0" t="s">
        <v>1154</v>
      </c>
      <c r="C113" s="0" t="s">
        <v>1431</v>
      </c>
      <c r="D113" s="0" t="s">
        <v>1160</v>
      </c>
      <c r="E113" s="0" t="s">
        <v>1286</v>
      </c>
      <c r="F113" s="0" t="n">
        <v>12</v>
      </c>
      <c r="G113" s="11" t="n">
        <f aca="false">IFERROR(INDEX(CHOOSE(MATCH($X113,{"K1","K2","K3","K12","K13","H1","H2","H3","H12","H13"},0),Calc!$V$2:$V$137,Calc!$AC$2:$AC$137,Calc!$AJ$2:$AJ$137,Calc!$AL$2:$AL$137,Calc!$AM$2:$AM$137,Calc!$W$2:$W$137,Calc!$AD$2:$AD$137,Calc!$AK$2:$AK$137,Calc!$AN$2:$AN$137,Calc!$AO$2:$AO$137),MATCH($W113,Calc!$A$2:$A$137,0)),"")</f>
        <v>12.0499927012154</v>
      </c>
      <c r="H113" s="11" t="n">
        <f aca="false">IF(G113="","",IF(LEFT($X113,1)="H",SQRT(G113*(IFERROR(INDEX(Calc!$AP$2:$AP$137,MATCH($W113,Calc!$A$2:$A$137,0)),0.5)*Config!$B$5+1-IFERROR(INDEX(Calc!$AP$2:$AP$137,MATCH($W113,Calc!$A$2:$A$137,0)),0.5))),SQRT(G113*Config!$B$5)))</f>
        <v>3.77408549782823</v>
      </c>
      <c r="I113" s="10" t="n">
        <f aca="false">IF(OR(F113="",G113="",N(H113)&lt;=0),"",1-NORMDIST(FLOOR(F113,1)+0.5,G113,H113,TRUE()))</f>
        <v>0.452544146884218</v>
      </c>
      <c r="J113" s="10" t="n">
        <f aca="false">IF(I113="","",NORMDIST(CEILING(F113,1)-0.5,G113,H113,TRUE()))</f>
        <v>0.44206776857166</v>
      </c>
      <c r="K113" s="10" t="n">
        <f aca="false">IF(I113="","",MAX(0,1-I113-J113))</f>
        <v>0.105388084544122</v>
      </c>
      <c r="L113" s="0" t="str">
        <f aca="false">IF(I113="","",IF(I113&gt;=0.5+Config!$B$6,"OVER",IF(J113&gt;=0.5+Config!$B$6,"UNDER","—")))</f>
        <v>—</v>
      </c>
      <c r="N113" s="0" t="n">
        <v>9.6</v>
      </c>
      <c r="O113" s="10" t="n">
        <v>0</v>
      </c>
      <c r="P113" s="10" t="n">
        <v>0.2</v>
      </c>
      <c r="Q113" s="10" t="n">
        <v>0.47</v>
      </c>
      <c r="R113" s="9" t="s">
        <v>1336</v>
      </c>
      <c r="S113" s="0" t="n">
        <v>-8</v>
      </c>
      <c r="T113" s="0" t="str">
        <f aca="false">INDEX(Calc!$G$2:$G$137,MATCH($W113,Calc!$A$2:$A$137,0))&amp;" / "&amp;INDEX(Calc!$H$2:$H$137,MATCH($W113,Calc!$A$2:$A$137,0))</f>
        <v>Cache / Ancient</v>
      </c>
      <c r="U113" s="0" t="str">
        <f aca="false">TEXT(INDEX(Calc!$J$2:$J$137,MATCH($W113,Calc!$A$2:$A$137,0)),"0.0")&amp;" / "&amp;TEXT(INDEX(Calc!$K$2:$K$137,MATCH($W113,Calc!$A$2:$A$137,0)),"0.0")</f>
        <v>21.5 / 21.4</v>
      </c>
      <c r="V113" s="0" t="str">
        <f aca="false">IFERROR(INDEX(Calc!$AQ$2:$AQ$137,MATCH($W113,Calc!$A$2:$A$137,0)),"")</f>
        <v/>
      </c>
      <c r="W113" s="9" t="s">
        <v>1432</v>
      </c>
      <c r="X113" s="9" t="s">
        <v>1289</v>
      </c>
      <c r="Y113" s="0" t="str">
        <f aca="false">W113&amp;"|"&amp;X113</f>
        <v>ji96h9ot97jiwq9|CS2 · EF vs BIG|H12</v>
      </c>
      <c r="Z113" s="11" t="n">
        <f aca="false">IFERROR(INDEX(CHOOSE(MATCH($X113,{"K1","K2","K3","K12","K13","H1","H2","H3","H12","H13"},0),Calc!$BA$2:$BA$137,Calc!$BB$2:$BB$137,Calc!$BC$2:$BC$137,Calc!$BD$2:$BD$137,Calc!$BE$2:$BE$137,Calc!$BF$2:$BF$137,Calc!$BG$2:$BG$137,Calc!$BH$2:$BH$137,Calc!$BI$2:$BI$137,Calc!$BJ$2:$BJ$137),MATCH($W113,Calc!$A$2:$A$137,0)),"")</f>
        <v>12.1023378601378</v>
      </c>
      <c r="AA113" s="11" t="n">
        <f aca="false">IF(Z113="","",IF(LEFT($X113,1)="H",SQRT(Z113*(IFERROR(INDEX(Calc!$AP$2:$AP$137,MATCH($W113,Calc!$A$2:$A$137,0)),0.5)*Config!$B$5+1-IFERROR(INDEX(Calc!$AP$2:$AP$137,MATCH($W113,Calc!$A$2:$A$137,0)),0.5))),SQRT(Z113*Config!$B$5)))</f>
        <v>3.78227392706582</v>
      </c>
      <c r="AB113" s="10" t="n">
        <f aca="false">IF(OR(F113="",Z113="",N(AA113)&lt;=0),"",1-NORMDIST(FLOOR(F113,1)+0.5,Z113,AA113,TRUE()))</f>
        <v>0.458133004031258</v>
      </c>
      <c r="AC113" s="10" t="n">
        <f aca="false">IF(AB113="","",NORMDIST(CEILING(F113,1)-0.5,Z113,AA113,TRUE()))</f>
        <v>0.436734837815827</v>
      </c>
      <c r="AD113" s="0" t="str">
        <f aca="false">IF(AB113="","",IF(AB113&gt;=0.5+Config!$B$6,"OVER",IF(AC113&gt;=0.5+Config!$B$6,"UNDER","—")))</f>
        <v>—</v>
      </c>
      <c r="AE113" s="13" t="n">
        <f aca="false">IFERROR(Z113/G113,"")</f>
        <v>1.00434399922227</v>
      </c>
    </row>
    <row r="114" customFormat="false" ht="15" hidden="false" customHeight="false" outlineLevel="0" collapsed="false">
      <c r="A114" s="0" t="s">
        <v>1139</v>
      </c>
      <c r="B114" s="0" t="s">
        <v>1154</v>
      </c>
      <c r="C114" s="0" t="s">
        <v>1431</v>
      </c>
      <c r="D114" s="0" t="s">
        <v>1160</v>
      </c>
      <c r="E114" s="0" t="s">
        <v>1290</v>
      </c>
      <c r="F114" s="0" t="n">
        <v>25.5</v>
      </c>
      <c r="G114" s="11" t="n">
        <f aca="false">IFERROR(INDEX(CHOOSE(MATCH($X114,{"K1","K2","K3","K12","K13","H1","H2","H3","H12","H13"},0),Calc!$V$2:$V$137,Calc!$AC$2:$AC$137,Calc!$AJ$2:$AJ$137,Calc!$AL$2:$AL$137,Calc!$AM$2:$AM$137,Calc!$W$2:$W$137,Calc!$AD$2:$AD$137,Calc!$AK$2:$AK$137,Calc!$AN$2:$AN$137,Calc!$AO$2:$AO$137),MATCH($W114,Calc!$A$2:$A$137,0)),"")</f>
        <v>26.4758951871658</v>
      </c>
      <c r="H114" s="11" t="n">
        <f aca="false">IF(G114="","",IF(LEFT($X114,1)="H",SQRT(G114*(IFERROR(INDEX(Calc!$AP$2:$AP$137,MATCH($W114,Calc!$A$2:$A$137,0)),0.5)*Config!$B$5+1-IFERROR(INDEX(Calc!$AP$2:$AP$137,MATCH($W114,Calc!$A$2:$A$137,0)),0.5))),SQRT(G114*Config!$B$5)))</f>
        <v>6.08820607913629</v>
      </c>
      <c r="I114" s="10" t="n">
        <f aca="false">IF(OR(F114="",G114="",N(H114)&lt;=0),"",1-NORMDIST(FLOOR(F114,1)+0.5,G114,H114,TRUE()))</f>
        <v>0.563674758176923</v>
      </c>
      <c r="J114" s="10" t="n">
        <f aca="false">IF(I114="","",NORMDIST(CEILING(F114,1)-0.5,G114,H114,TRUE()))</f>
        <v>0.436325241823077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OVER</v>
      </c>
      <c r="N114" s="0" t="n">
        <v>23.8</v>
      </c>
      <c r="O114" s="10" t="n">
        <v>0.2</v>
      </c>
      <c r="P114" s="10" t="n">
        <v>0.4</v>
      </c>
      <c r="Q114" s="10" t="n">
        <v>0.53</v>
      </c>
      <c r="R114" s="9" t="s">
        <v>1336</v>
      </c>
      <c r="S114" s="0" t="n">
        <v>-1</v>
      </c>
      <c r="T114" s="0" t="str">
        <f aca="false">INDEX(Calc!$G$2:$G$137,MATCH($W114,Calc!$A$2:$A$137,0))&amp;" / "&amp;INDEX(Calc!$H$2:$H$137,MATCH($W114,Calc!$A$2:$A$137,0))</f>
        <v>Cache / Ancient</v>
      </c>
      <c r="U114" s="0" t="str">
        <f aca="false">TEXT(INDEX(Calc!$J$2:$J$137,MATCH($W114,Calc!$A$2:$A$137,0)),"0.0")&amp;" / "&amp;TEXT(INDEX(Calc!$K$2:$K$137,MATCH($W114,Calc!$A$2:$A$137,0)),"0.0")</f>
        <v>21.5 / 21.4</v>
      </c>
      <c r="V114" s="0" t="str">
        <f aca="false">IFERROR(INDEX(Calc!$AQ$2:$AQ$137,MATCH($W114,Calc!$A$2:$A$137,0)),"")</f>
        <v/>
      </c>
      <c r="W114" s="9" t="s">
        <v>1432</v>
      </c>
      <c r="X114" s="9" t="s">
        <v>1291</v>
      </c>
      <c r="Y114" s="0" t="str">
        <f aca="false">W114&amp;"|"&amp;X114</f>
        <v>ji96h9ot97jiwq9|CS2 · EF vs BIG|K12</v>
      </c>
      <c r="Z114" s="11" t="n">
        <f aca="false">IFERROR(INDEX(CHOOSE(MATCH($X114,{"K1","K2","K3","K12","K13","H1","H2","H3","H12","H13"},0),Calc!$BA$2:$BA$137,Calc!$BB$2:$BB$137,Calc!$BC$2:$BC$137,Calc!$BD$2:$BD$137,Calc!$BE$2:$BE$137,Calc!$BF$2:$BF$137,Calc!$BG$2:$BG$137,Calc!$BH$2:$BH$137,Calc!$BI$2:$BI$137,Calc!$BJ$2:$BJ$137),MATCH($W114,Calc!$A$2:$A$137,0)),"")</f>
        <v>26.573779489369</v>
      </c>
      <c r="AA114" s="11" t="n">
        <f aca="false">IF(Z114="","",IF(LEFT($X114,1)="H",SQRT(Z114*(IFERROR(INDEX(Calc!$AP$2:$AP$137,MATCH($W114,Calc!$A$2:$A$137,0)),0.5)*Config!$B$5+1-IFERROR(INDEX(Calc!$AP$2:$AP$137,MATCH($W114,Calc!$A$2:$A$137,0)),0.5))),SQRT(Z114*Config!$B$5)))</f>
        <v>6.09945008054961</v>
      </c>
      <c r="AB114" s="10" t="n">
        <f aca="false">IF(OR(F114="",Z114="",N(AA114)&lt;=0),"",1-NORMDIST(FLOOR(F114,1)+0.5,Z114,AA114,TRUE()))</f>
        <v>0.569870821121619</v>
      </c>
      <c r="AC114" s="10" t="n">
        <f aca="false">IF(AB114="","",NORMDIST(CEILING(F114,1)-0.5,Z114,AA114,TRUE()))</f>
        <v>0.430129178878381</v>
      </c>
      <c r="AD114" s="0" t="str">
        <f aca="false">IF(AB114="","",IF(AB114&gt;=0.5+Config!$B$6,"OVER",IF(AC114&gt;=0.5+Config!$B$6,"UNDER","—")))</f>
        <v>OVER</v>
      </c>
      <c r="AE114" s="13" t="n">
        <f aca="false">IFERROR(Z114/G114,"")</f>
        <v>1.00369711020199</v>
      </c>
    </row>
    <row r="115" customFormat="false" ht="15" hidden="false" customHeight="false" outlineLevel="0" collapsed="false">
      <c r="A115" s="0" t="s">
        <v>1139</v>
      </c>
      <c r="B115" s="0" t="s">
        <v>1154</v>
      </c>
      <c r="C115" s="0" t="s">
        <v>1433</v>
      </c>
      <c r="D115" s="0" t="s">
        <v>1159</v>
      </c>
      <c r="E115" s="0" t="s">
        <v>1286</v>
      </c>
      <c r="F115" s="0" t="n">
        <v>18</v>
      </c>
      <c r="G115" s="11" t="n">
        <f aca="false">IFERROR(INDEX(CHOOSE(MATCH($X115,{"K1","K2","K3","K12","K13","H1","H2","H3","H12","H13"},0),Calc!$V$2:$V$137,Calc!$AC$2:$AC$137,Calc!$AJ$2:$AJ$137,Calc!$AL$2:$AL$137,Calc!$AM$2:$AM$137,Calc!$W$2:$W$137,Calc!$AD$2:$AD$137,Calc!$AK$2:$AK$137,Calc!$AN$2:$AN$137,Calc!$AO$2:$AO$137),MATCH($W115,Calc!$A$2:$A$137,0)),"")</f>
        <v>18.663198844898</v>
      </c>
      <c r="H115" s="11" t="n">
        <f aca="false">IF(G115="","",IF(LEFT($X115,1)="H",SQRT(G115*(IFERROR(INDEX(Calc!$AP$2:$AP$137,MATCH($W115,Calc!$A$2:$A$137,0)),0.5)*Config!$B$5+1-IFERROR(INDEX(Calc!$AP$2:$AP$137,MATCH($W115,Calc!$A$2:$A$137,0)),0.5))),SQRT(G115*Config!$B$5)))</f>
        <v>4.7740062205205</v>
      </c>
      <c r="I115" s="10" t="n">
        <f aca="false">IF(OR(F115="",G115="",N(H115)&lt;=0),"",1-NORMDIST(FLOOR(F115,1)+0.5,G115,H115,TRUE()))</f>
        <v>0.513635139510259</v>
      </c>
      <c r="J115" s="10" t="n">
        <f aca="false">IF(I115="","",NORMDIST(CEILING(F115,1)-0.5,G115,H115,TRUE()))</f>
        <v>0.403749958241663</v>
      </c>
      <c r="K115" s="10" t="n">
        <f aca="false">IF(I115="","",MAX(0,1-I115-J115))</f>
        <v>0.082614902248078</v>
      </c>
      <c r="L115" s="0" t="str">
        <f aca="false">IF(I115="","",IF(I115&gt;=0.5+Config!$B$6,"OVER",IF(J115&gt;=0.5+Config!$B$6,"UNDER","—")))</f>
        <v>—</v>
      </c>
      <c r="N115" s="0" t="n">
        <v>20.9</v>
      </c>
      <c r="O115" s="10" t="n">
        <v>0.8</v>
      </c>
      <c r="P115" s="10" t="n">
        <v>0.7</v>
      </c>
      <c r="Q115" s="10" t="n">
        <v>0.73</v>
      </c>
      <c r="R115" s="9" t="s">
        <v>1434</v>
      </c>
      <c r="S115" s="0" t="n">
        <v>2</v>
      </c>
      <c r="T115" s="0" t="str">
        <f aca="false">INDEX(Calc!$G$2:$G$137,MATCH($W115,Calc!$A$2:$A$137,0))&amp;" / "&amp;INDEX(Calc!$H$2:$H$137,MATCH($W115,Calc!$A$2:$A$137,0))</f>
        <v>Cache / Ancient</v>
      </c>
      <c r="U115" s="0" t="str">
        <f aca="false">TEXT(INDEX(Calc!$J$2:$J$137,MATCH($W115,Calc!$A$2:$A$137,0)),"0.0")&amp;" / "&amp;TEXT(INDEX(Calc!$K$2:$K$137,MATCH($W115,Calc!$A$2:$A$137,0)),"0.0")</f>
        <v>21.5 / 21.4</v>
      </c>
      <c r="V115" s="0" t="str">
        <f aca="false">IFERROR(INDEX(Calc!$AQ$2:$AQ$137,MATCH($W115,Calc!$A$2:$A$137,0)),"")</f>
        <v/>
      </c>
      <c r="W115" s="9" t="s">
        <v>1435</v>
      </c>
      <c r="X115" s="9" t="s">
        <v>1289</v>
      </c>
      <c r="Y115" s="0" t="str">
        <f aca="false">W115&amp;"|"&amp;X115</f>
        <v>rfuts2r0t85cd95|CS2 · EF vs BIG|H12</v>
      </c>
      <c r="Z115" s="11" t="n">
        <f aca="false">IFERROR(INDEX(CHOOSE(MATCH($X115,{"K1","K2","K3","K12","K13","H1","H2","H3","H12","H13"},0),Calc!$BA$2:$BA$137,Calc!$BB$2:$BB$137,Calc!$BC$2:$BC$137,Calc!$BD$2:$BD$137,Calc!$BE$2:$BE$137,Calc!$BF$2:$BF$137,Calc!$BG$2:$BG$137,Calc!$BH$2:$BH$137,Calc!$BI$2:$BI$137,Calc!$BJ$2:$BJ$137),MATCH($W115,Calc!$A$2:$A$137,0)),"")</f>
        <v>18.1773164604614</v>
      </c>
      <c r="AA115" s="11" t="n">
        <f aca="false">IF(Z115="","",IF(LEFT($X115,1)="H",SQRT(Z115*(IFERROR(INDEX(Calc!$AP$2:$AP$137,MATCH($W115,Calc!$A$2:$A$137,0)),0.5)*Config!$B$5+1-IFERROR(INDEX(Calc!$AP$2:$AP$137,MATCH($W115,Calc!$A$2:$A$137,0)),0.5))),SQRT(Z115*Config!$B$5)))</f>
        <v>4.71145256551096</v>
      </c>
      <c r="AB115" s="10" t="n">
        <f aca="false">IF(OR(F115="",Z115="",N(AA115)&lt;=0),"",1-NORMDIST(FLOOR(F115,1)+0.5,Z115,AA115,TRUE()))</f>
        <v>0.472698115068269</v>
      </c>
      <c r="AC115" s="10" t="n">
        <f aca="false">IF(AB115="","",NORMDIST(CEILING(F115,1)-0.5,Z115,AA115,TRUE()))</f>
        <v>0.442845159321153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0.973965750004889</v>
      </c>
    </row>
    <row r="116" customFormat="false" ht="15" hidden="false" customHeight="false" outlineLevel="0" collapsed="false">
      <c r="A116" s="0" t="s">
        <v>1139</v>
      </c>
      <c r="B116" s="0" t="s">
        <v>1154</v>
      </c>
      <c r="C116" s="0" t="s">
        <v>1433</v>
      </c>
      <c r="D116" s="0" t="s">
        <v>1159</v>
      </c>
      <c r="E116" s="0" t="s">
        <v>1290</v>
      </c>
      <c r="F116" s="0" t="n">
        <v>31.5</v>
      </c>
      <c r="G116" s="11" t="n">
        <f aca="false">IFERROR(INDEX(CHOOSE(MATCH($X116,{"K1","K2","K3","K12","K13","H1","H2","H3","H12","H13"},0),Calc!$V$2:$V$137,Calc!$AC$2:$AC$137,Calc!$AJ$2:$AJ$137,Calc!$AL$2:$AL$137,Calc!$AM$2:$AM$137,Calc!$W$2:$W$137,Calc!$AD$2:$AD$137,Calc!$AK$2:$AK$137,Calc!$AN$2:$AN$137,Calc!$AO$2:$AO$137),MATCH($W116,Calc!$A$2:$A$137,0)),"")</f>
        <v>33.7519714285714</v>
      </c>
      <c r="H116" s="11" t="n">
        <f aca="false">IF(G116="","",IF(LEFT($X116,1)="H",SQRT(G116*(IFERROR(INDEX(Calc!$AP$2:$AP$137,MATCH($W116,Calc!$A$2:$A$137,0)),0.5)*Config!$B$5+1-IFERROR(INDEX(Calc!$AP$2:$AP$137,MATCH($W116,Calc!$A$2:$A$137,0)),0.5))),SQRT(G116*Config!$B$5)))</f>
        <v>6.87406429996112</v>
      </c>
      <c r="I116" s="10" t="n">
        <f aca="false">IF(OR(F116="",G116="",N(H116)&lt;=0),"",1-NORMDIST(FLOOR(F116,1)+0.5,G116,H116,TRUE()))</f>
        <v>0.628394477148357</v>
      </c>
      <c r="J116" s="10" t="n">
        <f aca="false">IF(I116="","",NORMDIST(CEILING(F116,1)-0.5,G116,H116,TRUE()))</f>
        <v>0.371605522851643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OVER</v>
      </c>
      <c r="N116" s="0" t="n">
        <v>36.2</v>
      </c>
      <c r="O116" s="10" t="n">
        <v>0.6</v>
      </c>
      <c r="P116" s="10" t="n">
        <v>0.6</v>
      </c>
      <c r="Q116" s="10" t="n">
        <v>0.6</v>
      </c>
      <c r="R116" s="9" t="s">
        <v>1436</v>
      </c>
      <c r="S116" s="0" t="n">
        <v>-1</v>
      </c>
      <c r="T116" s="0" t="str">
        <f aca="false">INDEX(Calc!$G$2:$G$137,MATCH($W116,Calc!$A$2:$A$137,0))&amp;" / "&amp;INDEX(Calc!$H$2:$H$137,MATCH($W116,Calc!$A$2:$A$137,0))</f>
        <v>Cache / Ancient</v>
      </c>
      <c r="U116" s="0" t="str">
        <f aca="false">TEXT(INDEX(Calc!$J$2:$J$137,MATCH($W116,Calc!$A$2:$A$137,0)),"0.0")&amp;" / "&amp;TEXT(INDEX(Calc!$K$2:$K$137,MATCH($W116,Calc!$A$2:$A$137,0)),"0.0")</f>
        <v>21.5 / 21.4</v>
      </c>
      <c r="V116" s="0" t="str">
        <f aca="false">IFERROR(INDEX(Calc!$AQ$2:$AQ$137,MATCH($W116,Calc!$A$2:$A$137,0)),"")</f>
        <v/>
      </c>
      <c r="W116" s="9" t="s">
        <v>1435</v>
      </c>
      <c r="X116" s="9" t="s">
        <v>1291</v>
      </c>
      <c r="Y116" s="0" t="str">
        <f aca="false">W116&amp;"|"&amp;X116</f>
        <v>rfuts2r0t85cd95|CS2 · EF vs BIG|K12</v>
      </c>
      <c r="Z116" s="11" t="n">
        <f aca="false">IFERROR(INDEX(CHOOSE(MATCH($X116,{"K1","K2","K3","K12","K13","H1","H2","H3","H12","H13"},0),Calc!$BA$2:$BA$137,Calc!$BB$2:$BB$137,Calc!$BC$2:$BC$137,Calc!$BD$2:$BD$137,Calc!$BE$2:$BE$137,Calc!$BF$2:$BF$137,Calc!$BG$2:$BG$137,Calc!$BH$2:$BH$137,Calc!$BI$2:$BI$137,Calc!$BJ$2:$BJ$137),MATCH($W116,Calc!$A$2:$A$137,0)),"")</f>
        <v>32.8663136535665</v>
      </c>
      <c r="AA116" s="11" t="n">
        <f aca="false">IF(Z116="","",IF(LEFT($X116,1)="H",SQRT(Z116*(IFERROR(INDEX(Calc!$AP$2:$AP$137,MATCH($W116,Calc!$A$2:$A$137,0)),0.5)*Config!$B$5+1-IFERROR(INDEX(Calc!$AP$2:$AP$137,MATCH($W116,Calc!$A$2:$A$137,0)),0.5))),SQRT(Z116*Config!$B$5)))</f>
        <v>6.78327642920389</v>
      </c>
      <c r="AB116" s="10" t="n">
        <f aca="false">IF(OR(F116="",Z116="",N(AA116)&lt;=0),"",1-NORMDIST(FLOOR(F116,1)+0.5,Z116,AA116,TRUE()))</f>
        <v>0.579816416096268</v>
      </c>
      <c r="AC116" s="10" t="n">
        <f aca="false">IF(AB116="","",NORMDIST(CEILING(F116,1)-0.5,Z116,AA116,TRUE()))</f>
        <v>0.420183583903732</v>
      </c>
      <c r="AD116" s="0" t="str">
        <f aca="false">IF(AB116="","",IF(AB116&gt;=0.5+Config!$B$6,"OVER",IF(AC116&gt;=0.5+Config!$B$6,"UNDER","—")))</f>
        <v>OVER</v>
      </c>
      <c r="AE116" s="13" t="n">
        <f aca="false">IFERROR(Z116/G116,"")</f>
        <v>0.97375982090767</v>
      </c>
    </row>
    <row r="117" customFormat="false" ht="15" hidden="false" customHeight="false" outlineLevel="0" collapsed="false">
      <c r="A117" s="0" t="s">
        <v>1139</v>
      </c>
      <c r="B117" s="0" t="s">
        <v>1154</v>
      </c>
      <c r="C117" s="0" t="s">
        <v>1437</v>
      </c>
      <c r="D117" s="0" t="s">
        <v>1159</v>
      </c>
      <c r="E117" s="0" t="s">
        <v>1286</v>
      </c>
      <c r="F117" s="0" t="n">
        <v>17.5</v>
      </c>
      <c r="G117" s="11" t="n">
        <f aca="false">IFERROR(INDEX(CHOOSE(MATCH($X117,{"K1","K2","K3","K12","K13","H1","H2","H3","H12","H13"},0),Calc!$V$2:$V$137,Calc!$AC$2:$AC$137,Calc!$AJ$2:$AJ$137,Calc!$AL$2:$AL$137,Calc!$AM$2:$AM$137,Calc!$W$2:$W$137,Calc!$AD$2:$AD$137,Calc!$AK$2:$AK$137,Calc!$AN$2:$AN$137,Calc!$AO$2:$AO$137),MATCH($W117,Calc!$A$2:$A$137,0)),"")</f>
        <v>17.5630719183674</v>
      </c>
      <c r="H117" s="11" t="n">
        <f aca="false">IF(G117="","",IF(LEFT($X117,1)="H",SQRT(G117*(IFERROR(INDEX(Calc!$AP$2:$AP$137,MATCH($W117,Calc!$A$2:$A$137,0)),0.5)*Config!$B$5+1-IFERROR(INDEX(Calc!$AP$2:$AP$137,MATCH($W117,Calc!$A$2:$A$137,0)),0.5))),SQRT(G117*Config!$B$5)))</f>
        <v>4.63940626930234</v>
      </c>
      <c r="I117" s="10" t="n">
        <f aca="false">IF(OR(F117="",G117="",N(H117)&lt;=0),"",1-NORMDIST(FLOOR(F117,1)+0.5,G117,H117,TRUE()))</f>
        <v>0.505423383603759</v>
      </c>
      <c r="J117" s="10" t="n">
        <f aca="false">IF(I117="","",NORMDIST(CEILING(F117,1)-0.5,G117,H117,TRUE()))</f>
        <v>0.494576616396241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—</v>
      </c>
      <c r="N117" s="0" t="n">
        <v>19.4</v>
      </c>
      <c r="O117" s="10" t="n">
        <v>0.8</v>
      </c>
      <c r="P117" s="10" t="n">
        <v>0.6</v>
      </c>
      <c r="Q117" s="10" t="n">
        <v>0.67</v>
      </c>
      <c r="R117" s="9" t="s">
        <v>1359</v>
      </c>
      <c r="S117" s="0" t="n">
        <v>4</v>
      </c>
      <c r="T117" s="0" t="str">
        <f aca="false">INDEX(Calc!$G$2:$G$137,MATCH($W117,Calc!$A$2:$A$137,0))&amp;" / "&amp;INDEX(Calc!$H$2:$H$137,MATCH($W117,Calc!$A$2:$A$137,0))</f>
        <v>Cache / Ancient</v>
      </c>
      <c r="U117" s="0" t="str">
        <f aca="false">TEXT(INDEX(Calc!$J$2:$J$137,MATCH($W117,Calc!$A$2:$A$137,0)),"0.0")&amp;" / "&amp;TEXT(INDEX(Calc!$K$2:$K$137,MATCH($W117,Calc!$A$2:$A$137,0)),"0.0")</f>
        <v>21.5 / 21.4</v>
      </c>
      <c r="V117" s="0" t="str">
        <f aca="false">IFERROR(INDEX(Calc!$AQ$2:$AQ$137,MATCH($W117,Calc!$A$2:$A$137,0)),"")</f>
        <v/>
      </c>
      <c r="W117" s="9" t="s">
        <v>1438</v>
      </c>
      <c r="X117" s="9" t="s">
        <v>1289</v>
      </c>
      <c r="Y117" s="0" t="str">
        <f aca="false">W117&amp;"|"&amp;X117</f>
        <v>t2lttsuygcwlbxl|CS2 · EF vs BIG|H12</v>
      </c>
      <c r="Z117" s="11" t="n">
        <f aca="false">IFERROR(INDEX(CHOOSE(MATCH($X117,{"K1","K2","K3","K12","K13","H1","H2","H3","H12","H13"},0),Calc!$BA$2:$BA$137,Calc!$BB$2:$BB$137,Calc!$BC$2:$BC$137,Calc!$BD$2:$BD$137,Calc!$BE$2:$BE$137,Calc!$BF$2:$BF$137,Calc!$BG$2:$BG$137,Calc!$BH$2:$BH$137,Calc!$BI$2:$BI$137,Calc!$BJ$2:$BJ$137),MATCH($W117,Calc!$A$2:$A$137,0)),"")</f>
        <v>17.1054391196508</v>
      </c>
      <c r="AA117" s="11" t="n">
        <f aca="false">IF(Z117="","",IF(LEFT($X117,1)="H",SQRT(Z117*(IFERROR(INDEX(Calc!$AP$2:$AP$137,MATCH($W117,Calc!$A$2:$A$137,0)),0.5)*Config!$B$5+1-IFERROR(INDEX(Calc!$AP$2:$AP$137,MATCH($W117,Calc!$A$2:$A$137,0)),0.5))),SQRT(Z117*Config!$B$5)))</f>
        <v>4.57856389194961</v>
      </c>
      <c r="AB117" s="10" t="n">
        <f aca="false">IF(OR(F117="",Z117="",N(AA117)&lt;=0),"",1-NORMDIST(FLOOR(F117,1)+0.5,Z117,AA117,TRUE()))</f>
        <v>0.465663379618485</v>
      </c>
      <c r="AC117" s="10" t="n">
        <f aca="false">IF(AB117="","",NORMDIST(CEILING(F117,1)-0.5,Z117,AA117,TRUE()))</f>
        <v>0.534336620381515</v>
      </c>
      <c r="AD117" s="0" t="str">
        <f aca="false">IF(AB117="","",IF(AB117&gt;=0.5+Config!$B$6,"OVER",IF(AC117&gt;=0.5+Config!$B$6,"UNDER","—")))</f>
        <v>—</v>
      </c>
      <c r="AE117" s="13" t="n">
        <f aca="false">IFERROR(Z117/G117,"")</f>
        <v>0.973943464967654</v>
      </c>
    </row>
    <row r="118" customFormat="false" ht="15" hidden="false" customHeight="false" outlineLevel="0" collapsed="false">
      <c r="A118" s="0" t="s">
        <v>1139</v>
      </c>
      <c r="B118" s="0" t="s">
        <v>1154</v>
      </c>
      <c r="C118" s="0" t="s">
        <v>1437</v>
      </c>
      <c r="D118" s="0" t="s">
        <v>1159</v>
      </c>
      <c r="E118" s="0" t="s">
        <v>1290</v>
      </c>
      <c r="F118" s="0" t="n">
        <v>30.5</v>
      </c>
      <c r="G118" s="11" t="n">
        <f aca="false">IFERROR(INDEX(CHOOSE(MATCH($X118,{"K1","K2","K3","K12","K13","H1","H2","H3","H12","H13"},0),Calc!$V$2:$V$137,Calc!$AC$2:$AC$137,Calc!$AJ$2:$AJ$137,Calc!$AL$2:$AL$137,Calc!$AM$2:$AM$137,Calc!$W$2:$W$137,Calc!$AD$2:$AD$137,Calc!$AK$2:$AK$137,Calc!$AN$2:$AN$137,Calc!$AO$2:$AO$137),MATCH($W118,Calc!$A$2:$A$137,0)),"")</f>
        <v>31.1497142857143</v>
      </c>
      <c r="H118" s="11" t="n">
        <f aca="false">IF(G118="","",IF(LEFT($X118,1)="H",SQRT(G118*(IFERROR(INDEX(Calc!$AP$2:$AP$137,MATCH($W118,Calc!$A$2:$A$137,0)),0.5)*Config!$B$5+1-IFERROR(INDEX(Calc!$AP$2:$AP$137,MATCH($W118,Calc!$A$2:$A$137,0)),0.5))),SQRT(G118*Config!$B$5)))</f>
        <v>6.60375650671646</v>
      </c>
      <c r="I118" s="10" t="n">
        <f aca="false">IF(OR(F118="",G118="",N(H118)&lt;=0),"",1-NORMDIST(FLOOR(F118,1)+0.5,G118,H118,TRUE()))</f>
        <v>0.539186929973019</v>
      </c>
      <c r="J118" s="10" t="n">
        <f aca="false">IF(I118="","",NORMDIST(CEILING(F118,1)-0.5,G118,H118,TRUE()))</f>
        <v>0.460813070026981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—</v>
      </c>
      <c r="N118" s="0" t="n">
        <v>34.1</v>
      </c>
      <c r="O118" s="10" t="n">
        <v>1</v>
      </c>
      <c r="P118" s="10" t="n">
        <v>0.8</v>
      </c>
      <c r="Q118" s="10" t="n">
        <v>0.73</v>
      </c>
      <c r="R118" s="9" t="s">
        <v>1439</v>
      </c>
      <c r="S118" s="0" t="n">
        <v>5</v>
      </c>
      <c r="T118" s="0" t="str">
        <f aca="false">INDEX(Calc!$G$2:$G$137,MATCH($W118,Calc!$A$2:$A$137,0))&amp;" / "&amp;INDEX(Calc!$H$2:$H$137,MATCH($W118,Calc!$A$2:$A$137,0))</f>
        <v>Cache / Ancient</v>
      </c>
      <c r="U118" s="0" t="str">
        <f aca="false">TEXT(INDEX(Calc!$J$2:$J$137,MATCH($W118,Calc!$A$2:$A$137,0)),"0.0")&amp;" / "&amp;TEXT(INDEX(Calc!$K$2:$K$137,MATCH($W118,Calc!$A$2:$A$137,0)),"0.0")</f>
        <v>21.5 / 21.4</v>
      </c>
      <c r="V118" s="0" t="str">
        <f aca="false">IFERROR(INDEX(Calc!$AQ$2:$AQ$137,MATCH($W118,Calc!$A$2:$A$137,0)),"")</f>
        <v/>
      </c>
      <c r="W118" s="9" t="s">
        <v>1438</v>
      </c>
      <c r="X118" s="9" t="s">
        <v>1291</v>
      </c>
      <c r="Y118" s="0" t="str">
        <f aca="false">W118&amp;"|"&amp;X118</f>
        <v>t2lttsuygcwlbxl|CS2 · EF vs BIG|K12</v>
      </c>
      <c r="Z118" s="11" t="n">
        <f aca="false">IFERROR(INDEX(CHOOSE(MATCH($X118,{"K1","K2","K3","K12","K13","H1","H2","H3","H12","H13"},0),Calc!$BA$2:$BA$137,Calc!$BB$2:$BB$137,Calc!$BC$2:$BC$137,Calc!$BD$2:$BD$137,Calc!$BE$2:$BE$137,Calc!$BF$2:$BF$137,Calc!$BG$2:$BG$137,Calc!$BH$2:$BH$137,Calc!$BI$2:$BI$137,Calc!$BJ$2:$BJ$137),MATCH($W118,Calc!$A$2:$A$137,0)),"")</f>
        <v>30.3484851814789</v>
      </c>
      <c r="AA118" s="11" t="n">
        <f aca="false">IF(Z118="","",IF(LEFT($X118,1)="H",SQRT(Z118*(IFERROR(INDEX(Calc!$AP$2:$AP$137,MATCH($W118,Calc!$A$2:$A$137,0)),0.5)*Config!$B$5+1-IFERROR(INDEX(Calc!$AP$2:$AP$137,MATCH($W118,Calc!$A$2:$A$137,0)),0.5))),SQRT(Z118*Config!$B$5)))</f>
        <v>6.5182727201361</v>
      </c>
      <c r="AB118" s="10" t="n">
        <f aca="false">IF(OR(F118="",Z118="",N(AA118)&lt;=0),"",1-NORMDIST(FLOOR(F118,1)+0.5,Z118,AA118,TRUE()))</f>
        <v>0.490727570478957</v>
      </c>
      <c r="AC118" s="10" t="n">
        <f aca="false">IF(AB118="","",NORMDIST(CEILING(F118,1)-0.5,Z118,AA118,TRUE()))</f>
        <v>0.509272429521043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0.974278123488187</v>
      </c>
    </row>
    <row r="119" customFormat="false" ht="15" hidden="false" customHeight="false" outlineLevel="0" collapsed="false">
      <c r="A119" s="0" t="s">
        <v>1139</v>
      </c>
      <c r="B119" s="0" t="s">
        <v>1154</v>
      </c>
      <c r="C119" s="0" t="s">
        <v>1440</v>
      </c>
      <c r="D119" s="0" t="s">
        <v>1159</v>
      </c>
      <c r="E119" s="0" t="s">
        <v>1286</v>
      </c>
      <c r="F119" s="0" t="n">
        <v>13.5</v>
      </c>
      <c r="G119" s="11" t="n">
        <f aca="false">IFERROR(INDEX(CHOOSE(MATCH($X119,{"K1","K2","K3","K12","K13","H1","H2","H3","H12","H13"},0),Calc!$V$2:$V$137,Calc!$AC$2:$AC$137,Calc!$AJ$2:$AJ$137,Calc!$AL$2:$AL$137,Calc!$AM$2:$AM$137,Calc!$W$2:$W$137,Calc!$AD$2:$AD$137,Calc!$AK$2:$AK$137,Calc!$AN$2:$AN$137,Calc!$AO$2:$AO$137),MATCH($W119,Calc!$A$2:$A$137,0)),"")</f>
        <v>14.0258246387755</v>
      </c>
      <c r="H119" s="11" t="n">
        <f aca="false">IF(G119="","",IF(LEFT($X119,1)="H",SQRT(G119*(IFERROR(INDEX(Calc!$AP$2:$AP$137,MATCH($W119,Calc!$A$2:$A$137,0)),0.5)*Config!$B$5+1-IFERROR(INDEX(Calc!$AP$2:$AP$137,MATCH($W119,Calc!$A$2:$A$137,0)),0.5))),SQRT(G119*Config!$B$5)))</f>
        <v>4.10846010163454</v>
      </c>
      <c r="I119" s="10" t="n">
        <f aca="false">IF(OR(F119="",G119="",N(H119)&lt;=0),"",1-NORMDIST(FLOOR(F119,1)+0.5,G119,H119,TRUE()))</f>
        <v>0.55091990298483</v>
      </c>
      <c r="J119" s="10" t="n">
        <f aca="false">IF(I119="","",NORMDIST(CEILING(F119,1)-0.5,G119,H119,TRUE()))</f>
        <v>0.44908009701517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OVER</v>
      </c>
      <c r="N119" s="0" t="n">
        <v>14</v>
      </c>
      <c r="O119" s="10" t="n">
        <v>0.6</v>
      </c>
      <c r="P119" s="10" t="n">
        <v>0.6</v>
      </c>
      <c r="Q119" s="10" t="n">
        <v>0.6</v>
      </c>
      <c r="R119" s="9" t="s">
        <v>1336</v>
      </c>
      <c r="S119" s="0" t="n">
        <v>-1</v>
      </c>
      <c r="T119" s="0" t="str">
        <f aca="false">INDEX(Calc!$G$2:$G$137,MATCH($W119,Calc!$A$2:$A$137,0))&amp;" / "&amp;INDEX(Calc!$H$2:$H$137,MATCH($W119,Calc!$A$2:$A$137,0))</f>
        <v>Cache / Ancient</v>
      </c>
      <c r="U119" s="0" t="str">
        <f aca="false">TEXT(INDEX(Calc!$J$2:$J$137,MATCH($W119,Calc!$A$2:$A$137,0)),"0.0")&amp;" / "&amp;TEXT(INDEX(Calc!$K$2:$K$137,MATCH($W119,Calc!$A$2:$A$137,0)),"0.0")</f>
        <v>21.5 / 21.4</v>
      </c>
      <c r="V119" s="0" t="str">
        <f aca="false">IFERROR(INDEX(Calc!$AQ$2:$AQ$137,MATCH($W119,Calc!$A$2:$A$137,0)),"")</f>
        <v/>
      </c>
      <c r="W119" s="9" t="s">
        <v>1441</v>
      </c>
      <c r="X119" s="9" t="s">
        <v>1289</v>
      </c>
      <c r="Y119" s="0" t="str">
        <f aca="false">W119&amp;"|"&amp;X119</f>
        <v>mp3vrg2adugpxjt|CS2 · EF vs BIG|H12</v>
      </c>
      <c r="Z119" s="11" t="n">
        <f aca="false">IFERROR(INDEX(CHOOSE(MATCH($X119,{"K1","K2","K3","K12","K13","H1","H2","H3","H12","H13"},0),Calc!$BA$2:$BA$137,Calc!$BB$2:$BB$137,Calc!$BC$2:$BC$137,Calc!$BD$2:$BD$137,Calc!$BE$2:$BE$137,Calc!$BF$2:$BF$137,Calc!$BG$2:$BG$137,Calc!$BH$2:$BH$137,Calc!$BI$2:$BI$137,Calc!$BJ$2:$BJ$137),MATCH($W119,Calc!$A$2:$A$137,0)),"")</f>
        <v>13.6584019826498</v>
      </c>
      <c r="AA119" s="11" t="n">
        <f aca="false">IF(Z119="","",IF(LEFT($X119,1)="H",SQRT(Z119*(IFERROR(INDEX(Calc!$AP$2:$AP$137,MATCH($W119,Calc!$A$2:$A$137,0)),0.5)*Config!$B$5+1-IFERROR(INDEX(Calc!$AP$2:$AP$137,MATCH($W119,Calc!$A$2:$A$137,0)),0.5))),SQRT(Z119*Config!$B$5)))</f>
        <v>4.05429005979313</v>
      </c>
      <c r="AB119" s="10" t="n">
        <f aca="false">IF(OR(F119="",Z119="",N(AA119)&lt;=0),"",1-NORMDIST(FLOOR(F119,1)+0.5,Z119,AA119,TRUE()))</f>
        <v>0.515582795928455</v>
      </c>
      <c r="AC119" s="10" t="n">
        <f aca="false">IF(AB119="","",NORMDIST(CEILING(F119,1)-0.5,Z119,AA119,TRUE()))</f>
        <v>0.484417204071546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0.973803846434105</v>
      </c>
    </row>
    <row r="120" customFormat="false" ht="15" hidden="false" customHeight="false" outlineLevel="0" collapsed="false">
      <c r="A120" s="0" t="s">
        <v>1139</v>
      </c>
      <c r="B120" s="0" t="s">
        <v>1154</v>
      </c>
      <c r="C120" s="0" t="s">
        <v>1440</v>
      </c>
      <c r="D120" s="0" t="s">
        <v>1159</v>
      </c>
      <c r="E120" s="0" t="s">
        <v>1290</v>
      </c>
      <c r="F120" s="0" t="n">
        <v>24.5</v>
      </c>
      <c r="G120" s="11" t="n">
        <f aca="false">IFERROR(INDEX(CHOOSE(MATCH($X120,{"K1","K2","K3","K12","K13","H1","H2","H3","H12","H13"},0),Calc!$V$2:$V$137,Calc!$AC$2:$AC$137,Calc!$AJ$2:$AJ$137,Calc!$AL$2:$AL$137,Calc!$AM$2:$AM$137,Calc!$W$2:$W$137,Calc!$AD$2:$AD$137,Calc!$AK$2:$AK$137,Calc!$AN$2:$AN$137,Calc!$AO$2:$AO$137),MATCH($W120,Calc!$A$2:$A$137,0)),"")</f>
        <v>27.5753285714286</v>
      </c>
      <c r="H120" s="11" t="n">
        <f aca="false">IF(G120="","",IF(LEFT($X120,1)="H",SQRT(G120*(IFERROR(INDEX(Calc!$AP$2:$AP$137,MATCH($W120,Calc!$A$2:$A$137,0)),0.5)*Config!$B$5+1-IFERROR(INDEX(Calc!$AP$2:$AP$137,MATCH($W120,Calc!$A$2:$A$137,0)),0.5))),SQRT(G120*Config!$B$5)))</f>
        <v>6.21332922031337</v>
      </c>
      <c r="I120" s="10" t="n">
        <f aca="false">IF(OR(F120="",G120="",N(H120)&lt;=0),"",1-NORMDIST(FLOOR(F120,1)+0.5,G120,H120,TRUE()))</f>
        <v>0.689684636992732</v>
      </c>
      <c r="J120" s="10" t="n">
        <f aca="false">IF(I120="","",NORMDIST(CEILING(F120,1)-0.5,G120,H120,TRUE()))</f>
        <v>0.310315363007268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OVER</v>
      </c>
      <c r="N120" s="0" t="n">
        <v>27.4</v>
      </c>
      <c r="O120" s="10" t="n">
        <v>0.8</v>
      </c>
      <c r="P120" s="10" t="n">
        <v>0.6</v>
      </c>
      <c r="Q120" s="10" t="n">
        <v>0.67</v>
      </c>
      <c r="R120" s="9" t="s">
        <v>1340</v>
      </c>
      <c r="S120" s="0" t="n">
        <v>-1</v>
      </c>
      <c r="T120" s="0" t="str">
        <f aca="false">INDEX(Calc!$G$2:$G$137,MATCH($W120,Calc!$A$2:$A$137,0))&amp;" / "&amp;INDEX(Calc!$H$2:$H$137,MATCH($W120,Calc!$A$2:$A$137,0))</f>
        <v>Cache / Ancient</v>
      </c>
      <c r="U120" s="0" t="str">
        <f aca="false">TEXT(INDEX(Calc!$J$2:$J$137,MATCH($W120,Calc!$A$2:$A$137,0)),"0.0")&amp;" / "&amp;TEXT(INDEX(Calc!$K$2:$K$137,MATCH($W120,Calc!$A$2:$A$137,0)),"0.0")</f>
        <v>21.5 / 21.4</v>
      </c>
      <c r="V120" s="0" t="str">
        <f aca="false">IFERROR(INDEX(Calc!$AQ$2:$AQ$137,MATCH($W120,Calc!$A$2:$A$137,0)),"")</f>
        <v/>
      </c>
      <c r="W120" s="9" t="s">
        <v>1441</v>
      </c>
      <c r="X120" s="9" t="s">
        <v>1291</v>
      </c>
      <c r="Y120" s="0" t="str">
        <f aca="false">W120&amp;"|"&amp;X120</f>
        <v>mp3vrg2adugpxjt|CS2 · EF vs BIG|K12</v>
      </c>
      <c r="Z120" s="11" t="n">
        <f aca="false">IFERROR(INDEX(CHOOSE(MATCH($X120,{"K1","K2","K3","K12","K13","H1","H2","H3","H12","H13"},0),Calc!$BA$2:$BA$137,Calc!$BB$2:$BB$137,Calc!$BC$2:$BC$137,Calc!$BD$2:$BD$137,Calc!$BE$2:$BE$137,Calc!$BF$2:$BF$137,Calc!$BG$2:$BG$137,Calc!$BH$2:$BH$137,Calc!$BI$2:$BI$137,Calc!$BJ$2:$BJ$137),MATCH($W120,Calc!$A$2:$A$137,0)),"")</f>
        <v>26.8540153674955</v>
      </c>
      <c r="AA120" s="11" t="n">
        <f aca="false">IF(Z120="","",IF(LEFT($X120,1)="H",SQRT(Z120*(IFERROR(INDEX(Calc!$AP$2:$AP$137,MATCH($W120,Calc!$A$2:$A$137,0)),0.5)*Config!$B$5+1-IFERROR(INDEX(Calc!$AP$2:$AP$137,MATCH($W120,Calc!$A$2:$A$137,0)),0.5))),SQRT(Z120*Config!$B$5)))</f>
        <v>6.13152685018125</v>
      </c>
      <c r="AB120" s="10" t="n">
        <f aca="false">IF(OR(F120="",Z120="",N(AA120)&lt;=0),"",1-NORMDIST(FLOOR(F120,1)+0.5,Z120,AA120,TRUE()))</f>
        <v>0.649481103384962</v>
      </c>
      <c r="AC120" s="10" t="n">
        <f aca="false">IF(AB120="","",NORMDIST(CEILING(F120,1)-0.5,Z120,AA120,TRUE()))</f>
        <v>0.350518896615039</v>
      </c>
      <c r="AD120" s="0" t="str">
        <f aca="false">IF(AB120="","",IF(AB120&gt;=0.5+Config!$B$6,"OVER",IF(AC120&gt;=0.5+Config!$B$6,"UNDER","—")))</f>
        <v>OVER</v>
      </c>
      <c r="AE120" s="13" t="n">
        <f aca="false">IFERROR(Z120/G120,"")</f>
        <v>0.973842081262434</v>
      </c>
    </row>
    <row r="121" customFormat="false" ht="15" hidden="false" customHeight="false" outlineLevel="0" collapsed="false">
      <c r="A121" s="0" t="s">
        <v>1139</v>
      </c>
      <c r="B121" s="0" t="s">
        <v>1154</v>
      </c>
      <c r="C121" s="0" t="s">
        <v>1442</v>
      </c>
      <c r="D121" s="0" t="s">
        <v>1159</v>
      </c>
      <c r="E121" s="0" t="s">
        <v>1286</v>
      </c>
      <c r="F121" s="0" t="n">
        <v>11.5</v>
      </c>
      <c r="G121" s="11" t="n">
        <f aca="false">IFERROR(INDEX(CHOOSE(MATCH($X121,{"K1","K2","K3","K12","K13","H1","H2","H3","H12","H13"},0),Calc!$V$2:$V$137,Calc!$AC$2:$AC$137,Calc!$AJ$2:$AJ$137,Calc!$AL$2:$AL$137,Calc!$AM$2:$AM$137,Calc!$W$2:$W$137,Calc!$AD$2:$AD$137,Calc!$AK$2:$AK$137,Calc!$AN$2:$AN$137,Calc!$AO$2:$AO$137),MATCH($W121,Calc!$A$2:$A$137,0)),"")</f>
        <v>11.2104385642857</v>
      </c>
      <c r="H121" s="11" t="n">
        <f aca="false">IF(G121="","",IF(LEFT($X121,1)="H",SQRT(G121*(IFERROR(INDEX(Calc!$AP$2:$AP$137,MATCH($W121,Calc!$A$2:$A$137,0)),0.5)*Config!$B$5+1-IFERROR(INDEX(Calc!$AP$2:$AP$137,MATCH($W121,Calc!$A$2:$A$137,0)),0.5))),SQRT(G121*Config!$B$5)))</f>
        <v>3.58648256773422</v>
      </c>
      <c r="I121" s="10" t="n">
        <f aca="false">IF(OR(F121="",G121="",N(H121)&lt;=0),"",1-NORMDIST(FLOOR(F121,1)+0.5,G121,H121,TRUE()))</f>
        <v>0.467825600718329</v>
      </c>
      <c r="J121" s="10" t="n">
        <f aca="false">IF(I121="","",NORMDIST(CEILING(F121,1)-0.5,G121,H121,TRUE()))</f>
        <v>0.532174399281671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—</v>
      </c>
      <c r="N121" s="0" t="n">
        <v>13.3</v>
      </c>
      <c r="O121" s="10" t="n">
        <v>0.4</v>
      </c>
      <c r="P121" s="10" t="n">
        <v>0.7</v>
      </c>
      <c r="Q121" s="10" t="n">
        <v>0.67</v>
      </c>
      <c r="R121" s="9" t="s">
        <v>1338</v>
      </c>
      <c r="S121" s="0" t="n">
        <v>-3</v>
      </c>
      <c r="T121" s="0" t="str">
        <f aca="false">INDEX(Calc!$G$2:$G$137,MATCH($W121,Calc!$A$2:$A$137,0))&amp;" / "&amp;INDEX(Calc!$H$2:$H$137,MATCH($W121,Calc!$A$2:$A$137,0))</f>
        <v>Cache / Ancient</v>
      </c>
      <c r="U121" s="0" t="str">
        <f aca="false">TEXT(INDEX(Calc!$J$2:$J$137,MATCH($W121,Calc!$A$2:$A$137,0)),"0.0")&amp;" / "&amp;TEXT(INDEX(Calc!$K$2:$K$137,MATCH($W121,Calc!$A$2:$A$137,0)),"0.0")</f>
        <v>21.5 / 21.4</v>
      </c>
      <c r="V121" s="0" t="str">
        <f aca="false">IFERROR(INDEX(Calc!$AQ$2:$AQ$137,MATCH($W121,Calc!$A$2:$A$137,0)),"")</f>
        <v/>
      </c>
      <c r="W121" s="9" t="s">
        <v>1443</v>
      </c>
      <c r="X121" s="9" t="s">
        <v>1289</v>
      </c>
      <c r="Y121" s="0" t="str">
        <f aca="false">W121&amp;"|"&amp;X121</f>
        <v>v15ff2btfwe796g|CS2 · EF vs BIG|H12</v>
      </c>
      <c r="Z121" s="11" t="n">
        <f aca="false">IFERROR(INDEX(CHOOSE(MATCH($X121,{"K1","K2","K3","K12","K13","H1","H2","H3","H12","H13"},0),Calc!$BA$2:$BA$137,Calc!$BB$2:$BB$137,Calc!$BC$2:$BC$137,Calc!$BD$2:$BD$137,Calc!$BE$2:$BE$137,Calc!$BF$2:$BF$137,Calc!$BG$2:$BG$137,Calc!$BH$2:$BH$137,Calc!$BI$2:$BI$137,Calc!$BJ$2:$BJ$137),MATCH($W121,Calc!$A$2:$A$137,0)),"")</f>
        <v>10.909422272469</v>
      </c>
      <c r="AA121" s="11" t="n">
        <f aca="false">IF(Z121="","",IF(LEFT($X121,1)="H",SQRT(Z121*(IFERROR(INDEX(Calc!$AP$2:$AP$137,MATCH($W121,Calc!$A$2:$A$137,0)),0.5)*Config!$B$5+1-IFERROR(INDEX(Calc!$AP$2:$AP$137,MATCH($W121,Calc!$A$2:$A$137,0)),0.5))),SQRT(Z121*Config!$B$5)))</f>
        <v>3.53800383202603</v>
      </c>
      <c r="AB121" s="10" t="n">
        <f aca="false">IF(OR(F121="",Z121="",N(AA121)&lt;=0),"",1-NORMDIST(FLOOR(F121,1)+0.5,Z121,AA121,TRUE()))</f>
        <v>0.433714927090516</v>
      </c>
      <c r="AC121" s="10" t="n">
        <f aca="false">IF(AB121="","",NORMDIST(CEILING(F121,1)-0.5,Z121,AA121,TRUE()))</f>
        <v>0.566285072909484</v>
      </c>
      <c r="AD121" s="0" t="str">
        <f aca="false">IF(AB121="","",IF(AB121&gt;=0.5+Config!$B$6,"OVER",IF(AC121&gt;=0.5+Config!$B$6,"UNDER","—")))</f>
        <v>UNDER</v>
      </c>
      <c r="AE121" s="13" t="n">
        <f aca="false">IFERROR(Z121/G121,"")</f>
        <v>0.97314857129892</v>
      </c>
    </row>
    <row r="122" customFormat="false" ht="15" hidden="false" customHeight="false" outlineLevel="0" collapsed="false">
      <c r="A122" s="0" t="s">
        <v>1139</v>
      </c>
      <c r="B122" s="0" t="s">
        <v>1154</v>
      </c>
      <c r="C122" s="0" t="s">
        <v>1442</v>
      </c>
      <c r="D122" s="0" t="s">
        <v>1159</v>
      </c>
      <c r="E122" s="0" t="s">
        <v>1290</v>
      </c>
      <c r="F122" s="0" t="n">
        <v>28.5</v>
      </c>
      <c r="G122" s="11" t="n">
        <f aca="false">IFERROR(INDEX(CHOOSE(MATCH($X122,{"K1","K2","K3","K12","K13","H1","H2","H3","H12","H13"},0),Calc!$V$2:$V$137,Calc!$AC$2:$AC$137,Calc!$AJ$2:$AJ$137,Calc!$AL$2:$AL$137,Calc!$AM$2:$AM$137,Calc!$W$2:$W$137,Calc!$AD$2:$AD$137,Calc!$AK$2:$AK$137,Calc!$AN$2:$AN$137,Calc!$AO$2:$AO$137),MATCH($W122,Calc!$A$2:$A$137,0)),"")</f>
        <v>30.4218142857143</v>
      </c>
      <c r="H122" s="11" t="n">
        <f aca="false">IF(G122="","",IF(LEFT($X122,1)="H",SQRT(G122*(IFERROR(INDEX(Calc!$AP$2:$AP$137,MATCH($W122,Calc!$A$2:$A$137,0)),0.5)*Config!$B$5+1-IFERROR(INDEX(Calc!$AP$2:$AP$137,MATCH($W122,Calc!$A$2:$A$137,0)),0.5))),SQRT(G122*Config!$B$5)))</f>
        <v>6.52614281179933</v>
      </c>
      <c r="I122" s="10" t="n">
        <f aca="false">IF(OR(F122="",G122="",N(H122)&lt;=0),"",1-NORMDIST(FLOOR(F122,1)+0.5,G122,H122,TRUE()))</f>
        <v>0.615804179284808</v>
      </c>
      <c r="J122" s="10" t="n">
        <f aca="false">IF(I122="","",NORMDIST(CEILING(F122,1)-0.5,G122,H122,TRUE()))</f>
        <v>0.384195820715192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OVER</v>
      </c>
      <c r="N122" s="0" t="n">
        <v>33.6</v>
      </c>
      <c r="O122" s="10" t="n">
        <v>0.6</v>
      </c>
      <c r="P122" s="10" t="n">
        <v>0.7</v>
      </c>
      <c r="Q122" s="10" t="n">
        <v>0.67</v>
      </c>
      <c r="R122" s="9" t="s">
        <v>1340</v>
      </c>
      <c r="S122" s="0" t="n">
        <v>1</v>
      </c>
      <c r="T122" s="0" t="str">
        <f aca="false">INDEX(Calc!$G$2:$G$137,MATCH($W122,Calc!$A$2:$A$137,0))&amp;" / "&amp;INDEX(Calc!$H$2:$H$137,MATCH($W122,Calc!$A$2:$A$137,0))</f>
        <v>Cache / Ancient</v>
      </c>
      <c r="U122" s="0" t="str">
        <f aca="false">TEXT(INDEX(Calc!$J$2:$J$137,MATCH($W122,Calc!$A$2:$A$137,0)),"0.0")&amp;" / "&amp;TEXT(INDEX(Calc!$K$2:$K$137,MATCH($W122,Calc!$A$2:$A$137,0)),"0.0")</f>
        <v>21.5 / 21.4</v>
      </c>
      <c r="V122" s="0" t="str">
        <f aca="false">IFERROR(INDEX(Calc!$AQ$2:$AQ$137,MATCH($W122,Calc!$A$2:$A$137,0)),"")</f>
        <v/>
      </c>
      <c r="W122" s="9" t="s">
        <v>1443</v>
      </c>
      <c r="X122" s="9" t="s">
        <v>1291</v>
      </c>
      <c r="Y122" s="0" t="str">
        <f aca="false">W122&amp;"|"&amp;X122</f>
        <v>v15ff2btfwe796g|CS2 · EF vs BIG|K12</v>
      </c>
      <c r="Z122" s="11" t="n">
        <f aca="false">IFERROR(INDEX(CHOOSE(MATCH($X122,{"K1","K2","K3","K12","K13","H1","H2","H3","H12","H13"},0),Calc!$BA$2:$BA$137,Calc!$BB$2:$BB$137,Calc!$BC$2:$BC$137,Calc!$BD$2:$BD$137,Calc!$BE$2:$BE$137,Calc!$BF$2:$BF$137,Calc!$BG$2:$BG$137,Calc!$BH$2:$BH$137,Calc!$BI$2:$BI$137,Calc!$BJ$2:$BJ$137),MATCH($W122,Calc!$A$2:$A$137,0)),"")</f>
        <v>29.6049451084639</v>
      </c>
      <c r="AA122" s="11" t="n">
        <f aca="false">IF(Z122="","",IF(LEFT($X122,1)="H",SQRT(Z122*(IFERROR(INDEX(Calc!$AP$2:$AP$137,MATCH($W122,Calc!$A$2:$A$137,0)),0.5)*Config!$B$5+1-IFERROR(INDEX(Calc!$AP$2:$AP$137,MATCH($W122,Calc!$A$2:$A$137,0)),0.5))),SQRT(Z122*Config!$B$5)))</f>
        <v>6.43792848297102</v>
      </c>
      <c r="AB122" s="10" t="n">
        <f aca="false">IF(OR(F122="",Z122="",N(AA122)&lt;=0),"",1-NORMDIST(FLOOR(F122,1)+0.5,Z122,AA122,TRUE()))</f>
        <v>0.568135999820667</v>
      </c>
      <c r="AC122" s="10" t="n">
        <f aca="false">IF(AB122="","",NORMDIST(CEILING(F122,1)-0.5,Z122,AA122,TRUE()))</f>
        <v>0.431864000179334</v>
      </c>
      <c r="AD122" s="0" t="str">
        <f aca="false">IF(AB122="","",IF(AB122&gt;=0.5+Config!$B$6,"OVER",IF(AC122&gt;=0.5+Config!$B$6,"UNDER","—")))</f>
        <v>OVER</v>
      </c>
      <c r="AE122" s="13" t="n">
        <f aca="false">IFERROR(Z122/G122,"")</f>
        <v>0.97314857129892</v>
      </c>
    </row>
    <row r="123" customFormat="false" ht="15" hidden="false" customHeight="false" outlineLevel="0" collapsed="false">
      <c r="A123" s="0" t="s">
        <v>1139</v>
      </c>
      <c r="B123" s="0" t="s">
        <v>1154</v>
      </c>
      <c r="C123" s="0" t="s">
        <v>1444</v>
      </c>
      <c r="D123" s="0" t="s">
        <v>1159</v>
      </c>
      <c r="E123" s="0" t="s">
        <v>1286</v>
      </c>
      <c r="F123" s="0" t="n">
        <v>15</v>
      </c>
      <c r="G123" s="11" t="n">
        <f aca="false">IFERROR(INDEX(CHOOSE(MATCH($X123,{"K1","K2","K3","K12","K13","H1","H2","H3","H12","H13"},0),Calc!$V$2:$V$137,Calc!$AC$2:$AC$137,Calc!$AJ$2:$AJ$137,Calc!$AL$2:$AL$137,Calc!$AM$2:$AM$137,Calc!$W$2:$W$137,Calc!$AD$2:$AD$137,Calc!$AK$2:$AK$137,Calc!$AN$2:$AN$137,Calc!$AO$2:$AO$137),MATCH($W123,Calc!$A$2:$A$137,0)),"")</f>
        <v>14.4303478897959</v>
      </c>
      <c r="H123" s="11" t="n">
        <f aca="false">IF(G123="","",IF(LEFT($X123,1)="H",SQRT(G123*(IFERROR(INDEX(Calc!$AP$2:$AP$137,MATCH($W123,Calc!$A$2:$A$137,0)),0.5)*Config!$B$5+1-IFERROR(INDEX(Calc!$AP$2:$AP$137,MATCH($W123,Calc!$A$2:$A$137,0)),0.5))),SQRT(G123*Config!$B$5)))</f>
        <v>4.17362290716632</v>
      </c>
      <c r="I123" s="10" t="n">
        <f aca="false">IF(OR(F123="",G123="",N(H123)&lt;=0),"",1-NORMDIST(FLOOR(F123,1)+0.5,G123,H123,TRUE()))</f>
        <v>0.398863986823588</v>
      </c>
      <c r="J123" s="10" t="n">
        <f aca="false">IF(I123="","",NORMDIST(CEILING(F123,1)-0.5,G123,H123,TRUE()))</f>
        <v>0.506657496978838</v>
      </c>
      <c r="K123" s="10" t="n">
        <f aca="false">IF(I123="","",MAX(0,1-I123-J123))</f>
        <v>0.0944785161975748</v>
      </c>
      <c r="L123" s="0" t="str">
        <f aca="false">IF(I123="","",IF(I123&gt;=0.5+Config!$B$6,"OVER",IF(J123&gt;=0.5+Config!$B$6,"UNDER","—")))</f>
        <v>—</v>
      </c>
      <c r="N123" s="0" t="n">
        <v>14.5</v>
      </c>
      <c r="O123" s="10" t="n">
        <v>0.6</v>
      </c>
      <c r="P123" s="10" t="n">
        <v>0.6</v>
      </c>
      <c r="Q123" s="10" t="n">
        <v>0.73</v>
      </c>
      <c r="R123" s="9" t="s">
        <v>1287</v>
      </c>
      <c r="S123" s="0" t="n">
        <v>-2</v>
      </c>
      <c r="T123" s="0" t="str">
        <f aca="false">INDEX(Calc!$G$2:$G$137,MATCH($W123,Calc!$A$2:$A$137,0))&amp;" / "&amp;INDEX(Calc!$H$2:$H$137,MATCH($W123,Calc!$A$2:$A$137,0))</f>
        <v>Cache / Ancient</v>
      </c>
      <c r="U123" s="0" t="str">
        <f aca="false">TEXT(INDEX(Calc!$J$2:$J$137,MATCH($W123,Calc!$A$2:$A$137,0)),"0.0")&amp;" / "&amp;TEXT(INDEX(Calc!$K$2:$K$137,MATCH($W123,Calc!$A$2:$A$137,0)),"0.0")</f>
        <v>21.5 / 21.4</v>
      </c>
      <c r="V123" s="0" t="str">
        <f aca="false">IFERROR(INDEX(Calc!$AQ$2:$AQ$137,MATCH($W123,Calc!$A$2:$A$137,0)),"")</f>
        <v/>
      </c>
      <c r="W123" s="9" t="s">
        <v>1445</v>
      </c>
      <c r="X123" s="9" t="s">
        <v>1289</v>
      </c>
      <c r="Y123" s="0" t="str">
        <f aca="false">W123&amp;"|"&amp;X123</f>
        <v>agwfljw0nydsug9|CS2 · EF vs BIG|H12</v>
      </c>
      <c r="Z123" s="11" t="n">
        <f aca="false">IFERROR(INDEX(CHOOSE(MATCH($X123,{"K1","K2","K3","K12","K13","H1","H2","H3","H12","H13"},0),Calc!$BA$2:$BA$137,Calc!$BB$2:$BB$137,Calc!$BC$2:$BC$137,Calc!$BD$2:$BD$137,Calc!$BE$2:$BE$137,Calc!$BF$2:$BF$137,Calc!$BG$2:$BG$137,Calc!$BH$2:$BH$137,Calc!$BI$2:$BI$137,Calc!$BJ$2:$BJ$137),MATCH($W123,Calc!$A$2:$A$137,0)),"")</f>
        <v>14.0675089430838</v>
      </c>
      <c r="AA123" s="11" t="n">
        <f aca="false">IF(Z123="","",IF(LEFT($X123,1)="H",SQRT(Z123*(IFERROR(INDEX(Calc!$AP$2:$AP$137,MATCH($W123,Calc!$A$2:$A$137,0)),0.5)*Config!$B$5+1-IFERROR(INDEX(Calc!$AP$2:$AP$137,MATCH($W123,Calc!$A$2:$A$137,0)),0.5))),SQRT(Z123*Config!$B$5)))</f>
        <v>4.12081774178585</v>
      </c>
      <c r="AB123" s="10" t="n">
        <f aca="false">IF(OR(F123="",Z123="",N(AA123)&lt;=0),"",1-NORMDIST(FLOOR(F123,1)+0.5,Z123,AA123,TRUE()))</f>
        <v>0.36406166258785</v>
      </c>
      <c r="AC123" s="10" t="n">
        <f aca="false">IF(AB123="","",NORMDIST(CEILING(F123,1)-0.5,Z123,AA123,TRUE()))</f>
        <v>0.541793339824141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0.974855842043231</v>
      </c>
    </row>
    <row r="124" customFormat="false" ht="15" hidden="false" customHeight="false" outlineLevel="0" collapsed="false">
      <c r="A124" s="0" t="s">
        <v>1139</v>
      </c>
      <c r="B124" s="0" t="s">
        <v>1154</v>
      </c>
      <c r="C124" s="0" t="s">
        <v>1444</v>
      </c>
      <c r="D124" s="0" t="s">
        <v>1159</v>
      </c>
      <c r="E124" s="0" t="s">
        <v>1290</v>
      </c>
      <c r="F124" s="0" t="n">
        <v>26.5</v>
      </c>
      <c r="G124" s="11" t="n">
        <f aca="false">IFERROR(INDEX(CHOOSE(MATCH($X124,{"K1","K2","K3","K12","K13","H1","H2","H3","H12","H13"},0),Calc!$V$2:$V$137,Calc!$AC$2:$AC$137,Calc!$AJ$2:$AJ$137,Calc!$AL$2:$AL$137,Calc!$AM$2:$AM$137,Calc!$W$2:$W$137,Calc!$AD$2:$AD$137,Calc!$AK$2:$AK$137,Calc!$AN$2:$AN$137,Calc!$AO$2:$AO$137),MATCH($W124,Calc!$A$2:$A$137,0)),"")</f>
        <v>27.8688857142857</v>
      </c>
      <c r="H124" s="11" t="n">
        <f aca="false">IF(G124="","",IF(LEFT($X124,1)="H",SQRT(G124*(IFERROR(INDEX(Calc!$AP$2:$AP$137,MATCH($W124,Calc!$A$2:$A$137,0)),0.5)*Config!$B$5+1-IFERROR(INDEX(Calc!$AP$2:$AP$137,MATCH($W124,Calc!$A$2:$A$137,0)),0.5))),SQRT(G124*Config!$B$5)))</f>
        <v>6.24631411313904</v>
      </c>
      <c r="I124" s="10" t="n">
        <f aca="false">IF(OR(F124="",G124="",N(H124)&lt;=0),"",1-NORMDIST(FLOOR(F124,1)+0.5,G124,H124,TRUE()))</f>
        <v>0.586733771189182</v>
      </c>
      <c r="J124" s="10" t="n">
        <f aca="false">IF(I124="","",NORMDIST(CEILING(F124,1)-0.5,G124,H124,TRUE()))</f>
        <v>0.413266228810818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OVER</v>
      </c>
      <c r="N124" s="0" t="n">
        <v>28.8</v>
      </c>
      <c r="O124" s="10" t="n">
        <v>0.6</v>
      </c>
      <c r="P124" s="10" t="n">
        <v>0.6</v>
      </c>
      <c r="Q124" s="10" t="n">
        <v>0.67</v>
      </c>
      <c r="R124" s="9" t="s">
        <v>1287</v>
      </c>
      <c r="S124" s="0" t="n">
        <v>-2</v>
      </c>
      <c r="T124" s="0" t="str">
        <f aca="false">INDEX(Calc!$G$2:$G$137,MATCH($W124,Calc!$A$2:$A$137,0))&amp;" / "&amp;INDEX(Calc!$H$2:$H$137,MATCH($W124,Calc!$A$2:$A$137,0))</f>
        <v>Cache / Ancient</v>
      </c>
      <c r="U124" s="0" t="str">
        <f aca="false">TEXT(INDEX(Calc!$J$2:$J$137,MATCH($W124,Calc!$A$2:$A$137,0)),"0.0")&amp;" / "&amp;TEXT(INDEX(Calc!$K$2:$K$137,MATCH($W124,Calc!$A$2:$A$137,0)),"0.0")</f>
        <v>21.5 / 21.4</v>
      </c>
      <c r="V124" s="0" t="str">
        <f aca="false">IFERROR(INDEX(Calc!$AQ$2:$AQ$137,MATCH($W124,Calc!$A$2:$A$137,0)),"")</f>
        <v/>
      </c>
      <c r="W124" s="9" t="s">
        <v>1445</v>
      </c>
      <c r="X124" s="9" t="s">
        <v>1291</v>
      </c>
      <c r="Y124" s="0" t="str">
        <f aca="false">W124&amp;"|"&amp;X124</f>
        <v>agwfljw0nydsug9|CS2 · EF vs BIG|K12</v>
      </c>
      <c r="Z124" s="11" t="n">
        <f aca="false">IFERROR(INDEX(CHOOSE(MATCH($X124,{"K1","K2","K3","K12","K13","H1","H2","H3","H12","H13"},0),Calc!$BA$2:$BA$137,Calc!$BB$2:$BB$137,Calc!$BC$2:$BC$137,Calc!$BD$2:$BD$137,Calc!$BE$2:$BE$137,Calc!$BF$2:$BF$137,Calc!$BG$2:$BG$137,Calc!$BH$2:$BH$137,Calc!$BI$2:$BI$137,Calc!$BJ$2:$BJ$137),MATCH($W124,Calc!$A$2:$A$137,0)),"")</f>
        <v>27.1506653344894</v>
      </c>
      <c r="AA124" s="11" t="n">
        <f aca="false">IF(Z124="","",IF(LEFT($X124,1)="H",SQRT(Z124*(IFERROR(INDEX(Calc!$AP$2:$AP$137,MATCH($W124,Calc!$A$2:$A$137,0)),0.5)*Config!$B$5+1-IFERROR(INDEX(Calc!$AP$2:$AP$137,MATCH($W124,Calc!$A$2:$A$137,0)),0.5))),SQRT(Z124*Config!$B$5)))</f>
        <v>6.16530059837192</v>
      </c>
      <c r="AB124" s="10" t="n">
        <f aca="false">IF(OR(F124="",Z124="",N(AA124)&lt;=0),"",1-NORMDIST(FLOOR(F124,1)+0.5,Z124,AA124,TRUE()))</f>
        <v>0.542025015563206</v>
      </c>
      <c r="AC124" s="10" t="n">
        <f aca="false">IF(AB124="","",NORMDIST(CEILING(F124,1)-0.5,Z124,AA124,TRUE()))</f>
        <v>0.457974984436794</v>
      </c>
      <c r="AD124" s="0" t="str">
        <f aca="false">IF(AB124="","",IF(AB124&gt;=0.5+Config!$B$6,"OVER",IF(AC124&gt;=0.5+Config!$B$6,"UNDER","—")))</f>
        <v>OVER</v>
      </c>
      <c r="AE124" s="13" t="n">
        <f aca="false">IFERROR(Z124/G124,"")</f>
        <v>0.974228593595036</v>
      </c>
    </row>
    <row r="125" customFormat="false" ht="15" hidden="false" customHeight="false" outlineLevel="0" collapsed="false">
      <c r="A125" s="0" t="s">
        <v>1139</v>
      </c>
      <c r="B125" s="0" t="s">
        <v>1056</v>
      </c>
      <c r="C125" s="0" t="s">
        <v>1446</v>
      </c>
      <c r="D125" s="0" t="s">
        <v>1145</v>
      </c>
      <c r="E125" s="0" t="s">
        <v>1286</v>
      </c>
      <c r="F125" s="0" t="n">
        <v>20.5</v>
      </c>
      <c r="G125" s="11" t="n">
        <f aca="false">IFERROR(INDEX(CHOOSE(MATCH($X125,{"K1","K2","K3","K12","K13","H1","H2","H3","H12","H13"},0),Calc!$V$2:$V$137,Calc!$AC$2:$AC$137,Calc!$AJ$2:$AJ$137,Calc!$AL$2:$AL$137,Calc!$AM$2:$AM$137,Calc!$W$2:$W$137,Calc!$AD$2:$AD$137,Calc!$AK$2:$AK$137,Calc!$AN$2:$AN$137,Calc!$AO$2:$AO$137),MATCH($W125,Calc!$A$2:$A$137,0)),"")</f>
        <v>21.9915818097506</v>
      </c>
      <c r="H125" s="11" t="n">
        <f aca="false">IF(G125="","",IF(LEFT($X125,1)="H",SQRT(G125*(IFERROR(INDEX(Calc!$AP$2:$AP$137,MATCH($W125,Calc!$A$2:$A$137,0)),0.5)*Config!$B$5+1-IFERROR(INDEX(Calc!$AP$2:$AP$137,MATCH($W125,Calc!$A$2:$A$137,0)),0.5))),SQRT(G125*Config!$B$5)))</f>
        <v>5.29053233887726</v>
      </c>
      <c r="I125" s="10" t="n">
        <f aca="false">IF(OR(F125="",G125="",N(H125)&lt;=0),"",1-NORMDIST(FLOOR(F125,1)+0.5,G125,H125,TRUE()))</f>
        <v>0.611003003532109</v>
      </c>
      <c r="J125" s="10" t="n">
        <f aca="false">IF(I125="","",NORMDIST(CEILING(F125,1)-0.5,G125,H125,TRUE()))</f>
        <v>0.388996996467891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OVER</v>
      </c>
      <c r="N125" s="0" t="n">
        <v>21.8</v>
      </c>
      <c r="O125" s="10" t="n">
        <v>0.4</v>
      </c>
      <c r="P125" s="10" t="n">
        <v>0.5</v>
      </c>
      <c r="Q125" s="10" t="n">
        <v>0.47</v>
      </c>
      <c r="R125" s="9" t="s">
        <v>1338</v>
      </c>
      <c r="S125" s="0" t="n">
        <v>-1</v>
      </c>
      <c r="T125" s="0" t="str">
        <f aca="false">INDEX(Calc!$G$2:$G$137,MATCH($W125,Calc!$A$2:$A$137,0))&amp;" / "&amp;INDEX(Calc!$H$2:$H$137,MATCH($W125,Calc!$A$2:$A$137,0))</f>
        <v>Ancient / Dust2</v>
      </c>
      <c r="U125" s="0" t="str">
        <f aca="false">TEXT(INDEX(Calc!$J$2:$J$137,MATCH($W125,Calc!$A$2:$A$137,0)),"0.0")&amp;" / "&amp;TEXT(INDEX(Calc!$K$2:$K$137,MATCH($W125,Calc!$A$2:$A$137,0)),"0.0")</f>
        <v>21.3 / 21.1</v>
      </c>
      <c r="V125" s="0" t="str">
        <f aca="false">IFERROR(INDEX(Calc!$AQ$2:$AQ$137,MATCH($W125,Calc!$A$2:$A$137,0)),"")</f>
        <v/>
      </c>
      <c r="W125" s="9" t="s">
        <v>1447</v>
      </c>
      <c r="X125" s="9" t="s">
        <v>1289</v>
      </c>
      <c r="Y125" s="0" t="str">
        <f aca="false">W125&amp;"|"&amp;X125</f>
        <v>w5k5az5ca72wkvb|CS2 · FUT vs NEMI|H12</v>
      </c>
      <c r="Z125" s="11" t="n">
        <f aca="false">IFERROR(INDEX(CHOOSE(MATCH($X125,{"K1","K2","K3","K12","K13","H1","H2","H3","H12","H13"},0),Calc!$BA$2:$BA$137,Calc!$BB$2:$BB$137,Calc!$BC$2:$BC$137,Calc!$BD$2:$BD$137,Calc!$BE$2:$BE$137,Calc!$BF$2:$BF$137,Calc!$BG$2:$BG$137,Calc!$BH$2:$BH$137,Calc!$BI$2:$BI$137,Calc!$BJ$2:$BJ$137),MATCH($W125,Calc!$A$2:$A$137,0)),"")</f>
        <v>21.764164414955</v>
      </c>
      <c r="AA125" s="11" t="n">
        <f aca="false">IF(Z125="","",IF(LEFT($X125,1)="H",SQRT(Z125*(IFERROR(INDEX(Calc!$AP$2:$AP$137,MATCH($W125,Calc!$A$2:$A$137,0)),0.5)*Config!$B$5+1-IFERROR(INDEX(Calc!$AP$2:$AP$137,MATCH($W125,Calc!$A$2:$A$137,0)),0.5))),SQRT(Z125*Config!$B$5)))</f>
        <v>5.26310625874726</v>
      </c>
      <c r="AB125" s="10" t="n">
        <f aca="false">IF(OR(F125="",Z125="",N(AA125)&lt;=0),"",1-NORMDIST(FLOOR(F125,1)+0.5,Z125,AA125,TRUE()))</f>
        <v>0.594909910725182</v>
      </c>
      <c r="AC125" s="10" t="n">
        <f aca="false">IF(AB125="","",NORMDIST(CEILING(F125,1)-0.5,Z125,AA125,TRUE()))</f>
        <v>0.405090089274818</v>
      </c>
      <c r="AD125" s="0" t="str">
        <f aca="false">IF(AB125="","",IF(AB125&gt;=0.5+Config!$B$6,"OVER",IF(AC125&gt;=0.5+Config!$B$6,"UNDER","—")))</f>
        <v>OVER</v>
      </c>
      <c r="AE125" s="13" t="n">
        <f aca="false">IFERROR(Z125/G125,"")</f>
        <v>0.989658888716466</v>
      </c>
    </row>
    <row r="126" customFormat="false" ht="15" hidden="false" customHeight="false" outlineLevel="0" collapsed="false">
      <c r="A126" s="0" t="s">
        <v>1139</v>
      </c>
      <c r="B126" s="0" t="s">
        <v>1056</v>
      </c>
      <c r="C126" s="0" t="s">
        <v>1446</v>
      </c>
      <c r="D126" s="0" t="s">
        <v>1145</v>
      </c>
      <c r="E126" s="0" t="s">
        <v>1290</v>
      </c>
      <c r="F126" s="0" t="n">
        <v>32.5</v>
      </c>
      <c r="G126" s="11" t="n">
        <f aca="false">IFERROR(INDEX(CHOOSE(MATCH($X126,{"K1","K2","K3","K12","K13","H1","H2","H3","H12","H13"},0),Calc!$V$2:$V$137,Calc!$AC$2:$AC$137,Calc!$AJ$2:$AJ$137,Calc!$AL$2:$AL$137,Calc!$AM$2:$AM$137,Calc!$W$2:$W$137,Calc!$AD$2:$AD$137,Calc!$AK$2:$AK$137,Calc!$AN$2:$AN$137,Calc!$AO$2:$AO$137),MATCH($W126,Calc!$A$2:$A$137,0)),"")</f>
        <v>32.2519190476191</v>
      </c>
      <c r="H126" s="11" t="n">
        <f aca="false">IF(G126="","",IF(LEFT($X126,1)="H",SQRT(G126*(IFERROR(INDEX(Calc!$AP$2:$AP$137,MATCH($W126,Calc!$A$2:$A$137,0)),0.5)*Config!$B$5+1-IFERROR(INDEX(Calc!$AP$2:$AP$137,MATCH($W126,Calc!$A$2:$A$137,0)),0.5))),SQRT(G126*Config!$B$5)))</f>
        <v>6.71957488734716</v>
      </c>
      <c r="I126" s="10" t="n">
        <f aca="false">IF(OR(F126="",G126="",N(H126)&lt;=0),"",1-NORMDIST(FLOOR(F126,1)+0.5,G126,H126,TRUE()))</f>
        <v>0.485274737753696</v>
      </c>
      <c r="J126" s="10" t="n">
        <f aca="false">IF(I126="","",NORMDIST(CEILING(F126,1)-0.5,G126,H126,TRUE()))</f>
        <v>0.514725262246304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—</v>
      </c>
      <c r="M126" s="0" t="n">
        <v>33.18</v>
      </c>
      <c r="N126" s="0" t="n">
        <v>33.5</v>
      </c>
      <c r="O126" s="10" t="n">
        <v>0.6</v>
      </c>
      <c r="P126" s="10" t="n">
        <v>0.6</v>
      </c>
      <c r="Q126" s="10" t="n">
        <v>0.47</v>
      </c>
      <c r="R126" s="9" t="s">
        <v>1338</v>
      </c>
      <c r="S126" s="0" t="n">
        <v>2</v>
      </c>
      <c r="T126" s="0" t="str">
        <f aca="false">INDEX(Calc!$G$2:$G$137,MATCH($W126,Calc!$A$2:$A$137,0))&amp;" / "&amp;INDEX(Calc!$H$2:$H$137,MATCH($W126,Calc!$A$2:$A$137,0))</f>
        <v>Ancient / Dust2</v>
      </c>
      <c r="U126" s="0" t="str">
        <f aca="false">TEXT(INDEX(Calc!$J$2:$J$137,MATCH($W126,Calc!$A$2:$A$137,0)),"0.0")&amp;" / "&amp;TEXT(INDEX(Calc!$K$2:$K$137,MATCH($W126,Calc!$A$2:$A$137,0)),"0.0")</f>
        <v>21.3 / 21.1</v>
      </c>
      <c r="V126" s="0" t="str">
        <f aca="false">IFERROR(INDEX(Calc!$AQ$2:$AQ$137,MATCH($W126,Calc!$A$2:$A$137,0)),"")</f>
        <v/>
      </c>
      <c r="W126" s="9" t="s">
        <v>1447</v>
      </c>
      <c r="X126" s="9" t="s">
        <v>1291</v>
      </c>
      <c r="Y126" s="0" t="str">
        <f aca="false">W126&amp;"|"&amp;X126</f>
        <v>w5k5az5ca72wkvb|CS2 · FUT vs NEMI|K12</v>
      </c>
      <c r="Z126" s="11" t="n">
        <f aca="false">IFERROR(INDEX(CHOOSE(MATCH($X126,{"K1","K2","K3","K12","K13","H1","H2","H3","H12","H13"},0),Calc!$BA$2:$BA$137,Calc!$BB$2:$BB$137,Calc!$BC$2:$BC$137,Calc!$BD$2:$BD$137,Calc!$BE$2:$BE$137,Calc!$BF$2:$BF$137,Calc!$BG$2:$BG$137,Calc!$BH$2:$BH$137,Calc!$BI$2:$BI$137,Calc!$BJ$2:$BJ$137),MATCH($W126,Calc!$A$2:$A$137,0)),"")</f>
        <v>31.918440471477</v>
      </c>
      <c r="AA126" s="11" t="n">
        <f aca="false">IF(Z126="","",IF(LEFT($X126,1)="H",SQRT(Z126*(IFERROR(INDEX(Calc!$AP$2:$AP$137,MATCH($W126,Calc!$A$2:$A$137,0)),0.5)*Config!$B$5+1-IFERROR(INDEX(Calc!$AP$2:$AP$137,MATCH($W126,Calc!$A$2:$A$137,0)),0.5))),SQRT(Z126*Config!$B$5)))</f>
        <v>6.68474507068653</v>
      </c>
      <c r="AB126" s="10" t="n">
        <f aca="false">IF(OR(F126="",Z126="",N(AA126)&lt;=0),"",1-NORMDIST(FLOOR(F126,1)+0.5,Z126,AA126,TRUE()))</f>
        <v>0.465336546355186</v>
      </c>
      <c r="AC126" s="10" t="n">
        <f aca="false">IF(AB126="","",NORMDIST(CEILING(F126,1)-0.5,Z126,AA126,TRUE()))</f>
        <v>0.534663453644815</v>
      </c>
      <c r="AD126" s="0" t="str">
        <f aca="false">IF(AB126="","",IF(AB126&gt;=0.5+Config!$B$6,"OVER",IF(AC126&gt;=0.5+Config!$B$6,"UNDER","—")))</f>
        <v>—</v>
      </c>
      <c r="AE126" s="13" t="n">
        <f aca="false">IFERROR(Z126/G126,"")</f>
        <v>0.989660194308139</v>
      </c>
    </row>
    <row r="127" customFormat="false" ht="15" hidden="false" customHeight="false" outlineLevel="0" collapsed="false">
      <c r="A127" s="0" t="s">
        <v>1139</v>
      </c>
      <c r="B127" s="0" t="s">
        <v>1056</v>
      </c>
      <c r="C127" s="0" t="s">
        <v>1448</v>
      </c>
      <c r="D127" s="0" t="s">
        <v>1145</v>
      </c>
      <c r="E127" s="0" t="s">
        <v>1286</v>
      </c>
      <c r="F127" s="0" t="n">
        <v>15.5</v>
      </c>
      <c r="G127" s="11" t="n">
        <f aca="false">IFERROR(INDEX(CHOOSE(MATCH($X127,{"K1","K2","K3","K12","K13","H1","H2","H3","H12","H13"},0),Calc!$V$2:$V$137,Calc!$AC$2:$AC$137,Calc!$AJ$2:$AJ$137,Calc!$AL$2:$AL$137,Calc!$AM$2:$AM$137,Calc!$W$2:$W$137,Calc!$AD$2:$AD$137,Calc!$AK$2:$AK$137,Calc!$AN$2:$AN$137,Calc!$AO$2:$AO$137),MATCH($W127,Calc!$A$2:$A$137,0)),"")</f>
        <v>14.3073077553288</v>
      </c>
      <c r="H127" s="11" t="n">
        <f aca="false">IF(G127="","",IF(LEFT($X127,1)="H",SQRT(G127*(IFERROR(INDEX(Calc!$AP$2:$AP$137,MATCH($W127,Calc!$A$2:$A$137,0)),0.5)*Config!$B$5+1-IFERROR(INDEX(Calc!$AP$2:$AP$137,MATCH($W127,Calc!$A$2:$A$137,0)),0.5))),SQRT(G127*Config!$B$5)))</f>
        <v>4.18356404743806</v>
      </c>
      <c r="I127" s="10" t="n">
        <f aca="false">IF(OR(F127="",G127="",N(H127)&lt;=0),"",1-NORMDIST(FLOOR(F127,1)+0.5,G127,H127,TRUE()))</f>
        <v>0.387787598281342</v>
      </c>
      <c r="J127" s="10" t="n">
        <f aca="false">IF(I127="","",NORMDIST(CEILING(F127,1)-0.5,G127,H127,TRUE()))</f>
        <v>0.612212401718658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UNDER</v>
      </c>
      <c r="N127" s="0" t="n">
        <v>12.8</v>
      </c>
      <c r="O127" s="10" t="n">
        <v>0</v>
      </c>
      <c r="P127" s="10" t="n">
        <v>0.1</v>
      </c>
      <c r="Q127" s="10" t="n">
        <v>0.33</v>
      </c>
      <c r="R127" s="9" t="s">
        <v>1338</v>
      </c>
      <c r="S127" s="0" t="n">
        <v>-7</v>
      </c>
      <c r="T127" s="0" t="str">
        <f aca="false">INDEX(Calc!$G$2:$G$137,MATCH($W127,Calc!$A$2:$A$137,0))&amp;" / "&amp;INDEX(Calc!$H$2:$H$137,MATCH($W127,Calc!$A$2:$A$137,0))</f>
        <v>Ancient / Dust2</v>
      </c>
      <c r="U127" s="0" t="str">
        <f aca="false">TEXT(INDEX(Calc!$J$2:$J$137,MATCH($W127,Calc!$A$2:$A$137,0)),"0.0")&amp;" / "&amp;TEXT(INDEX(Calc!$K$2:$K$137,MATCH($W127,Calc!$A$2:$A$137,0)),"0.0")</f>
        <v>21.3 / 21.1</v>
      </c>
      <c r="V127" s="0" t="str">
        <f aca="false">IFERROR(INDEX(Calc!$AQ$2:$AQ$137,MATCH($W127,Calc!$A$2:$A$137,0)),"")</f>
        <v/>
      </c>
      <c r="W127" s="9" t="s">
        <v>1449</v>
      </c>
      <c r="X127" s="9" t="s">
        <v>1289</v>
      </c>
      <c r="Y127" s="0" t="str">
        <f aca="false">W127&amp;"|"&amp;X127</f>
        <v>jf6rt002svd50mx|CS2 · FUT vs NEMI|H12</v>
      </c>
      <c r="Z127" s="11" t="n">
        <f aca="false">IFERROR(INDEX(CHOOSE(MATCH($X127,{"K1","K2","K3","K12","K13","H1","H2","H3","H12","H13"},0),Calc!$BA$2:$BA$137,Calc!$BB$2:$BB$137,Calc!$BC$2:$BC$137,Calc!$BD$2:$BD$137,Calc!$BE$2:$BE$137,Calc!$BF$2:$BF$137,Calc!$BG$2:$BG$137,Calc!$BH$2:$BH$137,Calc!$BI$2:$BI$137,Calc!$BJ$2:$BJ$137),MATCH($W127,Calc!$A$2:$A$137,0)),"")</f>
        <v>14.1603387182504</v>
      </c>
      <c r="AA127" s="11" t="n">
        <f aca="false">IF(Z127="","",IF(LEFT($X127,1)="H",SQRT(Z127*(IFERROR(INDEX(Calc!$AP$2:$AP$137,MATCH($W127,Calc!$A$2:$A$137,0)),0.5)*Config!$B$5+1-IFERROR(INDEX(Calc!$AP$2:$AP$137,MATCH($W127,Calc!$A$2:$A$137,0)),0.5))),SQRT(Z127*Config!$B$5)))</f>
        <v>4.16202115671536</v>
      </c>
      <c r="AB127" s="10" t="n">
        <f aca="false">IF(OR(F127="",Z127="",N(AA127)&lt;=0),"",1-NORMDIST(FLOOR(F127,1)+0.5,Z127,AA127,TRUE()))</f>
        <v>0.373772720772093</v>
      </c>
      <c r="AC127" s="10" t="n">
        <f aca="false">IF(AB127="","",NORMDIST(CEILING(F127,1)-0.5,Z127,AA127,TRUE()))</f>
        <v>0.626227279227907</v>
      </c>
      <c r="AD127" s="0" t="str">
        <f aca="false">IF(AB127="","",IF(AB127&gt;=0.5+Config!$B$6,"OVER",IF(AC127&gt;=0.5+Config!$B$6,"UNDER","—")))</f>
        <v>UNDER</v>
      </c>
      <c r="AE127" s="13" t="n">
        <f aca="false">IFERROR(Z127/G127,"")</f>
        <v>0.98972769443478</v>
      </c>
    </row>
    <row r="128" customFormat="false" ht="15" hidden="false" customHeight="false" outlineLevel="0" collapsed="false">
      <c r="A128" s="0" t="s">
        <v>1139</v>
      </c>
      <c r="B128" s="0" t="s">
        <v>1056</v>
      </c>
      <c r="C128" s="0" t="s">
        <v>1448</v>
      </c>
      <c r="D128" s="0" t="s">
        <v>1145</v>
      </c>
      <c r="E128" s="0" t="s">
        <v>1290</v>
      </c>
      <c r="F128" s="0" t="n">
        <v>26.5</v>
      </c>
      <c r="G128" s="11" t="n">
        <f aca="false">IFERROR(INDEX(CHOOSE(MATCH($X128,{"K1","K2","K3","K12","K13","H1","H2","H3","H12","H13"},0),Calc!$V$2:$V$137,Calc!$AC$2:$AC$137,Calc!$AJ$2:$AJ$137,Calc!$AL$2:$AL$137,Calc!$AM$2:$AM$137,Calc!$W$2:$W$137,Calc!$AD$2:$AD$137,Calc!$AK$2:$AK$137,Calc!$AN$2:$AN$137,Calc!$AO$2:$AO$137),MATCH($W128,Calc!$A$2:$A$137,0)),"")</f>
        <v>25.6282238095238</v>
      </c>
      <c r="H128" s="11" t="n">
        <f aca="false">IF(G128="","",IF(LEFT($X128,1)="H",SQRT(G128*(IFERROR(INDEX(Calc!$AP$2:$AP$137,MATCH($W128,Calc!$A$2:$A$137,0)),0.5)*Config!$B$5+1-IFERROR(INDEX(Calc!$AP$2:$AP$137,MATCH($W128,Calc!$A$2:$A$137,0)),0.5))),SQRT(G128*Config!$B$5)))</f>
        <v>5.98995102929342</v>
      </c>
      <c r="I128" s="10" t="n">
        <f aca="false">IF(OR(F128="",G128="",N(H128)&lt;=0),"",1-NORMDIST(FLOOR(F128,1)+0.5,G128,H128,TRUE()))</f>
        <v>0.44214235275874</v>
      </c>
      <c r="J128" s="10" t="n">
        <f aca="false">IF(I128="","",NORMDIST(CEILING(F128,1)-0.5,G128,H128,TRUE()))</f>
        <v>0.55785764724126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UNDER</v>
      </c>
      <c r="M128" s="0" t="n">
        <v>26.82</v>
      </c>
      <c r="N128" s="0" t="n">
        <v>24.1</v>
      </c>
      <c r="O128" s="10" t="n">
        <v>0</v>
      </c>
      <c r="P128" s="10" t="n">
        <v>0.2</v>
      </c>
      <c r="Q128" s="10" t="n">
        <v>0.4</v>
      </c>
      <c r="R128" s="9" t="s">
        <v>1338</v>
      </c>
      <c r="S128" s="0" t="n">
        <v>-7</v>
      </c>
      <c r="T128" s="0" t="str">
        <f aca="false">INDEX(Calc!$G$2:$G$137,MATCH($W128,Calc!$A$2:$A$137,0))&amp;" / "&amp;INDEX(Calc!$H$2:$H$137,MATCH($W128,Calc!$A$2:$A$137,0))</f>
        <v>Ancient / Dust2</v>
      </c>
      <c r="U128" s="0" t="str">
        <f aca="false">TEXT(INDEX(Calc!$J$2:$J$137,MATCH($W128,Calc!$A$2:$A$137,0)),"0.0")&amp;" / "&amp;TEXT(INDEX(Calc!$K$2:$K$137,MATCH($W128,Calc!$A$2:$A$137,0)),"0.0")</f>
        <v>21.3 / 21.1</v>
      </c>
      <c r="V128" s="0" t="str">
        <f aca="false">IFERROR(INDEX(Calc!$AQ$2:$AQ$137,MATCH($W128,Calc!$A$2:$A$137,0)),"")</f>
        <v/>
      </c>
      <c r="W128" s="9" t="s">
        <v>1449</v>
      </c>
      <c r="X128" s="9" t="s">
        <v>1291</v>
      </c>
      <c r="Y128" s="0" t="str">
        <f aca="false">W128&amp;"|"&amp;X128</f>
        <v>jf6rt002svd50mx|CS2 · FUT vs NEMI|K12</v>
      </c>
      <c r="Z128" s="11" t="n">
        <f aca="false">IFERROR(INDEX(CHOOSE(MATCH($X128,{"K1","K2","K3","K12","K13","H1","H2","H3","H12","H13"},0),Calc!$BA$2:$BA$137,Calc!$BB$2:$BB$137,Calc!$BC$2:$BC$137,Calc!$BD$2:$BD$137,Calc!$BE$2:$BE$137,Calc!$BF$2:$BF$137,Calc!$BG$2:$BG$137,Calc!$BH$2:$BH$137,Calc!$BI$2:$BI$137,Calc!$BJ$2:$BJ$137),MATCH($W128,Calc!$A$2:$A$137,0)),"")</f>
        <v>25.3640755721348</v>
      </c>
      <c r="AA128" s="11" t="n">
        <f aca="false">IF(Z128="","",IF(LEFT($X128,1)="H",SQRT(Z128*(IFERROR(INDEX(Calc!$AP$2:$AP$137,MATCH($W128,Calc!$A$2:$A$137,0)),0.5)*Config!$B$5+1-IFERROR(INDEX(Calc!$AP$2:$AP$137,MATCH($W128,Calc!$A$2:$A$137,0)),0.5))),SQRT(Z128*Config!$B$5)))</f>
        <v>5.95900208096865</v>
      </c>
      <c r="AB128" s="10" t="n">
        <f aca="false">IF(OR(F128="",Z128="",N(AA128)&lt;=0),"",1-NORMDIST(FLOOR(F128,1)+0.5,Z128,AA128,TRUE()))</f>
        <v>0.424410381116356</v>
      </c>
      <c r="AC128" s="10" t="n">
        <f aca="false">IF(AB128="","",NORMDIST(CEILING(F128,1)-0.5,Z128,AA128,TRUE()))</f>
        <v>0.575589618883644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0.989693072787555</v>
      </c>
    </row>
    <row r="129" customFormat="false" ht="15" hidden="false" customHeight="false" outlineLevel="0" collapsed="false">
      <c r="A129" s="0" t="s">
        <v>1139</v>
      </c>
      <c r="B129" s="0" t="s">
        <v>1056</v>
      </c>
      <c r="C129" s="0" t="s">
        <v>1450</v>
      </c>
      <c r="D129" s="0" t="s">
        <v>1145</v>
      </c>
      <c r="E129" s="0" t="s">
        <v>1286</v>
      </c>
      <c r="F129" s="0" t="n">
        <v>17.5</v>
      </c>
      <c r="G129" s="11" t="n">
        <f aca="false">IFERROR(INDEX(CHOOSE(MATCH($X129,{"K1","K2","K3","K12","K13","H1","H2","H3","H12","H13"},0),Calc!$V$2:$V$137,Calc!$AC$2:$AC$137,Calc!$AJ$2:$AJ$137,Calc!$AL$2:$AL$137,Calc!$AM$2:$AM$137,Calc!$W$2:$W$137,Calc!$AD$2:$AD$137,Calc!$AK$2:$AK$137,Calc!$AN$2:$AN$137,Calc!$AO$2:$AO$137),MATCH($W129,Calc!$A$2:$A$137,0)),"")</f>
        <v>16.9900112687075</v>
      </c>
      <c r="H129" s="11" t="n">
        <f aca="false">IF(G129="","",IF(LEFT($X129,1)="H",SQRT(G129*(IFERROR(INDEX(Calc!$AP$2:$AP$137,MATCH($W129,Calc!$A$2:$A$137,0)),0.5)*Config!$B$5+1-IFERROR(INDEX(Calc!$AP$2:$AP$137,MATCH($W129,Calc!$A$2:$A$137,0)),0.5))),SQRT(G129*Config!$B$5)))</f>
        <v>4.55726300100236</v>
      </c>
      <c r="I129" s="10" t="n">
        <f aca="false">IF(OR(F129="",G129="",N(H129)&lt;=0),"",1-NORMDIST(FLOOR(F129,1)+0.5,G129,H129,TRUE()))</f>
        <v>0.455448651375063</v>
      </c>
      <c r="J129" s="10" t="n">
        <f aca="false">IF(I129="","",NORMDIST(CEILING(F129,1)-0.5,G129,H129,TRUE()))</f>
        <v>0.544551348624937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UNDER</v>
      </c>
      <c r="N129" s="0" t="n">
        <v>18</v>
      </c>
      <c r="O129" s="10" t="n">
        <v>0.6</v>
      </c>
      <c r="P129" s="10" t="n">
        <v>0.5</v>
      </c>
      <c r="Q129" s="10" t="n">
        <v>0.33</v>
      </c>
      <c r="R129" s="9" t="s">
        <v>1338</v>
      </c>
      <c r="S129" s="0" t="n">
        <v>-1</v>
      </c>
      <c r="T129" s="0" t="str">
        <f aca="false">INDEX(Calc!$G$2:$G$137,MATCH($W129,Calc!$A$2:$A$137,0))&amp;" / "&amp;INDEX(Calc!$H$2:$H$137,MATCH($W129,Calc!$A$2:$A$137,0))</f>
        <v>Ancient / Dust2</v>
      </c>
      <c r="U129" s="0" t="str">
        <f aca="false">TEXT(INDEX(Calc!$J$2:$J$137,MATCH($W129,Calc!$A$2:$A$137,0)),"0.0")&amp;" / "&amp;TEXT(INDEX(Calc!$K$2:$K$137,MATCH($W129,Calc!$A$2:$A$137,0)),"0.0")</f>
        <v>21.3 / 21.1</v>
      </c>
      <c r="V129" s="0" t="str">
        <f aca="false">IFERROR(INDEX(Calc!$AQ$2:$AQ$137,MATCH($W129,Calc!$A$2:$A$137,0)),"")</f>
        <v/>
      </c>
      <c r="W129" s="9" t="s">
        <v>1451</v>
      </c>
      <c r="X129" s="9" t="s">
        <v>1289</v>
      </c>
      <c r="Y129" s="0" t="str">
        <f aca="false">W129&amp;"|"&amp;X129</f>
        <v>rhz6c2hq5wcant1|CS2 · FUT vs NEMI|H12</v>
      </c>
      <c r="Z129" s="11" t="n">
        <f aca="false">IFERROR(INDEX(CHOOSE(MATCH($X129,{"K1","K2","K3","K12","K13","H1","H2","H3","H12","H13"},0),Calc!$BA$2:$BA$137,Calc!$BB$2:$BB$137,Calc!$BC$2:$BC$137,Calc!$BD$2:$BD$137,Calc!$BE$2:$BE$137,Calc!$BF$2:$BF$137,Calc!$BG$2:$BG$137,Calc!$BH$2:$BH$137,Calc!$BI$2:$BI$137,Calc!$BJ$2:$BJ$137),MATCH($W129,Calc!$A$2:$A$137,0)),"")</f>
        <v>16.8141806277849</v>
      </c>
      <c r="AA129" s="11" t="n">
        <f aca="false">IF(Z129="","",IF(LEFT($X129,1)="H",SQRT(Z129*(IFERROR(INDEX(Calc!$AP$2:$AP$137,MATCH($W129,Calc!$A$2:$A$137,0)),0.5)*Config!$B$5+1-IFERROR(INDEX(Calc!$AP$2:$AP$137,MATCH($W129,Calc!$A$2:$A$137,0)),0.5))),SQRT(Z129*Config!$B$5)))</f>
        <v>4.53361997771538</v>
      </c>
      <c r="AB129" s="10" t="n">
        <f aca="false">IF(OR(F129="",Z129="",N(AA129)&lt;=0),"",1-NORMDIST(FLOOR(F129,1)+0.5,Z129,AA129,TRUE()))</f>
        <v>0.439879741815416</v>
      </c>
      <c r="AC129" s="10" t="n">
        <f aca="false">IF(AB129="","",NORMDIST(CEILING(F129,1)-0.5,Z129,AA129,TRUE()))</f>
        <v>0.560120258184584</v>
      </c>
      <c r="AD129" s="0" t="str">
        <f aca="false">IF(AB129="","",IF(AB129&gt;=0.5+Config!$B$6,"OVER",IF(AC129&gt;=0.5+Config!$B$6,"UNDER","—")))</f>
        <v>UNDER</v>
      </c>
      <c r="AE129" s="13" t="n">
        <f aca="false">IFERROR(Z129/G129,"")</f>
        <v>0.989650940300056</v>
      </c>
    </row>
    <row r="130" customFormat="false" ht="15" hidden="false" customHeight="false" outlineLevel="0" collapsed="false">
      <c r="A130" s="0" t="s">
        <v>1139</v>
      </c>
      <c r="B130" s="0" t="s">
        <v>1056</v>
      </c>
      <c r="C130" s="0" t="s">
        <v>1450</v>
      </c>
      <c r="D130" s="0" t="s">
        <v>1145</v>
      </c>
      <c r="E130" s="0" t="s">
        <v>1290</v>
      </c>
      <c r="F130" s="0" t="n">
        <v>30.5</v>
      </c>
      <c r="G130" s="11" t="n">
        <f aca="false">IFERROR(INDEX(CHOOSE(MATCH($X130,{"K1","K2","K3","K12","K13","H1","H2","H3","H12","H13"},0),Calc!$V$2:$V$137,Calc!$AC$2:$AC$137,Calc!$AJ$2:$AJ$137,Calc!$AL$2:$AL$137,Calc!$AM$2:$AM$137,Calc!$W$2:$W$137,Calc!$AD$2:$AD$137,Calc!$AK$2:$AK$137,Calc!$AN$2:$AN$137,Calc!$AO$2:$AO$137),MATCH($W130,Calc!$A$2:$A$137,0)),"")</f>
        <v>30.557119047619</v>
      </c>
      <c r="H130" s="11" t="n">
        <f aca="false">IF(G130="","",IF(LEFT($X130,1)="H",SQRT(G130*(IFERROR(INDEX(Calc!$AP$2:$AP$137,MATCH($W130,Calc!$A$2:$A$137,0)),0.5)*Config!$B$5+1-IFERROR(INDEX(Calc!$AP$2:$AP$137,MATCH($W130,Calc!$A$2:$A$137,0)),0.5))),SQRT(G130*Config!$B$5)))</f>
        <v>6.54063962213686</v>
      </c>
      <c r="I130" s="10" t="n">
        <f aca="false">IF(OR(F130="",G130="",N(H130)&lt;=0),"",1-NORMDIST(FLOOR(F130,1)+0.5,G130,H130,TRUE()))</f>
        <v>0.503483896803591</v>
      </c>
      <c r="J130" s="10" t="n">
        <f aca="false">IF(I130="","",NORMDIST(CEILING(F130,1)-0.5,G130,H130,TRUE()))</f>
        <v>0.496516103196409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—</v>
      </c>
      <c r="M130" s="0" t="n">
        <v>30.94</v>
      </c>
      <c r="N130" s="0" t="n">
        <v>30.4</v>
      </c>
      <c r="O130" s="10" t="n">
        <v>0.2</v>
      </c>
      <c r="P130" s="10" t="n">
        <v>0.4</v>
      </c>
      <c r="Q130" s="10" t="n">
        <v>0.53</v>
      </c>
      <c r="R130" s="9" t="s">
        <v>1338</v>
      </c>
      <c r="S130" s="0" t="n">
        <v>-2</v>
      </c>
      <c r="T130" s="0" t="str">
        <f aca="false">INDEX(Calc!$G$2:$G$137,MATCH($W130,Calc!$A$2:$A$137,0))&amp;" / "&amp;INDEX(Calc!$H$2:$H$137,MATCH($W130,Calc!$A$2:$A$137,0))</f>
        <v>Ancient / Dust2</v>
      </c>
      <c r="U130" s="0" t="str">
        <f aca="false">TEXT(INDEX(Calc!$J$2:$J$137,MATCH($W130,Calc!$A$2:$A$137,0)),"0.0")&amp;" / "&amp;TEXT(INDEX(Calc!$K$2:$K$137,MATCH($W130,Calc!$A$2:$A$137,0)),"0.0")</f>
        <v>21.3 / 21.1</v>
      </c>
      <c r="V130" s="0" t="str">
        <f aca="false">IFERROR(INDEX(Calc!$AQ$2:$AQ$137,MATCH($W130,Calc!$A$2:$A$137,0)),"")</f>
        <v/>
      </c>
      <c r="W130" s="9" t="s">
        <v>1451</v>
      </c>
      <c r="X130" s="9" t="s">
        <v>1291</v>
      </c>
      <c r="Y130" s="0" t="str">
        <f aca="false">W130&amp;"|"&amp;X130</f>
        <v>rhz6c2hq5wcant1|CS2 · FUT vs NEMI|K12</v>
      </c>
      <c r="Z130" s="11" t="n">
        <f aca="false">IFERROR(INDEX(CHOOSE(MATCH($X130,{"K1","K2","K3","K12","K13","H1","H2","H3","H12","H13"},0),Calc!$BA$2:$BA$137,Calc!$BB$2:$BB$137,Calc!$BC$2:$BC$137,Calc!$BD$2:$BD$137,Calc!$BE$2:$BE$137,Calc!$BF$2:$BF$137,Calc!$BG$2:$BG$137,Calc!$BH$2:$BH$137,Calc!$BI$2:$BI$137,Calc!$BJ$2:$BJ$137),MATCH($W130,Calc!$A$2:$A$137,0)),"")</f>
        <v>30.2419017720918</v>
      </c>
      <c r="AA130" s="11" t="n">
        <f aca="false">IF(Z130="","",IF(LEFT($X130,1)="H",SQRT(Z130*(IFERROR(INDEX(Calc!$AP$2:$AP$137,MATCH($W130,Calc!$A$2:$A$137,0)),0.5)*Config!$B$5+1-IFERROR(INDEX(Calc!$AP$2:$AP$137,MATCH($W130,Calc!$A$2:$A$137,0)),0.5))),SQRT(Z130*Config!$B$5)))</f>
        <v>6.50681661651291</v>
      </c>
      <c r="AB130" s="10" t="n">
        <f aca="false">IF(OR(F130="",Z130="",N(AA130)&lt;=0),"",1-NORMDIST(FLOOR(F130,1)+0.5,Z130,AA130,TRUE()))</f>
        <v>0.484179775266463</v>
      </c>
      <c r="AC130" s="10" t="n">
        <f aca="false">IF(AB130="","",NORMDIST(CEILING(F130,1)-0.5,Z130,AA130,TRUE()))</f>
        <v>0.515820224733537</v>
      </c>
      <c r="AD130" s="0" t="str">
        <f aca="false">IF(AB130="","",IF(AB130&gt;=0.5+Config!$B$6,"OVER",IF(AC130&gt;=0.5+Config!$B$6,"UNDER","—")))</f>
        <v>—</v>
      </c>
      <c r="AE130" s="13" t="n">
        <f aca="false">IFERROR(Z130/G130,"")</f>
        <v>0.989684326096448</v>
      </c>
    </row>
    <row r="131" customFormat="false" ht="15" hidden="false" customHeight="false" outlineLevel="0" collapsed="false">
      <c r="A131" s="0" t="s">
        <v>1139</v>
      </c>
      <c r="B131" s="0" t="s">
        <v>1056</v>
      </c>
      <c r="C131" s="0" t="s">
        <v>1452</v>
      </c>
      <c r="D131" s="0" t="s">
        <v>1145</v>
      </c>
      <c r="E131" s="0" t="s">
        <v>1286</v>
      </c>
      <c r="F131" s="0" t="n">
        <v>11.5</v>
      </c>
      <c r="G131" s="11" t="n">
        <f aca="false">IFERROR(INDEX(CHOOSE(MATCH($X131,{"K1","K2","K3","K12","K13","H1","H2","H3","H12","H13"},0),Calc!$V$2:$V$137,Calc!$AC$2:$AC$137,Calc!$AJ$2:$AJ$137,Calc!$AL$2:$AL$137,Calc!$AM$2:$AM$137,Calc!$W$2:$W$137,Calc!$AD$2:$AD$137,Calc!$AK$2:$AK$137,Calc!$AN$2:$AN$137,Calc!$AO$2:$AO$137),MATCH($W131,Calc!$A$2:$A$137,0)),"")</f>
        <v>9.72923654867231</v>
      </c>
      <c r="H131" s="11" t="n">
        <f aca="false">IF(G131="","",IF(LEFT($X131,1)="H",SQRT(G131*(IFERROR(INDEX(Calc!$AP$2:$AP$137,MATCH($W131,Calc!$A$2:$A$137,0)),0.5)*Config!$B$5+1-IFERROR(INDEX(Calc!$AP$2:$AP$137,MATCH($W131,Calc!$A$2:$A$137,0)),0.5))),SQRT(G131*Config!$B$5)))</f>
        <v>3.32519865307514</v>
      </c>
      <c r="I131" s="10" t="n">
        <f aca="false">IF(OR(F131="",G131="",N(H131)&lt;=0),"",1-NORMDIST(FLOOR(F131,1)+0.5,G131,H131,TRUE()))</f>
        <v>0.297179962378414</v>
      </c>
      <c r="J131" s="10" t="n">
        <f aca="false">IF(I131="","",NORMDIST(CEILING(F131,1)-0.5,G131,H131,TRUE()))</f>
        <v>0.702820037621586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UNDER</v>
      </c>
      <c r="N131" s="0" t="n">
        <v>10.4</v>
      </c>
      <c r="O131" s="10" t="n">
        <v>0.6</v>
      </c>
      <c r="P131" s="10" t="n">
        <v>0.3</v>
      </c>
      <c r="Q131" s="10" t="n">
        <v>0.27</v>
      </c>
      <c r="R131" s="9" t="s">
        <v>1439</v>
      </c>
      <c r="S131" s="0" t="n">
        <v>1</v>
      </c>
      <c r="T131" s="0" t="str">
        <f aca="false">INDEX(Calc!$G$2:$G$137,MATCH($W131,Calc!$A$2:$A$137,0))&amp;" / "&amp;INDEX(Calc!$H$2:$H$137,MATCH($W131,Calc!$A$2:$A$137,0))</f>
        <v>Ancient / Dust2</v>
      </c>
      <c r="U131" s="0" t="str">
        <f aca="false">TEXT(INDEX(Calc!$J$2:$J$137,MATCH($W131,Calc!$A$2:$A$137,0)),"0.0")&amp;" / "&amp;TEXT(INDEX(Calc!$K$2:$K$137,MATCH($W131,Calc!$A$2:$A$137,0)),"0.0")</f>
        <v>21.3 / 21.1</v>
      </c>
      <c r="V131" s="0" t="str">
        <f aca="false">IFERROR(INDEX(Calc!$AQ$2:$AQ$137,MATCH($W131,Calc!$A$2:$A$137,0)),"")</f>
        <v/>
      </c>
      <c r="W131" s="9" t="s">
        <v>1453</v>
      </c>
      <c r="X131" s="9" t="s">
        <v>1289</v>
      </c>
      <c r="Y131" s="0" t="str">
        <f aca="false">W131&amp;"|"&amp;X131</f>
        <v>xwyhvw38gardzpx|CS2 · FUT vs NEMI|H12</v>
      </c>
      <c r="Z131" s="11" t="n">
        <f aca="false">IFERROR(INDEX(CHOOSE(MATCH($X131,{"K1","K2","K3","K12","K13","H1","H2","H3","H12","H13"},0),Calc!$BA$2:$BA$137,Calc!$BB$2:$BB$137,Calc!$BC$2:$BC$137,Calc!$BD$2:$BD$137,Calc!$BE$2:$BE$137,Calc!$BF$2:$BF$137,Calc!$BG$2:$BG$137,Calc!$BH$2:$BH$137,Calc!$BI$2:$BI$137,Calc!$BJ$2:$BJ$137),MATCH($W131,Calc!$A$2:$A$137,0)),"")</f>
        <v>9.62860472400772</v>
      </c>
      <c r="AA131" s="11" t="n">
        <f aca="false">IF(Z131="","",IF(LEFT($X131,1)="H",SQRT(Z131*(IFERROR(INDEX(Calc!$AP$2:$AP$137,MATCH($W131,Calc!$A$2:$A$137,0)),0.5)*Config!$B$5+1-IFERROR(INDEX(Calc!$AP$2:$AP$137,MATCH($W131,Calc!$A$2:$A$137,0)),0.5))),SQRT(Z131*Config!$B$5)))</f>
        <v>3.3079572911289</v>
      </c>
      <c r="AB131" s="10" t="n">
        <f aca="false">IF(OR(F131="",Z131="",N(AA131)&lt;=0),"",1-NORMDIST(FLOOR(F131,1)+0.5,Z131,AA131,TRUE()))</f>
        <v>0.285790251949821</v>
      </c>
      <c r="AC131" s="10" t="n">
        <f aca="false">IF(AB131="","",NORMDIST(CEILING(F131,1)-0.5,Z131,AA131,TRUE()))</f>
        <v>0.714209748050179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0.989656760408573</v>
      </c>
    </row>
    <row r="132" customFormat="false" ht="15" hidden="false" customHeight="false" outlineLevel="0" collapsed="false">
      <c r="A132" s="0" t="s">
        <v>1139</v>
      </c>
      <c r="B132" s="0" t="s">
        <v>1056</v>
      </c>
      <c r="C132" s="0" t="s">
        <v>1452</v>
      </c>
      <c r="D132" s="0" t="s">
        <v>1145</v>
      </c>
      <c r="E132" s="0" t="s">
        <v>1290</v>
      </c>
      <c r="F132" s="0" t="n">
        <v>31.5</v>
      </c>
      <c r="G132" s="11" t="n">
        <f aca="false">IFERROR(INDEX(CHOOSE(MATCH($X132,{"K1","K2","K3","K12","K13","H1","H2","H3","H12","H13"},0),Calc!$V$2:$V$137,Calc!$AC$2:$AC$137,Calc!$AJ$2:$AJ$137,Calc!$AL$2:$AL$137,Calc!$AM$2:$AM$137,Calc!$W$2:$W$137,Calc!$AD$2:$AD$137,Calc!$AK$2:$AK$137,Calc!$AN$2:$AN$137,Calc!$AO$2:$AO$137),MATCH($W132,Calc!$A$2:$A$137,0)),"")</f>
        <v>28.5176965034965</v>
      </c>
      <c r="H132" s="11" t="n">
        <f aca="false">IF(G132="","",IF(LEFT($X132,1)="H",SQRT(G132*(IFERROR(INDEX(Calc!$AP$2:$AP$137,MATCH($W132,Calc!$A$2:$A$137,0)),0.5)*Config!$B$5+1-IFERROR(INDEX(Calc!$AP$2:$AP$137,MATCH($W132,Calc!$A$2:$A$137,0)),0.5))),SQRT(G132*Config!$B$5)))</f>
        <v>6.31860547153366</v>
      </c>
      <c r="I132" s="10" t="n">
        <f aca="false">IF(OR(F132="",G132="",N(H132)&lt;=0),"",1-NORMDIST(FLOOR(F132,1)+0.5,G132,H132,TRUE()))</f>
        <v>0.318467816079501</v>
      </c>
      <c r="J132" s="10" t="n">
        <f aca="false">IF(I132="","",NORMDIST(CEILING(F132,1)-0.5,G132,H132,TRUE()))</f>
        <v>0.6815321839205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M132" s="0" t="n">
        <v>30.46</v>
      </c>
      <c r="N132" s="0" t="n">
        <v>29.7</v>
      </c>
      <c r="O132" s="10" t="n">
        <v>1</v>
      </c>
      <c r="P132" s="10" t="n">
        <v>0.5</v>
      </c>
      <c r="Q132" s="10" t="n">
        <v>0.4</v>
      </c>
      <c r="R132" s="9" t="s">
        <v>1454</v>
      </c>
      <c r="S132" s="0" t="n">
        <v>5</v>
      </c>
      <c r="T132" s="0" t="str">
        <f aca="false">INDEX(Calc!$G$2:$G$137,MATCH($W132,Calc!$A$2:$A$137,0))&amp;" / "&amp;INDEX(Calc!$H$2:$H$137,MATCH($W132,Calc!$A$2:$A$137,0))</f>
        <v>Ancient / Dust2</v>
      </c>
      <c r="U132" s="0" t="str">
        <f aca="false">TEXT(INDEX(Calc!$J$2:$J$137,MATCH($W132,Calc!$A$2:$A$137,0)),"0.0")&amp;" / "&amp;TEXT(INDEX(Calc!$K$2:$K$137,MATCH($W132,Calc!$A$2:$A$137,0)),"0.0")</f>
        <v>21.3 / 21.1</v>
      </c>
      <c r="V132" s="0" t="str">
        <f aca="false">IFERROR(INDEX(Calc!$AQ$2:$AQ$137,MATCH($W132,Calc!$A$2:$A$137,0)),"")</f>
        <v/>
      </c>
      <c r="W132" s="9" t="s">
        <v>1453</v>
      </c>
      <c r="X132" s="9" t="s">
        <v>1291</v>
      </c>
      <c r="Y132" s="0" t="str">
        <f aca="false">W132&amp;"|"&amp;X132</f>
        <v>xwyhvw38gardzpx|CS2 · FUT vs NEMI|K12</v>
      </c>
      <c r="Z132" s="11" t="n">
        <f aca="false">IFERROR(INDEX(CHOOSE(MATCH($X132,{"K1","K2","K3","K12","K13","H1","H2","H3","H12","H13"},0),Calc!$BA$2:$BA$137,Calc!$BB$2:$BB$137,Calc!$BC$2:$BC$137,Calc!$BD$2:$BD$137,Calc!$BE$2:$BE$137,Calc!$BF$2:$BF$137,Calc!$BG$2:$BG$137,Calc!$BH$2:$BH$137,Calc!$BI$2:$BI$137,Calc!$BJ$2:$BJ$137),MATCH($W132,Calc!$A$2:$A$137,0)),"")</f>
        <v>28.2225030137451</v>
      </c>
      <c r="AA132" s="11" t="n">
        <f aca="false">IF(Z132="","",IF(LEFT($X132,1)="H",SQRT(Z132*(IFERROR(INDEX(Calc!$AP$2:$AP$137,MATCH($W132,Calc!$A$2:$A$137,0)),0.5)*Config!$B$5+1-IFERROR(INDEX(Calc!$AP$2:$AP$137,MATCH($W132,Calc!$A$2:$A$137,0)),0.5))),SQRT(Z132*Config!$B$5)))</f>
        <v>6.2858177049007</v>
      </c>
      <c r="AB132" s="10" t="n">
        <f aca="false">IF(OR(F132="",Z132="",N(AA132)&lt;=0),"",1-NORMDIST(FLOOR(F132,1)+0.5,Z132,AA132,TRUE()))</f>
        <v>0.301040107125776</v>
      </c>
      <c r="AC132" s="10" t="n">
        <f aca="false">IF(AB132="","",NORMDIST(CEILING(F132,1)-0.5,Z132,AA132,TRUE()))</f>
        <v>0.698959892874224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0.989648761087164</v>
      </c>
    </row>
    <row r="133" customFormat="false" ht="15" hidden="false" customHeight="false" outlineLevel="0" collapsed="false">
      <c r="A133" s="0" t="s">
        <v>1139</v>
      </c>
      <c r="B133" s="0" t="s">
        <v>1056</v>
      </c>
      <c r="C133" s="0" t="s">
        <v>1455</v>
      </c>
      <c r="D133" s="0" t="s">
        <v>1145</v>
      </c>
      <c r="E133" s="0" t="s">
        <v>1286</v>
      </c>
      <c r="F133" s="0" t="n">
        <v>16.5</v>
      </c>
      <c r="G133" s="11" t="n">
        <f aca="false">IFERROR(INDEX(CHOOSE(MATCH($X133,{"K1","K2","K3","K12","K13","H1","H2","H3","H12","H13"},0),Calc!$V$2:$V$137,Calc!$AC$2:$AC$137,Calc!$AJ$2:$AJ$137,Calc!$AL$2:$AL$137,Calc!$AM$2:$AM$137,Calc!$W$2:$W$137,Calc!$AD$2:$AD$137,Calc!$AK$2:$AK$137,Calc!$AN$2:$AN$137,Calc!$AO$2:$AO$137),MATCH($W133,Calc!$A$2:$A$137,0)),"")</f>
        <v>16.0312565819728</v>
      </c>
      <c r="H133" s="11" t="n">
        <f aca="false">IF(G133="","",IF(LEFT($X133,1)="H",SQRT(G133*(IFERROR(INDEX(Calc!$AP$2:$AP$137,MATCH($W133,Calc!$A$2:$A$137,0)),0.5)*Config!$B$5+1-IFERROR(INDEX(Calc!$AP$2:$AP$137,MATCH($W133,Calc!$A$2:$A$137,0)),0.5))),SQRT(G133*Config!$B$5)))</f>
        <v>4.4301834639259</v>
      </c>
      <c r="I133" s="10" t="n">
        <f aca="false">IF(OR(F133="",G133="",N(H133)&lt;=0),"",1-NORMDIST(FLOOR(F133,1)+0.5,G133,H133,TRUE()))</f>
        <v>0.45786783126973</v>
      </c>
      <c r="J133" s="10" t="n">
        <f aca="false">IF(I133="","",NORMDIST(CEILING(F133,1)-0.5,G133,H133,TRUE()))</f>
        <v>0.54213216873027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UNDER</v>
      </c>
      <c r="N133" s="0" t="n">
        <v>17</v>
      </c>
      <c r="O133" s="10" t="n">
        <v>0.2</v>
      </c>
      <c r="P133" s="10" t="n">
        <v>0.5</v>
      </c>
      <c r="Q133" s="10" t="n">
        <v>0.47</v>
      </c>
      <c r="R133" s="9" t="s">
        <v>1456</v>
      </c>
      <c r="S133" s="0" t="n">
        <v>1</v>
      </c>
      <c r="T133" s="0" t="str">
        <f aca="false">INDEX(Calc!$G$2:$G$137,MATCH($W133,Calc!$A$2:$A$137,0))&amp;" / "&amp;INDEX(Calc!$H$2:$H$137,MATCH($W133,Calc!$A$2:$A$137,0))</f>
        <v>Ancient / Dust2</v>
      </c>
      <c r="U133" s="0" t="str">
        <f aca="false">TEXT(INDEX(Calc!$J$2:$J$137,MATCH($W133,Calc!$A$2:$A$137,0)),"0.0")&amp;" / "&amp;TEXT(INDEX(Calc!$K$2:$K$137,MATCH($W133,Calc!$A$2:$A$137,0)),"0.0")</f>
        <v>21.3 / 21.1</v>
      </c>
      <c r="V133" s="0" t="str">
        <f aca="false">IFERROR(INDEX(Calc!$AQ$2:$AQ$137,MATCH($W133,Calc!$A$2:$A$137,0)),"")</f>
        <v/>
      </c>
      <c r="W133" s="9" t="s">
        <v>1457</v>
      </c>
      <c r="X133" s="9" t="s">
        <v>1289</v>
      </c>
      <c r="Y133" s="0" t="str">
        <f aca="false">W133&amp;"|"&amp;X133</f>
        <v>lj8zw2mudcbj35u|CS2 · FUT vs NEMI|H12</v>
      </c>
      <c r="Z133" s="11" t="n">
        <f aca="false">IFERROR(INDEX(CHOOSE(MATCH($X133,{"K1","K2","K3","K12","K13","H1","H2","H3","H12","H13"},0),Calc!$BA$2:$BA$137,Calc!$BB$2:$BB$137,Calc!$BC$2:$BC$137,Calc!$BD$2:$BD$137,Calc!$BE$2:$BE$137,Calc!$BF$2:$BF$137,Calc!$BG$2:$BG$137,Calc!$BH$2:$BH$137,Calc!$BI$2:$BI$137,Calc!$BJ$2:$BJ$137),MATCH($W133,Calc!$A$2:$A$137,0)),"")</f>
        <v>15.8655707291578</v>
      </c>
      <c r="AA133" s="11" t="n">
        <f aca="false">IF(Z133="","",IF(LEFT($X133,1)="H",SQRT(Z133*(IFERROR(INDEX(Calc!$AP$2:$AP$137,MATCH($W133,Calc!$A$2:$A$137,0)),0.5)*Config!$B$5+1-IFERROR(INDEX(Calc!$AP$2:$AP$137,MATCH($W133,Calc!$A$2:$A$137,0)),0.5))),SQRT(Z133*Config!$B$5)))</f>
        <v>4.40723064238401</v>
      </c>
      <c r="AB133" s="10" t="n">
        <f aca="false">IF(OR(F133="",Z133="",N(AA133)&lt;=0),"",1-NORMDIST(FLOOR(F133,1)+0.5,Z133,AA133,TRUE()))</f>
        <v>0.442769221949769</v>
      </c>
      <c r="AC133" s="10" t="n">
        <f aca="false">IF(AB133="","",NORMDIST(CEILING(F133,1)-0.5,Z133,AA133,TRUE()))</f>
        <v>0.557230778050231</v>
      </c>
      <c r="AD133" s="0" t="str">
        <f aca="false">IF(AB133="","",IF(AB133&gt;=0.5+Config!$B$6,"OVER",IF(AC133&gt;=0.5+Config!$B$6,"UNDER","—")))</f>
        <v>UNDER</v>
      </c>
      <c r="AE133" s="13" t="n">
        <f aca="false">IFERROR(Z133/G133,"")</f>
        <v>0.989664824340639</v>
      </c>
    </row>
    <row r="134" customFormat="false" ht="15" hidden="false" customHeight="false" outlineLevel="0" collapsed="false">
      <c r="A134" s="0" t="s">
        <v>1139</v>
      </c>
      <c r="B134" s="0" t="s">
        <v>1056</v>
      </c>
      <c r="C134" s="0" t="s">
        <v>1455</v>
      </c>
      <c r="D134" s="0" t="s">
        <v>1145</v>
      </c>
      <c r="E134" s="0" t="s">
        <v>1290</v>
      </c>
      <c r="F134" s="0" t="n">
        <v>28.5</v>
      </c>
      <c r="G134" s="11" t="n">
        <f aca="false">IFERROR(INDEX(CHOOSE(MATCH($X134,{"K1","K2","K3","K12","K13","H1","H2","H3","H12","H13"},0),Calc!$V$2:$V$137,Calc!$AC$2:$AC$137,Calc!$AJ$2:$AJ$137,Calc!$AL$2:$AL$137,Calc!$AM$2:$AM$137,Calc!$W$2:$W$137,Calc!$AD$2:$AD$137,Calc!$AK$2:$AK$137,Calc!$AN$2:$AN$137,Calc!$AO$2:$AO$137),MATCH($W134,Calc!$A$2:$A$137,0)),"")</f>
        <v>28.5932642857143</v>
      </c>
      <c r="H134" s="11" t="n">
        <f aca="false">IF(G134="","",IF(LEFT($X134,1)="H",SQRT(G134*(IFERROR(INDEX(Calc!$AP$2:$AP$137,MATCH($W134,Calc!$A$2:$A$137,0)),0.5)*Config!$B$5+1-IFERROR(INDEX(Calc!$AP$2:$AP$137,MATCH($W134,Calc!$A$2:$A$137,0)),0.5))),SQRT(G134*Config!$B$5)))</f>
        <v>6.32697162946065</v>
      </c>
      <c r="I134" s="10" t="n">
        <f aca="false">IF(OR(F134="",G134="",N(H134)&lt;=0),"",1-NORMDIST(FLOOR(F134,1)+0.5,G134,H134,TRUE()))</f>
        <v>0.505880494112227</v>
      </c>
      <c r="J134" s="10" t="n">
        <f aca="false">IF(I134="","",NORMDIST(CEILING(F134,1)-0.5,G134,H134,TRUE()))</f>
        <v>0.494119505887773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—</v>
      </c>
      <c r="M134" s="0" t="n">
        <v>29.02</v>
      </c>
      <c r="N134" s="0" t="n">
        <v>29.6</v>
      </c>
      <c r="O134" s="10" t="n">
        <v>0.2</v>
      </c>
      <c r="P134" s="10" t="n">
        <v>0.6</v>
      </c>
      <c r="Q134" s="10" t="n">
        <v>0.53</v>
      </c>
      <c r="R134" s="9" t="s">
        <v>1456</v>
      </c>
      <c r="S134" s="0" t="n">
        <v>1</v>
      </c>
      <c r="T134" s="0" t="str">
        <f aca="false">INDEX(Calc!$G$2:$G$137,MATCH($W134,Calc!$A$2:$A$137,0))&amp;" / "&amp;INDEX(Calc!$H$2:$H$137,MATCH($W134,Calc!$A$2:$A$137,0))</f>
        <v>Ancient / Dust2</v>
      </c>
      <c r="U134" s="0" t="str">
        <f aca="false">TEXT(INDEX(Calc!$J$2:$J$137,MATCH($W134,Calc!$A$2:$A$137,0)),"0.0")&amp;" / "&amp;TEXT(INDEX(Calc!$K$2:$K$137,MATCH($W134,Calc!$A$2:$A$137,0)),"0.0")</f>
        <v>21.3 / 21.1</v>
      </c>
      <c r="V134" s="0" t="str">
        <f aca="false">IFERROR(INDEX(Calc!$AQ$2:$AQ$137,MATCH($W134,Calc!$A$2:$A$137,0)),"")</f>
        <v/>
      </c>
      <c r="W134" s="9" t="s">
        <v>1457</v>
      </c>
      <c r="X134" s="9" t="s">
        <v>1291</v>
      </c>
      <c r="Y134" s="0" t="str">
        <f aca="false">W134&amp;"|"&amp;X134</f>
        <v>lj8zw2mudcbj35u|CS2 · FUT vs NEMI|K12</v>
      </c>
      <c r="Z134" s="11" t="n">
        <f aca="false">IFERROR(INDEX(CHOOSE(MATCH($X134,{"K1","K2","K3","K12","K13","H1","H2","H3","H12","H13"},0),Calc!$BA$2:$BA$137,Calc!$BB$2:$BB$137,Calc!$BC$2:$BC$137,Calc!$BD$2:$BD$137,Calc!$BE$2:$BE$137,Calc!$BF$2:$BF$137,Calc!$BG$2:$BG$137,Calc!$BH$2:$BH$137,Calc!$BI$2:$BI$137,Calc!$BJ$2:$BJ$137),MATCH($W134,Calc!$A$2:$A$137,0)),"")</f>
        <v>28.2986132338885</v>
      </c>
      <c r="AA134" s="11" t="n">
        <f aca="false">IF(Z134="","",IF(LEFT($X134,1)="H",SQRT(Z134*(IFERROR(INDEX(Calc!$AP$2:$AP$137,MATCH($W134,Calc!$A$2:$A$137,0)),0.5)*Config!$B$5+1-IFERROR(INDEX(Calc!$AP$2:$AP$137,MATCH($W134,Calc!$A$2:$A$137,0)),0.5))),SQRT(Z134*Config!$B$5)))</f>
        <v>6.29428776967211</v>
      </c>
      <c r="AB134" s="10" t="n">
        <f aca="false">IF(OR(F134="",Z134="",N(AA134)&lt;=0),"",1-NORMDIST(FLOOR(F134,1)+0.5,Z134,AA134,TRUE()))</f>
        <v>0.487237953958526</v>
      </c>
      <c r="AC134" s="10" t="n">
        <f aca="false">IF(AB134="","",NORMDIST(CEILING(F134,1)-0.5,Z134,AA134,TRUE()))</f>
        <v>0.512762046041474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0.989695088714549</v>
      </c>
    </row>
    <row r="135" customFormat="false" ht="15" hidden="false" customHeight="false" outlineLevel="0" collapsed="false">
      <c r="A135" s="0" t="s">
        <v>1139</v>
      </c>
      <c r="B135" s="0" t="s">
        <v>1056</v>
      </c>
      <c r="C135" s="0" t="s">
        <v>1458</v>
      </c>
      <c r="D135" s="0" t="s">
        <v>1146</v>
      </c>
      <c r="E135" s="0" t="s">
        <v>1286</v>
      </c>
      <c r="F135" s="0" t="n">
        <v>18</v>
      </c>
      <c r="G135" s="11" t="n">
        <f aca="false">IFERROR(INDEX(CHOOSE(MATCH($X135,{"K1","K2","K3","K12","K13","H1","H2","H3","H12","H13"},0),Calc!$V$2:$V$137,Calc!$AC$2:$AC$137,Calc!$AJ$2:$AJ$137,Calc!$AL$2:$AL$137,Calc!$AM$2:$AM$137,Calc!$W$2:$W$137,Calc!$AD$2:$AD$137,Calc!$AK$2:$AK$137,Calc!$AN$2:$AN$137,Calc!$AO$2:$AO$137),MATCH($W135,Calc!$A$2:$A$137,0)),"")</f>
        <v>18.5731830856749</v>
      </c>
      <c r="H135" s="11" t="n">
        <f aca="false">IF(G135="","",IF(LEFT($X135,1)="H",SQRT(G135*(IFERROR(INDEX(Calc!$AP$2:$AP$137,MATCH($W135,Calc!$A$2:$A$137,0)),0.5)*Config!$B$5+1-IFERROR(INDEX(Calc!$AP$2:$AP$137,MATCH($W135,Calc!$A$2:$A$137,0)),0.5))),SQRT(G135*Config!$B$5)))</f>
        <v>4.8011304290952</v>
      </c>
      <c r="I135" s="10" t="n">
        <f aca="false">IF(OR(F135="",G135="",N(H135)&lt;=0),"",1-NORMDIST(FLOOR(F135,1)+0.5,G135,H135,TRUE()))</f>
        <v>0.506080796381104</v>
      </c>
      <c r="J135" s="10" t="n">
        <f aca="false">IF(I135="","",NORMDIST(CEILING(F135,1)-0.5,G135,H135,TRUE()))</f>
        <v>0.411562620671836</v>
      </c>
      <c r="K135" s="10" t="n">
        <f aca="false">IF(I135="","",MAX(0,1-I135-J135))</f>
        <v>0.0823565829470602</v>
      </c>
      <c r="L135" s="0" t="str">
        <f aca="false">IF(I135="","",IF(I135&gt;=0.5+Config!$B$6,"OVER",IF(J135&gt;=0.5+Config!$B$6,"UNDER","—")))</f>
        <v>—</v>
      </c>
      <c r="N135" s="0" t="n">
        <v>20.2</v>
      </c>
      <c r="O135" s="10" t="n">
        <v>0.8</v>
      </c>
      <c r="P135" s="10" t="n">
        <v>0.6</v>
      </c>
      <c r="Q135" s="10" t="n">
        <v>0.73</v>
      </c>
      <c r="R135" s="9" t="s">
        <v>1287</v>
      </c>
      <c r="S135" s="0" t="n">
        <v>2</v>
      </c>
      <c r="T135" s="0" t="str">
        <f aca="false">INDEX(Calc!$G$2:$G$137,MATCH($W135,Calc!$A$2:$A$137,0))&amp;" / "&amp;INDEX(Calc!$H$2:$H$137,MATCH($W135,Calc!$A$2:$A$137,0))</f>
        <v>Ancient / Dust2</v>
      </c>
      <c r="U135" s="0" t="str">
        <f aca="false">TEXT(INDEX(Calc!$J$2:$J$137,MATCH($W135,Calc!$A$2:$A$137,0)),"0.0")&amp;" / "&amp;TEXT(INDEX(Calc!$K$2:$K$137,MATCH($W135,Calc!$A$2:$A$137,0)),"0.0")</f>
        <v>21.3 / 21.1</v>
      </c>
      <c r="V135" s="0" t="str">
        <f aca="false">IFERROR(INDEX(Calc!$AQ$2:$AQ$137,MATCH($W135,Calc!$A$2:$A$137,0)),"")</f>
        <v/>
      </c>
      <c r="W135" s="9" t="s">
        <v>1459</v>
      </c>
      <c r="X135" s="9" t="s">
        <v>1289</v>
      </c>
      <c r="Y135" s="0" t="str">
        <f aca="false">W135&amp;"|"&amp;X135</f>
        <v>fhr6sqp0a6355ky|CS2 · FUT vs NEMI|H12</v>
      </c>
      <c r="Z135" s="11" t="n">
        <f aca="false">IFERROR(INDEX(CHOOSE(MATCH($X135,{"K1","K2","K3","K12","K13","H1","H2","H3","H12","H13"},0),Calc!$BA$2:$BA$137,Calc!$BB$2:$BB$137,Calc!$BC$2:$BC$137,Calc!$BD$2:$BD$137,Calc!$BE$2:$BE$137,Calc!$BF$2:$BF$137,Calc!$BG$2:$BG$137,Calc!$BH$2:$BH$137,Calc!$BI$2:$BI$137,Calc!$BJ$2:$BJ$137),MATCH($W135,Calc!$A$2:$A$137,0)),"")</f>
        <v>17.4907316678938</v>
      </c>
      <c r="AA135" s="11" t="n">
        <f aca="false">IF(Z135="","",IF(LEFT($X135,1)="H",SQRT(Z135*(IFERROR(INDEX(Calc!$AP$2:$AP$137,MATCH($W135,Calc!$A$2:$A$137,0)),0.5)*Config!$B$5+1-IFERROR(INDEX(Calc!$AP$2:$AP$137,MATCH($W135,Calc!$A$2:$A$137,0)),0.5))),SQRT(Z135*Config!$B$5)))</f>
        <v>4.65912457796615</v>
      </c>
      <c r="AB135" s="10" t="n">
        <f aca="false">IF(OR(F135="",Z135="",N(AA135)&lt;=0),"",1-NORMDIST(FLOOR(F135,1)+0.5,Z135,AA135,TRUE()))</f>
        <v>0.414251515833767</v>
      </c>
      <c r="AC135" s="10" t="n">
        <f aca="false">IF(AB135="","",NORMDIST(CEILING(F135,1)-0.5,Z135,AA135,TRUE()))</f>
        <v>0.500793609839237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0.941719660394882</v>
      </c>
    </row>
    <row r="136" customFormat="false" ht="15" hidden="false" customHeight="false" outlineLevel="0" collapsed="false">
      <c r="A136" s="0" t="s">
        <v>1139</v>
      </c>
      <c r="B136" s="0" t="s">
        <v>1056</v>
      </c>
      <c r="C136" s="0" t="s">
        <v>1458</v>
      </c>
      <c r="D136" s="0" t="s">
        <v>1146</v>
      </c>
      <c r="E136" s="0" t="s">
        <v>1290</v>
      </c>
      <c r="F136" s="0" t="n">
        <v>29.5</v>
      </c>
      <c r="G136" s="11" t="n">
        <f aca="false">IFERROR(INDEX(CHOOSE(MATCH($X136,{"K1","K2","K3","K12","K13","H1","H2","H3","H12","H13"},0),Calc!$V$2:$V$137,Calc!$AC$2:$AC$137,Calc!$AJ$2:$AJ$137,Calc!$AL$2:$AL$137,Calc!$AM$2:$AM$137,Calc!$W$2:$W$137,Calc!$AD$2:$AD$137,Calc!$AK$2:$AK$137,Calc!$AN$2:$AN$137,Calc!$AO$2:$AO$137),MATCH($W136,Calc!$A$2:$A$137,0)),"")</f>
        <v>30.8163045454545</v>
      </c>
      <c r="H136" s="11" t="n">
        <f aca="false">IF(G136="","",IF(LEFT($X136,1)="H",SQRT(G136*(IFERROR(INDEX(Calc!$AP$2:$AP$137,MATCH($W136,Calc!$A$2:$A$137,0)),0.5)*Config!$B$5+1-IFERROR(INDEX(Calc!$AP$2:$AP$137,MATCH($W136,Calc!$A$2:$A$137,0)),0.5))),SQRT(G136*Config!$B$5)))</f>
        <v>6.56831990417918</v>
      </c>
      <c r="I136" s="10" t="n">
        <f aca="false">IF(OR(F136="",G136="",N(H136)&lt;=0),"",1-NORMDIST(FLOOR(F136,1)+0.5,G136,H136,TRUE()))</f>
        <v>0.579416908232623</v>
      </c>
      <c r="J136" s="10" t="n">
        <f aca="false">IF(I136="","",NORMDIST(CEILING(F136,1)-0.5,G136,H136,TRUE()))</f>
        <v>0.420583091767377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OVER</v>
      </c>
      <c r="N136" s="0" t="n">
        <v>33.6</v>
      </c>
      <c r="O136" s="10" t="n">
        <v>0.8</v>
      </c>
      <c r="P136" s="10" t="n">
        <v>0.6</v>
      </c>
      <c r="Q136" s="10" t="n">
        <v>0.67</v>
      </c>
      <c r="R136" s="9" t="s">
        <v>1287</v>
      </c>
      <c r="S136" s="0" t="n">
        <v>2</v>
      </c>
      <c r="T136" s="0" t="str">
        <f aca="false">INDEX(Calc!$G$2:$G$137,MATCH($W136,Calc!$A$2:$A$137,0))&amp;" / "&amp;INDEX(Calc!$H$2:$H$137,MATCH($W136,Calc!$A$2:$A$137,0))</f>
        <v>Ancient / Dust2</v>
      </c>
      <c r="U136" s="0" t="str">
        <f aca="false">TEXT(INDEX(Calc!$J$2:$J$137,MATCH($W136,Calc!$A$2:$A$137,0)),"0.0")&amp;" / "&amp;TEXT(INDEX(Calc!$K$2:$K$137,MATCH($W136,Calc!$A$2:$A$137,0)),"0.0")</f>
        <v>21.3 / 21.1</v>
      </c>
      <c r="V136" s="0" t="str">
        <f aca="false">IFERROR(INDEX(Calc!$AQ$2:$AQ$137,MATCH($W136,Calc!$A$2:$A$137,0)),"")</f>
        <v/>
      </c>
      <c r="W136" s="9" t="s">
        <v>1459</v>
      </c>
      <c r="X136" s="9" t="s">
        <v>1291</v>
      </c>
      <c r="Y136" s="0" t="str">
        <f aca="false">W136&amp;"|"&amp;X136</f>
        <v>fhr6sqp0a6355ky|CS2 · FUT vs NEMI|K12</v>
      </c>
      <c r="Z136" s="11" t="n">
        <f aca="false">IFERROR(INDEX(CHOOSE(MATCH($X136,{"K1","K2","K3","K12","K13","H1","H2","H3","H12","H13"},0),Calc!$BA$2:$BA$137,Calc!$BB$2:$BB$137,Calc!$BC$2:$BC$137,Calc!$BD$2:$BD$137,Calc!$BE$2:$BE$137,Calc!$BF$2:$BF$137,Calc!$BG$2:$BG$137,Calc!$BH$2:$BH$137,Calc!$BI$2:$BI$137,Calc!$BJ$2:$BJ$137),MATCH($W136,Calc!$A$2:$A$137,0)),"")</f>
        <v>29.0184143359102</v>
      </c>
      <c r="AA136" s="11" t="n">
        <f aca="false">IF(Z136="","",IF(LEFT($X136,1)="H",SQRT(Z136*(IFERROR(INDEX(Calc!$AP$2:$AP$137,MATCH($W136,Calc!$A$2:$A$137,0)),0.5)*Config!$B$5+1-IFERROR(INDEX(Calc!$AP$2:$AP$137,MATCH($W136,Calc!$A$2:$A$137,0)),0.5))),SQRT(Z136*Config!$B$5)))</f>
        <v>6.37383558544416</v>
      </c>
      <c r="AB136" s="10" t="n">
        <f aca="false">IF(OR(F136="",Z136="",N(AA136)&lt;=0),"",1-NORMDIST(FLOOR(F136,1)+0.5,Z136,AA136,TRUE()))</f>
        <v>0.469885913083281</v>
      </c>
      <c r="AC136" s="10" t="n">
        <f aca="false">IF(AB136="","",NORMDIST(CEILING(F136,1)-0.5,Z136,AA136,TRUE()))</f>
        <v>0.530114086916719</v>
      </c>
      <c r="AD136" s="0" t="str">
        <f aca="false">IF(AB136="","",IF(AB136&gt;=0.5+Config!$B$6,"OVER",IF(AC136&gt;=0.5+Config!$B$6,"UNDER","—")))</f>
        <v>—</v>
      </c>
      <c r="AE136" s="13" t="n">
        <f aca="false">IFERROR(Z136/G136,"")</f>
        <v>0.9416578257496</v>
      </c>
    </row>
    <row r="137" customFormat="false" ht="15" hidden="false" customHeight="false" outlineLevel="0" collapsed="false">
      <c r="A137" s="0" t="s">
        <v>1139</v>
      </c>
      <c r="B137" s="0" t="s">
        <v>1056</v>
      </c>
      <c r="C137" s="0" t="s">
        <v>1460</v>
      </c>
      <c r="D137" s="0" t="s">
        <v>1146</v>
      </c>
      <c r="E137" s="0" t="s">
        <v>1286</v>
      </c>
      <c r="F137" s="0" t="n">
        <v>9.5</v>
      </c>
      <c r="G137" s="11" t="n">
        <f aca="false">IFERROR(INDEX(CHOOSE(MATCH($X137,{"K1","K2","K3","K12","K13","H1","H2","H3","H12","H13"},0),Calc!$V$2:$V$137,Calc!$AC$2:$AC$137,Calc!$AJ$2:$AJ$137,Calc!$AL$2:$AL$137,Calc!$AM$2:$AM$137,Calc!$W$2:$W$137,Calc!$AD$2:$AD$137,Calc!$AK$2:$AK$137,Calc!$AN$2:$AN$137,Calc!$AO$2:$AO$137),MATCH($W137,Calc!$A$2:$A$137,0)),"")</f>
        <v>10.0060081350207</v>
      </c>
      <c r="H137" s="11" t="n">
        <f aca="false">IF(G137="","",IF(LEFT($X137,1)="H",SQRT(G137*(IFERROR(INDEX(Calc!$AP$2:$AP$137,MATCH($W137,Calc!$A$2:$A$137,0)),0.5)*Config!$B$5+1-IFERROR(INDEX(Calc!$AP$2:$AP$137,MATCH($W137,Calc!$A$2:$A$137,0)),0.5))),SQRT(G137*Config!$B$5)))</f>
        <v>3.37608915375567</v>
      </c>
      <c r="I137" s="10" t="n">
        <f aca="false">IF(OR(F137="",G137="",N(H137)&lt;=0),"",1-NORMDIST(FLOOR(F137,1)+0.5,G137,H137,TRUE()))</f>
        <v>0.559570341881738</v>
      </c>
      <c r="J137" s="10" t="n">
        <f aca="false">IF(I137="","",NORMDIST(CEILING(F137,1)-0.5,G137,H137,TRUE()))</f>
        <v>0.440429658118262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N137" s="0" t="n">
        <v>11</v>
      </c>
      <c r="O137" s="10" t="n">
        <v>0.8</v>
      </c>
      <c r="P137" s="10" t="n">
        <v>0.7</v>
      </c>
      <c r="Q137" s="10" t="n">
        <v>0.53</v>
      </c>
      <c r="R137" s="9" t="s">
        <v>1320</v>
      </c>
      <c r="S137" s="0" t="n">
        <v>2</v>
      </c>
      <c r="T137" s="0" t="str">
        <f aca="false">INDEX(Calc!$G$2:$G$137,MATCH($W137,Calc!$A$2:$A$137,0))&amp;" / "&amp;INDEX(Calc!$H$2:$H$137,MATCH($W137,Calc!$A$2:$A$137,0))</f>
        <v>Ancient / Dust2</v>
      </c>
      <c r="U137" s="0" t="str">
        <f aca="false">TEXT(INDEX(Calc!$J$2:$J$137,MATCH($W137,Calc!$A$2:$A$137,0)),"0.0")&amp;" / "&amp;TEXT(INDEX(Calc!$K$2:$K$137,MATCH($W137,Calc!$A$2:$A$137,0)),"0.0")</f>
        <v>21.3 / 21.1</v>
      </c>
      <c r="V137" s="0" t="str">
        <f aca="false">IFERROR(INDEX(Calc!$AQ$2:$AQ$137,MATCH($W137,Calc!$A$2:$A$137,0)),"")</f>
        <v/>
      </c>
      <c r="W137" s="9" t="s">
        <v>1461</v>
      </c>
      <c r="X137" s="9" t="s">
        <v>1289</v>
      </c>
      <c r="Y137" s="0" t="str">
        <f aca="false">W137&amp;"|"&amp;X137</f>
        <v>sj7nkpqagh6m88h|CS2 · FUT vs NEMI|H12</v>
      </c>
      <c r="Z137" s="11" t="n">
        <f aca="false">IFERROR(INDEX(CHOOSE(MATCH($X137,{"K1","K2","K3","K12","K13","H1","H2","H3","H12","H13"},0),Calc!$BA$2:$BA$137,Calc!$BB$2:$BB$137,Calc!$BC$2:$BC$137,Calc!$BD$2:$BD$137,Calc!$BE$2:$BE$137,Calc!$BF$2:$BF$137,Calc!$BG$2:$BG$137,Calc!$BH$2:$BH$137,Calc!$BI$2:$BI$137,Calc!$BJ$2:$BJ$137),MATCH($W137,Calc!$A$2:$A$137,0)),"")</f>
        <v>9.42213119220047</v>
      </c>
      <c r="AA137" s="11" t="n">
        <f aca="false">IF(Z137="","",IF(LEFT($X137,1)="H",SQRT(Z137*(IFERROR(INDEX(Calc!$AP$2:$AP$137,MATCH($W137,Calc!$A$2:$A$137,0)),0.5)*Config!$B$5+1-IFERROR(INDEX(Calc!$AP$2:$AP$137,MATCH($W137,Calc!$A$2:$A$137,0)),0.5))),SQRT(Z137*Config!$B$5)))</f>
        <v>3.27610682411515</v>
      </c>
      <c r="AB137" s="10" t="n">
        <f aca="false">IF(OR(F137="",Z137="",N(AA137)&lt;=0),"",1-NORMDIST(FLOOR(F137,1)+0.5,Z137,AA137,TRUE()))</f>
        <v>0.490518552470582</v>
      </c>
      <c r="AC137" s="10" t="n">
        <f aca="false">IF(AB137="","",NORMDIST(CEILING(F137,1)-0.5,Z137,AA137,TRUE()))</f>
        <v>0.509481447529419</v>
      </c>
      <c r="AD137" s="0" t="str">
        <f aca="false">IF(AB137="","",IF(AB137&gt;=0.5+Config!$B$6,"OVER",IF(AC137&gt;=0.5+Config!$B$6,"UNDER","—")))</f>
        <v>—</v>
      </c>
      <c r="AE137" s="13" t="n">
        <f aca="false">IFERROR(Z137/G137,"")</f>
        <v>0.941647364769109</v>
      </c>
    </row>
    <row r="138" customFormat="false" ht="15" hidden="false" customHeight="false" outlineLevel="0" collapsed="false">
      <c r="A138" s="0" t="s">
        <v>1139</v>
      </c>
      <c r="B138" s="0" t="s">
        <v>1056</v>
      </c>
      <c r="C138" s="0" t="s">
        <v>1460</v>
      </c>
      <c r="D138" s="0" t="s">
        <v>1146</v>
      </c>
      <c r="E138" s="0" t="s">
        <v>1290</v>
      </c>
      <c r="F138" s="0" t="n">
        <v>28.5</v>
      </c>
      <c r="G138" s="11" t="n">
        <f aca="false">IFERROR(INDEX(CHOOSE(MATCH($X138,{"K1","K2","K3","K12","K13","H1","H2","H3","H12","H13"},0),Calc!$V$2:$V$137,Calc!$AC$2:$AC$137,Calc!$AJ$2:$AJ$137,Calc!$AL$2:$AL$137,Calc!$AM$2:$AM$137,Calc!$W$2:$W$137,Calc!$AD$2:$AD$137,Calc!$AK$2:$AK$137,Calc!$AN$2:$AN$137,Calc!$AO$2:$AO$137),MATCH($W138,Calc!$A$2:$A$137,0)),"")</f>
        <v>28.7707954545455</v>
      </c>
      <c r="H138" s="11" t="n">
        <f aca="false">IF(G138="","",IF(LEFT($X138,1)="H",SQRT(G138*(IFERROR(INDEX(Calc!$AP$2:$AP$137,MATCH($W138,Calc!$A$2:$A$137,0)),0.5)*Config!$B$5+1-IFERROR(INDEX(Calc!$AP$2:$AP$137,MATCH($W138,Calc!$A$2:$A$137,0)),0.5))),SQRT(G138*Config!$B$5)))</f>
        <v>6.34658283144273</v>
      </c>
      <c r="I138" s="10" t="n">
        <f aca="false">IF(OR(F138="",G138="",N(H138)&lt;=0),"",1-NORMDIST(FLOOR(F138,1)+0.5,G138,H138,TRUE()))</f>
        <v>0.517016871665283</v>
      </c>
      <c r="J138" s="10" t="n">
        <f aca="false">IF(I138="","",NORMDIST(CEILING(F138,1)-0.5,G138,H138,TRUE()))</f>
        <v>0.482983128334717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—</v>
      </c>
      <c r="M138" s="0" t="n">
        <v>28.72</v>
      </c>
      <c r="N138" s="0" t="n">
        <v>31.1</v>
      </c>
      <c r="O138" s="10" t="n">
        <v>0.8</v>
      </c>
      <c r="P138" s="10" t="n">
        <v>0.5</v>
      </c>
      <c r="Q138" s="10" t="n">
        <v>0.67</v>
      </c>
      <c r="R138" s="9" t="s">
        <v>1320</v>
      </c>
      <c r="S138" s="0" t="n">
        <v>1</v>
      </c>
      <c r="T138" s="0" t="str">
        <f aca="false">INDEX(Calc!$G$2:$G$137,MATCH($W138,Calc!$A$2:$A$137,0))&amp;" / "&amp;INDEX(Calc!$H$2:$H$137,MATCH($W138,Calc!$A$2:$A$137,0))</f>
        <v>Ancient / Dust2</v>
      </c>
      <c r="U138" s="0" t="str">
        <f aca="false">TEXT(INDEX(Calc!$J$2:$J$137,MATCH($W138,Calc!$A$2:$A$137,0)),"0.0")&amp;" / "&amp;TEXT(INDEX(Calc!$K$2:$K$137,MATCH($W138,Calc!$A$2:$A$137,0)),"0.0")</f>
        <v>21.3 / 21.1</v>
      </c>
      <c r="V138" s="0" t="str">
        <f aca="false">IFERROR(INDEX(Calc!$AQ$2:$AQ$137,MATCH($W138,Calc!$A$2:$A$137,0)),"")</f>
        <v/>
      </c>
      <c r="W138" s="9" t="s">
        <v>1461</v>
      </c>
      <c r="X138" s="9" t="s">
        <v>1291</v>
      </c>
      <c r="Y138" s="0" t="str">
        <f aca="false">W138&amp;"|"&amp;X138</f>
        <v>sj7nkpqagh6m88h|CS2 · FUT vs NEMI|K12</v>
      </c>
      <c r="Z138" s="11" t="n">
        <f aca="false">IFERROR(INDEX(CHOOSE(MATCH($X138,{"K1","K2","K3","K12","K13","H1","H2","H3","H12","H13"},0),Calc!$BA$2:$BA$137,Calc!$BB$2:$BB$137,Calc!$BC$2:$BC$137,Calc!$BD$2:$BD$137,Calc!$BE$2:$BE$137,Calc!$BF$2:$BF$137,Calc!$BG$2:$BG$137,Calc!$BH$2:$BH$137,Calc!$BI$2:$BI$137,Calc!$BJ$2:$BJ$137),MATCH($W138,Calc!$A$2:$A$137,0)),"")</f>
        <v>27.0929453399216</v>
      </c>
      <c r="AA138" s="11" t="n">
        <f aca="false">IF(Z138="","",IF(LEFT($X138,1)="H",SQRT(Z138*(IFERROR(INDEX(Calc!$AP$2:$AP$137,MATCH($W138,Calc!$A$2:$A$137,0)),0.5)*Config!$B$5+1-IFERROR(INDEX(Calc!$AP$2:$AP$137,MATCH($W138,Calc!$A$2:$A$137,0)),0.5))),SQRT(Z138*Config!$B$5)))</f>
        <v>6.15874366051147</v>
      </c>
      <c r="AB138" s="10" t="n">
        <f aca="false">IF(OR(F138="",Z138="",N(AA138)&lt;=0),"",1-NORMDIST(FLOOR(F138,1)+0.5,Z138,AA138,TRUE()))</f>
        <v>0.409642552335176</v>
      </c>
      <c r="AC138" s="10" t="n">
        <f aca="false">IF(AB138="","",NORMDIST(CEILING(F138,1)-0.5,Z138,AA138,TRUE()))</f>
        <v>0.590357447664824</v>
      </c>
      <c r="AD138" s="0" t="str">
        <f aca="false">IF(AB138="","",IF(AB138&gt;=0.5+Config!$B$6,"OVER",IF(AC138&gt;=0.5+Config!$B$6,"UNDER","—")))</f>
        <v>UNDER</v>
      </c>
      <c r="AE138" s="13" t="n">
        <f aca="false">IFERROR(Z138/G138,"")</f>
        <v>0.941682178468974</v>
      </c>
    </row>
    <row r="139" customFormat="false" ht="15" hidden="false" customHeight="false" outlineLevel="0" collapsed="false">
      <c r="A139" s="0" t="s">
        <v>1139</v>
      </c>
      <c r="B139" s="0" t="s">
        <v>1056</v>
      </c>
      <c r="C139" s="0" t="s">
        <v>1462</v>
      </c>
      <c r="D139" s="0" t="s">
        <v>1146</v>
      </c>
      <c r="E139" s="0" t="s">
        <v>1286</v>
      </c>
      <c r="F139" s="0" t="n">
        <v>13.5</v>
      </c>
      <c r="G139" s="11" t="n">
        <f aca="false">IFERROR(INDEX(CHOOSE(MATCH($X139,{"K1","K2","K3","K12","K13","H1","H2","H3","H12","H13"},0),Calc!$V$2:$V$137,Calc!$AC$2:$AC$137,Calc!$AJ$2:$AJ$137,Calc!$AL$2:$AL$137,Calc!$AM$2:$AM$137,Calc!$W$2:$W$137,Calc!$AD$2:$AD$137,Calc!$AK$2:$AK$137,Calc!$AN$2:$AN$137,Calc!$AO$2:$AO$137),MATCH($W139,Calc!$A$2:$A$137,0)),"")</f>
        <v>15.4851944907541</v>
      </c>
      <c r="H139" s="11" t="n">
        <f aca="false">IF(G139="","",IF(LEFT($X139,1)="H",SQRT(G139*(IFERROR(INDEX(Calc!$AP$2:$AP$137,MATCH($W139,Calc!$A$2:$A$137,0)),0.5)*Config!$B$5+1-IFERROR(INDEX(Calc!$AP$2:$AP$137,MATCH($W139,Calc!$A$2:$A$137,0)),0.5))),SQRT(G139*Config!$B$5)))</f>
        <v>4.32725391539782</v>
      </c>
      <c r="I139" s="10" t="n">
        <f aca="false">IF(OR(F139="",G139="",N(H139)&lt;=0),"",1-NORMDIST(FLOOR(F139,1)+0.5,G139,H139,TRUE()))</f>
        <v>0.676798687805952</v>
      </c>
      <c r="J139" s="10" t="n">
        <f aca="false">IF(I139="","",NORMDIST(CEILING(F139,1)-0.5,G139,H139,TRUE()))</f>
        <v>0.323201312194048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OVER</v>
      </c>
      <c r="N139" s="0" t="n">
        <v>16.2</v>
      </c>
      <c r="O139" s="10" t="n">
        <v>0.6</v>
      </c>
      <c r="P139" s="10" t="n">
        <v>0.7</v>
      </c>
      <c r="Q139" s="10" t="n">
        <v>0.73</v>
      </c>
      <c r="R139" s="9" t="s">
        <v>1463</v>
      </c>
      <c r="S139" s="0" t="n">
        <v>-1</v>
      </c>
      <c r="T139" s="0" t="str">
        <f aca="false">INDEX(Calc!$G$2:$G$137,MATCH($W139,Calc!$A$2:$A$137,0))&amp;" / "&amp;INDEX(Calc!$H$2:$H$137,MATCH($W139,Calc!$A$2:$A$137,0))</f>
        <v>Ancient / Dust2</v>
      </c>
      <c r="U139" s="0" t="str">
        <f aca="false">TEXT(INDEX(Calc!$J$2:$J$137,MATCH($W139,Calc!$A$2:$A$137,0)),"0.0")&amp;" / "&amp;TEXT(INDEX(Calc!$K$2:$K$137,MATCH($W139,Calc!$A$2:$A$137,0)),"0.0")</f>
        <v>21.3 / 21.1</v>
      </c>
      <c r="V139" s="0" t="str">
        <f aca="false">IFERROR(INDEX(Calc!$AQ$2:$AQ$137,MATCH($W139,Calc!$A$2:$A$137,0)),"")</f>
        <v/>
      </c>
      <c r="W139" s="9" t="s">
        <v>1464</v>
      </c>
      <c r="X139" s="9" t="s">
        <v>1289</v>
      </c>
      <c r="Y139" s="0" t="str">
        <f aca="false">W139&amp;"|"&amp;X139</f>
        <v>ewe4j1nrqwzs0q7|CS2 · FUT vs NEMI|H12</v>
      </c>
      <c r="Z139" s="11" t="n">
        <f aca="false">IFERROR(INDEX(CHOOSE(MATCH($X139,{"K1","K2","K3","K12","K13","H1","H2","H3","H12","H13"},0),Calc!$BA$2:$BA$137,Calc!$BB$2:$BB$137,Calc!$BC$2:$BC$137,Calc!$BD$2:$BD$137,Calc!$BE$2:$BE$137,Calc!$BF$2:$BF$137,Calc!$BG$2:$BG$137,Calc!$BH$2:$BH$137,Calc!$BI$2:$BI$137,Calc!$BJ$2:$BJ$137),MATCH($W139,Calc!$A$2:$A$137,0)),"")</f>
        <v>14.579393181228</v>
      </c>
      <c r="AA139" s="11" t="n">
        <f aca="false">IF(Z139="","",IF(LEFT($X139,1)="H",SQRT(Z139*(IFERROR(INDEX(Calc!$AP$2:$AP$137,MATCH($W139,Calc!$A$2:$A$137,0)),0.5)*Config!$B$5+1-IFERROR(INDEX(Calc!$AP$2:$AP$137,MATCH($W139,Calc!$A$2:$A$137,0)),0.5))),SQRT(Z139*Config!$B$5)))</f>
        <v>4.19878630021038</v>
      </c>
      <c r="AB139" s="10" t="n">
        <f aca="false">IF(OR(F139="",Z139="",N(AA139)&lt;=0),"",1-NORMDIST(FLOOR(F139,1)+0.5,Z139,AA139,TRUE()))</f>
        <v>0.601438660375141</v>
      </c>
      <c r="AC139" s="10" t="n">
        <f aca="false">IF(AB139="","",NORMDIST(CEILING(F139,1)-0.5,Z139,AA139,TRUE()))</f>
        <v>0.398561339624859</v>
      </c>
      <c r="AD139" s="0" t="str">
        <f aca="false">IF(AB139="","",IF(AB139&gt;=0.5+Config!$B$6,"OVER",IF(AC139&gt;=0.5+Config!$B$6,"UNDER","—")))</f>
        <v>OVER</v>
      </c>
      <c r="AE139" s="13" t="n">
        <f aca="false">IFERROR(Z139/G139,"")</f>
        <v>0.94150533207271</v>
      </c>
    </row>
    <row r="140" customFormat="false" ht="15" hidden="false" customHeight="false" outlineLevel="0" collapsed="false">
      <c r="A140" s="0" t="s">
        <v>1139</v>
      </c>
      <c r="B140" s="0" t="s">
        <v>1056</v>
      </c>
      <c r="C140" s="0" t="s">
        <v>1462</v>
      </c>
      <c r="D140" s="0" t="s">
        <v>1146</v>
      </c>
      <c r="E140" s="0" t="s">
        <v>1290</v>
      </c>
      <c r="F140" s="0" t="n">
        <v>25.5</v>
      </c>
      <c r="G140" s="11" t="n">
        <f aca="false">IFERROR(INDEX(CHOOSE(MATCH($X140,{"K1","K2","K3","K12","K13","H1","H2","H3","H12","H13"},0),Calc!$V$2:$V$137,Calc!$AC$2:$AC$137,Calc!$AJ$2:$AJ$137,Calc!$AL$2:$AL$137,Calc!$AM$2:$AM$137,Calc!$W$2:$W$137,Calc!$AD$2:$AD$137,Calc!$AK$2:$AK$137,Calc!$AN$2:$AN$137,Calc!$AO$2:$AO$137),MATCH($W140,Calc!$A$2:$A$137,0)),"")</f>
        <v>29.6044795454545</v>
      </c>
      <c r="H140" s="11" t="n">
        <f aca="false">IF(G140="","",IF(LEFT($X140,1)="H",SQRT(G140*(IFERROR(INDEX(Calc!$AP$2:$AP$137,MATCH($W140,Calc!$A$2:$A$137,0)),0.5)*Config!$B$5+1-IFERROR(INDEX(Calc!$AP$2:$AP$137,MATCH($W140,Calc!$A$2:$A$137,0)),0.5))),SQRT(G140*Config!$B$5)))</f>
        <v>6.43787786181412</v>
      </c>
      <c r="I140" s="10" t="n">
        <f aca="false">IF(OR(F140="",G140="",N(H140)&lt;=0),"",1-NORMDIST(FLOOR(F140,1)+0.5,G140,H140,TRUE()))</f>
        <v>0.738117205590465</v>
      </c>
      <c r="J140" s="10" t="n">
        <f aca="false">IF(I140="","",NORMDIST(CEILING(F140,1)-0.5,G140,H140,TRUE()))</f>
        <v>0.261882794409536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OVER</v>
      </c>
      <c r="M140" s="0" t="n">
        <v>26</v>
      </c>
      <c r="N140" s="0" t="n">
        <v>31.6</v>
      </c>
      <c r="O140" s="10" t="n">
        <v>0.6</v>
      </c>
      <c r="P140" s="10" t="n">
        <v>0.7</v>
      </c>
      <c r="Q140" s="10" t="n">
        <v>0.73</v>
      </c>
      <c r="R140" s="9" t="s">
        <v>1463</v>
      </c>
      <c r="S140" s="0" t="n">
        <v>2</v>
      </c>
      <c r="T140" s="0" t="str">
        <f aca="false">INDEX(Calc!$G$2:$G$137,MATCH($W140,Calc!$A$2:$A$137,0))&amp;" / "&amp;INDEX(Calc!$H$2:$H$137,MATCH($W140,Calc!$A$2:$A$137,0))</f>
        <v>Ancient / Dust2</v>
      </c>
      <c r="U140" s="0" t="str">
        <f aca="false">TEXT(INDEX(Calc!$J$2:$J$137,MATCH($W140,Calc!$A$2:$A$137,0)),"0.0")&amp;" / "&amp;TEXT(INDEX(Calc!$K$2:$K$137,MATCH($W140,Calc!$A$2:$A$137,0)),"0.0")</f>
        <v>21.3 / 21.1</v>
      </c>
      <c r="V140" s="0" t="str">
        <f aca="false">IFERROR(INDEX(Calc!$AQ$2:$AQ$137,MATCH($W140,Calc!$A$2:$A$137,0)),"")</f>
        <v/>
      </c>
      <c r="W140" s="9" t="s">
        <v>1464</v>
      </c>
      <c r="X140" s="9" t="s">
        <v>1291</v>
      </c>
      <c r="Y140" s="0" t="str">
        <f aca="false">W140&amp;"|"&amp;X140</f>
        <v>ewe4j1nrqwzs0q7|CS2 · FUT vs NEMI|K12</v>
      </c>
      <c r="Z140" s="11" t="n">
        <f aca="false">IFERROR(INDEX(CHOOSE(MATCH($X140,{"K1","K2","K3","K12","K13","H1","H2","H3","H12","H13"},0),Calc!$BA$2:$BA$137,Calc!$BB$2:$BB$137,Calc!$BC$2:$BC$137,Calc!$BD$2:$BD$137,Calc!$BE$2:$BE$137,Calc!$BF$2:$BF$137,Calc!$BG$2:$BG$137,Calc!$BH$2:$BH$137,Calc!$BI$2:$BI$137,Calc!$BJ$2:$BJ$137),MATCH($W140,Calc!$A$2:$A$137,0)),"")</f>
        <v>27.8746707970756</v>
      </c>
      <c r="AA140" s="11" t="n">
        <f aca="false">IF(Z140="","",IF(LEFT($X140,1)="H",SQRT(Z140*(IFERROR(INDEX(Calc!$AP$2:$AP$137,MATCH($W140,Calc!$A$2:$A$137,0)),0.5)*Config!$B$5+1-IFERROR(INDEX(Calc!$AP$2:$AP$137,MATCH($W140,Calc!$A$2:$A$137,0)),0.5))),SQRT(Z140*Config!$B$5)))</f>
        <v>6.24696239110705</v>
      </c>
      <c r="AB140" s="10" t="n">
        <f aca="false">IF(OR(F140="",Z140="",N(AA140)&lt;=0),"",1-NORMDIST(FLOOR(F140,1)+0.5,Z140,AA140,TRUE()))</f>
        <v>0.648076312584042</v>
      </c>
      <c r="AC140" s="10" t="n">
        <f aca="false">IF(AB140="","",NORMDIST(CEILING(F140,1)-0.5,Z140,AA140,TRUE()))</f>
        <v>0.351923687415958</v>
      </c>
      <c r="AD140" s="0" t="str">
        <f aca="false">IF(AB140="","",IF(AB140&gt;=0.5+Config!$B$6,"OVER",IF(AC140&gt;=0.5+Config!$B$6,"UNDER","—")))</f>
        <v>OVER</v>
      </c>
      <c r="AE140" s="13" t="n">
        <f aca="false">IFERROR(Z140/G140,"")</f>
        <v>0.941569357916832</v>
      </c>
    </row>
    <row r="141" customFormat="false" ht="15" hidden="false" customHeight="false" outlineLevel="0" collapsed="false">
      <c r="A141" s="0" t="s">
        <v>1139</v>
      </c>
      <c r="B141" s="0" t="s">
        <v>1056</v>
      </c>
      <c r="C141" s="0" t="s">
        <v>1465</v>
      </c>
      <c r="D141" s="0" t="s">
        <v>1146</v>
      </c>
      <c r="E141" s="0" t="s">
        <v>1286</v>
      </c>
      <c r="F141" s="0" t="n">
        <v>15.5</v>
      </c>
      <c r="G141" s="11" t="n">
        <f aca="false">IFERROR(INDEX(CHOOSE(MATCH($X141,{"K1","K2","K3","K12","K13","H1","H2","H3","H12","H13"},0),Calc!$V$2:$V$137,Calc!$AC$2:$AC$137,Calc!$AJ$2:$AJ$137,Calc!$AL$2:$AL$137,Calc!$AM$2:$AM$137,Calc!$W$2:$W$137,Calc!$AD$2:$AD$137,Calc!$AK$2:$AK$137,Calc!$AN$2:$AN$137,Calc!$AO$2:$AO$137),MATCH($W141,Calc!$A$2:$A$137,0)),"")</f>
        <v>16.8427288769169</v>
      </c>
      <c r="H141" s="11" t="n">
        <f aca="false">IF(G141="","",IF(LEFT($X141,1)="H",SQRT(G141*(IFERROR(INDEX(Calc!$AP$2:$AP$137,MATCH($W141,Calc!$A$2:$A$137,0)),0.5)*Config!$B$5+1-IFERROR(INDEX(Calc!$AP$2:$AP$137,MATCH($W141,Calc!$A$2:$A$137,0)),0.5))),SQRT(G141*Config!$B$5)))</f>
        <v>4.53602619377464</v>
      </c>
      <c r="I141" s="10" t="n">
        <f aca="false">IF(OR(F141="",G141="",N(H141)&lt;=0),"",1-NORMDIST(FLOOR(F141,1)+0.5,G141,H141,TRUE()))</f>
        <v>0.616390441391727</v>
      </c>
      <c r="J141" s="10" t="n">
        <f aca="false">IF(I141="","",NORMDIST(CEILING(F141,1)-0.5,G141,H141,TRUE()))</f>
        <v>0.383609558608273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OVER</v>
      </c>
      <c r="N141" s="0" t="n">
        <v>19.3</v>
      </c>
      <c r="O141" s="10" t="n">
        <v>0.6</v>
      </c>
      <c r="P141" s="10" t="n">
        <v>0.7</v>
      </c>
      <c r="Q141" s="10" t="n">
        <v>0.67</v>
      </c>
      <c r="R141" s="9" t="s">
        <v>1466</v>
      </c>
      <c r="S141" s="0" t="n">
        <v>1</v>
      </c>
      <c r="T141" s="0" t="str">
        <f aca="false">INDEX(Calc!$G$2:$G$137,MATCH($W141,Calc!$A$2:$A$137,0))&amp;" / "&amp;INDEX(Calc!$H$2:$H$137,MATCH($W141,Calc!$A$2:$A$137,0))</f>
        <v>Ancient / Dust2</v>
      </c>
      <c r="U141" s="0" t="str">
        <f aca="false">TEXT(INDEX(Calc!$J$2:$J$137,MATCH($W141,Calc!$A$2:$A$137,0)),"0.0")&amp;" / "&amp;TEXT(INDEX(Calc!$K$2:$K$137,MATCH($W141,Calc!$A$2:$A$137,0)),"0.0")</f>
        <v>21.3 / 21.1</v>
      </c>
      <c r="V141" s="0" t="str">
        <f aca="false">IFERROR(INDEX(Calc!$AQ$2:$AQ$137,MATCH($W141,Calc!$A$2:$A$137,0)),"")</f>
        <v/>
      </c>
      <c r="W141" s="9" t="s">
        <v>1467</v>
      </c>
      <c r="X141" s="9" t="s">
        <v>1289</v>
      </c>
      <c r="Y141" s="0" t="str">
        <f aca="false">W141&amp;"|"&amp;X141</f>
        <v>f00llyg1ocypenv|CS2 · FUT vs NEMI|H12</v>
      </c>
      <c r="Z141" s="11" t="n">
        <f aca="false">IFERROR(INDEX(CHOOSE(MATCH($X141,{"K1","K2","K3","K12","K13","H1","H2","H3","H12","H13"},0),Calc!$BA$2:$BA$137,Calc!$BB$2:$BB$137,Calc!$BC$2:$BC$137,Calc!$BD$2:$BD$137,Calc!$BE$2:$BE$137,Calc!$BF$2:$BF$137,Calc!$BG$2:$BG$137,Calc!$BH$2:$BH$137,Calc!$BI$2:$BI$137,Calc!$BJ$2:$BJ$137),MATCH($W141,Calc!$A$2:$A$137,0)),"")</f>
        <v>15.858402772771</v>
      </c>
      <c r="AA141" s="11" t="n">
        <f aca="false">IF(Z141="","",IF(LEFT($X141,1)="H",SQRT(Z141*(IFERROR(INDEX(Calc!$AP$2:$AP$137,MATCH($W141,Calc!$A$2:$A$137,0)),0.5)*Config!$B$5+1-IFERROR(INDEX(Calc!$AP$2:$AP$137,MATCH($W141,Calc!$A$2:$A$137,0)),0.5))),SQRT(Z141*Config!$B$5)))</f>
        <v>4.40148318298756</v>
      </c>
      <c r="AB141" s="10" t="n">
        <f aca="false">IF(OR(F141="",Z141="",N(AA141)&lt;=0),"",1-NORMDIST(FLOOR(F141,1)+0.5,Z141,AA141,TRUE()))</f>
        <v>0.532449100476472</v>
      </c>
      <c r="AC141" s="10" t="n">
        <f aca="false">IF(AB141="","",NORMDIST(CEILING(F141,1)-0.5,Z141,AA141,TRUE()))</f>
        <v>0.467550899523528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0.941557801509535</v>
      </c>
    </row>
    <row r="142" customFormat="false" ht="15" hidden="false" customHeight="false" outlineLevel="0" collapsed="false">
      <c r="A142" s="0" t="s">
        <v>1139</v>
      </c>
      <c r="B142" s="0" t="s">
        <v>1056</v>
      </c>
      <c r="C142" s="0" t="s">
        <v>1465</v>
      </c>
      <c r="D142" s="0" t="s">
        <v>1146</v>
      </c>
      <c r="E142" s="0" t="s">
        <v>1290</v>
      </c>
      <c r="F142" s="0" t="n">
        <v>27.5</v>
      </c>
      <c r="G142" s="11" t="n">
        <f aca="false">IFERROR(INDEX(CHOOSE(MATCH($X142,{"K1","K2","K3","K12","K13","H1","H2","H3","H12","H13"},0),Calc!$V$2:$V$137,Calc!$AC$2:$AC$137,Calc!$AJ$2:$AJ$137,Calc!$AL$2:$AL$137,Calc!$AM$2:$AM$137,Calc!$W$2:$W$137,Calc!$AD$2:$AD$137,Calc!$AK$2:$AK$137,Calc!$AN$2:$AN$137,Calc!$AO$2:$AO$137),MATCH($W142,Calc!$A$2:$A$137,0)),"")</f>
        <v>30.3983234848485</v>
      </c>
      <c r="H142" s="11" t="n">
        <f aca="false">IF(G142="","",IF(LEFT($X142,1)="H",SQRT(G142*(IFERROR(INDEX(Calc!$AP$2:$AP$137,MATCH($W142,Calc!$A$2:$A$137,0)),0.5)*Config!$B$5+1-IFERROR(INDEX(Calc!$AP$2:$AP$137,MATCH($W142,Calc!$A$2:$A$137,0)),0.5))),SQRT(G142*Config!$B$5)))</f>
        <v>6.5236226805961</v>
      </c>
      <c r="I142" s="10" t="n">
        <f aca="false">IF(OR(F142="",G142="",N(H142)&lt;=0),"",1-NORMDIST(FLOOR(F142,1)+0.5,G142,H142,TRUE()))</f>
        <v>0.671580385836218</v>
      </c>
      <c r="J142" s="10" t="n">
        <f aca="false">IF(I142="","",NORMDIST(CEILING(F142,1)-0.5,G142,H142,TRUE()))</f>
        <v>0.328419614163782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M142" s="0" t="n">
        <v>27.12</v>
      </c>
      <c r="N142" s="0" t="n">
        <v>35.4</v>
      </c>
      <c r="O142" s="10" t="n">
        <v>0.6</v>
      </c>
      <c r="P142" s="10" t="n">
        <v>0.8</v>
      </c>
      <c r="Q142" s="10" t="n">
        <v>0.73</v>
      </c>
      <c r="R142" s="9" t="s">
        <v>1466</v>
      </c>
      <c r="S142" s="0" t="n">
        <v>1</v>
      </c>
      <c r="T142" s="0" t="str">
        <f aca="false">INDEX(Calc!$G$2:$G$137,MATCH($W142,Calc!$A$2:$A$137,0))&amp;" / "&amp;INDEX(Calc!$H$2:$H$137,MATCH($W142,Calc!$A$2:$A$137,0))</f>
        <v>Ancient / Dust2</v>
      </c>
      <c r="U142" s="0" t="str">
        <f aca="false">TEXT(INDEX(Calc!$J$2:$J$137,MATCH($W142,Calc!$A$2:$A$137,0)),"0.0")&amp;" / "&amp;TEXT(INDEX(Calc!$K$2:$K$137,MATCH($W142,Calc!$A$2:$A$137,0)),"0.0")</f>
        <v>21.3 / 21.1</v>
      </c>
      <c r="V142" s="0" t="str">
        <f aca="false">IFERROR(INDEX(Calc!$AQ$2:$AQ$137,MATCH($W142,Calc!$A$2:$A$137,0)),"")</f>
        <v/>
      </c>
      <c r="W142" s="9" t="s">
        <v>1467</v>
      </c>
      <c r="X142" s="9" t="s">
        <v>1291</v>
      </c>
      <c r="Y142" s="0" t="str">
        <f aca="false">W142&amp;"|"&amp;X142</f>
        <v>f00llyg1ocypenv|CS2 · FUT vs NEMI|K12</v>
      </c>
      <c r="Z142" s="11" t="n">
        <f aca="false">IFERROR(INDEX(CHOOSE(MATCH($X142,{"K1","K2","K3","K12","K13","H1","H2","H3","H12","H13"},0),Calc!$BA$2:$BA$137,Calc!$BB$2:$BB$137,Calc!$BC$2:$BC$137,Calc!$BD$2:$BD$137,Calc!$BE$2:$BE$137,Calc!$BF$2:$BF$137,Calc!$BG$2:$BG$137,Calc!$BH$2:$BH$137,Calc!$BI$2:$BI$137,Calc!$BJ$2:$BJ$137),MATCH($W142,Calc!$A$2:$A$137,0)),"")</f>
        <v>28.6221228617659</v>
      </c>
      <c r="AA142" s="11" t="n">
        <f aca="false">IF(Z142="","",IF(LEFT($X142,1)="H",SQRT(Z142*(IFERROR(INDEX(Calc!$AP$2:$AP$137,MATCH($W142,Calc!$A$2:$A$137,0)),0.5)*Config!$B$5+1-IFERROR(INDEX(Calc!$AP$2:$AP$137,MATCH($W142,Calc!$A$2:$A$137,0)),0.5))),SQRT(Z142*Config!$B$5)))</f>
        <v>6.33016366348235</v>
      </c>
      <c r="AB142" s="10" t="n">
        <f aca="false">IF(OR(F142="",Z142="",N(AA142)&lt;=0),"",1-NORMDIST(FLOOR(F142,1)+0.5,Z142,AA142,TRUE()))</f>
        <v>0.570350276383326</v>
      </c>
      <c r="AC142" s="10" t="n">
        <f aca="false">IF(AB142="","",NORMDIST(CEILING(F142,1)-0.5,Z142,AA142,TRUE()))</f>
        <v>0.429649723616674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0.94156912554839</v>
      </c>
    </row>
    <row r="143" customFormat="false" ht="15" hidden="false" customHeight="false" outlineLevel="0" collapsed="false">
      <c r="A143" s="0" t="s">
        <v>1139</v>
      </c>
      <c r="B143" s="0" t="s">
        <v>1056</v>
      </c>
      <c r="C143" s="0" t="s">
        <v>1468</v>
      </c>
      <c r="D143" s="0" t="s">
        <v>1146</v>
      </c>
      <c r="E143" s="0" t="s">
        <v>1286</v>
      </c>
      <c r="F143" s="0" t="n">
        <v>15.5</v>
      </c>
      <c r="G143" s="11" t="n">
        <f aca="false">IFERROR(INDEX(CHOOSE(MATCH($X143,{"K1","K2","K3","K12","K13","H1","H2","H3","H12","H13"},0),Calc!$V$2:$V$137,Calc!$AC$2:$AC$137,Calc!$AJ$2:$AJ$137,Calc!$AL$2:$AL$137,Calc!$AM$2:$AM$137,Calc!$W$2:$W$137,Calc!$AD$2:$AD$137,Calc!$AK$2:$AK$137,Calc!$AN$2:$AN$137,Calc!$AO$2:$AO$137),MATCH($W143,Calc!$A$2:$A$137,0)),"")</f>
        <v>16.4754678470615</v>
      </c>
      <c r="H143" s="11" t="n">
        <f aca="false">IF(G143="","",IF(LEFT($X143,1)="H",SQRT(G143*(IFERROR(INDEX(Calc!$AP$2:$AP$137,MATCH($W143,Calc!$A$2:$A$137,0)),0.5)*Config!$B$5+1-IFERROR(INDEX(Calc!$AP$2:$AP$137,MATCH($W143,Calc!$A$2:$A$137,0)),0.5))),SQRT(G143*Config!$B$5)))</f>
        <v>4.47714473915067</v>
      </c>
      <c r="I143" s="10" t="n">
        <f aca="false">IF(OR(F143="",G143="",N(H143)&lt;=0),"",1-NORMDIST(FLOOR(F143,1)+0.5,G143,H143,TRUE()))</f>
        <v>0.586237611512692</v>
      </c>
      <c r="J143" s="10" t="n">
        <f aca="false">IF(I143="","",NORMDIST(CEILING(F143,1)-0.5,G143,H143,TRUE()))</f>
        <v>0.413762388487308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OVER</v>
      </c>
      <c r="N143" s="0" t="n">
        <v>17.7</v>
      </c>
      <c r="O143" s="10" t="n">
        <v>0.8</v>
      </c>
      <c r="P143" s="10" t="n">
        <v>0.6</v>
      </c>
      <c r="Q143" s="10" t="n">
        <v>0.6</v>
      </c>
      <c r="R143" s="9" t="s">
        <v>1320</v>
      </c>
      <c r="S143" s="0" t="n">
        <v>3</v>
      </c>
      <c r="T143" s="0" t="str">
        <f aca="false">INDEX(Calc!$G$2:$G$137,MATCH($W143,Calc!$A$2:$A$137,0))&amp;" / "&amp;INDEX(Calc!$H$2:$H$137,MATCH($W143,Calc!$A$2:$A$137,0))</f>
        <v>Ancient / Dust2</v>
      </c>
      <c r="U143" s="0" t="str">
        <f aca="false">TEXT(INDEX(Calc!$J$2:$J$137,MATCH($W143,Calc!$A$2:$A$137,0)),"0.0")&amp;" / "&amp;TEXT(INDEX(Calc!$K$2:$K$137,MATCH($W143,Calc!$A$2:$A$137,0)),"0.0")</f>
        <v>21.3 / 21.1</v>
      </c>
      <c r="V143" s="0" t="str">
        <f aca="false">IFERROR(INDEX(Calc!$AQ$2:$AQ$137,MATCH($W143,Calc!$A$2:$A$137,0)),"")</f>
        <v/>
      </c>
      <c r="W143" s="9" t="s">
        <v>1469</v>
      </c>
      <c r="X143" s="9" t="s">
        <v>1289</v>
      </c>
      <c r="Y143" s="0" t="str">
        <f aca="false">W143&amp;"|"&amp;X143</f>
        <v>jc1nf38p0b44dfy|CS2 · FUT vs NEMI|H12</v>
      </c>
      <c r="Z143" s="11" t="n">
        <f aca="false">IFERROR(INDEX(CHOOSE(MATCH($X143,{"K1","K2","K3","K12","K13","H1","H2","H3","H12","H13"},0),Calc!$BA$2:$BA$137,Calc!$BB$2:$BB$137,Calc!$BC$2:$BC$137,Calc!$BD$2:$BD$137,Calc!$BE$2:$BE$137,Calc!$BF$2:$BF$137,Calc!$BG$2:$BG$137,Calc!$BH$2:$BH$137,Calc!$BI$2:$BI$137,Calc!$BJ$2:$BJ$137),MATCH($W143,Calc!$A$2:$A$137,0)),"")</f>
        <v>15.5127063346091</v>
      </c>
      <c r="AA143" s="11" t="n">
        <f aca="false">IF(Z143="","",IF(LEFT($X143,1)="H",SQRT(Z143*(IFERROR(INDEX(Calc!$AP$2:$AP$137,MATCH($W143,Calc!$A$2:$A$137,0)),0.5)*Config!$B$5+1-IFERROR(INDEX(Calc!$AP$2:$AP$137,MATCH($W143,Calc!$A$2:$A$137,0)),0.5))),SQRT(Z143*Config!$B$5)))</f>
        <v>4.3443623599825</v>
      </c>
      <c r="AB143" s="10" t="n">
        <f aca="false">IF(OR(F143="",Z143="",N(AA143)&lt;=0),"",1-NORMDIST(FLOOR(F143,1)+0.5,Z143,AA143,TRUE()))</f>
        <v>0.501166819536984</v>
      </c>
      <c r="AC143" s="10" t="n">
        <f aca="false">IF(AB143="","",NORMDIST(CEILING(F143,1)-0.5,Z143,AA143,TRUE()))</f>
        <v>0.498833180463016</v>
      </c>
      <c r="AD143" s="0" t="str">
        <f aca="false">IF(AB143="","",IF(AB143&gt;=0.5+Config!$B$6,"OVER",IF(AC143&gt;=0.5+Config!$B$6,"UNDER","—")))</f>
        <v>—</v>
      </c>
      <c r="AE143" s="13" t="n">
        <f aca="false">IFERROR(Z143/G143,"")</f>
        <v>0.941563934852139</v>
      </c>
    </row>
    <row r="144" customFormat="false" ht="15" hidden="false" customHeight="false" outlineLevel="0" collapsed="false">
      <c r="A144" s="0" t="s">
        <v>1139</v>
      </c>
      <c r="B144" s="0" t="s">
        <v>1056</v>
      </c>
      <c r="C144" s="0" t="s">
        <v>1468</v>
      </c>
      <c r="D144" s="0" t="s">
        <v>1146</v>
      </c>
      <c r="E144" s="0" t="s">
        <v>1290</v>
      </c>
      <c r="F144" s="0" t="n">
        <v>27</v>
      </c>
      <c r="G144" s="11" t="n">
        <f aca="false">IFERROR(INDEX(CHOOSE(MATCH($X144,{"K1","K2","K3","K12","K13","H1","H2","H3","H12","H13"},0),Calc!$V$2:$V$137,Calc!$AC$2:$AC$137,Calc!$AJ$2:$AJ$137,Calc!$AL$2:$AL$137,Calc!$AM$2:$AM$137,Calc!$W$2:$W$137,Calc!$AD$2:$AD$137,Calc!$AK$2:$AK$137,Calc!$AN$2:$AN$137,Calc!$AO$2:$AO$137),MATCH($W144,Calc!$A$2:$A$137,0)),"")</f>
        <v>30.4190393939394</v>
      </c>
      <c r="H144" s="11" t="n">
        <f aca="false">IF(G144="","",IF(LEFT($X144,1)="H",SQRT(G144*(IFERROR(INDEX(Calc!$AP$2:$AP$137,MATCH($W144,Calc!$A$2:$A$137,0)),0.5)*Config!$B$5+1-IFERROR(INDEX(Calc!$AP$2:$AP$137,MATCH($W144,Calc!$A$2:$A$137,0)),0.5))),SQRT(G144*Config!$B$5)))</f>
        <v>6.52584516760206</v>
      </c>
      <c r="I144" s="10" t="n">
        <f aca="false">IF(OR(F144="",G144="",N(H144)&lt;=0),"",1-NORMDIST(FLOOR(F144,1)+0.5,G144,H144,TRUE()))</f>
        <v>0.672672362307289</v>
      </c>
      <c r="J144" s="10" t="n">
        <f aca="false">IF(I144="","",NORMDIST(CEILING(F144,1)-0.5,G144,H144,TRUE()))</f>
        <v>0.27407278005304</v>
      </c>
      <c r="K144" s="10" t="n">
        <f aca="false">IF(I144="","",MAX(0,1-I144-J144))</f>
        <v>0.053254857639671</v>
      </c>
      <c r="L144" s="0" t="str">
        <f aca="false">IF(I144="","",IF(I144&gt;=0.5+Config!$B$6,"OVER",IF(J144&gt;=0.5+Config!$B$6,"UNDER","—")))</f>
        <v>OVER</v>
      </c>
      <c r="M144" s="0" t="n">
        <v>26.72</v>
      </c>
      <c r="N144" s="0" t="n">
        <v>32.4</v>
      </c>
      <c r="O144" s="10" t="n">
        <v>0.6</v>
      </c>
      <c r="P144" s="10" t="n">
        <v>0.8</v>
      </c>
      <c r="Q144" s="10" t="n">
        <v>0.73</v>
      </c>
      <c r="R144" s="9" t="s">
        <v>1320</v>
      </c>
      <c r="S144" s="0" t="n">
        <v>1</v>
      </c>
      <c r="T144" s="0" t="str">
        <f aca="false">INDEX(Calc!$G$2:$G$137,MATCH($W144,Calc!$A$2:$A$137,0))&amp;" / "&amp;INDEX(Calc!$H$2:$H$137,MATCH($W144,Calc!$A$2:$A$137,0))</f>
        <v>Ancient / Dust2</v>
      </c>
      <c r="U144" s="0" t="str">
        <f aca="false">TEXT(INDEX(Calc!$J$2:$J$137,MATCH($W144,Calc!$A$2:$A$137,0)),"0.0")&amp;" / "&amp;TEXT(INDEX(Calc!$K$2:$K$137,MATCH($W144,Calc!$A$2:$A$137,0)),"0.0")</f>
        <v>21.3 / 21.1</v>
      </c>
      <c r="V144" s="0" t="str">
        <f aca="false">IFERROR(INDEX(Calc!$AQ$2:$AQ$137,MATCH($W144,Calc!$A$2:$A$137,0)),"")</f>
        <v/>
      </c>
      <c r="W144" s="9" t="s">
        <v>1469</v>
      </c>
      <c r="X144" s="9" t="s">
        <v>1291</v>
      </c>
      <c r="Y144" s="0" t="str">
        <f aca="false">W144&amp;"|"&amp;X144</f>
        <v>jc1nf38p0b44dfy|CS2 · FUT vs NEMI|K12</v>
      </c>
      <c r="Z144" s="11" t="n">
        <f aca="false">IFERROR(INDEX(CHOOSE(MATCH($X144,{"K1","K2","K3","K12","K13","H1","H2","H3","H12","H13"},0),Calc!$BA$2:$BA$137,Calc!$BB$2:$BB$137,Calc!$BC$2:$BC$137,Calc!$BD$2:$BD$137,Calc!$BE$2:$BE$137,Calc!$BF$2:$BF$137,Calc!$BG$2:$BG$137,Calc!$BH$2:$BH$137,Calc!$BI$2:$BI$137,Calc!$BJ$2:$BJ$137),MATCH($W144,Calc!$A$2:$A$137,0)),"")</f>
        <v>28.6428071945655</v>
      </c>
      <c r="AA144" s="11" t="n">
        <f aca="false">IF(Z144="","",IF(LEFT($X144,1)="H",SQRT(Z144*(IFERROR(INDEX(Calc!$AP$2:$AP$137,MATCH($W144,Calc!$A$2:$A$137,0)),0.5)*Config!$B$5+1-IFERROR(INDEX(Calc!$AP$2:$AP$137,MATCH($W144,Calc!$A$2:$A$137,0)),0.5))),SQRT(Z144*Config!$B$5)))</f>
        <v>6.33245055822718</v>
      </c>
      <c r="AB144" s="10" t="n">
        <f aca="false">IF(OR(F144="",Z144="",N(AA144)&lt;=0),"",1-NORMDIST(FLOOR(F144,1)+0.5,Z144,AA144,TRUE()))</f>
        <v>0.571607568293749</v>
      </c>
      <c r="AC144" s="10" t="n">
        <f aca="false">IF(AB144="","",NORMDIST(CEILING(F144,1)-0.5,Z144,AA144,TRUE()))</f>
        <v>0.367536483918761</v>
      </c>
      <c r="AD144" s="0" t="str">
        <f aca="false">IF(AB144="","",IF(AB144&gt;=0.5+Config!$B$6,"OVER",IF(AC144&gt;=0.5+Config!$B$6,"UNDER","—")))</f>
        <v>OVER</v>
      </c>
      <c r="AE144" s="13" t="n">
        <f aca="false">IFERROR(Z144/G144,"")</f>
        <v>0.941607879973758</v>
      </c>
    </row>
    <row r="145" customFormat="false" ht="15" hidden="false" customHeight="false" outlineLevel="0" collapsed="false">
      <c r="A145" s="0" t="s">
        <v>1139</v>
      </c>
      <c r="B145" s="0" t="s">
        <v>1167</v>
      </c>
      <c r="C145" s="0" t="s">
        <v>1470</v>
      </c>
      <c r="D145" s="0" t="s">
        <v>1172</v>
      </c>
      <c r="E145" s="0" t="s">
        <v>1286</v>
      </c>
      <c r="F145" s="0" t="n">
        <v>14.5</v>
      </c>
      <c r="G145" s="11" t="n">
        <f aca="false">IFERROR(INDEX(CHOOSE(MATCH($X145,{"K1","K2","K3","K12","K13","H1","H2","H3","H12","H13"},0),Calc!$V$2:$V$137,Calc!$AC$2:$AC$137,Calc!$AJ$2:$AJ$137,Calc!$AL$2:$AL$137,Calc!$AM$2:$AM$137,Calc!$W$2:$W$137,Calc!$AD$2:$AD$137,Calc!$AK$2:$AK$137,Calc!$AN$2:$AN$137,Calc!$AO$2:$AO$137),MATCH($W145,Calc!$A$2:$A$137,0)),"")</f>
        <v>13.5740461100592</v>
      </c>
      <c r="H145" s="11" t="n">
        <f aca="false">IF(G145="","",IF(LEFT($X145,1)="H",SQRT(G145*(IFERROR(INDEX(Calc!$AP$2:$AP$137,MATCH($W145,Calc!$A$2:$A$137,0)),0.5)*Config!$B$5+1-IFERROR(INDEX(Calc!$AP$2:$AP$137,MATCH($W145,Calc!$A$2:$A$137,0)),0.5))),SQRT(G145*Config!$B$5)))</f>
        <v>4.01920031928037</v>
      </c>
      <c r="I145" s="10" t="n">
        <f aca="false">IF(OR(F145="",G145="",N(H145)&lt;=0),"",1-NORMDIST(FLOOR(F145,1)+0.5,G145,H145,TRUE()))</f>
        <v>0.408897233554142</v>
      </c>
      <c r="J145" s="10" t="n">
        <f aca="false">IF(I145="","",NORMDIST(CEILING(F145,1)-0.5,G145,H145,TRUE()))</f>
        <v>0.591102766445858</v>
      </c>
      <c r="K145" s="10" t="n">
        <f aca="false">IF(I145="","",MAX(0,1-I145-J145))</f>
        <v>0</v>
      </c>
      <c r="L145" s="0" t="str">
        <f aca="false">IF(I145="","",IF(I145&gt;=0.5+Config!$B$6,"OVER",IF(J145&gt;=0.5+Config!$B$6,"UNDER","—")))</f>
        <v>UNDER</v>
      </c>
      <c r="N145" s="0" t="n">
        <v>14.4</v>
      </c>
      <c r="O145" s="10" t="n">
        <v>0.4</v>
      </c>
      <c r="P145" s="10" t="n">
        <v>0.4</v>
      </c>
      <c r="Q145" s="10" t="n">
        <v>0.4</v>
      </c>
      <c r="R145" s="9" t="s">
        <v>1466</v>
      </c>
      <c r="S145" s="0" t="n">
        <v>-2</v>
      </c>
      <c r="T145" s="0" t="str">
        <f aca="false">INDEX(Calc!$G$2:$G$137,MATCH($W145,Calc!$A$2:$A$137,0))&amp;" / "&amp;INDEX(Calc!$H$2:$H$137,MATCH($W145,Calc!$A$2:$A$137,0))</f>
        <v>Ancient / Nuke</v>
      </c>
      <c r="U145" s="0" t="str">
        <f aca="false">TEXT(INDEX(Calc!$J$2:$J$137,MATCH($W145,Calc!$A$2:$A$137,0)),"0.0")&amp;" / "&amp;TEXT(INDEX(Calc!$K$2:$K$137,MATCH($W145,Calc!$A$2:$A$137,0)),"0.0")</f>
        <v>21.4 / 21.4</v>
      </c>
      <c r="V145" s="0" t="str">
        <f aca="false">IFERROR(INDEX(Calc!$AQ$2:$AQ$137,MATCH($W145,Calc!$A$2:$A$137,0)),"")</f>
        <v/>
      </c>
      <c r="W145" s="9" t="s">
        <v>1471</v>
      </c>
      <c r="X145" s="9" t="s">
        <v>1289</v>
      </c>
      <c r="Y145" s="0" t="str">
        <f aca="false">W145&amp;"|"&amp;X145</f>
        <v>w36zabyloy9xbbl|CS2 · FaZe vs GL|H12</v>
      </c>
      <c r="Z145" s="11" t="n">
        <f aca="false">IFERROR(INDEX(CHOOSE(MATCH($X145,{"K1","K2","K3","K12","K13","H1","H2","H3","H12","H13"},0),Calc!$BA$2:$BA$137,Calc!$BB$2:$BB$137,Calc!$BC$2:$BC$137,Calc!$BD$2:$BD$137,Calc!$BE$2:$BE$137,Calc!$BF$2:$BF$137,Calc!$BG$2:$BG$137,Calc!$BH$2:$BH$137,Calc!$BI$2:$BI$137,Calc!$BJ$2:$BJ$137),MATCH($W145,Calc!$A$2:$A$137,0)),"")</f>
        <v>13.638776868172</v>
      </c>
      <c r="AA145" s="11" t="n">
        <f aca="false">IF(Z145="","",IF(LEFT($X145,1)="H",SQRT(Z145*(IFERROR(INDEX(Calc!$AP$2:$AP$137,MATCH($W145,Calc!$A$2:$A$137,0)),0.5)*Config!$B$5+1-IFERROR(INDEX(Calc!$AP$2:$AP$137,MATCH($W145,Calc!$A$2:$A$137,0)),0.5))),SQRT(Z145*Config!$B$5)))</f>
        <v>4.02877213208663</v>
      </c>
      <c r="AB145" s="10" t="n">
        <f aca="false">IF(OR(F145="",Z145="",N(AA145)&lt;=0),"",1-NORMDIST(FLOOR(F145,1)+0.5,Z145,AA145,TRUE()))</f>
        <v>0.415363934972718</v>
      </c>
      <c r="AC145" s="10" t="n">
        <f aca="false">IF(AB145="","",NORMDIST(CEILING(F145,1)-0.5,Z145,AA145,TRUE()))</f>
        <v>0.584636065027282</v>
      </c>
      <c r="AD145" s="0" t="str">
        <f aca="false">IF(AB145="","",IF(AB145&gt;=0.5+Config!$B$6,"OVER",IF(AC145&gt;=0.5+Config!$B$6,"UNDER","—")))</f>
        <v>UNDER</v>
      </c>
      <c r="AE145" s="13" t="n">
        <f aca="false">IFERROR(Z145/G145,"")</f>
        <v>1.0047687150602</v>
      </c>
    </row>
    <row r="146" customFormat="false" ht="15" hidden="false" customHeight="false" outlineLevel="0" collapsed="false">
      <c r="A146" s="0" t="s">
        <v>1139</v>
      </c>
      <c r="B146" s="0" t="s">
        <v>1167</v>
      </c>
      <c r="C146" s="0" t="s">
        <v>1470</v>
      </c>
      <c r="D146" s="0" t="s">
        <v>1172</v>
      </c>
      <c r="E146" s="0" t="s">
        <v>1290</v>
      </c>
      <c r="F146" s="0" t="n">
        <v>29.5</v>
      </c>
      <c r="G146" s="11" t="n">
        <f aca="false">IFERROR(INDEX(CHOOSE(MATCH($X146,{"K1","K2","K3","K12","K13","H1","H2","H3","H12","H13"},0),Calc!$V$2:$V$137,Calc!$AC$2:$AC$137,Calc!$AJ$2:$AJ$137,Calc!$AL$2:$AL$137,Calc!$AM$2:$AM$137,Calc!$W$2:$W$137,Calc!$AD$2:$AD$137,Calc!$AK$2:$AK$137,Calc!$AN$2:$AN$137,Calc!$AO$2:$AO$137),MATCH($W146,Calc!$A$2:$A$137,0)),"")</f>
        <v>28.5674538461538</v>
      </c>
      <c r="H146" s="11" t="n">
        <f aca="false">IF(G146="","",IF(LEFT($X146,1)="H",SQRT(G146*(IFERROR(INDEX(Calc!$AP$2:$AP$137,MATCH($W146,Calc!$A$2:$A$137,0)),0.5)*Config!$B$5+1-IFERROR(INDEX(Calc!$AP$2:$AP$137,MATCH($W146,Calc!$A$2:$A$137,0)),0.5))),SQRT(G146*Config!$B$5)))</f>
        <v>6.32411538356278</v>
      </c>
      <c r="I146" s="10" t="n">
        <f aca="false">IF(OR(F146="",G146="",N(H146)&lt;=0),"",1-NORMDIST(FLOOR(F146,1)+0.5,G146,H146,TRUE()))</f>
        <v>0.441384967956358</v>
      </c>
      <c r="J146" s="10" t="n">
        <f aca="false">IF(I146="","",NORMDIST(CEILING(F146,1)-0.5,G146,H146,TRUE()))</f>
        <v>0.558615032043643</v>
      </c>
      <c r="K146" s="10" t="n">
        <f aca="false">IF(I146="","",MAX(0,1-I146-J146))</f>
        <v>0</v>
      </c>
      <c r="L146" s="0" t="str">
        <f aca="false">IF(I146="","",IF(I146&gt;=0.5+Config!$B$6,"OVER",IF(J146&gt;=0.5+Config!$B$6,"UNDER","—")))</f>
        <v>UNDER</v>
      </c>
      <c r="N146" s="0" t="n">
        <v>27.8</v>
      </c>
      <c r="O146" s="10" t="n">
        <v>0.6</v>
      </c>
      <c r="P146" s="10" t="n">
        <v>0.4</v>
      </c>
      <c r="Q146" s="10" t="n">
        <v>0.4</v>
      </c>
      <c r="R146" s="9" t="s">
        <v>1466</v>
      </c>
      <c r="S146" s="0" t="n">
        <v>-1</v>
      </c>
      <c r="T146" s="0" t="str">
        <f aca="false">INDEX(Calc!$G$2:$G$137,MATCH($W146,Calc!$A$2:$A$137,0))&amp;" / "&amp;INDEX(Calc!$H$2:$H$137,MATCH($W146,Calc!$A$2:$A$137,0))</f>
        <v>Ancient / Nuke</v>
      </c>
      <c r="U146" s="0" t="str">
        <f aca="false">TEXT(INDEX(Calc!$J$2:$J$137,MATCH($W146,Calc!$A$2:$A$137,0)),"0.0")&amp;" / "&amp;TEXT(INDEX(Calc!$K$2:$K$137,MATCH($W146,Calc!$A$2:$A$137,0)),"0.0")</f>
        <v>21.4 / 21.4</v>
      </c>
      <c r="V146" s="0" t="str">
        <f aca="false">IFERROR(INDEX(Calc!$AQ$2:$AQ$137,MATCH($W146,Calc!$A$2:$A$137,0)),"")</f>
        <v/>
      </c>
      <c r="W146" s="9" t="s">
        <v>1471</v>
      </c>
      <c r="X146" s="9" t="s">
        <v>1291</v>
      </c>
      <c r="Y146" s="0" t="str">
        <f aca="false">W146&amp;"|"&amp;X146</f>
        <v>w36zabyloy9xbbl|CS2 · FaZe vs GL|K12</v>
      </c>
      <c r="Z146" s="11" t="n">
        <f aca="false">IFERROR(INDEX(CHOOSE(MATCH($X146,{"K1","K2","K3","K12","K13","H1","H2","H3","H12","H13"},0),Calc!$BA$2:$BA$137,Calc!$BB$2:$BB$137,Calc!$BC$2:$BC$137,Calc!$BD$2:$BD$137,Calc!$BE$2:$BE$137,Calc!$BF$2:$BF$137,Calc!$BG$2:$BG$137,Calc!$BH$2:$BH$137,Calc!$BI$2:$BI$137,Calc!$BJ$2:$BJ$137),MATCH($W146,Calc!$A$2:$A$137,0)),"")</f>
        <v>28.6886112311515</v>
      </c>
      <c r="AA146" s="11" t="n">
        <f aca="false">IF(Z146="","",IF(LEFT($X146,1)="H",SQRT(Z146*(IFERROR(INDEX(Calc!$AP$2:$AP$137,MATCH($W146,Calc!$A$2:$A$137,0)),0.5)*Config!$B$5+1-IFERROR(INDEX(Calc!$AP$2:$AP$137,MATCH($W146,Calc!$A$2:$A$137,0)),0.5))),SQRT(Z146*Config!$B$5)))</f>
        <v>6.33751179277894</v>
      </c>
      <c r="AB146" s="10" t="n">
        <f aca="false">IF(OR(F146="",Z146="",N(AA146)&lt;=0),"",1-NORMDIST(FLOOR(F146,1)+0.5,Z146,AA146,TRUE()))</f>
        <v>0.449062794857708</v>
      </c>
      <c r="AC146" s="10" t="n">
        <f aca="false">IF(AB146="","",NORMDIST(CEILING(F146,1)-0.5,Z146,AA146,TRUE()))</f>
        <v>0.550937205142293</v>
      </c>
      <c r="AD146" s="0" t="str">
        <f aca="false">IF(AB146="","",IF(AB146&gt;=0.5+Config!$B$6,"OVER",IF(AC146&gt;=0.5+Config!$B$6,"UNDER","—")))</f>
        <v>UNDER</v>
      </c>
      <c r="AE146" s="13" t="n">
        <f aca="false">IFERROR(Z146/G146,"")</f>
        <v>1.00424109847696</v>
      </c>
    </row>
    <row r="147" customFormat="false" ht="15" hidden="false" customHeight="false" outlineLevel="0" collapsed="false">
      <c r="A147" s="0" t="s">
        <v>1139</v>
      </c>
      <c r="B147" s="0" t="s">
        <v>1167</v>
      </c>
      <c r="C147" s="0" t="s">
        <v>1472</v>
      </c>
      <c r="D147" s="0" t="s">
        <v>1172</v>
      </c>
      <c r="E147" s="0" t="s">
        <v>1286</v>
      </c>
      <c r="F147" s="0" t="n">
        <v>11.5</v>
      </c>
      <c r="G147" s="11" t="n">
        <f aca="false">IFERROR(INDEX(CHOOSE(MATCH($X147,{"K1","K2","K3","K12","K13","H1","H2","H3","H12","H13"},0),Calc!$V$2:$V$137,Calc!$AC$2:$AC$137,Calc!$AJ$2:$AJ$137,Calc!$AL$2:$AL$137,Calc!$AM$2:$AM$137,Calc!$W$2:$W$137,Calc!$AD$2:$AD$137,Calc!$AK$2:$AK$137,Calc!$AN$2:$AN$137,Calc!$AO$2:$AO$137),MATCH($W147,Calc!$A$2:$A$137,0)),"")</f>
        <v>11.2441919857988</v>
      </c>
      <c r="H147" s="11" t="n">
        <f aca="false">IF(G147="","",IF(LEFT($X147,1)="H",SQRT(G147*(IFERROR(INDEX(Calc!$AP$2:$AP$137,MATCH($W147,Calc!$A$2:$A$137,0)),0.5)*Config!$B$5+1-IFERROR(INDEX(Calc!$AP$2:$AP$137,MATCH($W147,Calc!$A$2:$A$137,0)),0.5))),SQRT(G147*Config!$B$5)))</f>
        <v>3.59523865477908</v>
      </c>
      <c r="I147" s="10" t="n">
        <f aca="false">IF(OR(F147="",G147="",N(H147)&lt;=0),"",1-NORMDIST(FLOOR(F147,1)+0.5,G147,H147,TRUE()))</f>
        <v>0.47163843649474</v>
      </c>
      <c r="J147" s="10" t="n">
        <f aca="false">IF(I147="","",NORMDIST(CEILING(F147,1)-0.5,G147,H147,TRUE()))</f>
        <v>0.52836156350526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—</v>
      </c>
      <c r="N147" s="0" t="n">
        <v>10.7</v>
      </c>
      <c r="O147" s="10" t="n">
        <v>0.4</v>
      </c>
      <c r="P147" s="10" t="n">
        <v>0.4</v>
      </c>
      <c r="Q147" s="10" t="n">
        <v>0.47</v>
      </c>
      <c r="R147" s="9" t="s">
        <v>1287</v>
      </c>
      <c r="S147" s="0" t="n">
        <v>1</v>
      </c>
      <c r="T147" s="0" t="str">
        <f aca="false">INDEX(Calc!$G$2:$G$137,MATCH($W147,Calc!$A$2:$A$137,0))&amp;" / "&amp;INDEX(Calc!$H$2:$H$137,MATCH($W147,Calc!$A$2:$A$137,0))</f>
        <v>Ancient / Nuke</v>
      </c>
      <c r="U147" s="0" t="str">
        <f aca="false">TEXT(INDEX(Calc!$J$2:$J$137,MATCH($W147,Calc!$A$2:$A$137,0)),"0.0")&amp;" / "&amp;TEXT(INDEX(Calc!$K$2:$K$137,MATCH($W147,Calc!$A$2:$A$137,0)),"0.0")</f>
        <v>21.4 / 21.4</v>
      </c>
      <c r="V147" s="0" t="str">
        <f aca="false">IFERROR(INDEX(Calc!$AQ$2:$AQ$137,MATCH($W147,Calc!$A$2:$A$137,0)),"")</f>
        <v/>
      </c>
      <c r="W147" s="9" t="s">
        <v>1473</v>
      </c>
      <c r="X147" s="9" t="s">
        <v>1289</v>
      </c>
      <c r="Y147" s="0" t="str">
        <f aca="false">W147&amp;"|"&amp;X147</f>
        <v>3i7rtlh9c02jvmx|CS2 · FaZe vs GL|H12</v>
      </c>
      <c r="Z147" s="11" t="n">
        <f aca="false">IFERROR(INDEX(CHOOSE(MATCH($X147,{"K1","K2","K3","K12","K13","H1","H2","H3","H12","H13"},0),Calc!$BA$2:$BA$137,Calc!$BB$2:$BB$137,Calc!$BC$2:$BC$137,Calc!$BD$2:$BD$137,Calc!$BE$2:$BE$137,Calc!$BF$2:$BF$137,Calc!$BG$2:$BG$137,Calc!$BH$2:$BH$137,Calc!$BI$2:$BI$137,Calc!$BJ$2:$BJ$137),MATCH($W147,Calc!$A$2:$A$137,0)),"")</f>
        <v>11.303611412833</v>
      </c>
      <c r="AA147" s="11" t="n">
        <f aca="false">IF(Z147="","",IF(LEFT($X147,1)="H",SQRT(Z147*(IFERROR(INDEX(Calc!$AP$2:$AP$137,MATCH($W147,Calc!$A$2:$A$137,0)),0.5)*Config!$B$5+1-IFERROR(INDEX(Calc!$AP$2:$AP$137,MATCH($W147,Calc!$A$2:$A$137,0)),0.5))),SQRT(Z147*Config!$B$5)))</f>
        <v>3.60472557650903</v>
      </c>
      <c r="AB147" s="10" t="n">
        <f aca="false">IF(OR(F147="",Z147="",N(AA147)&lt;=0),"",1-NORMDIST(FLOOR(F147,1)+0.5,Z147,AA147,TRUE()))</f>
        <v>0.478276024557646</v>
      </c>
      <c r="AC147" s="10" t="n">
        <f aca="false">IF(AB147="","",NORMDIST(CEILING(F147,1)-0.5,Z147,AA147,TRUE()))</f>
        <v>0.521723975442354</v>
      </c>
      <c r="AD147" s="0" t="str">
        <f aca="false">IF(AB147="","",IF(AB147&gt;=0.5+Config!$B$6,"OVER",IF(AC147&gt;=0.5+Config!$B$6,"UNDER","—")))</f>
        <v>—</v>
      </c>
      <c r="AE147" s="13" t="n">
        <f aca="false">IFERROR(Z147/G147,"")</f>
        <v>1.00528445504214</v>
      </c>
    </row>
    <row r="148" customFormat="false" ht="15" hidden="false" customHeight="false" outlineLevel="0" collapsed="false">
      <c r="A148" s="0" t="s">
        <v>1139</v>
      </c>
      <c r="B148" s="0" t="s">
        <v>1167</v>
      </c>
      <c r="C148" s="0" t="s">
        <v>1472</v>
      </c>
      <c r="D148" s="0" t="s">
        <v>1172</v>
      </c>
      <c r="E148" s="0" t="s">
        <v>1290</v>
      </c>
      <c r="F148" s="0" t="n">
        <v>30.5</v>
      </c>
      <c r="G148" s="11" t="n">
        <f aca="false">IFERROR(INDEX(CHOOSE(MATCH($X148,{"K1","K2","K3","K12","K13","H1","H2","H3","H12","H13"},0),Calc!$V$2:$V$137,Calc!$AC$2:$AC$137,Calc!$AJ$2:$AJ$137,Calc!$AL$2:$AL$137,Calc!$AM$2:$AM$137,Calc!$W$2:$W$137,Calc!$AD$2:$AD$137,Calc!$AK$2:$AK$137,Calc!$AN$2:$AN$137,Calc!$AO$2:$AO$137),MATCH($W148,Calc!$A$2:$A$137,0)),"")</f>
        <v>30.0750923076923</v>
      </c>
      <c r="H148" s="11" t="n">
        <f aca="false">IF(G148="","",IF(LEFT($X148,1)="H",SQRT(G148*(IFERROR(INDEX(Calc!$AP$2:$AP$137,MATCH($W148,Calc!$A$2:$A$137,0)),0.5)*Config!$B$5+1-IFERROR(INDEX(Calc!$AP$2:$AP$137,MATCH($W148,Calc!$A$2:$A$137,0)),0.5))),SQRT(G148*Config!$B$5)))</f>
        <v>6.4888465254442</v>
      </c>
      <c r="I148" s="10" t="n">
        <f aca="false">IF(OR(F148="",G148="",N(H148)&lt;=0),"",1-NORMDIST(FLOOR(F148,1)+0.5,G148,H148,TRUE()))</f>
        <v>0.473894809291418</v>
      </c>
      <c r="J148" s="10" t="n">
        <f aca="false">IF(I148="","",NORMDIST(CEILING(F148,1)-0.5,G148,H148,TRUE()))</f>
        <v>0.526105190708582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—</v>
      </c>
      <c r="N148" s="0" t="n">
        <v>29.2</v>
      </c>
      <c r="O148" s="10" t="n">
        <v>0.6</v>
      </c>
      <c r="P148" s="10" t="n">
        <v>0.5</v>
      </c>
      <c r="Q148" s="10" t="n">
        <v>0.4</v>
      </c>
      <c r="R148" s="9" t="s">
        <v>1287</v>
      </c>
      <c r="S148" s="0" t="n">
        <v>1</v>
      </c>
      <c r="T148" s="0" t="str">
        <f aca="false">INDEX(Calc!$G$2:$G$137,MATCH($W148,Calc!$A$2:$A$137,0))&amp;" / "&amp;INDEX(Calc!$H$2:$H$137,MATCH($W148,Calc!$A$2:$A$137,0))</f>
        <v>Ancient / Nuke</v>
      </c>
      <c r="U148" s="0" t="str">
        <f aca="false">TEXT(INDEX(Calc!$J$2:$J$137,MATCH($W148,Calc!$A$2:$A$137,0)),"0.0")&amp;" / "&amp;TEXT(INDEX(Calc!$K$2:$K$137,MATCH($W148,Calc!$A$2:$A$137,0)),"0.0")</f>
        <v>21.4 / 21.4</v>
      </c>
      <c r="V148" s="0" t="str">
        <f aca="false">IFERROR(INDEX(Calc!$AQ$2:$AQ$137,MATCH($W148,Calc!$A$2:$A$137,0)),"")</f>
        <v/>
      </c>
      <c r="W148" s="9" t="s">
        <v>1473</v>
      </c>
      <c r="X148" s="9" t="s">
        <v>1291</v>
      </c>
      <c r="Y148" s="0" t="str">
        <f aca="false">W148&amp;"|"&amp;X148</f>
        <v>3i7rtlh9c02jvmx|CS2 · FaZe vs GL|K12</v>
      </c>
      <c r="Z148" s="11" t="n">
        <f aca="false">IFERROR(INDEX(CHOOSE(MATCH($X148,{"K1","K2","K3","K12","K13","H1","H2","H3","H12","H13"},0),Calc!$BA$2:$BA$137,Calc!$BB$2:$BB$137,Calc!$BC$2:$BC$137,Calc!$BD$2:$BD$137,Calc!$BE$2:$BE$137,Calc!$BF$2:$BF$137,Calc!$BG$2:$BG$137,Calc!$BH$2:$BH$137,Calc!$BI$2:$BI$137,Calc!$BJ$2:$BJ$137),MATCH($W148,Calc!$A$2:$A$137,0)),"")</f>
        <v>30.2209297323337</v>
      </c>
      <c r="AA148" s="11" t="n">
        <f aca="false">IF(Z148="","",IF(LEFT($X148,1)="H",SQRT(Z148*(IFERROR(INDEX(Calc!$AP$2:$AP$137,MATCH($W148,Calc!$A$2:$A$137,0)),0.5)*Config!$B$5+1-IFERROR(INDEX(Calc!$AP$2:$AP$137,MATCH($W148,Calc!$A$2:$A$137,0)),0.5))),SQRT(Z148*Config!$B$5)))</f>
        <v>6.50456006392955</v>
      </c>
      <c r="AB148" s="10" t="n">
        <f aca="false">IF(OR(F148="",Z148="",N(AA148)&lt;=0),"",1-NORMDIST(FLOOR(F148,1)+0.5,Z148,AA148,TRUE()))</f>
        <v>0.482889114471624</v>
      </c>
      <c r="AC148" s="10" t="n">
        <f aca="false">IF(AB148="","",NORMDIST(CEILING(F148,1)-0.5,Z148,AA148,TRUE()))</f>
        <v>0.517110885528376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1.00484910979323</v>
      </c>
    </row>
    <row r="149" customFormat="false" ht="15" hidden="false" customHeight="false" outlineLevel="0" collapsed="false">
      <c r="A149" s="0" t="s">
        <v>1139</v>
      </c>
      <c r="B149" s="0" t="s">
        <v>1167</v>
      </c>
      <c r="C149" s="0" t="s">
        <v>1474</v>
      </c>
      <c r="D149" s="0" t="s">
        <v>1172</v>
      </c>
      <c r="E149" s="0" t="s">
        <v>1286</v>
      </c>
      <c r="F149" s="0" t="n">
        <v>18.5</v>
      </c>
      <c r="G149" s="11" t="n">
        <f aca="false">IFERROR(INDEX(CHOOSE(MATCH($X149,{"K1","K2","K3","K12","K13","H1","H2","H3","H12","H13"},0),Calc!$V$2:$V$137,Calc!$AC$2:$AC$137,Calc!$AJ$2:$AJ$137,Calc!$AL$2:$AL$137,Calc!$AM$2:$AM$137,Calc!$W$2:$W$137,Calc!$AD$2:$AD$137,Calc!$AK$2:$AK$137,Calc!$AN$2:$AN$137,Calc!$AO$2:$AO$137),MATCH($W149,Calc!$A$2:$A$137,0)),"")</f>
        <v>17.3610802981826</v>
      </c>
      <c r="H149" s="11" t="n">
        <f aca="false">IF(G149="","",IF(LEFT($X149,1)="H",SQRT(G149*(IFERROR(INDEX(Calc!$AP$2:$AP$137,MATCH($W149,Calc!$A$2:$A$137,0)),0.5)*Config!$B$5+1-IFERROR(INDEX(Calc!$AP$2:$AP$137,MATCH($W149,Calc!$A$2:$A$137,0)),0.5))),SQRT(G149*Config!$B$5)))</f>
        <v>4.68853067229453</v>
      </c>
      <c r="I149" s="10" t="n">
        <f aca="false">IF(OR(F149="",G149="",N(H149)&lt;=0),"",1-NORMDIST(FLOOR(F149,1)+0.5,G149,H149,TRUE()))</f>
        <v>0.40403518694027</v>
      </c>
      <c r="J149" s="10" t="n">
        <f aca="false">IF(I149="","",NORMDIST(CEILING(F149,1)-0.5,G149,H149,TRUE()))</f>
        <v>0.59596481305973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UNDER</v>
      </c>
      <c r="N149" s="0" t="n">
        <v>21.1</v>
      </c>
      <c r="O149" s="10" t="n">
        <v>0.6</v>
      </c>
      <c r="P149" s="10" t="n">
        <v>0.7</v>
      </c>
      <c r="Q149" s="10" t="n">
        <v>0.67</v>
      </c>
      <c r="R149" s="9" t="s">
        <v>1287</v>
      </c>
      <c r="S149" s="0" t="n">
        <v>-1</v>
      </c>
      <c r="T149" s="0" t="str">
        <f aca="false">INDEX(Calc!$G$2:$G$137,MATCH($W149,Calc!$A$2:$A$137,0))&amp;" / "&amp;INDEX(Calc!$H$2:$H$137,MATCH($W149,Calc!$A$2:$A$137,0))</f>
        <v>Ancient / Nuke</v>
      </c>
      <c r="U149" s="0" t="str">
        <f aca="false">TEXT(INDEX(Calc!$J$2:$J$137,MATCH($W149,Calc!$A$2:$A$137,0)),"0.0")&amp;" / "&amp;TEXT(INDEX(Calc!$K$2:$K$137,MATCH($W149,Calc!$A$2:$A$137,0)),"0.0")</f>
        <v>21.4 / 21.4</v>
      </c>
      <c r="V149" s="0" t="str">
        <f aca="false">IFERROR(INDEX(Calc!$AQ$2:$AQ$137,MATCH($W149,Calc!$A$2:$A$137,0)),"")</f>
        <v/>
      </c>
      <c r="W149" s="9" t="s">
        <v>1475</v>
      </c>
      <c r="X149" s="9" t="s">
        <v>1289</v>
      </c>
      <c r="Y149" s="0" t="str">
        <f aca="false">W149&amp;"|"&amp;X149</f>
        <v>vdo0jykqczuyswb|CS2 · FaZe vs GL|H12</v>
      </c>
      <c r="Z149" s="11" t="n">
        <f aca="false">IFERROR(INDEX(CHOOSE(MATCH($X149,{"K1","K2","K3","K12","K13","H1","H2","H3","H12","H13"},0),Calc!$BA$2:$BA$137,Calc!$BB$2:$BB$137,Calc!$BC$2:$BC$137,Calc!$BD$2:$BD$137,Calc!$BE$2:$BE$137,Calc!$BF$2:$BF$137,Calc!$BG$2:$BG$137,Calc!$BH$2:$BH$137,Calc!$BI$2:$BI$137,Calc!$BJ$2:$BJ$137),MATCH($W149,Calc!$A$2:$A$137,0)),"")</f>
        <v>17.445333834199</v>
      </c>
      <c r="AA149" s="11" t="n">
        <f aca="false">IF(Z149="","",IF(LEFT($X149,1)="H",SQRT(Z149*(IFERROR(INDEX(Calc!$AP$2:$AP$137,MATCH($W149,Calc!$A$2:$A$137,0)),0.5)*Config!$B$5+1-IFERROR(INDEX(Calc!$AP$2:$AP$137,MATCH($W149,Calc!$A$2:$A$137,0)),0.5))),SQRT(Z149*Config!$B$5)))</f>
        <v>4.69989365129316</v>
      </c>
      <c r="AB149" s="10" t="n">
        <f aca="false">IF(OR(F149="",Z149="",N(AA149)&lt;=0),"",1-NORMDIST(FLOOR(F149,1)+0.5,Z149,AA149,TRUE()))</f>
        <v>0.411222205096077</v>
      </c>
      <c r="AC149" s="10" t="n">
        <f aca="false">IF(AB149="","",NORMDIST(CEILING(F149,1)-0.5,Z149,AA149,TRUE()))</f>
        <v>0.588777794903923</v>
      </c>
      <c r="AD149" s="0" t="str">
        <f aca="false">IF(AB149="","",IF(AB149&gt;=0.5+Config!$B$6,"OVER",IF(AC149&gt;=0.5+Config!$B$6,"UNDER","—")))</f>
        <v>UNDER</v>
      </c>
      <c r="AE149" s="13" t="n">
        <f aca="false">IFERROR(Z149/G149,"")</f>
        <v>1.00485301228779</v>
      </c>
    </row>
    <row r="150" customFormat="false" ht="15" hidden="false" customHeight="false" outlineLevel="0" collapsed="false">
      <c r="A150" s="0" t="s">
        <v>1139</v>
      </c>
      <c r="B150" s="0" t="s">
        <v>1167</v>
      </c>
      <c r="C150" s="0" t="s">
        <v>1474</v>
      </c>
      <c r="D150" s="0" t="s">
        <v>1172</v>
      </c>
      <c r="E150" s="0" t="s">
        <v>1290</v>
      </c>
      <c r="F150" s="0" t="n">
        <v>28.5</v>
      </c>
      <c r="G150" s="11" t="n">
        <f aca="false">IFERROR(INDEX(CHOOSE(MATCH($X150,{"K1","K2","K3","K12","K13","H1","H2","H3","H12","H13"},0),Calc!$V$2:$V$137,Calc!$AC$2:$AC$137,Calc!$AJ$2:$AJ$137,Calc!$AL$2:$AL$137,Calc!$AM$2:$AM$137,Calc!$W$2:$W$137,Calc!$AD$2:$AD$137,Calc!$AK$2:$AK$137,Calc!$AN$2:$AN$137,Calc!$AO$2:$AO$137),MATCH($W150,Calc!$A$2:$A$137,0)),"")</f>
        <v>26.0888538461538</v>
      </c>
      <c r="H150" s="11" t="n">
        <f aca="false">IF(G150="","",IF(LEFT($X150,1)="H",SQRT(G150*(IFERROR(INDEX(Calc!$AP$2:$AP$137,MATCH($W150,Calc!$A$2:$A$137,0)),0.5)*Config!$B$5+1-IFERROR(INDEX(Calc!$AP$2:$AP$137,MATCH($W150,Calc!$A$2:$A$137,0)),0.5))),SQRT(G150*Config!$B$5)))</f>
        <v>6.04354162595207</v>
      </c>
      <c r="I150" s="10" t="n">
        <f aca="false">IF(OR(F150="",G150="",N(H150)&lt;=0),"",1-NORMDIST(FLOOR(F150,1)+0.5,G150,H150,TRUE()))</f>
        <v>0.344960437519831</v>
      </c>
      <c r="J150" s="10" t="n">
        <f aca="false">IF(I150="","",NORMDIST(CEILING(F150,1)-0.5,G150,H150,TRUE()))</f>
        <v>0.65503956248017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UNDER</v>
      </c>
      <c r="N150" s="0" t="n">
        <v>30.3</v>
      </c>
      <c r="O150" s="10" t="n">
        <v>0.4</v>
      </c>
      <c r="P150" s="10" t="n">
        <v>0.6</v>
      </c>
      <c r="Q150" s="10" t="n">
        <v>0.6</v>
      </c>
      <c r="R150" s="9" t="s">
        <v>1287</v>
      </c>
      <c r="S150" s="0" t="n">
        <v>-1</v>
      </c>
      <c r="T150" s="0" t="str">
        <f aca="false">INDEX(Calc!$G$2:$G$137,MATCH($W150,Calc!$A$2:$A$137,0))&amp;" / "&amp;INDEX(Calc!$H$2:$H$137,MATCH($W150,Calc!$A$2:$A$137,0))</f>
        <v>Ancient / Nuke</v>
      </c>
      <c r="U150" s="0" t="str">
        <f aca="false">TEXT(INDEX(Calc!$J$2:$J$137,MATCH($W150,Calc!$A$2:$A$137,0)),"0.0")&amp;" / "&amp;TEXT(INDEX(Calc!$K$2:$K$137,MATCH($W150,Calc!$A$2:$A$137,0)),"0.0")</f>
        <v>21.4 / 21.4</v>
      </c>
      <c r="V150" s="0" t="str">
        <f aca="false">IFERROR(INDEX(Calc!$AQ$2:$AQ$137,MATCH($W150,Calc!$A$2:$A$137,0)),"")</f>
        <v/>
      </c>
      <c r="W150" s="9" t="s">
        <v>1475</v>
      </c>
      <c r="X150" s="9" t="s">
        <v>1291</v>
      </c>
      <c r="Y150" s="0" t="str">
        <f aca="false">W150&amp;"|"&amp;X150</f>
        <v>vdo0jykqczuyswb|CS2 · FaZe vs GL|K12</v>
      </c>
      <c r="Z150" s="11" t="n">
        <f aca="false">IFERROR(INDEX(CHOOSE(MATCH($X150,{"K1","K2","K3","K12","K13","H1","H2","H3","H12","H13"},0),Calc!$BA$2:$BA$137,Calc!$BB$2:$BB$137,Calc!$BC$2:$BC$137,Calc!$BD$2:$BD$137,Calc!$BE$2:$BE$137,Calc!$BF$2:$BF$137,Calc!$BG$2:$BG$137,Calc!$BH$2:$BH$137,Calc!$BI$2:$BI$137,Calc!$BJ$2:$BJ$137),MATCH($W150,Calc!$A$2:$A$137,0)),"")</f>
        <v>26.2192523839116</v>
      </c>
      <c r="AA150" s="11" t="n">
        <f aca="false">IF(Z150="","",IF(LEFT($X150,1)="H",SQRT(Z150*(IFERROR(INDEX(Calc!$AP$2:$AP$137,MATCH($W150,Calc!$A$2:$A$137,0)),0.5)*Config!$B$5+1-IFERROR(INDEX(Calc!$AP$2:$AP$137,MATCH($W150,Calc!$A$2:$A$137,0)),0.5))),SQRT(Z150*Config!$B$5)))</f>
        <v>6.05862635730874</v>
      </c>
      <c r="AB150" s="10" t="n">
        <f aca="false">IF(OR(F150="",Z150="",N(AA150)&lt;=0),"",1-NORMDIST(FLOOR(F150,1)+0.5,Z150,AA150,TRUE()))</f>
        <v>0.353292556674263</v>
      </c>
      <c r="AC150" s="10" t="n">
        <f aca="false">IF(AB150="","",NORMDIST(CEILING(F150,1)-0.5,Z150,AA150,TRUE()))</f>
        <v>0.646707443325737</v>
      </c>
      <c r="AD150" s="0" t="str">
        <f aca="false">IF(AB150="","",IF(AB150&gt;=0.5+Config!$B$6,"OVER",IF(AC150&gt;=0.5+Config!$B$6,"UNDER","—")))</f>
        <v>UNDER</v>
      </c>
      <c r="AE150" s="13" t="n">
        <f aca="false">IFERROR(Z150/G150,"")</f>
        <v>1.00499824708769</v>
      </c>
    </row>
    <row r="151" customFormat="false" ht="15" hidden="false" customHeight="false" outlineLevel="0" collapsed="false">
      <c r="A151" s="0" t="s">
        <v>1139</v>
      </c>
      <c r="B151" s="0" t="s">
        <v>1167</v>
      </c>
      <c r="C151" s="0" t="s">
        <v>1476</v>
      </c>
      <c r="D151" s="0" t="s">
        <v>1172</v>
      </c>
      <c r="E151" s="0" t="s">
        <v>1286</v>
      </c>
      <c r="F151" s="0" t="n">
        <v>13.5</v>
      </c>
      <c r="G151" s="11" t="n">
        <f aca="false">IFERROR(INDEX(CHOOSE(MATCH($X151,{"K1","K2","K3","K12","K13","H1","H2","H3","H12","H13"},0),Calc!$V$2:$V$137,Calc!$AC$2:$AC$137,Calc!$AJ$2:$AJ$137,Calc!$AL$2:$AL$137,Calc!$AM$2:$AM$137,Calc!$W$2:$W$137,Calc!$AD$2:$AD$137,Calc!$AK$2:$AK$137,Calc!$AN$2:$AN$137,Calc!$AO$2:$AO$137),MATCH($W151,Calc!$A$2:$A$137,0)),"")</f>
        <v>13.667753967033</v>
      </c>
      <c r="H151" s="11" t="n">
        <f aca="false">IF(G151="","",IF(LEFT($X151,1)="H",SQRT(G151*(IFERROR(INDEX(Calc!$AP$2:$AP$137,MATCH($W151,Calc!$A$2:$A$137,0)),0.5)*Config!$B$5+1-IFERROR(INDEX(Calc!$AP$2:$AP$137,MATCH($W151,Calc!$A$2:$A$137,0)),0.5))),SQRT(G151*Config!$B$5)))</f>
        <v>4.07533275820599</v>
      </c>
      <c r="I151" s="10" t="n">
        <f aca="false">IF(OR(F151="",G151="",N(H151)&lt;=0),"",1-NORMDIST(FLOOR(F151,1)+0.5,G151,H151,TRUE()))</f>
        <v>0.516417126991621</v>
      </c>
      <c r="J151" s="10" t="n">
        <f aca="false">IF(I151="","",NORMDIST(CEILING(F151,1)-0.5,G151,H151,TRUE()))</f>
        <v>0.48358287300838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—</v>
      </c>
      <c r="N151" s="0" t="n">
        <v>12.7</v>
      </c>
      <c r="O151" s="10" t="n">
        <v>0.6</v>
      </c>
      <c r="P151" s="10" t="n">
        <v>0.4</v>
      </c>
      <c r="Q151" s="10" t="n">
        <v>0.53</v>
      </c>
      <c r="R151" s="9" t="s">
        <v>1338</v>
      </c>
      <c r="S151" s="0" t="n">
        <v>2</v>
      </c>
      <c r="T151" s="0" t="str">
        <f aca="false">INDEX(Calc!$G$2:$G$137,MATCH($W151,Calc!$A$2:$A$137,0))&amp;" / "&amp;INDEX(Calc!$H$2:$H$137,MATCH($W151,Calc!$A$2:$A$137,0))</f>
        <v>Ancient / Nuke</v>
      </c>
      <c r="U151" s="0" t="str">
        <f aca="false">TEXT(INDEX(Calc!$J$2:$J$137,MATCH($W151,Calc!$A$2:$A$137,0)),"0.0")&amp;" / "&amp;TEXT(INDEX(Calc!$K$2:$K$137,MATCH($W151,Calc!$A$2:$A$137,0)),"0.0")</f>
        <v>21.4 / 21.4</v>
      </c>
      <c r="V151" s="0" t="str">
        <f aca="false">IFERROR(INDEX(Calc!$AQ$2:$AQ$137,MATCH($W151,Calc!$A$2:$A$137,0)),"")</f>
        <v/>
      </c>
      <c r="W151" s="9" t="s">
        <v>1477</v>
      </c>
      <c r="X151" s="9" t="s">
        <v>1289</v>
      </c>
      <c r="Y151" s="0" t="str">
        <f aca="false">W151&amp;"|"&amp;X151</f>
        <v>42o4a4l388ybjjn|CS2 · FaZe vs GL|H12</v>
      </c>
      <c r="Z151" s="11" t="n">
        <f aca="false">IFERROR(INDEX(CHOOSE(MATCH($X151,{"K1","K2","K3","K12","K13","H1","H2","H3","H12","H13"},0),Calc!$BA$2:$BA$137,Calc!$BB$2:$BB$137,Calc!$BC$2:$BC$137,Calc!$BD$2:$BD$137,Calc!$BE$2:$BE$137,Calc!$BF$2:$BF$137,Calc!$BG$2:$BG$137,Calc!$BH$2:$BH$137,Calc!$BI$2:$BI$137,Calc!$BJ$2:$BJ$137),MATCH($W151,Calc!$A$2:$A$137,0)),"")</f>
        <v>13.7429953558555</v>
      </c>
      <c r="AA151" s="11" t="n">
        <f aca="false">IF(Z151="","",IF(LEFT($X151,1)="H",SQRT(Z151*(IFERROR(INDEX(Calc!$AP$2:$AP$137,MATCH($W151,Calc!$A$2:$A$137,0)),0.5)*Config!$B$5+1-IFERROR(INDEX(Calc!$AP$2:$AP$137,MATCH($W151,Calc!$A$2:$A$137,0)),0.5))),SQRT(Z151*Config!$B$5)))</f>
        <v>4.08653477603906</v>
      </c>
      <c r="AB151" s="10" t="n">
        <f aca="false">IF(OR(F151="",Z151="",N(AA151)&lt;=0),"",1-NORMDIST(FLOOR(F151,1)+0.5,Z151,AA151,TRUE()))</f>
        <v>0.5237081120965</v>
      </c>
      <c r="AC151" s="10" t="n">
        <f aca="false">IF(AB151="","",NORMDIST(CEILING(F151,1)-0.5,Z151,AA151,TRUE()))</f>
        <v>0.4762918879035</v>
      </c>
      <c r="AD151" s="0" t="str">
        <f aca="false">IF(AB151="","",IF(AB151&gt;=0.5+Config!$B$6,"OVER",IF(AC151&gt;=0.5+Config!$B$6,"UNDER","—")))</f>
        <v>—</v>
      </c>
      <c r="AE151" s="13" t="n">
        <f aca="false">IFERROR(Z151/G151,"")</f>
        <v>1.00550502950258</v>
      </c>
    </row>
    <row r="152" customFormat="false" ht="15" hidden="false" customHeight="false" outlineLevel="0" collapsed="false">
      <c r="A152" s="0" t="s">
        <v>1139</v>
      </c>
      <c r="B152" s="0" t="s">
        <v>1167</v>
      </c>
      <c r="C152" s="0" t="s">
        <v>1476</v>
      </c>
      <c r="D152" s="0" t="s">
        <v>1172</v>
      </c>
      <c r="E152" s="0" t="s">
        <v>1290</v>
      </c>
      <c r="F152" s="0" t="n">
        <v>26.5</v>
      </c>
      <c r="G152" s="11" t="n">
        <f aca="false">IFERROR(INDEX(CHOOSE(MATCH($X152,{"K1","K2","K3","K12","K13","H1","H2","H3","H12","H13"},0),Calc!$V$2:$V$137,Calc!$AC$2:$AC$137,Calc!$AJ$2:$AJ$137,Calc!$AL$2:$AL$137,Calc!$AM$2:$AM$137,Calc!$W$2:$W$137,Calc!$AD$2:$AD$137,Calc!$AK$2:$AK$137,Calc!$AN$2:$AN$137,Calc!$AO$2:$AO$137),MATCH($W152,Calc!$A$2:$A$137,0)),"")</f>
        <v>25.4109461538462</v>
      </c>
      <c r="H152" s="11" t="n">
        <f aca="false">IF(G152="","",IF(LEFT($X152,1)="H",SQRT(G152*(IFERROR(INDEX(Calc!$AP$2:$AP$137,MATCH($W152,Calc!$A$2:$A$137,0)),0.5)*Config!$B$5+1-IFERROR(INDEX(Calc!$AP$2:$AP$137,MATCH($W152,Calc!$A$2:$A$137,0)),0.5))),SQRT(G152*Config!$B$5)))</f>
        <v>5.96450539570421</v>
      </c>
      <c r="I152" s="10" t="n">
        <f aca="false">IF(OR(F152="",G152="",N(H152)&lt;=0),"",1-NORMDIST(FLOOR(F152,1)+0.5,G152,H152,TRUE()))</f>
        <v>0.427560207306148</v>
      </c>
      <c r="J152" s="10" t="n">
        <f aca="false">IF(I152="","",NORMDIST(CEILING(F152,1)-0.5,G152,H152,TRUE()))</f>
        <v>0.572439792693852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UNDER</v>
      </c>
      <c r="N152" s="0" t="n">
        <v>23.9</v>
      </c>
      <c r="O152" s="10" t="n">
        <v>0.2</v>
      </c>
      <c r="P152" s="10" t="n">
        <v>0.2</v>
      </c>
      <c r="Q152" s="10" t="n">
        <v>0.4</v>
      </c>
      <c r="R152" s="9" t="s">
        <v>1338</v>
      </c>
      <c r="S152" s="0" t="n">
        <v>1</v>
      </c>
      <c r="T152" s="0" t="str">
        <f aca="false">INDEX(Calc!$G$2:$G$137,MATCH($W152,Calc!$A$2:$A$137,0))&amp;" / "&amp;INDEX(Calc!$H$2:$H$137,MATCH($W152,Calc!$A$2:$A$137,0))</f>
        <v>Ancient / Nuke</v>
      </c>
      <c r="U152" s="0" t="str">
        <f aca="false">TEXT(INDEX(Calc!$J$2:$J$137,MATCH($W152,Calc!$A$2:$A$137,0)),"0.0")&amp;" / "&amp;TEXT(INDEX(Calc!$K$2:$K$137,MATCH($W152,Calc!$A$2:$A$137,0)),"0.0")</f>
        <v>21.4 / 21.4</v>
      </c>
      <c r="V152" s="0" t="str">
        <f aca="false">IFERROR(INDEX(Calc!$AQ$2:$AQ$137,MATCH($W152,Calc!$A$2:$A$137,0)),"")</f>
        <v/>
      </c>
      <c r="W152" s="9" t="s">
        <v>1477</v>
      </c>
      <c r="X152" s="9" t="s">
        <v>1291</v>
      </c>
      <c r="Y152" s="0" t="str">
        <f aca="false">W152&amp;"|"&amp;X152</f>
        <v>42o4a4l388ybjjn|CS2 · FaZe vs GL|K12</v>
      </c>
      <c r="Z152" s="11" t="n">
        <f aca="false">IFERROR(INDEX(CHOOSE(MATCH($X152,{"K1","K2","K3","K12","K13","H1","H2","H3","H12","H13"},0),Calc!$BA$2:$BA$137,Calc!$BB$2:$BB$137,Calc!$BC$2:$BC$137,Calc!$BD$2:$BD$137,Calc!$BE$2:$BE$137,Calc!$BF$2:$BF$137,Calc!$BG$2:$BG$137,Calc!$BH$2:$BH$137,Calc!$BI$2:$BI$137,Calc!$BJ$2:$BJ$137),MATCH($W152,Calc!$A$2:$A$137,0)),"")</f>
        <v>25.5356827045639</v>
      </c>
      <c r="AA152" s="11" t="n">
        <f aca="false">IF(Z152="","",IF(LEFT($X152,1)="H",SQRT(Z152*(IFERROR(INDEX(Calc!$AP$2:$AP$137,MATCH($W152,Calc!$A$2:$A$137,0)),0.5)*Config!$B$5+1-IFERROR(INDEX(Calc!$AP$2:$AP$137,MATCH($W152,Calc!$A$2:$A$137,0)),0.5))),SQRT(Z152*Config!$B$5)))</f>
        <v>5.9791266742217</v>
      </c>
      <c r="AB152" s="10" t="n">
        <f aca="false">IF(OR(F152="",Z152="",N(AA152)&lt;=0),"",1-NORMDIST(FLOOR(F152,1)+0.5,Z152,AA152,TRUE()))</f>
        <v>0.435936190690485</v>
      </c>
      <c r="AC152" s="10" t="n">
        <f aca="false">IF(AB152="","",NORMDIST(CEILING(F152,1)-0.5,Z152,AA152,TRUE()))</f>
        <v>0.564063809309516</v>
      </c>
      <c r="AD152" s="0" t="str">
        <f aca="false">IF(AB152="","",IF(AB152&gt;=0.5+Config!$B$6,"OVER",IF(AC152&gt;=0.5+Config!$B$6,"UNDER","—")))</f>
        <v>UNDER</v>
      </c>
      <c r="AE152" s="13" t="n">
        <f aca="false">IFERROR(Z152/G152,"")</f>
        <v>1.00490877238346</v>
      </c>
    </row>
    <row r="153" customFormat="false" ht="15" hidden="false" customHeight="false" outlineLevel="0" collapsed="false">
      <c r="A153" s="0" t="s">
        <v>1139</v>
      </c>
      <c r="B153" s="0" t="s">
        <v>1167</v>
      </c>
      <c r="C153" s="0" t="s">
        <v>1478</v>
      </c>
      <c r="D153" s="0" t="s">
        <v>1172</v>
      </c>
      <c r="E153" s="0" t="s">
        <v>1286</v>
      </c>
      <c r="F153" s="0" t="n">
        <v>17.5</v>
      </c>
      <c r="G153" s="11" t="n">
        <f aca="false">IFERROR(INDEX(CHOOSE(MATCH($X153,{"K1","K2","K3","K12","K13","H1","H2","H3","H12","H13"},0),Calc!$V$2:$V$137,Calc!$AC$2:$AC$137,Calc!$AJ$2:$AJ$137,Calc!$AL$2:$AL$137,Calc!$AM$2:$AM$137,Calc!$W$2:$W$137,Calc!$AD$2:$AD$137,Calc!$AK$2:$AK$137,Calc!$AN$2:$AN$137,Calc!$AO$2:$AO$137),MATCH($W153,Calc!$A$2:$A$137,0)),"")</f>
        <v>17.7804860192308</v>
      </c>
      <c r="H153" s="11" t="n">
        <f aca="false">IF(G153="","",IF(LEFT($X153,1)="H",SQRT(G153*(IFERROR(INDEX(Calc!$AP$2:$AP$137,MATCH($W153,Calc!$A$2:$A$137,0)),0.5)*Config!$B$5+1-IFERROR(INDEX(Calc!$AP$2:$AP$137,MATCH($W153,Calc!$A$2:$A$137,0)),0.5))),SQRT(G153*Config!$B$5)))</f>
        <v>4.67311935388484</v>
      </c>
      <c r="I153" s="10" t="n">
        <f aca="false">IF(OR(F153="",G153="",N(H153)&lt;=0),"",1-NORMDIST(FLOOR(F153,1)+0.5,G153,H153,TRUE()))</f>
        <v>0.523930606938053</v>
      </c>
      <c r="J153" s="10" t="n">
        <f aca="false">IF(I153="","",NORMDIST(CEILING(F153,1)-0.5,G153,H153,TRUE()))</f>
        <v>0.476069393061947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—</v>
      </c>
      <c r="N153" s="0" t="n">
        <v>18.1</v>
      </c>
      <c r="O153" s="10" t="n">
        <v>0.4</v>
      </c>
      <c r="P153" s="10" t="n">
        <v>0.6</v>
      </c>
      <c r="Q153" s="10" t="n">
        <v>0.67</v>
      </c>
      <c r="R153" s="9" t="s">
        <v>1336</v>
      </c>
      <c r="S153" s="0" t="n">
        <v>1</v>
      </c>
      <c r="T153" s="0" t="str">
        <f aca="false">INDEX(Calc!$G$2:$G$137,MATCH($W153,Calc!$A$2:$A$137,0))&amp;" / "&amp;INDEX(Calc!$H$2:$H$137,MATCH($W153,Calc!$A$2:$A$137,0))</f>
        <v>Ancient / Nuke</v>
      </c>
      <c r="U153" s="0" t="str">
        <f aca="false">TEXT(INDEX(Calc!$J$2:$J$137,MATCH($W153,Calc!$A$2:$A$137,0)),"0.0")&amp;" / "&amp;TEXT(INDEX(Calc!$K$2:$K$137,MATCH($W153,Calc!$A$2:$A$137,0)),"0.0")</f>
        <v>21.4 / 21.4</v>
      </c>
      <c r="V153" s="0" t="str">
        <f aca="false">IFERROR(INDEX(Calc!$AQ$2:$AQ$137,MATCH($W153,Calc!$A$2:$A$137,0)),"")</f>
        <v/>
      </c>
      <c r="W153" s="9" t="s">
        <v>1479</v>
      </c>
      <c r="X153" s="9" t="s">
        <v>1289</v>
      </c>
      <c r="Y153" s="0" t="str">
        <f aca="false">W153&amp;"|"&amp;X153</f>
        <v>fyrdqmky6zw6rl0|CS2 · FaZe vs GL|H12</v>
      </c>
      <c r="Z153" s="11" t="n">
        <f aca="false">IFERROR(INDEX(CHOOSE(MATCH($X153,{"K1","K2","K3","K12","K13","H1","H2","H3","H12","H13"},0),Calc!$BA$2:$BA$137,Calc!$BB$2:$BB$137,Calc!$BC$2:$BC$137,Calc!$BD$2:$BD$137,Calc!$BE$2:$BE$137,Calc!$BF$2:$BF$137,Calc!$BG$2:$BG$137,Calc!$BH$2:$BH$137,Calc!$BI$2:$BI$137,Calc!$BJ$2:$BJ$137),MATCH($W153,Calc!$A$2:$A$137,0)),"")</f>
        <v>17.869650520338</v>
      </c>
      <c r="AA153" s="11" t="n">
        <f aca="false">IF(Z153="","",IF(LEFT($X153,1)="H",SQRT(Z153*(IFERROR(INDEX(Calc!$AP$2:$AP$137,MATCH($W153,Calc!$A$2:$A$137,0)),0.5)*Config!$B$5+1-IFERROR(INDEX(Calc!$AP$2:$AP$137,MATCH($W153,Calc!$A$2:$A$137,0)),0.5))),SQRT(Z153*Config!$B$5)))</f>
        <v>4.68482193839928</v>
      </c>
      <c r="AB153" s="10" t="n">
        <f aca="false">IF(OR(F153="",Z153="",N(AA153)&lt;=0),"",1-NORMDIST(FLOOR(F153,1)+0.5,Z153,AA153,TRUE()))</f>
        <v>0.531445452320029</v>
      </c>
      <c r="AC153" s="10" t="n">
        <f aca="false">IF(AB153="","",NORMDIST(CEILING(F153,1)-0.5,Z153,AA153,TRUE()))</f>
        <v>0.468554547679971</v>
      </c>
      <c r="AD153" s="0" t="str">
        <f aca="false">IF(AB153="","",IF(AB153&gt;=0.5+Config!$B$6,"OVER",IF(AC153&gt;=0.5+Config!$B$6,"UNDER","—")))</f>
        <v>—</v>
      </c>
      <c r="AE153" s="13" t="n">
        <f aca="false">IFERROR(Z153/G153,"")</f>
        <v>1.00501473924902</v>
      </c>
    </row>
    <row r="154" customFormat="false" ht="15" hidden="false" customHeight="false" outlineLevel="0" collapsed="false">
      <c r="A154" s="0" t="s">
        <v>1139</v>
      </c>
      <c r="B154" s="0" t="s">
        <v>1167</v>
      </c>
      <c r="C154" s="0" t="s">
        <v>1478</v>
      </c>
      <c r="D154" s="0" t="s">
        <v>1172</v>
      </c>
      <c r="E154" s="0" t="s">
        <v>1290</v>
      </c>
      <c r="F154" s="0" t="n">
        <v>31.5</v>
      </c>
      <c r="G154" s="11" t="n">
        <f aca="false">IFERROR(INDEX(CHOOSE(MATCH($X154,{"K1","K2","K3","K12","K13","H1","H2","H3","H12","H13"},0),Calc!$V$2:$V$137,Calc!$AC$2:$AC$137,Calc!$AJ$2:$AJ$137,Calc!$AL$2:$AL$137,Calc!$AM$2:$AM$137,Calc!$W$2:$W$137,Calc!$AD$2:$AD$137,Calc!$AK$2:$AK$137,Calc!$AN$2:$AN$137,Calc!$AO$2:$AO$137),MATCH($W154,Calc!$A$2:$A$137,0)),"")</f>
        <v>31.1661</v>
      </c>
      <c r="H154" s="11" t="n">
        <f aca="false">IF(G154="","",IF(LEFT($X154,1)="H",SQRT(G154*(IFERROR(INDEX(Calc!$AP$2:$AP$137,MATCH($W154,Calc!$A$2:$A$137,0)),0.5)*Config!$B$5+1-IFERROR(INDEX(Calc!$AP$2:$AP$137,MATCH($W154,Calc!$A$2:$A$137,0)),0.5))),SQRT(G154*Config!$B$5)))</f>
        <v>6.60549316856811</v>
      </c>
      <c r="I154" s="10" t="n">
        <f aca="false">IF(OR(F154="",G154="",N(H154)&lt;=0),"",1-NORMDIST(FLOOR(F154,1)+0.5,G154,H154,TRUE()))</f>
        <v>0.479842516258753</v>
      </c>
      <c r="J154" s="10" t="n">
        <f aca="false">IF(I154="","",NORMDIST(CEILING(F154,1)-0.5,G154,H154,TRUE()))</f>
        <v>0.520157483741247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—</v>
      </c>
      <c r="N154" s="0" t="n">
        <v>31.1</v>
      </c>
      <c r="O154" s="10" t="n">
        <v>0.4</v>
      </c>
      <c r="P154" s="10" t="n">
        <v>0.6</v>
      </c>
      <c r="Q154" s="10" t="n">
        <v>0.73</v>
      </c>
      <c r="R154" s="9" t="s">
        <v>1340</v>
      </c>
      <c r="S154" s="0" t="n">
        <v>1</v>
      </c>
      <c r="T154" s="0" t="str">
        <f aca="false">INDEX(Calc!$G$2:$G$137,MATCH($W154,Calc!$A$2:$A$137,0))&amp;" / "&amp;INDEX(Calc!$H$2:$H$137,MATCH($W154,Calc!$A$2:$A$137,0))</f>
        <v>Ancient / Nuke</v>
      </c>
      <c r="U154" s="0" t="str">
        <f aca="false">TEXT(INDEX(Calc!$J$2:$J$137,MATCH($W154,Calc!$A$2:$A$137,0)),"0.0")&amp;" / "&amp;TEXT(INDEX(Calc!$K$2:$K$137,MATCH($W154,Calc!$A$2:$A$137,0)),"0.0")</f>
        <v>21.4 / 21.4</v>
      </c>
      <c r="V154" s="0" t="str">
        <f aca="false">IFERROR(INDEX(Calc!$AQ$2:$AQ$137,MATCH($W154,Calc!$A$2:$A$137,0)),"")</f>
        <v/>
      </c>
      <c r="W154" s="9" t="s">
        <v>1479</v>
      </c>
      <c r="X154" s="9" t="s">
        <v>1291</v>
      </c>
      <c r="Y154" s="0" t="str">
        <f aca="false">W154&amp;"|"&amp;X154</f>
        <v>fyrdqmky6zw6rl0|CS2 · FaZe vs GL|K12</v>
      </c>
      <c r="Z154" s="11" t="n">
        <f aca="false">IFERROR(INDEX(CHOOSE(MATCH($X154,{"K1","K2","K3","K12","K13","H1","H2","H3","H12","H13"},0),Calc!$BA$2:$BA$137,Calc!$BB$2:$BB$137,Calc!$BC$2:$BC$137,Calc!$BD$2:$BD$137,Calc!$BE$2:$BE$137,Calc!$BF$2:$BF$137,Calc!$BG$2:$BG$137,Calc!$BH$2:$BH$137,Calc!$BI$2:$BI$137,Calc!$BJ$2:$BJ$137),MATCH($W154,Calc!$A$2:$A$137,0)),"")</f>
        <v>31.3160592195547</v>
      </c>
      <c r="AA154" s="11" t="n">
        <f aca="false">IF(Z154="","",IF(LEFT($X154,1)="H",SQRT(Z154*(IFERROR(INDEX(Calc!$AP$2:$AP$137,MATCH($W154,Calc!$A$2:$A$137,0)),0.5)*Config!$B$5+1-IFERROR(INDEX(Calc!$AP$2:$AP$137,MATCH($W154,Calc!$A$2:$A$137,0)),0.5))),SQRT(Z154*Config!$B$5)))</f>
        <v>6.62136563764429</v>
      </c>
      <c r="AB154" s="10" t="n">
        <f aca="false">IF(OR(F154="",Z154="",N(AA154)&lt;=0),"",1-NORMDIST(FLOOR(F154,1)+0.5,Z154,AA154,TRUE()))</f>
        <v>0.488918854337437</v>
      </c>
      <c r="AC154" s="10" t="n">
        <f aca="false">IF(AB154="","",NORMDIST(CEILING(F154,1)-0.5,Z154,AA154,TRUE()))</f>
        <v>0.511081145662563</v>
      </c>
      <c r="AD154" s="0" t="str">
        <f aca="false">IF(AB154="","",IF(AB154&gt;=0.5+Config!$B$6,"OVER",IF(AC154&gt;=0.5+Config!$B$6,"UNDER","—")))</f>
        <v>—</v>
      </c>
      <c r="AE154" s="13" t="n">
        <f aca="false">IFERROR(Z154/G154,"")</f>
        <v>1.00481161324499</v>
      </c>
    </row>
    <row r="155" customFormat="false" ht="15" hidden="false" customHeight="false" outlineLevel="0" collapsed="false">
      <c r="A155" s="0" t="s">
        <v>1139</v>
      </c>
      <c r="B155" s="0" t="s">
        <v>1167</v>
      </c>
      <c r="C155" s="0" t="s">
        <v>1480</v>
      </c>
      <c r="D155" s="0" t="s">
        <v>1173</v>
      </c>
      <c r="E155" s="0" t="s">
        <v>1286</v>
      </c>
      <c r="F155" s="0" t="n">
        <v>19</v>
      </c>
      <c r="G155" s="11" t="n">
        <f aca="false">IFERROR(INDEX(CHOOSE(MATCH($X155,{"K1","K2","K3","K12","K13","H1","H2","H3","H12","H13"},0),Calc!$V$2:$V$137,Calc!$AC$2:$AC$137,Calc!$AJ$2:$AJ$137,Calc!$AL$2:$AL$137,Calc!$AM$2:$AM$137,Calc!$W$2:$W$137,Calc!$AD$2:$AD$137,Calc!$AK$2:$AK$137,Calc!$AN$2:$AN$137,Calc!$AO$2:$AO$137),MATCH($W155,Calc!$A$2:$A$137,0)),"")</f>
        <v>21.8128323875</v>
      </c>
      <c r="H155" s="11" t="n">
        <f aca="false">IF(G155="","",IF(LEFT($X155,1)="H",SQRT(G155*(IFERROR(INDEX(Calc!$AP$2:$AP$137,MATCH($W155,Calc!$A$2:$A$137,0)),0.5)*Config!$B$5+1-IFERROR(INDEX(Calc!$AP$2:$AP$137,MATCH($W155,Calc!$A$2:$A$137,0)),0.5))),SQRT(G155*Config!$B$5)))</f>
        <v>5.22281657765289</v>
      </c>
      <c r="I155" s="10" t="n">
        <f aca="false">IF(OR(F155="",G155="",N(H155)&lt;=0),"",1-NORMDIST(FLOOR(F155,1)+0.5,G155,H155,TRUE()))</f>
        <v>0.671056516071788</v>
      </c>
      <c r="J155" s="10" t="n">
        <f aca="false">IF(I155="","",NORMDIST(CEILING(F155,1)-0.5,G155,H155,TRUE()))</f>
        <v>0.262942538733952</v>
      </c>
      <c r="K155" s="10" t="n">
        <f aca="false">IF(I155="","",MAX(0,1-I155-J155))</f>
        <v>0.06600094519426</v>
      </c>
      <c r="L155" s="0" t="str">
        <f aca="false">IF(I155="","",IF(I155&gt;=0.5+Config!$B$6,"OVER",IF(J155&gt;=0.5+Config!$B$6,"UNDER","—")))</f>
        <v>OVER</v>
      </c>
      <c r="N155" s="0" t="n">
        <v>24</v>
      </c>
      <c r="O155" s="10" t="n">
        <v>0.8</v>
      </c>
      <c r="P155" s="10" t="n">
        <v>0.9</v>
      </c>
      <c r="Q155" s="10" t="n">
        <v>0.73</v>
      </c>
      <c r="R155" s="9" t="s">
        <v>1320</v>
      </c>
      <c r="S155" s="0" t="n">
        <v>3</v>
      </c>
      <c r="T155" s="0" t="str">
        <f aca="false">INDEX(Calc!$G$2:$G$137,MATCH($W155,Calc!$A$2:$A$137,0))&amp;" / "&amp;INDEX(Calc!$H$2:$H$137,MATCH($W155,Calc!$A$2:$A$137,0))</f>
        <v>Ancient / Nuke</v>
      </c>
      <c r="U155" s="0" t="str">
        <f aca="false">TEXT(INDEX(Calc!$J$2:$J$137,MATCH($W155,Calc!$A$2:$A$137,0)),"0.0")&amp;" / "&amp;TEXT(INDEX(Calc!$K$2:$K$137,MATCH($W155,Calc!$A$2:$A$137,0)),"0.0")</f>
        <v>21.4 / 21.4</v>
      </c>
      <c r="V155" s="0" t="str">
        <f aca="false">IFERROR(INDEX(Calc!$AQ$2:$AQ$137,MATCH($W155,Calc!$A$2:$A$137,0)),"")</f>
        <v/>
      </c>
      <c r="W155" s="9" t="s">
        <v>1481</v>
      </c>
      <c r="X155" s="9" t="s">
        <v>1289</v>
      </c>
      <c r="Y155" s="0" t="str">
        <f aca="false">W155&amp;"|"&amp;X155</f>
        <v>cuos9kbfem9flgg|CS2 · FaZe vs GL|H12</v>
      </c>
      <c r="Z155" s="11" t="n">
        <f aca="false">IFERROR(INDEX(CHOOSE(MATCH($X155,{"K1","K2","K3","K12","K13","H1","H2","H3","H12","H13"},0),Calc!$BA$2:$BA$137,Calc!$BB$2:$BB$137,Calc!$BC$2:$BC$137,Calc!$BD$2:$BD$137,Calc!$BE$2:$BE$137,Calc!$BF$2:$BF$137,Calc!$BG$2:$BG$137,Calc!$BH$2:$BH$137,Calc!$BI$2:$BI$137,Calc!$BJ$2:$BJ$137),MATCH($W155,Calc!$A$2:$A$137,0)),"")</f>
        <v>21.0637090538073</v>
      </c>
      <c r="AA155" s="11" t="n">
        <f aca="false">IF(Z155="","",IF(LEFT($X155,1)="H",SQRT(Z155*(IFERROR(INDEX(Calc!$AP$2:$AP$137,MATCH($W155,Calc!$A$2:$A$137,0)),0.5)*Config!$B$5+1-IFERROR(INDEX(Calc!$AP$2:$AP$137,MATCH($W155,Calc!$A$2:$A$137,0)),0.5))),SQRT(Z155*Config!$B$5)))</f>
        <v>5.13234883169801</v>
      </c>
      <c r="AB155" s="10" t="n">
        <f aca="false">IF(OR(F155="",Z155="",N(AA155)&lt;=0),"",1-NORMDIST(FLOOR(F155,1)+0.5,Z155,AA155,TRUE()))</f>
        <v>0.619693946036482</v>
      </c>
      <c r="AC155" s="10" t="n">
        <f aca="false">IF(AB155="","",NORMDIST(CEILING(F155,1)-0.5,Z155,AA155,TRUE()))</f>
        <v>0.308706676235931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0.965656760186632</v>
      </c>
    </row>
    <row r="156" customFormat="false" ht="15" hidden="false" customHeight="false" outlineLevel="0" collapsed="false">
      <c r="A156" s="0" t="s">
        <v>1139</v>
      </c>
      <c r="B156" s="0" t="s">
        <v>1167</v>
      </c>
      <c r="C156" s="0" t="s">
        <v>1480</v>
      </c>
      <c r="D156" s="0" t="s">
        <v>1173</v>
      </c>
      <c r="E156" s="0" t="s">
        <v>1290</v>
      </c>
      <c r="F156" s="0" t="n">
        <v>29.5</v>
      </c>
      <c r="G156" s="11" t="n">
        <f aca="false">IFERROR(INDEX(CHOOSE(MATCH($X156,{"K1","K2","K3","K12","K13","H1","H2","H3","H12","H13"},0),Calc!$V$2:$V$137,Calc!$AC$2:$AC$137,Calc!$AJ$2:$AJ$137,Calc!$AL$2:$AL$137,Calc!$AM$2:$AM$137,Calc!$W$2:$W$137,Calc!$AD$2:$AD$137,Calc!$AK$2:$AK$137,Calc!$AN$2:$AN$137,Calc!$AO$2:$AO$137),MATCH($W156,Calc!$A$2:$A$137,0)),"")</f>
        <v>34.82535</v>
      </c>
      <c r="H156" s="11" t="n">
        <f aca="false">IF(G156="","",IF(LEFT($X156,1)="H",SQRT(G156*(IFERROR(INDEX(Calc!$AP$2:$AP$137,MATCH($W156,Calc!$A$2:$A$137,0)),0.5)*Config!$B$5+1-IFERROR(INDEX(Calc!$AP$2:$AP$137,MATCH($W156,Calc!$A$2:$A$137,0)),0.5))),SQRT(G156*Config!$B$5)))</f>
        <v>6.98251315788234</v>
      </c>
      <c r="I156" s="10" t="n">
        <f aca="false">IF(OR(F156="",G156="",N(H156)&lt;=0),"",1-NORMDIST(FLOOR(F156,1)+0.5,G156,H156,TRUE()))</f>
        <v>0.777169745451112</v>
      </c>
      <c r="J156" s="10" t="n">
        <f aca="false">IF(I156="","",NORMDIST(CEILING(F156,1)-0.5,G156,H156,TRUE()))</f>
        <v>0.222830254548888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OVER</v>
      </c>
      <c r="N156" s="0" t="n">
        <v>37.2</v>
      </c>
      <c r="O156" s="10" t="n">
        <v>0.6</v>
      </c>
      <c r="P156" s="10" t="n">
        <v>0.8</v>
      </c>
      <c r="Q156" s="10" t="n">
        <v>0.67</v>
      </c>
      <c r="R156" s="9" t="s">
        <v>1320</v>
      </c>
      <c r="S156" s="0" t="n">
        <v>1</v>
      </c>
      <c r="T156" s="0" t="str">
        <f aca="false">INDEX(Calc!$G$2:$G$137,MATCH($W156,Calc!$A$2:$A$137,0))&amp;" / "&amp;INDEX(Calc!$H$2:$H$137,MATCH($W156,Calc!$A$2:$A$137,0))</f>
        <v>Ancient / Nuke</v>
      </c>
      <c r="U156" s="0" t="str">
        <f aca="false">TEXT(INDEX(Calc!$J$2:$J$137,MATCH($W156,Calc!$A$2:$A$137,0)),"0.0")&amp;" / "&amp;TEXT(INDEX(Calc!$K$2:$K$137,MATCH($W156,Calc!$A$2:$A$137,0)),"0.0")</f>
        <v>21.4 / 21.4</v>
      </c>
      <c r="V156" s="0" t="str">
        <f aca="false">IFERROR(INDEX(Calc!$AQ$2:$AQ$137,MATCH($W156,Calc!$A$2:$A$137,0)),"")</f>
        <v/>
      </c>
      <c r="W156" s="9" t="s">
        <v>1481</v>
      </c>
      <c r="X156" s="9" t="s">
        <v>1291</v>
      </c>
      <c r="Y156" s="0" t="str">
        <f aca="false">W156&amp;"|"&amp;X156</f>
        <v>cuos9kbfem9flgg|CS2 · FaZe vs GL|K12</v>
      </c>
      <c r="Z156" s="11" t="n">
        <f aca="false">IFERROR(INDEX(CHOOSE(MATCH($X156,{"K1","K2","K3","K12","K13","H1","H2","H3","H12","H13"},0),Calc!$BA$2:$BA$137,Calc!$BB$2:$BB$137,Calc!$BC$2:$BC$137,Calc!$BD$2:$BD$137,Calc!$BE$2:$BE$137,Calc!$BF$2:$BF$137,Calc!$BG$2:$BG$137,Calc!$BH$2:$BH$137,Calc!$BI$2:$BI$137,Calc!$BJ$2:$BJ$137),MATCH($W156,Calc!$A$2:$A$137,0)),"")</f>
        <v>33.6363740404135</v>
      </c>
      <c r="AA156" s="11" t="n">
        <f aca="false">IF(Z156="","",IF(LEFT($X156,1)="H",SQRT(Z156*(IFERROR(INDEX(Calc!$AP$2:$AP$137,MATCH($W156,Calc!$A$2:$A$137,0)),0.5)*Config!$B$5+1-IFERROR(INDEX(Calc!$AP$2:$AP$137,MATCH($W156,Calc!$A$2:$A$137,0)),0.5))),SQRT(Z156*Config!$B$5)))</f>
        <v>6.86228268556309</v>
      </c>
      <c r="AB156" s="10" t="n">
        <f aca="false">IF(OR(F156="",Z156="",N(AA156)&lt;=0),"",1-NORMDIST(FLOOR(F156,1)+0.5,Z156,AA156,TRUE()))</f>
        <v>0.72666894813874</v>
      </c>
      <c r="AC156" s="10" t="n">
        <f aca="false">IF(AB156="","",NORMDIST(CEILING(F156,1)-0.5,Z156,AA156,TRUE()))</f>
        <v>0.27333105186126</v>
      </c>
      <c r="AD156" s="0" t="str">
        <f aca="false">IF(AB156="","",IF(AB156&gt;=0.5+Config!$B$6,"OVER",IF(AC156&gt;=0.5+Config!$B$6,"UNDER","—")))</f>
        <v>OVER</v>
      </c>
      <c r="AE156" s="13" t="n">
        <f aca="false">IFERROR(Z156/G156,"")</f>
        <v>0.965858894179485</v>
      </c>
    </row>
    <row r="157" customFormat="false" ht="15" hidden="false" customHeight="false" outlineLevel="0" collapsed="false">
      <c r="A157" s="0" t="s">
        <v>1139</v>
      </c>
      <c r="B157" s="0" t="s">
        <v>1167</v>
      </c>
      <c r="C157" s="0" t="s">
        <v>1482</v>
      </c>
      <c r="D157" s="0" t="s">
        <v>1173</v>
      </c>
      <c r="E157" s="0" t="s">
        <v>1286</v>
      </c>
      <c r="F157" s="0" t="n">
        <v>9.5</v>
      </c>
      <c r="G157" s="11" t="n">
        <f aca="false">IFERROR(INDEX(CHOOSE(MATCH($X157,{"K1","K2","K3","K12","K13","H1","H2","H3","H12","H13"},0),Calc!$V$2:$V$137,Calc!$AC$2:$AC$137,Calc!$AJ$2:$AJ$137,Calc!$AL$2:$AL$137,Calc!$AM$2:$AM$137,Calc!$W$2:$W$137,Calc!$AD$2:$AD$137,Calc!$AK$2:$AK$137,Calc!$AN$2:$AN$137,Calc!$AO$2:$AO$137),MATCH($W157,Calc!$A$2:$A$137,0)),"")</f>
        <v>10.2476546893051</v>
      </c>
      <c r="H157" s="11" t="n">
        <f aca="false">IF(G157="","",IF(LEFT($X157,1)="H",SQRT(G157*(IFERROR(INDEX(Calc!$AP$2:$AP$137,MATCH($W157,Calc!$A$2:$A$137,0)),0.5)*Config!$B$5+1-IFERROR(INDEX(Calc!$AP$2:$AP$137,MATCH($W157,Calc!$A$2:$A$137,0)),0.5))),SQRT(G157*Config!$B$5)))</f>
        <v>3.43485003825391</v>
      </c>
      <c r="I157" s="10" t="n">
        <f aca="false">IF(OR(F157="",G157="",N(H157)&lt;=0),"",1-NORMDIST(FLOOR(F157,1)+0.5,G157,H157,TRUE()))</f>
        <v>0.586155845847363</v>
      </c>
      <c r="J157" s="10" t="n">
        <f aca="false">IF(I157="","",NORMDIST(CEILING(F157,1)-0.5,G157,H157,TRUE()))</f>
        <v>0.413844154152638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OVER</v>
      </c>
      <c r="N157" s="0" t="n">
        <v>11.9</v>
      </c>
      <c r="O157" s="10" t="n">
        <v>0.8</v>
      </c>
      <c r="P157" s="10" t="n">
        <v>0.7</v>
      </c>
      <c r="Q157" s="10" t="n">
        <v>0.6</v>
      </c>
      <c r="R157" s="9" t="s">
        <v>1320</v>
      </c>
      <c r="S157" s="0" t="n">
        <v>-1</v>
      </c>
      <c r="T157" s="0" t="str">
        <f aca="false">INDEX(Calc!$G$2:$G$137,MATCH($W157,Calc!$A$2:$A$137,0))&amp;" / "&amp;INDEX(Calc!$H$2:$H$137,MATCH($W157,Calc!$A$2:$A$137,0))</f>
        <v>Ancient / Nuke</v>
      </c>
      <c r="U157" s="0" t="str">
        <f aca="false">TEXT(INDEX(Calc!$J$2:$J$137,MATCH($W157,Calc!$A$2:$A$137,0)),"0.0")&amp;" / "&amp;TEXT(INDEX(Calc!$K$2:$K$137,MATCH($W157,Calc!$A$2:$A$137,0)),"0.0")</f>
        <v>21.4 / 21.4</v>
      </c>
      <c r="V157" s="0" t="str">
        <f aca="false">IFERROR(INDEX(Calc!$AQ$2:$AQ$137,MATCH($W157,Calc!$A$2:$A$137,0)),"")</f>
        <v/>
      </c>
      <c r="W157" s="9" t="s">
        <v>1483</v>
      </c>
      <c r="X157" s="9" t="s">
        <v>1289</v>
      </c>
      <c r="Y157" s="0" t="str">
        <f aca="false">W157&amp;"|"&amp;X157</f>
        <v>9ewlsq1d531bbzm|CS2 · FaZe vs GL|H12</v>
      </c>
      <c r="Z157" s="11" t="n">
        <f aca="false">IFERROR(INDEX(CHOOSE(MATCH($X157,{"K1","K2","K3","K12","K13","H1","H2","H3","H12","H13"},0),Calc!$BA$2:$BA$137,Calc!$BB$2:$BB$137,Calc!$BC$2:$BC$137,Calc!$BD$2:$BD$137,Calc!$BE$2:$BE$137,Calc!$BF$2:$BF$137,Calc!$BG$2:$BG$137,Calc!$BH$2:$BH$137,Calc!$BI$2:$BI$137,Calc!$BJ$2:$BJ$137),MATCH($W157,Calc!$A$2:$A$137,0)),"")</f>
        <v>9.88836723207142</v>
      </c>
      <c r="AA157" s="11" t="n">
        <f aca="false">IF(Z157="","",IF(LEFT($X157,1)="H",SQRT(Z157*(IFERROR(INDEX(Calc!$AP$2:$AP$137,MATCH($W157,Calc!$A$2:$A$137,0)),0.5)*Config!$B$5+1-IFERROR(INDEX(Calc!$AP$2:$AP$137,MATCH($W157,Calc!$A$2:$A$137,0)),0.5))),SQRT(Z157*Config!$B$5)))</f>
        <v>3.37409909214281</v>
      </c>
      <c r="AB157" s="10" t="n">
        <f aca="false">IF(OR(F157="",Z157="",N(AA157)&lt;=0),"",1-NORMDIST(FLOOR(F157,1)+0.5,Z157,AA157,TRUE()))</f>
        <v>0.545818059798748</v>
      </c>
      <c r="AC157" s="10" t="n">
        <f aca="false">IF(AB157="","",NORMDIST(CEILING(F157,1)-0.5,Z157,AA157,TRUE()))</f>
        <v>0.454181940201252</v>
      </c>
      <c r="AD157" s="0" t="str">
        <f aca="false">IF(AB157="","",IF(AB157&gt;=0.5+Config!$B$6,"OVER",IF(AC157&gt;=0.5+Config!$B$6,"UNDER","—")))</f>
        <v>OVER</v>
      </c>
      <c r="AE157" s="13" t="n">
        <f aca="false">IFERROR(Z157/G157,"")</f>
        <v>0.964939542936722</v>
      </c>
    </row>
    <row r="158" customFormat="false" ht="15" hidden="false" customHeight="false" outlineLevel="0" collapsed="false">
      <c r="A158" s="0" t="s">
        <v>1139</v>
      </c>
      <c r="B158" s="0" t="s">
        <v>1167</v>
      </c>
      <c r="C158" s="0" t="s">
        <v>1482</v>
      </c>
      <c r="D158" s="0" t="s">
        <v>1173</v>
      </c>
      <c r="E158" s="0" t="s">
        <v>1290</v>
      </c>
      <c r="F158" s="0" t="n">
        <v>26.5</v>
      </c>
      <c r="G158" s="11" t="n">
        <f aca="false">IFERROR(INDEX(CHOOSE(MATCH($X158,{"K1","K2","K3","K12","K13","H1","H2","H3","H12","H13"},0),Calc!$V$2:$V$137,Calc!$AC$2:$AC$137,Calc!$AJ$2:$AJ$137,Calc!$AL$2:$AL$137,Calc!$AM$2:$AM$137,Calc!$W$2:$W$137,Calc!$AD$2:$AD$137,Calc!$AK$2:$AK$137,Calc!$AN$2:$AN$137,Calc!$AO$2:$AO$137),MATCH($W158,Calc!$A$2:$A$137,0)),"")</f>
        <v>27.0910573426573</v>
      </c>
      <c r="H158" s="11" t="n">
        <f aca="false">IF(G158="","",IF(LEFT($X158,1)="H",SQRT(G158*(IFERROR(INDEX(Calc!$AP$2:$AP$137,MATCH($W158,Calc!$A$2:$A$137,0)),0.5)*Config!$B$5+1-IFERROR(INDEX(Calc!$AP$2:$AP$137,MATCH($W158,Calc!$A$2:$A$137,0)),0.5))),SQRT(G158*Config!$B$5)))</f>
        <v>6.15852906786355</v>
      </c>
      <c r="I158" s="10" t="n">
        <f aca="false">IF(OR(F158="",G158="",N(H158)&lt;=0),"",1-NORMDIST(FLOOR(F158,1)+0.5,G158,H158,TRUE()))</f>
        <v>0.538229303383907</v>
      </c>
      <c r="J158" s="10" t="n">
        <f aca="false">IF(I158="","",NORMDIST(CEILING(F158,1)-0.5,G158,H158,TRUE()))</f>
        <v>0.461770696616093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—</v>
      </c>
      <c r="N158" s="0" t="n">
        <v>28.4</v>
      </c>
      <c r="O158" s="10" t="n">
        <v>0.2</v>
      </c>
      <c r="P158" s="10" t="n">
        <v>0.5</v>
      </c>
      <c r="Q158" s="10" t="n">
        <v>0.47</v>
      </c>
      <c r="R158" s="9" t="s">
        <v>1320</v>
      </c>
      <c r="S158" s="0" t="n">
        <v>-2</v>
      </c>
      <c r="T158" s="0" t="str">
        <f aca="false">INDEX(Calc!$G$2:$G$137,MATCH($W158,Calc!$A$2:$A$137,0))&amp;" / "&amp;INDEX(Calc!$H$2:$H$137,MATCH($W158,Calc!$A$2:$A$137,0))</f>
        <v>Ancient / Nuke</v>
      </c>
      <c r="U158" s="0" t="str">
        <f aca="false">TEXT(INDEX(Calc!$J$2:$J$137,MATCH($W158,Calc!$A$2:$A$137,0)),"0.0")&amp;" / "&amp;TEXT(INDEX(Calc!$K$2:$K$137,MATCH($W158,Calc!$A$2:$A$137,0)),"0.0")</f>
        <v>21.4 / 21.4</v>
      </c>
      <c r="V158" s="0" t="str">
        <f aca="false">IFERROR(INDEX(Calc!$AQ$2:$AQ$137,MATCH($W158,Calc!$A$2:$A$137,0)),"")</f>
        <v/>
      </c>
      <c r="W158" s="9" t="s">
        <v>1483</v>
      </c>
      <c r="X158" s="9" t="s">
        <v>1291</v>
      </c>
      <c r="Y158" s="0" t="str">
        <f aca="false">W158&amp;"|"&amp;X158</f>
        <v>9ewlsq1d531bbzm|CS2 · FaZe vs GL|K12</v>
      </c>
      <c r="Z158" s="11" t="n">
        <f aca="false">IFERROR(INDEX(CHOOSE(MATCH($X158,{"K1","K2","K3","K12","K13","H1","H2","H3","H12","H13"},0),Calc!$BA$2:$BA$137,Calc!$BB$2:$BB$137,Calc!$BC$2:$BC$137,Calc!$BD$2:$BD$137,Calc!$BE$2:$BE$137,Calc!$BF$2:$BF$137,Calc!$BG$2:$BG$137,Calc!$BH$2:$BH$137,Calc!$BI$2:$BI$137,Calc!$BJ$2:$BJ$137),MATCH($W158,Calc!$A$2:$A$137,0)),"")</f>
        <v>26.1538088644911</v>
      </c>
      <c r="AA158" s="11" t="n">
        <f aca="false">IF(Z158="","",IF(LEFT($X158,1)="H",SQRT(Z158*(IFERROR(INDEX(Calc!$AP$2:$AP$137,MATCH($W158,Calc!$A$2:$A$137,0)),0.5)*Config!$B$5+1-IFERROR(INDEX(Calc!$AP$2:$AP$137,MATCH($W158,Calc!$A$2:$A$137,0)),0.5))),SQRT(Z158*Config!$B$5)))</f>
        <v>6.05106043683978</v>
      </c>
      <c r="AB158" s="10" t="n">
        <f aca="false">IF(OR(F158="",Z158="",N(AA158)&lt;=0),"",1-NORMDIST(FLOOR(F158,1)+0.5,Z158,AA158,TRUE()))</f>
        <v>0.477188300077032</v>
      </c>
      <c r="AC158" s="10" t="n">
        <f aca="false">IF(AB158="","",NORMDIST(CEILING(F158,1)-0.5,Z158,AA158,TRUE()))</f>
        <v>0.522811699922968</v>
      </c>
      <c r="AD158" s="0" t="str">
        <f aca="false">IF(AB158="","",IF(AB158&gt;=0.5+Config!$B$6,"OVER",IF(AC158&gt;=0.5+Config!$B$6,"UNDER","—")))</f>
        <v>—</v>
      </c>
      <c r="AE158" s="13" t="n">
        <f aca="false">IFERROR(Z158/G158,"")</f>
        <v>0.965403768988728</v>
      </c>
    </row>
    <row r="159" customFormat="false" ht="15" hidden="false" customHeight="false" outlineLevel="0" collapsed="false">
      <c r="A159" s="0" t="s">
        <v>1139</v>
      </c>
      <c r="B159" s="0" t="s">
        <v>1167</v>
      </c>
      <c r="C159" s="0" t="s">
        <v>1484</v>
      </c>
      <c r="D159" s="0" t="s">
        <v>1173</v>
      </c>
      <c r="E159" s="0" t="s">
        <v>1286</v>
      </c>
      <c r="F159" s="0" t="n">
        <v>15.5</v>
      </c>
      <c r="G159" s="11" t="n">
        <f aca="false">IFERROR(INDEX(CHOOSE(MATCH($X159,{"K1","K2","K3","K12","K13","H1","H2","H3","H12","H13"},0),Calc!$V$2:$V$137,Calc!$AC$2:$AC$137,Calc!$AJ$2:$AJ$137,Calc!$AL$2:$AL$137,Calc!$AM$2:$AM$137,Calc!$W$2:$W$137,Calc!$AD$2:$AD$137,Calc!$AK$2:$AK$137,Calc!$AN$2:$AN$137,Calc!$AO$2:$AO$137),MATCH($W159,Calc!$A$2:$A$137,0)),"")</f>
        <v>15.8653339071429</v>
      </c>
      <c r="H159" s="11" t="n">
        <f aca="false">IF(G159="","",IF(LEFT($X159,1)="H",SQRT(G159*(IFERROR(INDEX(Calc!$AP$2:$AP$137,MATCH($W159,Calc!$A$2:$A$137,0)),0.5)*Config!$B$5+1-IFERROR(INDEX(Calc!$AP$2:$AP$137,MATCH($W159,Calc!$A$2:$A$137,0)),0.5))),SQRT(G159*Config!$B$5)))</f>
        <v>4.40106724291242</v>
      </c>
      <c r="I159" s="10" t="n">
        <f aca="false">IF(OR(F159="",G159="",N(H159)&lt;=0),"",1-NORMDIST(FLOOR(F159,1)+0.5,G159,H159,TRUE()))</f>
        <v>0.533078324713981</v>
      </c>
      <c r="J159" s="10" t="n">
        <f aca="false">IF(I159="","",NORMDIST(CEILING(F159,1)-0.5,G159,H159,TRUE()))</f>
        <v>0.466921675286019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—</v>
      </c>
      <c r="N159" s="0" t="n">
        <v>16.1</v>
      </c>
      <c r="O159" s="10" t="n">
        <v>0.6</v>
      </c>
      <c r="P159" s="10" t="n">
        <v>0.5</v>
      </c>
      <c r="Q159" s="10" t="n">
        <v>0.6</v>
      </c>
      <c r="R159" s="9" t="s">
        <v>1463</v>
      </c>
      <c r="S159" s="0" t="n">
        <v>2</v>
      </c>
      <c r="T159" s="0" t="str">
        <f aca="false">INDEX(Calc!$G$2:$G$137,MATCH($W159,Calc!$A$2:$A$137,0))&amp;" / "&amp;INDEX(Calc!$H$2:$H$137,MATCH($W159,Calc!$A$2:$A$137,0))</f>
        <v>Ancient / Nuke</v>
      </c>
      <c r="U159" s="0" t="str">
        <f aca="false">TEXT(INDEX(Calc!$J$2:$J$137,MATCH($W159,Calc!$A$2:$A$137,0)),"0.0")&amp;" / "&amp;TEXT(INDEX(Calc!$K$2:$K$137,MATCH($W159,Calc!$A$2:$A$137,0)),"0.0")</f>
        <v>21.4 / 21.4</v>
      </c>
      <c r="V159" s="0" t="str">
        <f aca="false">IFERROR(INDEX(Calc!$AQ$2:$AQ$137,MATCH($W159,Calc!$A$2:$A$137,0)),"")</f>
        <v/>
      </c>
      <c r="W159" s="9" t="s">
        <v>1485</v>
      </c>
      <c r="X159" s="9" t="s">
        <v>1289</v>
      </c>
      <c r="Y159" s="0" t="str">
        <f aca="false">W159&amp;"|"&amp;X159</f>
        <v>wt4hradl1cp0pr9|CS2 · FaZe vs GL|H12</v>
      </c>
      <c r="Z159" s="11" t="n">
        <f aca="false">IFERROR(INDEX(CHOOSE(MATCH($X159,{"K1","K2","K3","K12","K13","H1","H2","H3","H12","H13"},0),Calc!$BA$2:$BA$137,Calc!$BB$2:$BB$137,Calc!$BC$2:$BC$137,Calc!$BD$2:$BD$137,Calc!$BE$2:$BE$137,Calc!$BF$2:$BF$137,Calc!$BG$2:$BG$137,Calc!$BH$2:$BH$137,Calc!$BI$2:$BI$137,Calc!$BJ$2:$BJ$137),MATCH($W159,Calc!$A$2:$A$137,0)),"")</f>
        <v>15.3219017266447</v>
      </c>
      <c r="AA159" s="11" t="n">
        <f aca="false">IF(Z159="","",IF(LEFT($X159,1)="H",SQRT(Z159*(IFERROR(INDEX(Calc!$AP$2:$AP$137,MATCH($W159,Calc!$A$2:$A$137,0)),0.5)*Config!$B$5+1-IFERROR(INDEX(Calc!$AP$2:$AP$137,MATCH($W159,Calc!$A$2:$A$137,0)),0.5))),SQRT(Z159*Config!$B$5)))</f>
        <v>4.32503605179578</v>
      </c>
      <c r="AB159" s="10" t="n">
        <f aca="false">IF(OR(F159="",Z159="",N(AA159)&lt;=0),"",1-NORMDIST(FLOOR(F159,1)+0.5,Z159,AA159,TRUE()))</f>
        <v>0.483576817440287</v>
      </c>
      <c r="AC159" s="10" t="n">
        <f aca="false">IF(AB159="","",NORMDIST(CEILING(F159,1)-0.5,Z159,AA159,TRUE()))</f>
        <v>0.516423182559713</v>
      </c>
      <c r="AD159" s="0" t="str">
        <f aca="false">IF(AB159="","",IF(AB159&gt;=0.5+Config!$B$6,"OVER",IF(AC159&gt;=0.5+Config!$B$6,"UNDER","—")))</f>
        <v>—</v>
      </c>
      <c r="AE159" s="13" t="n">
        <f aca="false">IFERROR(Z159/G159,"")</f>
        <v>0.96574719550948</v>
      </c>
    </row>
    <row r="160" customFormat="false" ht="15" hidden="false" customHeight="false" outlineLevel="0" collapsed="false">
      <c r="A160" s="0" t="s">
        <v>1139</v>
      </c>
      <c r="B160" s="0" t="s">
        <v>1167</v>
      </c>
      <c r="C160" s="0" t="s">
        <v>1484</v>
      </c>
      <c r="D160" s="0" t="s">
        <v>1173</v>
      </c>
      <c r="E160" s="0" t="s">
        <v>1290</v>
      </c>
      <c r="F160" s="0" t="n">
        <v>28.5</v>
      </c>
      <c r="G160" s="11" t="n">
        <f aca="false">IFERROR(INDEX(CHOOSE(MATCH($X160,{"K1","K2","K3","K12","K13","H1","H2","H3","H12","H13"},0),Calc!$V$2:$V$137,Calc!$AC$2:$AC$137,Calc!$AJ$2:$AJ$137,Calc!$AL$2:$AL$137,Calc!$AM$2:$AM$137,Calc!$W$2:$W$137,Calc!$AD$2:$AD$137,Calc!$AK$2:$AK$137,Calc!$AN$2:$AN$137,Calc!$AO$2:$AO$137),MATCH($W160,Calc!$A$2:$A$137,0)),"")</f>
        <v>28.7334</v>
      </c>
      <c r="H160" s="11" t="n">
        <f aca="false">IF(G160="","",IF(LEFT($X160,1)="H",SQRT(G160*(IFERROR(INDEX(Calc!$AP$2:$AP$137,MATCH($W160,Calc!$A$2:$A$137,0)),0.5)*Config!$B$5+1-IFERROR(INDEX(Calc!$AP$2:$AP$137,MATCH($W160,Calc!$A$2:$A$137,0)),0.5))),SQRT(G160*Config!$B$5)))</f>
        <v>6.34245693718136</v>
      </c>
      <c r="I160" s="10" t="n">
        <f aca="false">IF(OR(F160="",G160="",N(H160)&lt;=0),"",1-NORMDIST(FLOOR(F160,1)+0.5,G160,H160,TRUE()))</f>
        <v>0.51467761115561</v>
      </c>
      <c r="J160" s="10" t="n">
        <f aca="false">IF(I160="","",NORMDIST(CEILING(F160,1)-0.5,G160,H160,TRUE()))</f>
        <v>0.48532238884439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—</v>
      </c>
      <c r="N160" s="0" t="n">
        <v>29.3</v>
      </c>
      <c r="O160" s="10" t="n">
        <v>0.4</v>
      </c>
      <c r="P160" s="10" t="n">
        <v>0.5</v>
      </c>
      <c r="Q160" s="10" t="n">
        <v>0.6</v>
      </c>
      <c r="R160" s="9" t="s">
        <v>1463</v>
      </c>
      <c r="S160" s="0" t="n">
        <v>1</v>
      </c>
      <c r="T160" s="0" t="str">
        <f aca="false">INDEX(Calc!$G$2:$G$137,MATCH($W160,Calc!$A$2:$A$137,0))&amp;" / "&amp;INDEX(Calc!$H$2:$H$137,MATCH($W160,Calc!$A$2:$A$137,0))</f>
        <v>Ancient / Nuke</v>
      </c>
      <c r="U160" s="0" t="str">
        <f aca="false">TEXT(INDEX(Calc!$J$2:$J$137,MATCH($W160,Calc!$A$2:$A$137,0)),"0.0")&amp;" / "&amp;TEXT(INDEX(Calc!$K$2:$K$137,MATCH($W160,Calc!$A$2:$A$137,0)),"0.0")</f>
        <v>21.4 / 21.4</v>
      </c>
      <c r="V160" s="0" t="str">
        <f aca="false">IFERROR(INDEX(Calc!$AQ$2:$AQ$137,MATCH($W160,Calc!$A$2:$A$137,0)),"")</f>
        <v/>
      </c>
      <c r="W160" s="9" t="s">
        <v>1485</v>
      </c>
      <c r="X160" s="9" t="s">
        <v>1291</v>
      </c>
      <c r="Y160" s="0" t="str">
        <f aca="false">W160&amp;"|"&amp;X160</f>
        <v>wt4hradl1cp0pr9|CS2 · FaZe vs GL|K12</v>
      </c>
      <c r="Z160" s="11" t="n">
        <f aca="false">IFERROR(INDEX(CHOOSE(MATCH($X160,{"K1","K2","K3","K12","K13","H1","H2","H3","H12","H13"},0),Calc!$BA$2:$BA$137,Calc!$BB$2:$BB$137,Calc!$BC$2:$BC$137,Calc!$BD$2:$BD$137,Calc!$BE$2:$BE$137,Calc!$BF$2:$BF$137,Calc!$BG$2:$BG$137,Calc!$BH$2:$BH$137,Calc!$BI$2:$BI$137,Calc!$BJ$2:$BJ$137),MATCH($W160,Calc!$A$2:$A$137,0)),"")</f>
        <v>27.7482765078922</v>
      </c>
      <c r="AA160" s="11" t="n">
        <f aca="false">IF(Z160="","",IF(LEFT($X160,1)="H",SQRT(Z160*(IFERROR(INDEX(Calc!$AP$2:$AP$137,MATCH($W160,Calc!$A$2:$A$137,0)),0.5)*Config!$B$5+1-IFERROR(INDEX(Calc!$AP$2:$AP$137,MATCH($W160,Calc!$A$2:$A$137,0)),0.5))),SQRT(Z160*Config!$B$5)))</f>
        <v>6.23278325558086</v>
      </c>
      <c r="AB160" s="10" t="n">
        <f aca="false">IF(OR(F160="",Z160="",N(AA160)&lt;=0),"",1-NORMDIST(FLOOR(F160,1)+0.5,Z160,AA160,TRUE()))</f>
        <v>0.452000767966207</v>
      </c>
      <c r="AC160" s="10" t="n">
        <f aca="false">IF(AB160="","",NORMDIST(CEILING(F160,1)-0.5,Z160,AA160,TRUE()))</f>
        <v>0.547999232033793</v>
      </c>
      <c r="AD160" s="0" t="str">
        <f aca="false">IF(AB160="","",IF(AB160&gt;=0.5+Config!$B$6,"OVER",IF(AC160&gt;=0.5+Config!$B$6,"UNDER","—")))</f>
        <v>UNDER</v>
      </c>
      <c r="AE160" s="13" t="n">
        <f aca="false">IFERROR(Z160/G160,"")</f>
        <v>0.965715039218895</v>
      </c>
    </row>
    <row r="161" customFormat="false" ht="15" hidden="false" customHeight="false" outlineLevel="0" collapsed="false">
      <c r="A161" s="0" t="s">
        <v>1139</v>
      </c>
      <c r="B161" s="0" t="s">
        <v>1167</v>
      </c>
      <c r="C161" s="0" t="s">
        <v>1486</v>
      </c>
      <c r="D161" s="0" t="s">
        <v>1173</v>
      </c>
      <c r="E161" s="0" t="s">
        <v>1286</v>
      </c>
      <c r="F161" s="0" t="n">
        <v>13.5</v>
      </c>
      <c r="G161" s="11" t="n">
        <f aca="false">IFERROR(INDEX(CHOOSE(MATCH($X161,{"K1","K2","K3","K12","K13","H1","H2","H3","H12","H13"},0),Calc!$V$2:$V$137,Calc!$AC$2:$AC$137,Calc!$AJ$2:$AJ$137,Calc!$AL$2:$AL$137,Calc!$AM$2:$AM$137,Calc!$W$2:$W$137,Calc!$AD$2:$AD$137,Calc!$AK$2:$AK$137,Calc!$AN$2:$AN$137,Calc!$AO$2:$AO$137),MATCH($W161,Calc!$A$2:$A$137,0)),"")</f>
        <v>15.1098055555969</v>
      </c>
      <c r="H161" s="11" t="n">
        <f aca="false">IF(G161="","",IF(LEFT($X161,1)="H",SQRT(G161*(IFERROR(INDEX(Calc!$AP$2:$AP$137,MATCH($W161,Calc!$A$2:$A$137,0)),0.5)*Config!$B$5+1-IFERROR(INDEX(Calc!$AP$2:$AP$137,MATCH($W161,Calc!$A$2:$A$137,0)),0.5))),SQRT(G161*Config!$B$5)))</f>
        <v>4.27907761897583</v>
      </c>
      <c r="I161" s="10" t="n">
        <f aca="false">IF(OR(F161="",G161="",N(H161)&lt;=0),"",1-NORMDIST(FLOOR(F161,1)+0.5,G161,H161,TRUE()))</f>
        <v>0.646617330314608</v>
      </c>
      <c r="J161" s="10" t="n">
        <f aca="false">IF(I161="","",NORMDIST(CEILING(F161,1)-0.5,G161,H161,TRUE()))</f>
        <v>0.353382669685392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OVER</v>
      </c>
      <c r="N161" s="0" t="n">
        <v>15.8</v>
      </c>
      <c r="O161" s="10" t="n">
        <v>0.6</v>
      </c>
      <c r="P161" s="10" t="n">
        <v>0.7</v>
      </c>
      <c r="Q161" s="10" t="n">
        <v>0.6</v>
      </c>
      <c r="R161" s="9" t="s">
        <v>1320</v>
      </c>
      <c r="S161" s="0" t="n">
        <v>-1</v>
      </c>
      <c r="T161" s="0" t="str">
        <f aca="false">INDEX(Calc!$G$2:$G$137,MATCH($W161,Calc!$A$2:$A$137,0))&amp;" / "&amp;INDEX(Calc!$H$2:$H$137,MATCH($W161,Calc!$A$2:$A$137,0))</f>
        <v>Ancient / Nuke</v>
      </c>
      <c r="U161" s="0" t="str">
        <f aca="false">TEXT(INDEX(Calc!$J$2:$J$137,MATCH($W161,Calc!$A$2:$A$137,0)),"0.0")&amp;" / "&amp;TEXT(INDEX(Calc!$K$2:$K$137,MATCH($W161,Calc!$A$2:$A$137,0)),"0.0")</f>
        <v>21.4 / 21.4</v>
      </c>
      <c r="V161" s="0" t="str">
        <f aca="false">IFERROR(INDEX(Calc!$AQ$2:$AQ$137,MATCH($W161,Calc!$A$2:$A$137,0)),"")</f>
        <v/>
      </c>
      <c r="W161" s="9" t="s">
        <v>1487</v>
      </c>
      <c r="X161" s="9" t="s">
        <v>1289</v>
      </c>
      <c r="Y161" s="0" t="str">
        <f aca="false">W161&amp;"|"&amp;X161</f>
        <v>b8ta8wsdzmggqly|CS2 · FaZe vs GL|H12</v>
      </c>
      <c r="Z161" s="11" t="n">
        <f aca="false">IFERROR(INDEX(CHOOSE(MATCH($X161,{"K1","K2","K3","K12","K13","H1","H2","H3","H12","H13"},0),Calc!$BA$2:$BA$137,Calc!$BB$2:$BB$137,Calc!$BC$2:$BC$137,Calc!$BD$2:$BD$137,Calc!$BE$2:$BE$137,Calc!$BF$2:$BF$137,Calc!$BG$2:$BG$137,Calc!$BH$2:$BH$137,Calc!$BI$2:$BI$137,Calc!$BJ$2:$BJ$137),MATCH($W161,Calc!$A$2:$A$137,0)),"")</f>
        <v>14.5861078378078</v>
      </c>
      <c r="AA161" s="11" t="n">
        <f aca="false">IF(Z161="","",IF(LEFT($X161,1)="H",SQRT(Z161*(IFERROR(INDEX(Calc!$AP$2:$AP$137,MATCH($W161,Calc!$A$2:$A$137,0)),0.5)*Config!$B$5+1-IFERROR(INDEX(Calc!$AP$2:$AP$137,MATCH($W161,Calc!$A$2:$A$137,0)),0.5))),SQRT(Z161*Config!$B$5)))</f>
        <v>4.20426842913646</v>
      </c>
      <c r="AB161" s="10" t="n">
        <f aca="false">IF(OR(F161="",Z161="",N(AA161)&lt;=0),"",1-NORMDIST(FLOOR(F161,1)+0.5,Z161,AA161,TRUE()))</f>
        <v>0.601925642178169</v>
      </c>
      <c r="AC161" s="10" t="n">
        <f aca="false">IF(AB161="","",NORMDIST(CEILING(F161,1)-0.5,Z161,AA161,TRUE()))</f>
        <v>0.398074357821831</v>
      </c>
      <c r="AD161" s="0" t="str">
        <f aca="false">IF(AB161="","",IF(AB161&gt;=0.5+Config!$B$6,"OVER",IF(AC161&gt;=0.5+Config!$B$6,"UNDER","—")))</f>
        <v>OVER</v>
      </c>
      <c r="AE161" s="13" t="n">
        <f aca="false">IFERROR(Z161/G161,"")</f>
        <v>0.9653405389062</v>
      </c>
    </row>
    <row r="162" customFormat="false" ht="15" hidden="false" customHeight="false" outlineLevel="0" collapsed="false">
      <c r="A162" s="0" t="s">
        <v>1139</v>
      </c>
      <c r="B162" s="0" t="s">
        <v>1167</v>
      </c>
      <c r="C162" s="0" t="s">
        <v>1486</v>
      </c>
      <c r="D162" s="0" t="s">
        <v>1173</v>
      </c>
      <c r="E162" s="0" t="s">
        <v>1290</v>
      </c>
      <c r="F162" s="0" t="n">
        <v>26.5</v>
      </c>
      <c r="G162" s="11" t="n">
        <f aca="false">IFERROR(INDEX(CHOOSE(MATCH($X162,{"K1","K2","K3","K12","K13","H1","H2","H3","H12","H13"},0),Calc!$V$2:$V$137,Calc!$AC$2:$AC$137,Calc!$AJ$2:$AJ$137,Calc!$AL$2:$AL$137,Calc!$AM$2:$AM$137,Calc!$W$2:$W$137,Calc!$AD$2:$AD$137,Calc!$AK$2:$AK$137,Calc!$AN$2:$AN$137,Calc!$AO$2:$AO$137),MATCH($W162,Calc!$A$2:$A$137,0)),"")</f>
        <v>28.5320391608392</v>
      </c>
      <c r="H162" s="11" t="n">
        <f aca="false">IF(G162="","",IF(LEFT($X162,1)="H",SQRT(G162*(IFERROR(INDEX(Calc!$AP$2:$AP$137,MATCH($W162,Calc!$A$2:$A$137,0)),0.5)*Config!$B$5+1-IFERROR(INDEX(Calc!$AP$2:$AP$137,MATCH($W162,Calc!$A$2:$A$137,0)),0.5))),SQRT(G162*Config!$B$5)))</f>
        <v>6.32019420786852</v>
      </c>
      <c r="I162" s="10" t="n">
        <f aca="false">IF(OR(F162="",G162="",N(H162)&lt;=0),"",1-NORMDIST(FLOOR(F162,1)+0.5,G162,H162,TRUE()))</f>
        <v>0.626090041674496</v>
      </c>
      <c r="J162" s="10" t="n">
        <f aca="false">IF(I162="","",NORMDIST(CEILING(F162,1)-0.5,G162,H162,TRUE()))</f>
        <v>0.373909958325504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OVER</v>
      </c>
      <c r="N162" s="0" t="n">
        <v>30.4</v>
      </c>
      <c r="O162" s="10" t="n">
        <v>0.6</v>
      </c>
      <c r="P162" s="10" t="n">
        <v>0.7</v>
      </c>
      <c r="Q162" s="10" t="n">
        <v>0.53</v>
      </c>
      <c r="R162" s="9" t="s">
        <v>1320</v>
      </c>
      <c r="S162" s="0" t="n">
        <v>-1</v>
      </c>
      <c r="T162" s="0" t="str">
        <f aca="false">INDEX(Calc!$G$2:$G$137,MATCH($W162,Calc!$A$2:$A$137,0))&amp;" / "&amp;INDEX(Calc!$H$2:$H$137,MATCH($W162,Calc!$A$2:$A$137,0))</f>
        <v>Ancient / Nuke</v>
      </c>
      <c r="U162" s="0" t="str">
        <f aca="false">TEXT(INDEX(Calc!$J$2:$J$137,MATCH($W162,Calc!$A$2:$A$137,0)),"0.0")&amp;" / "&amp;TEXT(INDEX(Calc!$K$2:$K$137,MATCH($W162,Calc!$A$2:$A$137,0)),"0.0")</f>
        <v>21.4 / 21.4</v>
      </c>
      <c r="V162" s="0" t="str">
        <f aca="false">IFERROR(INDEX(Calc!$AQ$2:$AQ$137,MATCH($W162,Calc!$A$2:$A$137,0)),"")</f>
        <v/>
      </c>
      <c r="W162" s="9" t="s">
        <v>1487</v>
      </c>
      <c r="X162" s="9" t="s">
        <v>1291</v>
      </c>
      <c r="Y162" s="0" t="str">
        <f aca="false">W162&amp;"|"&amp;X162</f>
        <v>b8ta8wsdzmggqly|CS2 · FaZe vs GL|K12</v>
      </c>
      <c r="Z162" s="11" t="n">
        <f aca="false">IFERROR(INDEX(CHOOSE(MATCH($X162,{"K1","K2","K3","K12","K13","H1","H2","H3","H12","H13"},0),Calc!$BA$2:$BA$137,Calc!$BB$2:$BB$137,Calc!$BC$2:$BC$137,Calc!$BD$2:$BD$137,Calc!$BE$2:$BE$137,Calc!$BF$2:$BF$137,Calc!$BG$2:$BG$137,Calc!$BH$2:$BH$137,Calc!$BI$2:$BI$137,Calc!$BJ$2:$BJ$137),MATCH($W162,Calc!$A$2:$A$137,0)),"")</f>
        <v>27.5401768790254</v>
      </c>
      <c r="AA162" s="11" t="n">
        <f aca="false">IF(Z162="","",IF(LEFT($X162,1)="H",SQRT(Z162*(IFERROR(INDEX(Calc!$AP$2:$AP$137,MATCH($W162,Calc!$A$2:$A$137,0)),0.5)*Config!$B$5+1-IFERROR(INDEX(Calc!$AP$2:$AP$137,MATCH($W162,Calc!$A$2:$A$137,0)),0.5))),SQRT(Z162*Config!$B$5)))</f>
        <v>6.20936773195432</v>
      </c>
      <c r="AB162" s="10" t="n">
        <f aca="false">IF(OR(F162="",Z162="",N(AA162)&lt;=0),"",1-NORMDIST(FLOOR(F162,1)+0.5,Z162,AA162,TRUE()))</f>
        <v>0.566518504710275</v>
      </c>
      <c r="AC162" s="10" t="n">
        <f aca="false">IF(AB162="","",NORMDIST(CEILING(F162,1)-0.5,Z162,AA162,TRUE()))</f>
        <v>0.433481495289725</v>
      </c>
      <c r="AD162" s="0" t="str">
        <f aca="false">IF(AB162="","",IF(AB162&gt;=0.5+Config!$B$6,"OVER",IF(AC162&gt;=0.5+Config!$B$6,"UNDER","—")))</f>
        <v>OVER</v>
      </c>
      <c r="AE162" s="13" t="n">
        <f aca="false">IFERROR(Z162/G162,"")</f>
        <v>0.965236894698534</v>
      </c>
    </row>
    <row r="163" customFormat="false" ht="15" hidden="false" customHeight="false" outlineLevel="0" collapsed="false">
      <c r="A163" s="0" t="s">
        <v>1139</v>
      </c>
      <c r="B163" s="0" t="s">
        <v>1222</v>
      </c>
      <c r="C163" s="0" t="s">
        <v>1488</v>
      </c>
      <c r="D163" s="0" t="s">
        <v>1227</v>
      </c>
      <c r="E163" s="0" t="s">
        <v>1286</v>
      </c>
      <c r="F163" s="0" t="n">
        <v>14.5</v>
      </c>
      <c r="G163" s="11" t="n">
        <f aca="false">IFERROR(INDEX(CHOOSE(MATCH($X163,{"K1","K2","K3","K12","K13","H1","H2","H3","H12","H13"},0),Calc!$V$2:$V$137,Calc!$AC$2:$AC$137,Calc!$AJ$2:$AJ$137,Calc!$AL$2:$AL$137,Calc!$AM$2:$AM$137,Calc!$W$2:$W$137,Calc!$AD$2:$AD$137,Calc!$AK$2:$AK$137,Calc!$AN$2:$AN$137,Calc!$AO$2:$AO$137),MATCH($W163,Calc!$A$2:$A$137,0)),"")</f>
        <v>14.7888621035179</v>
      </c>
      <c r="H163" s="11" t="n">
        <f aca="false">IF(G163="","",IF(LEFT($X163,1)="H",SQRT(G163*(IFERROR(INDEX(Calc!$AP$2:$AP$137,MATCH($W163,Calc!$A$2:$A$137,0)),0.5)*Config!$B$5+1-IFERROR(INDEX(Calc!$AP$2:$AP$137,MATCH($W163,Calc!$A$2:$A$137,0)),0.5))),SQRT(G163*Config!$B$5)))</f>
        <v>4.21012211117515</v>
      </c>
      <c r="I163" s="10" t="n">
        <f aca="false">IF(OR(F163="",G163="",N(H163)&lt;=0),"",1-NORMDIST(FLOOR(F163,1)+0.5,G163,H163,TRUE()))</f>
        <v>0.527350502415671</v>
      </c>
      <c r="J163" s="10" t="n">
        <f aca="false">IF(I163="","",NORMDIST(CEILING(F163,1)-0.5,G163,H163,TRUE()))</f>
        <v>0.47264949758433</v>
      </c>
      <c r="K163" s="10" t="n">
        <f aca="false">IF(I163="","",MAX(0,1-I163-J163))</f>
        <v>0</v>
      </c>
      <c r="L163" s="0" t="str">
        <f aca="false">IF(I163="","",IF(I163&gt;=0.5+Config!$B$6,"OVER",IF(J163&gt;=0.5+Config!$B$6,"UNDER","—")))</f>
        <v>—</v>
      </c>
      <c r="N163" s="0" t="n">
        <v>15.4</v>
      </c>
      <c r="O163" s="10" t="n">
        <v>0.4</v>
      </c>
      <c r="P163" s="10" t="n">
        <v>0.5</v>
      </c>
      <c r="Q163" s="10" t="n">
        <v>0.53</v>
      </c>
      <c r="R163" s="9" t="s">
        <v>1395</v>
      </c>
      <c r="S163" s="0" t="n">
        <v>1</v>
      </c>
      <c r="T163" s="0" t="str">
        <f aca="false">INDEX(Calc!$G$2:$G$137,MATCH($W163,Calc!$A$2:$A$137,0))&amp;" / "&amp;INDEX(Calc!$H$2:$H$137,MATCH($W163,Calc!$A$2:$A$137,0))</f>
        <v>Ancient / Dust2</v>
      </c>
      <c r="U163" s="0" t="str">
        <f aca="false">TEXT(INDEX(Calc!$J$2:$J$137,MATCH($W163,Calc!$A$2:$A$137,0)),"0.0")&amp;" / "&amp;TEXT(INDEX(Calc!$K$2:$K$137,MATCH($W163,Calc!$A$2:$A$137,0)),"0.0")</f>
        <v>21.5 / 21.5</v>
      </c>
      <c r="V163" s="0" t="str">
        <f aca="false">IFERROR(INDEX(Calc!$AQ$2:$AQ$137,MATCH($W163,Calc!$A$2:$A$137,0)),"")</f>
        <v/>
      </c>
      <c r="W163" s="9" t="s">
        <v>1489</v>
      </c>
      <c r="X163" s="9" t="s">
        <v>1289</v>
      </c>
      <c r="Y163" s="0" t="str">
        <f aca="false">W163&amp;"|"&amp;X163</f>
        <v>sw5tkvujsl89icm|CS2 · GLS vs PCY|H12</v>
      </c>
      <c r="Z163" s="11" t="n">
        <f aca="false">IFERROR(INDEX(CHOOSE(MATCH($X163,{"K1","K2","K3","K12","K13","H1","H2","H3","H12","H13"},0),Calc!$BA$2:$BA$137,Calc!$BB$2:$BB$137,Calc!$BC$2:$BC$137,Calc!$BD$2:$BD$137,Calc!$BE$2:$BE$137,Calc!$BF$2:$BF$137,Calc!$BG$2:$BG$137,Calc!$BH$2:$BH$137,Calc!$BI$2:$BI$137,Calc!$BJ$2:$BJ$137),MATCH($W163,Calc!$A$2:$A$137,0)),"")</f>
        <v>15.0007400898371</v>
      </c>
      <c r="AA163" s="11" t="n">
        <f aca="false">IF(Z163="","",IF(LEFT($X163,1)="H",SQRT(Z163*(IFERROR(INDEX(Calc!$AP$2:$AP$137,MATCH($W163,Calc!$A$2:$A$137,0)),0.5)*Config!$B$5+1-IFERROR(INDEX(Calc!$AP$2:$AP$137,MATCH($W163,Calc!$A$2:$A$137,0)),0.5))),SQRT(Z163*Config!$B$5)))</f>
        <v>4.24017377666542</v>
      </c>
      <c r="AB163" s="10" t="n">
        <f aca="false">IF(OR(F163="",Z163="",N(AA163)&lt;=0),"",1-NORMDIST(FLOOR(F163,1)+0.5,Z163,AA163,TRUE()))</f>
        <v>0.547003505420302</v>
      </c>
      <c r="AC163" s="10" t="n">
        <f aca="false">IF(AB163="","",NORMDIST(CEILING(F163,1)-0.5,Z163,AA163,TRUE()))</f>
        <v>0.452996494579699</v>
      </c>
      <c r="AD163" s="0" t="str">
        <f aca="false">IF(AB163="","",IF(AB163&gt;=0.5+Config!$B$6,"OVER",IF(AC163&gt;=0.5+Config!$B$6,"UNDER","—")))</f>
        <v>OVER</v>
      </c>
      <c r="AE163" s="13" t="n">
        <f aca="false">IFERROR(Z163/G163,"")</f>
        <v>1.01432686198817</v>
      </c>
    </row>
    <row r="164" customFormat="false" ht="15" hidden="false" customHeight="false" outlineLevel="0" collapsed="false">
      <c r="A164" s="0" t="s">
        <v>1139</v>
      </c>
      <c r="B164" s="0" t="s">
        <v>1222</v>
      </c>
      <c r="C164" s="0" t="s">
        <v>1488</v>
      </c>
      <c r="D164" s="0" t="s">
        <v>1227</v>
      </c>
      <c r="E164" s="0" t="s">
        <v>1290</v>
      </c>
      <c r="F164" s="0" t="n">
        <v>30.5</v>
      </c>
      <c r="G164" s="11" t="n">
        <f aca="false">IFERROR(INDEX(CHOOSE(MATCH($X164,{"K1","K2","K3","K12","K13","H1","H2","H3","H12","H13"},0),Calc!$V$2:$V$137,Calc!$AC$2:$AC$137,Calc!$AJ$2:$AJ$137,Calc!$AL$2:$AL$137,Calc!$AM$2:$AM$137,Calc!$W$2:$W$137,Calc!$AD$2:$AD$137,Calc!$AK$2:$AK$137,Calc!$AN$2:$AN$137,Calc!$AO$2:$AO$137),MATCH($W164,Calc!$A$2:$A$137,0)),"")</f>
        <v>29.794362745098</v>
      </c>
      <c r="H164" s="11" t="n">
        <f aca="false">IF(G164="","",IF(LEFT($X164,1)="H",SQRT(G164*(IFERROR(INDEX(Calc!$AP$2:$AP$137,MATCH($W164,Calc!$A$2:$A$137,0)),0.5)*Config!$B$5+1-IFERROR(INDEX(Calc!$AP$2:$AP$137,MATCH($W164,Calc!$A$2:$A$137,0)),0.5))),SQRT(G164*Config!$B$5)))</f>
        <v>6.45849114291699</v>
      </c>
      <c r="I164" s="10" t="n">
        <f aca="false">IF(OR(F164="",G164="",N(H164)&lt;=0),"",1-NORMDIST(FLOOR(F164,1)+0.5,G164,H164,TRUE()))</f>
        <v>0.456499209759275</v>
      </c>
      <c r="J164" s="10" t="n">
        <f aca="false">IF(I164="","",NORMDIST(CEILING(F164,1)-0.5,G164,H164,TRUE()))</f>
        <v>0.543500790240725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UNDER</v>
      </c>
      <c r="N164" s="0" t="n">
        <v>32</v>
      </c>
      <c r="O164" s="10" t="n">
        <v>0.2</v>
      </c>
      <c r="P164" s="10" t="n">
        <v>0.4</v>
      </c>
      <c r="Q164" s="10" t="n">
        <v>0.4</v>
      </c>
      <c r="R164" s="9" t="s">
        <v>1397</v>
      </c>
      <c r="S164" s="0" t="n">
        <v>1</v>
      </c>
      <c r="T164" s="0" t="str">
        <f aca="false">INDEX(Calc!$G$2:$G$137,MATCH($W164,Calc!$A$2:$A$137,0))&amp;" / "&amp;INDEX(Calc!$H$2:$H$137,MATCH($W164,Calc!$A$2:$A$137,0))</f>
        <v>Ancient / Dust2</v>
      </c>
      <c r="U164" s="0" t="str">
        <f aca="false">TEXT(INDEX(Calc!$J$2:$J$137,MATCH($W164,Calc!$A$2:$A$137,0)),"0.0")&amp;" / "&amp;TEXT(INDEX(Calc!$K$2:$K$137,MATCH($W164,Calc!$A$2:$A$137,0)),"0.0")</f>
        <v>21.5 / 21.5</v>
      </c>
      <c r="V164" s="0" t="str">
        <f aca="false">IFERROR(INDEX(Calc!$AQ$2:$AQ$137,MATCH($W164,Calc!$A$2:$A$137,0)),"")</f>
        <v/>
      </c>
      <c r="W164" s="9" t="s">
        <v>1489</v>
      </c>
      <c r="X164" s="9" t="s">
        <v>1291</v>
      </c>
      <c r="Y164" s="0" t="str">
        <f aca="false">W164&amp;"|"&amp;X164</f>
        <v>sw5tkvujsl89icm|CS2 · GLS vs PCY|K12</v>
      </c>
      <c r="Z164" s="11" t="n">
        <f aca="false">IFERROR(INDEX(CHOOSE(MATCH($X164,{"K1","K2","K3","K12","K13","H1","H2","H3","H12","H13"},0),Calc!$BA$2:$BA$137,Calc!$BB$2:$BB$137,Calc!$BC$2:$BC$137,Calc!$BD$2:$BD$137,Calc!$BE$2:$BE$137,Calc!$BF$2:$BF$137,Calc!$BG$2:$BG$137,Calc!$BH$2:$BH$137,Calc!$BI$2:$BI$137,Calc!$BJ$2:$BJ$137),MATCH($W164,Calc!$A$2:$A$137,0)),"")</f>
        <v>30.230478733704</v>
      </c>
      <c r="AA164" s="11" t="n">
        <f aca="false">IF(Z164="","",IF(LEFT($X164,1)="H",SQRT(Z164*(IFERROR(INDEX(Calc!$AP$2:$AP$137,MATCH($W164,Calc!$A$2:$A$137,0)),0.5)*Config!$B$5+1-IFERROR(INDEX(Calc!$AP$2:$AP$137,MATCH($W164,Calc!$A$2:$A$137,0)),0.5))),SQRT(Z164*Config!$B$5)))</f>
        <v>6.50558761582577</v>
      </c>
      <c r="AB164" s="10" t="n">
        <f aca="false">IF(OR(F164="",Z164="",N(AA164)&lt;=0),"",1-NORMDIST(FLOOR(F164,1)+0.5,Z164,AA164,TRUE()))</f>
        <v>0.483476868750693</v>
      </c>
      <c r="AC164" s="10" t="n">
        <f aca="false">IF(AB164="","",NORMDIST(CEILING(F164,1)-0.5,Z164,AA164,TRUE()))</f>
        <v>0.516523131249307</v>
      </c>
      <c r="AD164" s="0" t="str">
        <f aca="false">IF(AB164="","",IF(AB164&gt;=0.5+Config!$B$6,"OVER",IF(AC164&gt;=0.5+Config!$B$6,"UNDER","—")))</f>
        <v>—</v>
      </c>
      <c r="AE164" s="13" t="n">
        <f aca="false">IFERROR(Z164/G164,"")</f>
        <v>1.01463753369512</v>
      </c>
    </row>
    <row r="165" customFormat="false" ht="15" hidden="false" customHeight="false" outlineLevel="0" collapsed="false">
      <c r="A165" s="0" t="s">
        <v>1139</v>
      </c>
      <c r="B165" s="0" t="s">
        <v>1222</v>
      </c>
      <c r="C165" s="0" t="s">
        <v>1490</v>
      </c>
      <c r="D165" s="0" t="s">
        <v>1227</v>
      </c>
      <c r="E165" s="0" t="s">
        <v>1286</v>
      </c>
      <c r="F165" s="0" t="n">
        <v>10.5</v>
      </c>
      <c r="G165" s="11" t="n">
        <f aca="false">IFERROR(INDEX(CHOOSE(MATCH($X165,{"K1","K2","K3","K12","K13","H1","H2","H3","H12","H13"},0),Calc!$V$2:$V$137,Calc!$AC$2:$AC$137,Calc!$AJ$2:$AJ$137,Calc!$AL$2:$AL$137,Calc!$AM$2:$AM$137,Calc!$W$2:$W$137,Calc!$AD$2:$AD$137,Calc!$AK$2:$AK$137,Calc!$AN$2:$AN$137,Calc!$AO$2:$AO$137),MATCH($W165,Calc!$A$2:$A$137,0)),"")</f>
        <v>11.0370118569781</v>
      </c>
      <c r="H165" s="11" t="n">
        <f aca="false">IF(G165="","",IF(LEFT($X165,1)="H",SQRT(G165*(IFERROR(INDEX(Calc!$AP$2:$AP$137,MATCH($W165,Calc!$A$2:$A$137,0)),0.5)*Config!$B$5+1-IFERROR(INDEX(Calc!$AP$2:$AP$137,MATCH($W165,Calc!$A$2:$A$137,0)),0.5))),SQRT(G165*Config!$B$5)))</f>
        <v>3.55891303029555</v>
      </c>
      <c r="I165" s="10" t="n">
        <f aca="false">IF(OR(F165="",G165="",N(H165)&lt;=0),"",1-NORMDIST(FLOOR(F165,1)+0.5,G165,H165,TRUE()))</f>
        <v>0.559969583359893</v>
      </c>
      <c r="J165" s="10" t="n">
        <f aca="false">IF(I165="","",NORMDIST(CEILING(F165,1)-0.5,G165,H165,TRUE()))</f>
        <v>0.440030416640107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OVER</v>
      </c>
      <c r="N165" s="0" t="n">
        <v>10.5</v>
      </c>
      <c r="O165" s="10" t="n">
        <v>0.4</v>
      </c>
      <c r="P165" s="10" t="n">
        <v>0.5</v>
      </c>
      <c r="Q165" s="10" t="n">
        <v>0.67</v>
      </c>
      <c r="R165" s="9" t="s">
        <v>1340</v>
      </c>
      <c r="S165" s="0" t="n">
        <v>-2</v>
      </c>
      <c r="T165" s="0" t="str">
        <f aca="false">INDEX(Calc!$G$2:$G$137,MATCH($W165,Calc!$A$2:$A$137,0))&amp;" / "&amp;INDEX(Calc!$H$2:$H$137,MATCH($W165,Calc!$A$2:$A$137,0))</f>
        <v>Ancient / Dust2</v>
      </c>
      <c r="U165" s="0" t="str">
        <f aca="false">TEXT(INDEX(Calc!$J$2:$J$137,MATCH($W165,Calc!$A$2:$A$137,0)),"0.0")&amp;" / "&amp;TEXT(INDEX(Calc!$K$2:$K$137,MATCH($W165,Calc!$A$2:$A$137,0)),"0.0")</f>
        <v>21.5 / 21.5</v>
      </c>
      <c r="V165" s="0" t="str">
        <f aca="false">IFERROR(INDEX(Calc!$AQ$2:$AQ$137,MATCH($W165,Calc!$A$2:$A$137,0)),"")</f>
        <v/>
      </c>
      <c r="W165" s="9" t="s">
        <v>1491</v>
      </c>
      <c r="X165" s="9" t="s">
        <v>1289</v>
      </c>
      <c r="Y165" s="0" t="str">
        <f aca="false">W165&amp;"|"&amp;X165</f>
        <v>e44aeypbtlo8ywj|CS2 · GLS vs PCY|H12</v>
      </c>
      <c r="Z165" s="11" t="n">
        <f aca="false">IFERROR(INDEX(CHOOSE(MATCH($X165,{"K1","K2","K3","K12","K13","H1","H2","H3","H12","H13"},0),Calc!$BA$2:$BA$137,Calc!$BB$2:$BB$137,Calc!$BC$2:$BC$137,Calc!$BD$2:$BD$137,Calc!$BE$2:$BE$137,Calc!$BF$2:$BF$137,Calc!$BG$2:$BG$137,Calc!$BH$2:$BH$137,Calc!$BI$2:$BI$137,Calc!$BJ$2:$BJ$137),MATCH($W165,Calc!$A$2:$A$137,0)),"")</f>
        <v>11.2062001173274</v>
      </c>
      <c r="AA165" s="11" t="n">
        <f aca="false">IF(Z165="","",IF(LEFT($X165,1)="H",SQRT(Z165*(IFERROR(INDEX(Calc!$AP$2:$AP$137,MATCH($W165,Calc!$A$2:$A$137,0)),0.5)*Config!$B$5+1-IFERROR(INDEX(Calc!$AP$2:$AP$137,MATCH($W165,Calc!$A$2:$A$137,0)),0.5))),SQRT(Z165*Config!$B$5)))</f>
        <v>3.58608688433117</v>
      </c>
      <c r="AB165" s="10" t="n">
        <f aca="false">IF(OR(F165="",Z165="",N(AA165)&lt;=0),"",1-NORMDIST(FLOOR(F165,1)+0.5,Z165,AA165,TRUE()))</f>
        <v>0.578057971706272</v>
      </c>
      <c r="AC165" s="10" t="n">
        <f aca="false">IF(AB165="","",NORMDIST(CEILING(F165,1)-0.5,Z165,AA165,TRUE()))</f>
        <v>0.421942028293728</v>
      </c>
      <c r="AD165" s="0" t="str">
        <f aca="false">IF(AB165="","",IF(AB165&gt;=0.5+Config!$B$6,"OVER",IF(AC165&gt;=0.5+Config!$B$6,"UNDER","—")))</f>
        <v>OVER</v>
      </c>
      <c r="AE165" s="13" t="n">
        <f aca="false">IFERROR(Z165/G165,"")</f>
        <v>1.01532917265485</v>
      </c>
    </row>
    <row r="166" customFormat="false" ht="15" hidden="false" customHeight="false" outlineLevel="0" collapsed="false">
      <c r="A166" s="0" t="s">
        <v>1139</v>
      </c>
      <c r="B166" s="0" t="s">
        <v>1222</v>
      </c>
      <c r="C166" s="0" t="s">
        <v>1490</v>
      </c>
      <c r="D166" s="0" t="s">
        <v>1227</v>
      </c>
      <c r="E166" s="0" t="s">
        <v>1290</v>
      </c>
      <c r="F166" s="0" t="n">
        <v>29.5</v>
      </c>
      <c r="G166" s="11" t="n">
        <f aca="false">IFERROR(INDEX(CHOOSE(MATCH($X166,{"K1","K2","K3","K12","K13","H1","H2","H3","H12","H13"},0),Calc!$V$2:$V$137,Calc!$AC$2:$AC$137,Calc!$AJ$2:$AJ$137,Calc!$AL$2:$AL$137,Calc!$AM$2:$AM$137,Calc!$W$2:$W$137,Calc!$AD$2:$AD$137,Calc!$AK$2:$AK$137,Calc!$AN$2:$AN$137,Calc!$AO$2:$AO$137),MATCH($W166,Calc!$A$2:$A$137,0)),"")</f>
        <v>29.9145098039216</v>
      </c>
      <c r="H166" s="11" t="n">
        <f aca="false">IF(G166="","",IF(LEFT($X166,1)="H",SQRT(G166*(IFERROR(INDEX(Calc!$AP$2:$AP$137,MATCH($W166,Calc!$A$2:$A$137,0)),0.5)*Config!$B$5+1-IFERROR(INDEX(Calc!$AP$2:$AP$137,MATCH($W166,Calc!$A$2:$A$137,0)),0.5))),SQRT(G166*Config!$B$5)))</f>
        <v>6.47150011399909</v>
      </c>
      <c r="I166" s="10" t="n">
        <f aca="false">IF(OR(F166="",G166="",N(H166)&lt;=0),"",1-NORMDIST(FLOOR(F166,1)+0.5,G166,H166,TRUE()))</f>
        <v>0.525535421698639</v>
      </c>
      <c r="J166" s="10" t="n">
        <f aca="false">IF(I166="","",NORMDIST(CEILING(F166,1)-0.5,G166,H166,TRUE()))</f>
        <v>0.474464578301361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—</v>
      </c>
      <c r="N166" s="0" t="n">
        <v>27.6</v>
      </c>
      <c r="O166" s="10" t="n">
        <v>0.4</v>
      </c>
      <c r="P166" s="10" t="n">
        <v>0.4</v>
      </c>
      <c r="Q166" s="10" t="n">
        <v>0.53</v>
      </c>
      <c r="R166" s="9" t="s">
        <v>1340</v>
      </c>
      <c r="S166" s="0" t="n">
        <v>1</v>
      </c>
      <c r="T166" s="0" t="str">
        <f aca="false">INDEX(Calc!$G$2:$G$137,MATCH($W166,Calc!$A$2:$A$137,0))&amp;" / "&amp;INDEX(Calc!$H$2:$H$137,MATCH($W166,Calc!$A$2:$A$137,0))</f>
        <v>Ancient / Dust2</v>
      </c>
      <c r="U166" s="0" t="str">
        <f aca="false">TEXT(INDEX(Calc!$J$2:$J$137,MATCH($W166,Calc!$A$2:$A$137,0)),"0.0")&amp;" / "&amp;TEXT(INDEX(Calc!$K$2:$K$137,MATCH($W166,Calc!$A$2:$A$137,0)),"0.0")</f>
        <v>21.5 / 21.5</v>
      </c>
      <c r="V166" s="0" t="str">
        <f aca="false">IFERROR(INDEX(Calc!$AQ$2:$AQ$137,MATCH($W166,Calc!$A$2:$A$137,0)),"")</f>
        <v/>
      </c>
      <c r="W166" s="9" t="s">
        <v>1491</v>
      </c>
      <c r="X166" s="9" t="s">
        <v>1291</v>
      </c>
      <c r="Y166" s="0" t="str">
        <f aca="false">W166&amp;"|"&amp;X166</f>
        <v>e44aeypbtlo8ywj|CS2 · GLS vs PCY|K12</v>
      </c>
      <c r="Z166" s="11" t="n">
        <f aca="false">IFERROR(INDEX(CHOOSE(MATCH($X166,{"K1","K2","K3","K12","K13","H1","H2","H3","H12","H13"},0),Calc!$BA$2:$BA$137,Calc!$BB$2:$BB$137,Calc!$BC$2:$BC$137,Calc!$BD$2:$BD$137,Calc!$BE$2:$BE$137,Calc!$BF$2:$BF$137,Calc!$BG$2:$BG$137,Calc!$BH$2:$BH$137,Calc!$BI$2:$BI$137,Calc!$BJ$2:$BJ$137),MATCH($W166,Calc!$A$2:$A$137,0)),"")</f>
        <v>30.3444041983996</v>
      </c>
      <c r="AA166" s="11" t="n">
        <f aca="false">IF(Z166="","",IF(LEFT($X166,1)="H",SQRT(Z166*(IFERROR(INDEX(Calc!$AP$2:$AP$137,MATCH($W166,Calc!$A$2:$A$137,0)),0.5)*Config!$B$5+1-IFERROR(INDEX(Calc!$AP$2:$AP$137,MATCH($W166,Calc!$A$2:$A$137,0)),0.5))),SQRT(Z166*Config!$B$5)))</f>
        <v>6.51783444694321</v>
      </c>
      <c r="AB166" s="10" t="n">
        <f aca="false">IF(OR(F166="",Z166="",N(AA166)&lt;=0),"",1-NORMDIST(FLOOR(F166,1)+0.5,Z166,AA166,TRUE()))</f>
        <v>0.551539905814828</v>
      </c>
      <c r="AC166" s="10" t="n">
        <f aca="false">IF(AB166="","",NORMDIST(CEILING(F166,1)-0.5,Z166,AA166,TRUE()))</f>
        <v>0.448460094185172</v>
      </c>
      <c r="AD166" s="0" t="str">
        <f aca="false">IF(AB166="","",IF(AB166&gt;=0.5+Config!$B$6,"OVER",IF(AC166&gt;=0.5+Config!$B$6,"UNDER","—")))</f>
        <v>OVER</v>
      </c>
      <c r="AE166" s="13" t="n">
        <f aca="false">IFERROR(Z166/G166,"")</f>
        <v>1.01437076513357</v>
      </c>
    </row>
    <row r="167" customFormat="false" ht="15" hidden="false" customHeight="false" outlineLevel="0" collapsed="false">
      <c r="A167" s="0" t="s">
        <v>1139</v>
      </c>
      <c r="B167" s="0" t="s">
        <v>1222</v>
      </c>
      <c r="C167" s="0" t="s">
        <v>1492</v>
      </c>
      <c r="D167" s="0" t="s">
        <v>1227</v>
      </c>
      <c r="E167" s="0" t="s">
        <v>1286</v>
      </c>
      <c r="F167" s="0" t="n">
        <v>16.5</v>
      </c>
      <c r="G167" s="11" t="n">
        <f aca="false">IFERROR(INDEX(CHOOSE(MATCH($X167,{"K1","K2","K3","K12","K13","H1","H2","H3","H12","H13"},0),Calc!$V$2:$V$137,Calc!$AC$2:$AC$137,Calc!$AJ$2:$AJ$137,Calc!$AL$2:$AL$137,Calc!$AM$2:$AM$137,Calc!$W$2:$W$137,Calc!$AD$2:$AD$137,Calc!$AK$2:$AK$137,Calc!$AN$2:$AN$137,Calc!$AO$2:$AO$137),MATCH($W167,Calc!$A$2:$A$137,0)),"")</f>
        <v>15.945459604479</v>
      </c>
      <c r="H167" s="11" t="n">
        <f aca="false">IF(G167="","",IF(LEFT($X167,1)="H",SQRT(G167*(IFERROR(INDEX(Calc!$AP$2:$AP$137,MATCH($W167,Calc!$A$2:$A$137,0)),0.5)*Config!$B$5+1-IFERROR(INDEX(Calc!$AP$2:$AP$137,MATCH($W167,Calc!$A$2:$A$137,0)),0.5))),SQRT(G167*Config!$B$5)))</f>
        <v>4.37509400374007</v>
      </c>
      <c r="I167" s="10" t="n">
        <f aca="false">IF(OR(F167="",G167="",N(H167)&lt;=0),"",1-NORMDIST(FLOOR(F167,1)+0.5,G167,H167,TRUE()))</f>
        <v>0.449569385843292</v>
      </c>
      <c r="J167" s="10" t="n">
        <f aca="false">IF(I167="","",NORMDIST(CEILING(F167,1)-0.5,G167,H167,TRUE()))</f>
        <v>0.550430614156708</v>
      </c>
      <c r="K167" s="10" t="n">
        <f aca="false">IF(I167="","",MAX(0,1-I167-J167))</f>
        <v>0</v>
      </c>
      <c r="L167" s="0" t="str">
        <f aca="false">IF(I167="","",IF(I167&gt;=0.5+Config!$B$6,"OVER",IF(J167&gt;=0.5+Config!$B$6,"UNDER","—")))</f>
        <v>UNDER</v>
      </c>
      <c r="N167" s="0" t="n">
        <v>15</v>
      </c>
      <c r="O167" s="10" t="n">
        <v>0.2</v>
      </c>
      <c r="P167" s="10" t="n">
        <v>0.4</v>
      </c>
      <c r="Q167" s="10" t="n">
        <v>0.53</v>
      </c>
      <c r="R167" s="9" t="s">
        <v>1389</v>
      </c>
      <c r="S167" s="0" t="n">
        <v>1</v>
      </c>
      <c r="T167" s="0" t="str">
        <f aca="false">INDEX(Calc!$G$2:$G$137,MATCH($W167,Calc!$A$2:$A$137,0))&amp;" / "&amp;INDEX(Calc!$H$2:$H$137,MATCH($W167,Calc!$A$2:$A$137,0))</f>
        <v>Ancient / Dust2</v>
      </c>
      <c r="U167" s="0" t="str">
        <f aca="false">TEXT(INDEX(Calc!$J$2:$J$137,MATCH($W167,Calc!$A$2:$A$137,0)),"0.0")&amp;" / "&amp;TEXT(INDEX(Calc!$K$2:$K$137,MATCH($W167,Calc!$A$2:$A$137,0)),"0.0")</f>
        <v>21.5 / 21.5</v>
      </c>
      <c r="V167" s="0" t="str">
        <f aca="false">IFERROR(INDEX(Calc!$AQ$2:$AQ$137,MATCH($W167,Calc!$A$2:$A$137,0)),"")</f>
        <v/>
      </c>
      <c r="W167" s="9" t="s">
        <v>1493</v>
      </c>
      <c r="X167" s="9" t="s">
        <v>1289</v>
      </c>
      <c r="Y167" s="0" t="str">
        <f aca="false">W167&amp;"|"&amp;X167</f>
        <v>xm025o9k2to8y1j|CS2 · GLS vs PCY|H12</v>
      </c>
      <c r="Z167" s="11" t="n">
        <f aca="false">IFERROR(INDEX(CHOOSE(MATCH($X167,{"K1","K2","K3","K12","K13","H1","H2","H3","H12","H13"},0),Calc!$BA$2:$BA$137,Calc!$BB$2:$BB$137,Calc!$BC$2:$BC$137,Calc!$BD$2:$BD$137,Calc!$BE$2:$BE$137,Calc!$BF$2:$BF$137,Calc!$BG$2:$BG$137,Calc!$BH$2:$BH$137,Calc!$BI$2:$BI$137,Calc!$BJ$2:$BJ$137),MATCH($W167,Calc!$A$2:$A$137,0)),"")</f>
        <v>16.1831053274009</v>
      </c>
      <c r="AA167" s="11" t="n">
        <f aca="false">IF(Z167="","",IF(LEFT($X167,1)="H",SQRT(Z167*(IFERROR(INDEX(Calc!$AP$2:$AP$137,MATCH($W167,Calc!$A$2:$A$137,0)),0.5)*Config!$B$5+1-IFERROR(INDEX(Calc!$AP$2:$AP$137,MATCH($W167,Calc!$A$2:$A$137,0)),0.5))),SQRT(Z167*Config!$B$5)))</f>
        <v>4.40757588533146</v>
      </c>
      <c r="AB167" s="10" t="n">
        <f aca="false">IF(OR(F167="",Z167="",N(AA167)&lt;=0),"",1-NORMDIST(FLOOR(F167,1)+0.5,Z167,AA167,TRUE()))</f>
        <v>0.471341650847155</v>
      </c>
      <c r="AC167" s="10" t="n">
        <f aca="false">IF(AB167="","",NORMDIST(CEILING(F167,1)-0.5,Z167,AA167,TRUE()))</f>
        <v>0.528658349152845</v>
      </c>
      <c r="AD167" s="0" t="str">
        <f aca="false">IF(AB167="","",IF(AB167&gt;=0.5+Config!$B$6,"OVER",IF(AC167&gt;=0.5+Config!$B$6,"UNDER","—")))</f>
        <v>—</v>
      </c>
      <c r="AE167" s="13" t="n">
        <f aca="false">IFERROR(Z167/G167,"")</f>
        <v>1.01490366090515</v>
      </c>
    </row>
    <row r="168" customFormat="false" ht="15" hidden="false" customHeight="false" outlineLevel="0" collapsed="false">
      <c r="A168" s="0" t="s">
        <v>1139</v>
      </c>
      <c r="B168" s="0" t="s">
        <v>1222</v>
      </c>
      <c r="C168" s="0" t="s">
        <v>1492</v>
      </c>
      <c r="D168" s="0" t="s">
        <v>1227</v>
      </c>
      <c r="E168" s="0" t="s">
        <v>1290</v>
      </c>
      <c r="F168" s="0" t="n">
        <v>31.5</v>
      </c>
      <c r="G168" s="11" t="n">
        <f aca="false">IFERROR(INDEX(CHOOSE(MATCH($X168,{"K1","K2","K3","K12","K13","H1","H2","H3","H12","H13"},0),Calc!$V$2:$V$137,Calc!$AC$2:$AC$137,Calc!$AJ$2:$AJ$137,Calc!$AL$2:$AL$137,Calc!$AM$2:$AM$137,Calc!$W$2:$W$137,Calc!$AD$2:$AD$137,Calc!$AK$2:$AK$137,Calc!$AN$2:$AN$137,Calc!$AO$2:$AO$137),MATCH($W168,Calc!$A$2:$A$137,0)),"")</f>
        <v>31.8221078431373</v>
      </c>
      <c r="H168" s="11" t="n">
        <f aca="false">IF(G168="","",IF(LEFT($X168,1)="H",SQRT(G168*(IFERROR(INDEX(Calc!$AP$2:$AP$137,MATCH($W168,Calc!$A$2:$A$137,0)),0.5)*Config!$B$5+1-IFERROR(INDEX(Calc!$AP$2:$AP$137,MATCH($W168,Calc!$A$2:$A$137,0)),0.5))),SQRT(G168*Config!$B$5)))</f>
        <v>6.67464987698922</v>
      </c>
      <c r="I168" s="10" t="n">
        <f aca="false">IF(OR(F168="",G168="",N(H168)&lt;=0),"",1-NORMDIST(FLOOR(F168,1)+0.5,G168,H168,TRUE()))</f>
        <v>0.519244841248766</v>
      </c>
      <c r="J168" s="10" t="n">
        <f aca="false">IF(I168="","",NORMDIST(CEILING(F168,1)-0.5,G168,H168,TRUE()))</f>
        <v>0.480755158751234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—</v>
      </c>
      <c r="N168" s="0" t="n">
        <v>28.2</v>
      </c>
      <c r="O168" s="10" t="n">
        <v>0.2</v>
      </c>
      <c r="P168" s="10" t="n">
        <v>0.3</v>
      </c>
      <c r="Q168" s="10" t="n">
        <v>0.47</v>
      </c>
      <c r="R168" s="9" t="s">
        <v>1494</v>
      </c>
      <c r="S168" s="0" t="n">
        <v>1</v>
      </c>
      <c r="T168" s="0" t="str">
        <f aca="false">INDEX(Calc!$G$2:$G$137,MATCH($W168,Calc!$A$2:$A$137,0))&amp;" / "&amp;INDEX(Calc!$H$2:$H$137,MATCH($W168,Calc!$A$2:$A$137,0))</f>
        <v>Ancient / Dust2</v>
      </c>
      <c r="U168" s="0" t="str">
        <f aca="false">TEXT(INDEX(Calc!$J$2:$J$137,MATCH($W168,Calc!$A$2:$A$137,0)),"0.0")&amp;" / "&amp;TEXT(INDEX(Calc!$K$2:$K$137,MATCH($W168,Calc!$A$2:$A$137,0)),"0.0")</f>
        <v>21.5 / 21.5</v>
      </c>
      <c r="V168" s="0" t="str">
        <f aca="false">IFERROR(INDEX(Calc!$AQ$2:$AQ$137,MATCH($W168,Calc!$A$2:$A$137,0)),"")</f>
        <v/>
      </c>
      <c r="W168" s="9" t="s">
        <v>1493</v>
      </c>
      <c r="X168" s="9" t="s">
        <v>1291</v>
      </c>
      <c r="Y168" s="0" t="str">
        <f aca="false">W168&amp;"|"&amp;X168</f>
        <v>xm025o9k2to8y1j|CS2 · GLS vs PCY|K12</v>
      </c>
      <c r="Z168" s="11" t="n">
        <f aca="false">IFERROR(INDEX(CHOOSE(MATCH($X168,{"K1","K2","K3","K12","K13","H1","H2","H3","H12","H13"},0),Calc!$BA$2:$BA$137,Calc!$BB$2:$BB$137,Calc!$BC$2:$BC$137,Calc!$BD$2:$BD$137,Calc!$BE$2:$BE$137,Calc!$BF$2:$BF$137,Calc!$BG$2:$BG$137,Calc!$BH$2:$BH$137,Calc!$BI$2:$BI$137,Calc!$BJ$2:$BJ$137),MATCH($W168,Calc!$A$2:$A$137,0)),"")</f>
        <v>32.2974347745081</v>
      </c>
      <c r="AA168" s="11" t="n">
        <f aca="false">IF(Z168="","",IF(LEFT($X168,1)="H",SQRT(Z168*(IFERROR(INDEX(Calc!$AP$2:$AP$137,MATCH($W168,Calc!$A$2:$A$137,0)),0.5)*Config!$B$5+1-IFERROR(INDEX(Calc!$AP$2:$AP$137,MATCH($W168,Calc!$A$2:$A$137,0)),0.5))),SQRT(Z168*Config!$B$5)))</f>
        <v>6.72431473715437</v>
      </c>
      <c r="AB168" s="10" t="n">
        <f aca="false">IF(OR(F168="",Z168="",N(AA168)&lt;=0),"",1-NORMDIST(FLOOR(F168,1)+0.5,Z168,AA168,TRUE()))</f>
        <v>0.547199805106923</v>
      </c>
      <c r="AC168" s="10" t="n">
        <f aca="false">IF(AB168="","",NORMDIST(CEILING(F168,1)-0.5,Z168,AA168,TRUE()))</f>
        <v>0.452800194893077</v>
      </c>
      <c r="AD168" s="0" t="str">
        <f aca="false">IF(AB168="","",IF(AB168&gt;=0.5+Config!$B$6,"OVER",IF(AC168&gt;=0.5+Config!$B$6,"UNDER","—")))</f>
        <v>OVER</v>
      </c>
      <c r="AE168" s="13" t="n">
        <f aca="false">IFERROR(Z168/G168,"")</f>
        <v>1.01493700334729</v>
      </c>
    </row>
    <row r="169" customFormat="false" ht="15" hidden="false" customHeight="false" outlineLevel="0" collapsed="false">
      <c r="A169" s="0" t="s">
        <v>1139</v>
      </c>
      <c r="B169" s="0" t="s">
        <v>1222</v>
      </c>
      <c r="C169" s="0" t="s">
        <v>1495</v>
      </c>
      <c r="D169" s="0" t="s">
        <v>1227</v>
      </c>
      <c r="E169" s="0" t="s">
        <v>1286</v>
      </c>
      <c r="F169" s="0" t="n">
        <v>12.5</v>
      </c>
      <c r="G169" s="11" t="n">
        <f aca="false">IFERROR(INDEX(CHOOSE(MATCH($X169,{"K1","K2","K3","K12","K13","H1","H2","H3","H12","H13"},0),Calc!$V$2:$V$137,Calc!$AC$2:$AC$137,Calc!$AJ$2:$AJ$137,Calc!$AL$2:$AL$137,Calc!$AM$2:$AM$137,Calc!$W$2:$W$137,Calc!$AD$2:$AD$137,Calc!$AK$2:$AK$137,Calc!$AN$2:$AN$137,Calc!$AO$2:$AO$137),MATCH($W169,Calc!$A$2:$A$137,0)),"")</f>
        <v>11.3142396330738</v>
      </c>
      <c r="H169" s="11" t="n">
        <f aca="false">IF(G169="","",IF(LEFT($X169,1)="H",SQRT(G169*(IFERROR(INDEX(Calc!$AP$2:$AP$137,MATCH($W169,Calc!$A$2:$A$137,0)),0.5)*Config!$B$5+1-IFERROR(INDEX(Calc!$AP$2:$AP$137,MATCH($W169,Calc!$A$2:$A$137,0)),0.5))),SQRT(G169*Config!$B$5)))</f>
        <v>3.68251898338305</v>
      </c>
      <c r="I169" s="10" t="n">
        <f aca="false">IF(OR(F169="",G169="",N(H169)&lt;=0),"",1-NORMDIST(FLOOR(F169,1)+0.5,G169,H169,TRUE()))</f>
        <v>0.37372745257272</v>
      </c>
      <c r="J169" s="10" t="n">
        <f aca="false">IF(I169="","",NORMDIST(CEILING(F169,1)-0.5,G169,H169,TRUE()))</f>
        <v>0.62627254742728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UNDER</v>
      </c>
      <c r="N169" s="0" t="n">
        <v>13.8</v>
      </c>
      <c r="O169" s="10" t="n">
        <v>0.8</v>
      </c>
      <c r="P169" s="10" t="n">
        <v>0.7</v>
      </c>
      <c r="Q169" s="10" t="n">
        <v>0.6</v>
      </c>
      <c r="R169" s="9" t="s">
        <v>1336</v>
      </c>
      <c r="S169" s="0" t="n">
        <v>3</v>
      </c>
      <c r="T169" s="0" t="str">
        <f aca="false">INDEX(Calc!$G$2:$G$137,MATCH($W169,Calc!$A$2:$A$137,0))&amp;" / "&amp;INDEX(Calc!$H$2:$H$137,MATCH($W169,Calc!$A$2:$A$137,0))</f>
        <v>Ancient / Dust2</v>
      </c>
      <c r="U169" s="0" t="str">
        <f aca="false">TEXT(INDEX(Calc!$J$2:$J$137,MATCH($W169,Calc!$A$2:$A$137,0)),"0.0")&amp;" / "&amp;TEXT(INDEX(Calc!$K$2:$K$137,MATCH($W169,Calc!$A$2:$A$137,0)),"0.0")</f>
        <v>21.5 / 21.5</v>
      </c>
      <c r="V169" s="0" t="str">
        <f aca="false">IFERROR(INDEX(Calc!$AQ$2:$AQ$137,MATCH($W169,Calc!$A$2:$A$137,0)),"")</f>
        <v/>
      </c>
      <c r="W169" s="9" t="s">
        <v>1496</v>
      </c>
      <c r="X169" s="9" t="s">
        <v>1289</v>
      </c>
      <c r="Y169" s="0" t="str">
        <f aca="false">W169&amp;"|"&amp;X169</f>
        <v>5u9kxbc1judur85|CS2 · GLS vs PCY|H12</v>
      </c>
      <c r="Z169" s="11" t="n">
        <f aca="false">IFERROR(INDEX(CHOOSE(MATCH($X169,{"K1","K2","K3","K12","K13","H1","H2","H3","H12","H13"},0),Calc!$BA$2:$BA$137,Calc!$BB$2:$BB$137,Calc!$BC$2:$BC$137,Calc!$BD$2:$BD$137,Calc!$BE$2:$BE$137,Calc!$BF$2:$BF$137,Calc!$BG$2:$BG$137,Calc!$BH$2:$BH$137,Calc!$BI$2:$BI$137,Calc!$BJ$2:$BJ$137),MATCH($W169,Calc!$A$2:$A$137,0)),"")</f>
        <v>11.4838121961293</v>
      </c>
      <c r="AA169" s="11" t="n">
        <f aca="false">IF(Z169="","",IF(LEFT($X169,1)="H",SQRT(Z169*(IFERROR(INDEX(Calc!$AP$2:$AP$137,MATCH($W169,Calc!$A$2:$A$137,0)),0.5)*Config!$B$5+1-IFERROR(INDEX(Calc!$AP$2:$AP$137,MATCH($W169,Calc!$A$2:$A$137,0)),0.5))),SQRT(Z169*Config!$B$5)))</f>
        <v>3.71001229342914</v>
      </c>
      <c r="AB169" s="10" t="n">
        <f aca="false">IF(OR(F169="",Z169="",N(AA169)&lt;=0),"",1-NORMDIST(FLOOR(F169,1)+0.5,Z169,AA169,TRUE()))</f>
        <v>0.392079136977452</v>
      </c>
      <c r="AC169" s="10" t="n">
        <f aca="false">IF(AB169="","",NORMDIST(CEILING(F169,1)-0.5,Z169,AA169,TRUE()))</f>
        <v>0.607920863022548</v>
      </c>
      <c r="AD169" s="0" t="str">
        <f aca="false">IF(AB169="","",IF(AB169&gt;=0.5+Config!$B$6,"OVER",IF(AC169&gt;=0.5+Config!$B$6,"UNDER","—")))</f>
        <v>UNDER</v>
      </c>
      <c r="AE169" s="13" t="n">
        <f aca="false">IFERROR(Z169/G169,"")</f>
        <v>1.01498753504917</v>
      </c>
    </row>
    <row r="170" customFormat="false" ht="15" hidden="false" customHeight="false" outlineLevel="0" collapsed="false">
      <c r="A170" s="0" t="s">
        <v>1139</v>
      </c>
      <c r="B170" s="0" t="s">
        <v>1222</v>
      </c>
      <c r="C170" s="0" t="s">
        <v>1495</v>
      </c>
      <c r="D170" s="0" t="s">
        <v>1227</v>
      </c>
      <c r="E170" s="0" t="s">
        <v>1290</v>
      </c>
      <c r="F170" s="0" t="n">
        <v>24.5</v>
      </c>
      <c r="G170" s="11" t="n">
        <f aca="false">IFERROR(INDEX(CHOOSE(MATCH($X170,{"K1","K2","K3","K12","K13","H1","H2","H3","H12","H13"},0),Calc!$V$2:$V$137,Calc!$AC$2:$AC$137,Calc!$AJ$2:$AJ$137,Calc!$AL$2:$AL$137,Calc!$AM$2:$AM$137,Calc!$W$2:$W$137,Calc!$AD$2:$AD$137,Calc!$AK$2:$AK$137,Calc!$AN$2:$AN$137,Calc!$AO$2:$AO$137),MATCH($W170,Calc!$A$2:$A$137,0)),"")</f>
        <v>22.7910539215686</v>
      </c>
      <c r="H170" s="11" t="n">
        <f aca="false">IF(G170="","",IF(LEFT($X170,1)="H",SQRT(G170*(IFERROR(INDEX(Calc!$AP$2:$AP$137,MATCH($W170,Calc!$A$2:$A$137,0)),0.5)*Config!$B$5+1-IFERROR(INDEX(Calc!$AP$2:$AP$137,MATCH($W170,Calc!$A$2:$A$137,0)),0.5))),SQRT(G170*Config!$B$5)))</f>
        <v>5.64867024087936</v>
      </c>
      <c r="I170" s="10" t="n">
        <f aca="false">IF(OR(F170="",G170="",N(H170)&lt;=0),"",1-NORMDIST(FLOOR(F170,1)+0.5,G170,H170,TRUE()))</f>
        <v>0.381120399300222</v>
      </c>
      <c r="J170" s="10" t="n">
        <f aca="false">IF(I170="","",NORMDIST(CEILING(F170,1)-0.5,G170,H170,TRUE()))</f>
        <v>0.618879600699778</v>
      </c>
      <c r="K170" s="10" t="n">
        <f aca="false">IF(I170="","",MAX(0,1-I170-J170))</f>
        <v>0</v>
      </c>
      <c r="L170" s="0" t="str">
        <f aca="false">IF(I170="","",IF(I170&gt;=0.5+Config!$B$6,"OVER",IF(J170&gt;=0.5+Config!$B$6,"UNDER","—")))</f>
        <v>UNDER</v>
      </c>
      <c r="N170" s="0" t="n">
        <v>25.1</v>
      </c>
      <c r="O170" s="10" t="n">
        <v>0.8</v>
      </c>
      <c r="P170" s="10" t="n">
        <v>0.6</v>
      </c>
      <c r="Q170" s="10" t="n">
        <v>0.53</v>
      </c>
      <c r="R170" s="9" t="s">
        <v>1336</v>
      </c>
      <c r="S170" s="0" t="n">
        <v>3</v>
      </c>
      <c r="T170" s="0" t="str">
        <f aca="false">INDEX(Calc!$G$2:$G$137,MATCH($W170,Calc!$A$2:$A$137,0))&amp;" / "&amp;INDEX(Calc!$H$2:$H$137,MATCH($W170,Calc!$A$2:$A$137,0))</f>
        <v>Ancient / Dust2</v>
      </c>
      <c r="U170" s="0" t="str">
        <f aca="false">TEXT(INDEX(Calc!$J$2:$J$137,MATCH($W170,Calc!$A$2:$A$137,0)),"0.0")&amp;" / "&amp;TEXT(INDEX(Calc!$K$2:$K$137,MATCH($W170,Calc!$A$2:$A$137,0)),"0.0")</f>
        <v>21.5 / 21.5</v>
      </c>
      <c r="V170" s="0" t="str">
        <f aca="false">IFERROR(INDEX(Calc!$AQ$2:$AQ$137,MATCH($W170,Calc!$A$2:$A$137,0)),"")</f>
        <v/>
      </c>
      <c r="W170" s="9" t="s">
        <v>1496</v>
      </c>
      <c r="X170" s="9" t="s">
        <v>1291</v>
      </c>
      <c r="Y170" s="0" t="str">
        <f aca="false">W170&amp;"|"&amp;X170</f>
        <v>5u9kxbc1judur85|CS2 · GLS vs PCY|K12</v>
      </c>
      <c r="Z170" s="11" t="n">
        <f aca="false">IFERROR(INDEX(CHOOSE(MATCH($X170,{"K1","K2","K3","K12","K13","H1","H2","H3","H12","H13"},0),Calc!$BA$2:$BA$137,Calc!$BB$2:$BB$137,Calc!$BC$2:$BC$137,Calc!$BD$2:$BD$137,Calc!$BE$2:$BE$137,Calc!$BF$2:$BF$137,Calc!$BG$2:$BG$137,Calc!$BH$2:$BH$137,Calc!$BI$2:$BI$137,Calc!$BJ$2:$BJ$137),MATCH($W170,Calc!$A$2:$A$137,0)),"")</f>
        <v>23.1236984094336</v>
      </c>
      <c r="AA170" s="11" t="n">
        <f aca="false">IF(Z170="","",IF(LEFT($X170,1)="H",SQRT(Z170*(IFERROR(INDEX(Calc!$AP$2:$AP$137,MATCH($W170,Calc!$A$2:$A$137,0)),0.5)*Config!$B$5+1-IFERROR(INDEX(Calc!$AP$2:$AP$137,MATCH($W170,Calc!$A$2:$A$137,0)),0.5))),SQRT(Z170*Config!$B$5)))</f>
        <v>5.68974320801976</v>
      </c>
      <c r="AB170" s="10" t="n">
        <f aca="false">IF(OR(F170="",Z170="",N(AA170)&lt;=0),"",1-NORMDIST(FLOOR(F170,1)+0.5,Z170,AA170,TRUE()))</f>
        <v>0.4044320453491</v>
      </c>
      <c r="AC170" s="10" t="n">
        <f aca="false">IF(AB170="","",NORMDIST(CEILING(F170,1)-0.5,Z170,AA170,TRUE()))</f>
        <v>0.595567954650901</v>
      </c>
      <c r="AD170" s="0" t="str">
        <f aca="false">IF(AB170="","",IF(AB170&gt;=0.5+Config!$B$6,"OVER",IF(AC170&gt;=0.5+Config!$B$6,"UNDER","—")))</f>
        <v>UNDER</v>
      </c>
      <c r="AE170" s="13" t="n">
        <f aca="false">IFERROR(Z170/G170,"")</f>
        <v>1.01459539734361</v>
      </c>
    </row>
    <row r="171" customFormat="false" ht="15" hidden="false" customHeight="false" outlineLevel="0" collapsed="false">
      <c r="A171" s="0" t="s">
        <v>1139</v>
      </c>
      <c r="B171" s="0" t="s">
        <v>1222</v>
      </c>
      <c r="C171" s="0" t="s">
        <v>1497</v>
      </c>
      <c r="D171" s="0" t="s">
        <v>1227</v>
      </c>
      <c r="E171" s="0" t="s">
        <v>1286</v>
      </c>
      <c r="F171" s="0" t="n">
        <v>15.5</v>
      </c>
      <c r="G171" s="11" t="n">
        <f aca="false">IFERROR(INDEX(CHOOSE(MATCH($X171,{"K1","K2","K3","K12","K13","H1","H2","H3","H12","H13"},0),Calc!$V$2:$V$137,Calc!$AC$2:$AC$137,Calc!$AJ$2:$AJ$137,Calc!$AL$2:$AL$137,Calc!$AM$2:$AM$137,Calc!$W$2:$W$137,Calc!$AD$2:$AD$137,Calc!$AK$2:$AK$137,Calc!$AN$2:$AN$137,Calc!$AO$2:$AO$137),MATCH($W171,Calc!$A$2:$A$137,0)),"")</f>
        <v>13.7522394485294</v>
      </c>
      <c r="H171" s="11" t="n">
        <f aca="false">IF(G171="","",IF(LEFT($X171,1)="H",SQRT(G171*(IFERROR(INDEX(Calc!$AP$2:$AP$137,MATCH($W171,Calc!$A$2:$A$137,0)),0.5)*Config!$B$5+1-IFERROR(INDEX(Calc!$AP$2:$AP$137,MATCH($W171,Calc!$A$2:$A$137,0)),0.5))),SQRT(G171*Config!$B$5)))</f>
        <v>4.05044543836022</v>
      </c>
      <c r="I171" s="10" t="n">
        <f aca="false">IF(OR(F171="",G171="",N(H171)&lt;=0),"",1-NORMDIST(FLOOR(F171,1)+0.5,G171,H171,TRUE()))</f>
        <v>0.333053023530609</v>
      </c>
      <c r="J171" s="10" t="n">
        <f aca="false">IF(I171="","",NORMDIST(CEILING(F171,1)-0.5,G171,H171,TRUE()))</f>
        <v>0.666946976469391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UNDER</v>
      </c>
      <c r="N171" s="0" t="n">
        <v>12.6</v>
      </c>
      <c r="O171" s="10" t="n">
        <v>0.2</v>
      </c>
      <c r="P171" s="10" t="n">
        <v>0.2</v>
      </c>
      <c r="Q171" s="10" t="n">
        <v>0.27</v>
      </c>
      <c r="R171" s="9" t="s">
        <v>1395</v>
      </c>
      <c r="S171" s="0" t="n">
        <v>1</v>
      </c>
      <c r="T171" s="0" t="str">
        <f aca="false">INDEX(Calc!$G$2:$G$137,MATCH($W171,Calc!$A$2:$A$137,0))&amp;" / "&amp;INDEX(Calc!$H$2:$H$137,MATCH($W171,Calc!$A$2:$A$137,0))</f>
        <v>Ancient / Dust2</v>
      </c>
      <c r="U171" s="0" t="str">
        <f aca="false">TEXT(INDEX(Calc!$J$2:$J$137,MATCH($W171,Calc!$A$2:$A$137,0)),"0.0")&amp;" / "&amp;TEXT(INDEX(Calc!$K$2:$K$137,MATCH($W171,Calc!$A$2:$A$137,0)),"0.0")</f>
        <v>21.5 / 21.5</v>
      </c>
      <c r="V171" s="0" t="str">
        <f aca="false">IFERROR(INDEX(Calc!$AQ$2:$AQ$137,MATCH($W171,Calc!$A$2:$A$137,0)),"")</f>
        <v/>
      </c>
      <c r="W171" s="9" t="s">
        <v>1498</v>
      </c>
      <c r="X171" s="9" t="s">
        <v>1289</v>
      </c>
      <c r="Y171" s="0" t="str">
        <f aca="false">W171&amp;"|"&amp;X171</f>
        <v>r7wsfbp8t29ubnd|CS2 · GLS vs PCY|H12</v>
      </c>
      <c r="Z171" s="11" t="n">
        <f aca="false">IFERROR(INDEX(CHOOSE(MATCH($X171,{"K1","K2","K3","K12","K13","H1","H2","H3","H12","H13"},0),Calc!$BA$2:$BA$137,Calc!$BB$2:$BB$137,Calc!$BC$2:$BC$137,Calc!$BD$2:$BD$137,Calc!$BE$2:$BE$137,Calc!$BF$2:$BF$137,Calc!$BG$2:$BG$137,Calc!$BH$2:$BH$137,Calc!$BI$2:$BI$137,Calc!$BJ$2:$BJ$137),MATCH($W171,Calc!$A$2:$A$137,0)),"")</f>
        <v>13.9510182100967</v>
      </c>
      <c r="AA171" s="11" t="n">
        <f aca="false">IF(Z171="","",IF(LEFT($X171,1)="H",SQRT(Z171*(IFERROR(INDEX(Calc!$AP$2:$AP$137,MATCH($W171,Calc!$A$2:$A$137,0)),0.5)*Config!$B$5+1-IFERROR(INDEX(Calc!$AP$2:$AP$137,MATCH($W171,Calc!$A$2:$A$137,0)),0.5))),SQRT(Z171*Config!$B$5)))</f>
        <v>4.0796135578659</v>
      </c>
      <c r="AB171" s="10" t="n">
        <f aca="false">IF(OR(F171="",Z171="",N(AA171)&lt;=0),"",1-NORMDIST(FLOOR(F171,1)+0.5,Z171,AA171,TRUE()))</f>
        <v>0.352088380027901</v>
      </c>
      <c r="AC171" s="10" t="n">
        <f aca="false">IF(AB171="","",NORMDIST(CEILING(F171,1)-0.5,Z171,AA171,TRUE()))</f>
        <v>0.647911619972099</v>
      </c>
      <c r="AD171" s="0" t="str">
        <f aca="false">IF(AB171="","",IF(AB171&gt;=0.5+Config!$B$6,"OVER",IF(AC171&gt;=0.5+Config!$B$6,"UNDER","—")))</f>
        <v>UNDER</v>
      </c>
      <c r="AE171" s="13" t="n">
        <f aca="false">IFERROR(Z171/G171,"")</f>
        <v>1.0144542830505</v>
      </c>
    </row>
    <row r="172" customFormat="false" ht="15" hidden="false" customHeight="false" outlineLevel="0" collapsed="false">
      <c r="A172" s="0" t="s">
        <v>1139</v>
      </c>
      <c r="B172" s="0" t="s">
        <v>1222</v>
      </c>
      <c r="C172" s="0" t="s">
        <v>1497</v>
      </c>
      <c r="D172" s="0" t="s">
        <v>1227</v>
      </c>
      <c r="E172" s="0" t="s">
        <v>1290</v>
      </c>
      <c r="F172" s="0" t="n">
        <v>30.5</v>
      </c>
      <c r="G172" s="11" t="n">
        <f aca="false">IFERROR(INDEX(CHOOSE(MATCH($X172,{"K1","K2","K3","K12","K13","H1","H2","H3","H12","H13"},0),Calc!$V$2:$V$137,Calc!$AC$2:$AC$137,Calc!$AJ$2:$AJ$137,Calc!$AL$2:$AL$137,Calc!$AM$2:$AM$137,Calc!$W$2:$W$137,Calc!$AD$2:$AD$137,Calc!$AK$2:$AK$137,Calc!$AN$2:$AN$137,Calc!$AO$2:$AO$137),MATCH($W172,Calc!$A$2:$A$137,0)),"")</f>
        <v>28.5054166666667</v>
      </c>
      <c r="H172" s="11" t="n">
        <f aca="false">IF(G172="","",IF(LEFT($X172,1)="H",SQRT(G172*(IFERROR(INDEX(Calc!$AP$2:$AP$137,MATCH($W172,Calc!$A$2:$A$137,0)),0.5)*Config!$B$5+1-IFERROR(INDEX(Calc!$AP$2:$AP$137,MATCH($W172,Calc!$A$2:$A$137,0)),0.5))),SQRT(G172*Config!$B$5)))</f>
        <v>6.31724491636452</v>
      </c>
      <c r="I172" s="10" t="n">
        <f aca="false">IF(OR(F172="",G172="",N(H172)&lt;=0),"",1-NORMDIST(FLOOR(F172,1)+0.5,G172,H172,TRUE()))</f>
        <v>0.376101347984409</v>
      </c>
      <c r="J172" s="10" t="n">
        <f aca="false">IF(I172="","",NORMDIST(CEILING(F172,1)-0.5,G172,H172,TRUE()))</f>
        <v>0.623898652015592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UNDER</v>
      </c>
      <c r="N172" s="0" t="n">
        <v>26.5</v>
      </c>
      <c r="O172" s="10" t="n">
        <v>0.6</v>
      </c>
      <c r="P172" s="10" t="n">
        <v>0.4</v>
      </c>
      <c r="Q172" s="10" t="n">
        <v>0.4</v>
      </c>
      <c r="R172" s="9" t="s">
        <v>1397</v>
      </c>
      <c r="S172" s="0" t="n">
        <v>1</v>
      </c>
      <c r="T172" s="0" t="str">
        <f aca="false">INDEX(Calc!$G$2:$G$137,MATCH($W172,Calc!$A$2:$A$137,0))&amp;" / "&amp;INDEX(Calc!$H$2:$H$137,MATCH($W172,Calc!$A$2:$A$137,0))</f>
        <v>Ancient / Dust2</v>
      </c>
      <c r="U172" s="0" t="str">
        <f aca="false">TEXT(INDEX(Calc!$J$2:$J$137,MATCH($W172,Calc!$A$2:$A$137,0)),"0.0")&amp;" / "&amp;TEXT(INDEX(Calc!$K$2:$K$137,MATCH($W172,Calc!$A$2:$A$137,0)),"0.0")</f>
        <v>21.5 / 21.5</v>
      </c>
      <c r="V172" s="0" t="str">
        <f aca="false">IFERROR(INDEX(Calc!$AQ$2:$AQ$137,MATCH($W172,Calc!$A$2:$A$137,0)),"")</f>
        <v/>
      </c>
      <c r="W172" s="9" t="s">
        <v>1498</v>
      </c>
      <c r="X172" s="9" t="s">
        <v>1291</v>
      </c>
      <c r="Y172" s="0" t="str">
        <f aca="false">W172&amp;"|"&amp;X172</f>
        <v>r7wsfbp8t29ubnd|CS2 · GLS vs PCY|K12</v>
      </c>
      <c r="Z172" s="11" t="n">
        <f aca="false">IFERROR(INDEX(CHOOSE(MATCH($X172,{"K1","K2","K3","K12","K13","H1","H2","H3","H12","H13"},0),Calc!$BA$2:$BA$137,Calc!$BB$2:$BB$137,Calc!$BC$2:$BC$137,Calc!$BD$2:$BD$137,Calc!$BE$2:$BE$137,Calc!$BF$2:$BF$137,Calc!$BG$2:$BG$137,Calc!$BH$2:$BH$137,Calc!$BI$2:$BI$137,Calc!$BJ$2:$BJ$137),MATCH($W172,Calc!$A$2:$A$137,0)),"")</f>
        <v>28.9218925830966</v>
      </c>
      <c r="AA172" s="11" t="n">
        <f aca="false">IF(Z172="","",IF(LEFT($X172,1)="H",SQRT(Z172*(IFERROR(INDEX(Calc!$AP$2:$AP$137,MATCH($W172,Calc!$A$2:$A$137,0)),0.5)*Config!$B$5+1-IFERROR(INDEX(Calc!$AP$2:$AP$137,MATCH($W172,Calc!$A$2:$A$137,0)),0.5))),SQRT(Z172*Config!$B$5)))</f>
        <v>6.36322635275025</v>
      </c>
      <c r="AB172" s="10" t="n">
        <f aca="false">IF(OR(F172="",Z172="",N(AA172)&lt;=0),"",1-NORMDIST(FLOOR(F172,1)+0.5,Z172,AA172,TRUE()))</f>
        <v>0.402065544792161</v>
      </c>
      <c r="AC172" s="10" t="n">
        <f aca="false">IF(AB172="","",NORMDIST(CEILING(F172,1)-0.5,Z172,AA172,TRUE()))</f>
        <v>0.597934455207839</v>
      </c>
      <c r="AD172" s="0" t="str">
        <f aca="false">IF(AB172="","",IF(AB172&gt;=0.5+Config!$B$6,"OVER",IF(AC172&gt;=0.5+Config!$B$6,"UNDER","—")))</f>
        <v>UNDER</v>
      </c>
      <c r="AE172" s="13" t="n">
        <f aca="false">IFERROR(Z172/G172,"")</f>
        <v>1.01461041321725</v>
      </c>
    </row>
    <row r="173" customFormat="false" ht="15" hidden="false" customHeight="false" outlineLevel="0" collapsed="false">
      <c r="A173" s="0" t="s">
        <v>1139</v>
      </c>
      <c r="B173" s="0" t="s">
        <v>1222</v>
      </c>
      <c r="C173" s="0" t="s">
        <v>1499</v>
      </c>
      <c r="D173" s="0" t="s">
        <v>1228</v>
      </c>
      <c r="E173" s="0" t="s">
        <v>1286</v>
      </c>
      <c r="F173" s="0" t="n">
        <v>13.5</v>
      </c>
      <c r="G173" s="11" t="n">
        <f aca="false">IFERROR(INDEX(CHOOSE(MATCH($X173,{"K1","K2","K3","K12","K13","H1","H2","H3","H12","H13"},0),Calc!$V$2:$V$137,Calc!$AC$2:$AC$137,Calc!$AJ$2:$AJ$137,Calc!$AL$2:$AL$137,Calc!$AM$2:$AM$137,Calc!$W$2:$W$137,Calc!$AD$2:$AD$137,Calc!$AK$2:$AK$137,Calc!$AN$2:$AN$137,Calc!$AO$2:$AO$137),MATCH($W173,Calc!$A$2:$A$137,0)),"")</f>
        <v>15.1777634319527</v>
      </c>
      <c r="H173" s="11" t="n">
        <f aca="false">IF(G173="","",IF(LEFT($X173,1)="H",SQRT(G173*(IFERROR(INDEX(Calc!$AP$2:$AP$137,MATCH($W173,Calc!$A$2:$A$137,0)),0.5)*Config!$B$5+1-IFERROR(INDEX(Calc!$AP$2:$AP$137,MATCH($W173,Calc!$A$2:$A$137,0)),0.5))),SQRT(G173*Config!$B$5)))</f>
        <v>4.24849686197487</v>
      </c>
      <c r="I173" s="10" t="n">
        <f aca="false">IF(OR(F173="",G173="",N(H173)&lt;=0),"",1-NORMDIST(FLOOR(F173,1)+0.5,G173,H173,TRUE()))</f>
        <v>0.653544436304989</v>
      </c>
      <c r="J173" s="10" t="n">
        <f aca="false">IF(I173="","",NORMDIST(CEILING(F173,1)-0.5,G173,H173,TRUE()))</f>
        <v>0.346455563695011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OVER</v>
      </c>
      <c r="N173" s="0" t="n">
        <v>14.3</v>
      </c>
      <c r="O173" s="10" t="n">
        <v>0.4</v>
      </c>
      <c r="P173" s="10" t="n">
        <v>0.5</v>
      </c>
      <c r="Q173" s="10" t="n">
        <v>0.4</v>
      </c>
      <c r="R173" s="9" t="s">
        <v>1500</v>
      </c>
      <c r="S173" s="0" t="n">
        <v>1</v>
      </c>
      <c r="T173" s="0" t="str">
        <f aca="false">INDEX(Calc!$G$2:$G$137,MATCH($W173,Calc!$A$2:$A$137,0))&amp;" / "&amp;INDEX(Calc!$H$2:$H$137,MATCH($W173,Calc!$A$2:$A$137,0))</f>
        <v>Ancient / Dust2</v>
      </c>
      <c r="U173" s="0" t="str">
        <f aca="false">TEXT(INDEX(Calc!$J$2:$J$137,MATCH($W173,Calc!$A$2:$A$137,0)),"0.0")&amp;" / "&amp;TEXT(INDEX(Calc!$K$2:$K$137,MATCH($W173,Calc!$A$2:$A$137,0)),"0.0")</f>
        <v>21.5 / 21.5</v>
      </c>
      <c r="V173" s="0" t="str">
        <f aca="false">IFERROR(INDEX(Calc!$AQ$2:$AQ$137,MATCH($W173,Calc!$A$2:$A$137,0)),"")</f>
        <v/>
      </c>
      <c r="W173" s="9" t="s">
        <v>1501</v>
      </c>
      <c r="X173" s="9" t="s">
        <v>1289</v>
      </c>
      <c r="Y173" s="0" t="str">
        <f aca="false">W173&amp;"|"&amp;X173</f>
        <v>rj8kw5flhgyw41h|CS2 · GLS vs PCY|H12</v>
      </c>
      <c r="Z173" s="11" t="n">
        <f aca="false">IFERROR(INDEX(CHOOSE(MATCH($X173,{"K1","K2","K3","K12","K13","H1","H2","H3","H12","H13"},0),Calc!$BA$2:$BA$137,Calc!$BB$2:$BB$137,Calc!$BC$2:$BC$137,Calc!$BD$2:$BD$137,Calc!$BE$2:$BE$137,Calc!$BF$2:$BF$137,Calc!$BG$2:$BG$137,Calc!$BH$2:$BH$137,Calc!$BI$2:$BI$137,Calc!$BJ$2:$BJ$137),MATCH($W173,Calc!$A$2:$A$137,0)),"")</f>
        <v>13.9402988697981</v>
      </c>
      <c r="AA173" s="11" t="n">
        <f aca="false">IF(Z173="","",IF(LEFT($X173,1)="H",SQRT(Z173*(IFERROR(INDEX(Calc!$AP$2:$AP$137,MATCH($W173,Calc!$A$2:$A$137,0)),0.5)*Config!$B$5+1-IFERROR(INDEX(Calc!$AP$2:$AP$137,MATCH($W173,Calc!$A$2:$A$137,0)),0.5))),SQRT(Z173*Config!$B$5)))</f>
        <v>4.0716220207119</v>
      </c>
      <c r="AB173" s="10" t="n">
        <f aca="false">IF(OR(F173="",Z173="",N(AA173)&lt;=0),"",1-NORMDIST(FLOOR(F173,1)+0.5,Z173,AA173,TRUE()))</f>
        <v>0.543057063470813</v>
      </c>
      <c r="AC173" s="10" t="n">
        <f aca="false">IF(AB173="","",NORMDIST(CEILING(F173,1)-0.5,Z173,AA173,TRUE()))</f>
        <v>0.456942936529187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0.918468582824962</v>
      </c>
    </row>
    <row r="174" customFormat="false" ht="15" hidden="false" customHeight="false" outlineLevel="0" collapsed="false">
      <c r="A174" s="0" t="s">
        <v>1139</v>
      </c>
      <c r="B174" s="0" t="s">
        <v>1222</v>
      </c>
      <c r="C174" s="0" t="s">
        <v>1499</v>
      </c>
      <c r="D174" s="0" t="s">
        <v>1228</v>
      </c>
      <c r="E174" s="0" t="s">
        <v>1290</v>
      </c>
      <c r="F174" s="0" t="n">
        <v>27.5</v>
      </c>
      <c r="G174" s="11" t="n">
        <f aca="false">IFERROR(INDEX(CHOOSE(MATCH($X174,{"K1","K2","K3","K12","K13","H1","H2","H3","H12","H13"},0),Calc!$V$2:$V$137,Calc!$AC$2:$AC$137,Calc!$AJ$2:$AJ$137,Calc!$AL$2:$AL$137,Calc!$AM$2:$AM$137,Calc!$W$2:$W$137,Calc!$AD$2:$AD$137,Calc!$AK$2:$AK$137,Calc!$AN$2:$AN$137,Calc!$AO$2:$AO$137),MATCH($W174,Calc!$A$2:$A$137,0)),"")</f>
        <v>32.0846153846154</v>
      </c>
      <c r="H174" s="11" t="n">
        <f aca="false">IF(G174="","",IF(LEFT($X174,1)="H",SQRT(G174*(IFERROR(INDEX(Calc!$AP$2:$AP$137,MATCH($W174,Calc!$A$2:$A$137,0)),0.5)*Config!$B$5+1-IFERROR(INDEX(Calc!$AP$2:$AP$137,MATCH($W174,Calc!$A$2:$A$137,0)),0.5))),SQRT(G174*Config!$B$5)))</f>
        <v>6.70212365884587</v>
      </c>
      <c r="I174" s="10" t="n">
        <f aca="false">IF(OR(F174="",G174="",N(H174)&lt;=0),"",1-NORMDIST(FLOOR(F174,1)+0.5,G174,H174,TRUE()))</f>
        <v>0.753029508027656</v>
      </c>
      <c r="J174" s="10" t="n">
        <f aca="false">IF(I174="","",NORMDIST(CEILING(F174,1)-0.5,G174,H174,TRUE()))</f>
        <v>0.246970491972344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N174" s="0" t="n">
        <v>28.8</v>
      </c>
      <c r="O174" s="10" t="n">
        <v>0.4</v>
      </c>
      <c r="P174" s="10" t="n">
        <v>0.5</v>
      </c>
      <c r="Q174" s="10" t="n">
        <v>0.6</v>
      </c>
      <c r="R174" s="9" t="s">
        <v>1502</v>
      </c>
      <c r="S174" s="0" t="n">
        <v>1</v>
      </c>
      <c r="T174" s="0" t="str">
        <f aca="false">INDEX(Calc!$G$2:$G$137,MATCH($W174,Calc!$A$2:$A$137,0))&amp;" / "&amp;INDEX(Calc!$H$2:$H$137,MATCH($W174,Calc!$A$2:$A$137,0))</f>
        <v>Ancient / Dust2</v>
      </c>
      <c r="U174" s="0" t="str">
        <f aca="false">TEXT(INDEX(Calc!$J$2:$J$137,MATCH($W174,Calc!$A$2:$A$137,0)),"0.0")&amp;" / "&amp;TEXT(INDEX(Calc!$K$2:$K$137,MATCH($W174,Calc!$A$2:$A$137,0)),"0.0")</f>
        <v>21.5 / 21.5</v>
      </c>
      <c r="V174" s="0" t="str">
        <f aca="false">IFERROR(INDEX(Calc!$AQ$2:$AQ$137,MATCH($W174,Calc!$A$2:$A$137,0)),"")</f>
        <v/>
      </c>
      <c r="W174" s="9" t="s">
        <v>1501</v>
      </c>
      <c r="X174" s="9" t="s">
        <v>1291</v>
      </c>
      <c r="Y174" s="0" t="str">
        <f aca="false">W174&amp;"|"&amp;X174</f>
        <v>rj8kw5flhgyw41h|CS2 · GLS vs PCY|K12</v>
      </c>
      <c r="Z174" s="11" t="n">
        <f aca="false">IFERROR(INDEX(CHOOSE(MATCH($X174,{"K1","K2","K3","K12","K13","H1","H2","H3","H12","H13"},0),Calc!$BA$2:$BA$137,Calc!$BB$2:$BB$137,Calc!$BC$2:$BC$137,Calc!$BD$2:$BD$137,Calc!$BE$2:$BE$137,Calc!$BF$2:$BF$137,Calc!$BG$2:$BG$137,Calc!$BH$2:$BH$137,Calc!$BI$2:$BI$137,Calc!$BJ$2:$BJ$137),MATCH($W174,Calc!$A$2:$A$137,0)),"")</f>
        <v>29.4629299978714</v>
      </c>
      <c r="AA174" s="11" t="n">
        <f aca="false">IF(Z174="","",IF(LEFT($X174,1)="H",SQRT(Z174*(IFERROR(INDEX(Calc!$AP$2:$AP$137,MATCH($W174,Calc!$A$2:$A$137,0)),0.5)*Config!$B$5+1-IFERROR(INDEX(Calc!$AP$2:$AP$137,MATCH($W174,Calc!$A$2:$A$137,0)),0.5))),SQRT(Z174*Config!$B$5)))</f>
        <v>6.42246852830125</v>
      </c>
      <c r="AB174" s="10" t="n">
        <f aca="false">IF(OR(F174="",Z174="",N(AA174)&lt;=0),"",1-NORMDIST(FLOOR(F174,1)+0.5,Z174,AA174,TRUE()))</f>
        <v>0.62005864624309</v>
      </c>
      <c r="AC174" s="10" t="n">
        <f aca="false">IF(AB174="","",NORMDIST(CEILING(F174,1)-0.5,Z174,AA174,TRUE()))</f>
        <v>0.37994135375691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0.918288396001747</v>
      </c>
    </row>
    <row r="175" customFormat="false" ht="15" hidden="false" customHeight="false" outlineLevel="0" collapsed="false">
      <c r="A175" s="0" t="s">
        <v>1139</v>
      </c>
      <c r="B175" s="0" t="s">
        <v>1222</v>
      </c>
      <c r="C175" s="0" t="s">
        <v>1503</v>
      </c>
      <c r="D175" s="0" t="s">
        <v>1228</v>
      </c>
      <c r="E175" s="0" t="s">
        <v>1286</v>
      </c>
      <c r="F175" s="0" t="n">
        <v>15.5</v>
      </c>
      <c r="G175" s="11" t="n">
        <f aca="false">IFERROR(INDEX(CHOOSE(MATCH($X175,{"K1","K2","K3","K12","K13","H1","H2","H3","H12","H13"},0),Calc!$V$2:$V$137,Calc!$AC$2:$AC$137,Calc!$AJ$2:$AJ$137,Calc!$AL$2:$AL$137,Calc!$AM$2:$AM$137,Calc!$W$2:$W$137,Calc!$AD$2:$AD$137,Calc!$AK$2:$AK$137,Calc!$AN$2:$AN$137,Calc!$AO$2:$AO$137),MATCH($W175,Calc!$A$2:$A$137,0)),"")</f>
        <v>17.9031441420118</v>
      </c>
      <c r="H175" s="11" t="n">
        <f aca="false">IF(G175="","",IF(LEFT($X175,1)="H",SQRT(G175*(IFERROR(INDEX(Calc!$AP$2:$AP$137,MATCH($W175,Calc!$A$2:$A$137,0)),0.5)*Config!$B$5+1-IFERROR(INDEX(Calc!$AP$2:$AP$137,MATCH($W175,Calc!$A$2:$A$137,0)),0.5))),SQRT(G175*Config!$B$5)))</f>
        <v>4.7067227899781</v>
      </c>
      <c r="I175" s="10" t="n">
        <f aca="false">IF(OR(F175="",G175="",N(H175)&lt;=0),"",1-NORMDIST(FLOOR(F175,1)+0.5,G175,H175,TRUE()))</f>
        <v>0.695176338430409</v>
      </c>
      <c r="J175" s="10" t="n">
        <f aca="false">IF(I175="","",NORMDIST(CEILING(F175,1)-0.5,G175,H175,TRUE()))</f>
        <v>0.304823661569591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OVER</v>
      </c>
      <c r="N175" s="0" t="n">
        <v>17.2</v>
      </c>
      <c r="O175" s="10" t="n">
        <v>1</v>
      </c>
      <c r="P175" s="10" t="n">
        <v>0.7</v>
      </c>
      <c r="Q175" s="10" t="n">
        <v>0.67</v>
      </c>
      <c r="R175" s="9" t="s">
        <v>1407</v>
      </c>
      <c r="S175" s="0" t="n">
        <v>5</v>
      </c>
      <c r="T175" s="0" t="str">
        <f aca="false">INDEX(Calc!$G$2:$G$137,MATCH($W175,Calc!$A$2:$A$137,0))&amp;" / "&amp;INDEX(Calc!$H$2:$H$137,MATCH($W175,Calc!$A$2:$A$137,0))</f>
        <v>Ancient / Dust2</v>
      </c>
      <c r="U175" s="0" t="str">
        <f aca="false">TEXT(INDEX(Calc!$J$2:$J$137,MATCH($W175,Calc!$A$2:$A$137,0)),"0.0")&amp;" / "&amp;TEXT(INDEX(Calc!$K$2:$K$137,MATCH($W175,Calc!$A$2:$A$137,0)),"0.0")</f>
        <v>21.5 / 21.5</v>
      </c>
      <c r="V175" s="0" t="str">
        <f aca="false">IFERROR(INDEX(Calc!$AQ$2:$AQ$137,MATCH($W175,Calc!$A$2:$A$137,0)),"")</f>
        <v/>
      </c>
      <c r="W175" s="9" t="s">
        <v>1504</v>
      </c>
      <c r="X175" s="9" t="s">
        <v>1289</v>
      </c>
      <c r="Y175" s="0" t="str">
        <f aca="false">W175&amp;"|"&amp;X175</f>
        <v>x1v63r81qmuu0h4|CS2 · GLS vs PCY|H12</v>
      </c>
      <c r="Z175" s="11" t="n">
        <f aca="false">IFERROR(INDEX(CHOOSE(MATCH($X175,{"K1","K2","K3","K12","K13","H1","H2","H3","H12","H13"},0),Calc!$BA$2:$BA$137,Calc!$BB$2:$BB$137,Calc!$BC$2:$BC$137,Calc!$BD$2:$BD$137,Calc!$BE$2:$BE$137,Calc!$BF$2:$BF$137,Calc!$BG$2:$BG$137,Calc!$BH$2:$BH$137,Calc!$BI$2:$BI$137,Calc!$BJ$2:$BJ$137),MATCH($W175,Calc!$A$2:$A$137,0)),"")</f>
        <v>16.4391783475612</v>
      </c>
      <c r="AA175" s="11" t="n">
        <f aca="false">IF(Z175="","",IF(LEFT($X175,1)="H",SQRT(Z175*(IFERROR(INDEX(Calc!$AP$2:$AP$137,MATCH($W175,Calc!$A$2:$A$137,0)),0.5)*Config!$B$5+1-IFERROR(INDEX(Calc!$AP$2:$AP$137,MATCH($W175,Calc!$A$2:$A$137,0)),0.5))),SQRT(Z175*Config!$B$5)))</f>
        <v>4.51018150806514</v>
      </c>
      <c r="AB175" s="10" t="n">
        <f aca="false">IF(OR(F175="",Z175="",N(AA175)&lt;=0),"",1-NORMDIST(FLOOR(F175,1)+0.5,Z175,AA175,TRUE()))</f>
        <v>0.582477319958905</v>
      </c>
      <c r="AC175" s="10" t="n">
        <f aca="false">IF(AB175="","",NORMDIST(CEILING(F175,1)-0.5,Z175,AA175,TRUE()))</f>
        <v>0.417522680041095</v>
      </c>
      <c r="AD175" s="0" t="str">
        <f aca="false">IF(AB175="","",IF(AB175&gt;=0.5+Config!$B$6,"OVER",IF(AC175&gt;=0.5+Config!$B$6,"UNDER","—")))</f>
        <v>OVER</v>
      </c>
      <c r="AE175" s="13" t="n">
        <f aca="false">IFERROR(Z175/G175,"")</f>
        <v>0.918228564611996</v>
      </c>
    </row>
    <row r="176" customFormat="false" ht="15" hidden="false" customHeight="false" outlineLevel="0" collapsed="false">
      <c r="A176" s="0" t="s">
        <v>1139</v>
      </c>
      <c r="B176" s="0" t="s">
        <v>1222</v>
      </c>
      <c r="C176" s="0" t="s">
        <v>1503</v>
      </c>
      <c r="D176" s="0" t="s">
        <v>1228</v>
      </c>
      <c r="E176" s="0" t="s">
        <v>1290</v>
      </c>
      <c r="F176" s="0" t="n">
        <v>26.5</v>
      </c>
      <c r="G176" s="11" t="n">
        <f aca="false">IFERROR(INDEX(CHOOSE(MATCH($X176,{"K1","K2","K3","K12","K13","H1","H2","H3","H12","H13"},0),Calc!$V$2:$V$137,Calc!$AC$2:$AC$137,Calc!$AJ$2:$AJ$137,Calc!$AL$2:$AL$137,Calc!$AM$2:$AM$137,Calc!$W$2:$W$137,Calc!$AD$2:$AD$137,Calc!$AK$2:$AK$137,Calc!$AN$2:$AN$137,Calc!$AO$2:$AO$137),MATCH($W176,Calc!$A$2:$A$137,0)),"")</f>
        <v>30.1661538461538</v>
      </c>
      <c r="H176" s="11" t="n">
        <f aca="false">IF(G176="","",IF(LEFT($X176,1)="H",SQRT(G176*(IFERROR(INDEX(Calc!$AP$2:$AP$137,MATCH($W176,Calc!$A$2:$A$137,0)),0.5)*Config!$B$5+1-IFERROR(INDEX(Calc!$AP$2:$AP$137,MATCH($W176,Calc!$A$2:$A$137,0)),0.5))),SQRT(G176*Config!$B$5)))</f>
        <v>6.49866258430266</v>
      </c>
      <c r="I176" s="10" t="n">
        <f aca="false">IF(OR(F176="",G176="",N(H176)&lt;=0),"",1-NORMDIST(FLOOR(F176,1)+0.5,G176,H176,TRUE()))</f>
        <v>0.71367048411414</v>
      </c>
      <c r="J176" s="10" t="n">
        <f aca="false">IF(I176="","",NORMDIST(CEILING(F176,1)-0.5,G176,H176,TRUE()))</f>
        <v>0.28632951588586</v>
      </c>
      <c r="K176" s="10" t="n">
        <f aca="false">IF(I176="","",MAX(0,1-I176-J176))</f>
        <v>0</v>
      </c>
      <c r="L176" s="0" t="str">
        <f aca="false">IF(I176="","",IF(I176&gt;=0.5+Config!$B$6,"OVER",IF(J176&gt;=0.5+Config!$B$6,"UNDER","—")))</f>
        <v>OVER</v>
      </c>
      <c r="N176" s="0" t="n">
        <v>29.1</v>
      </c>
      <c r="O176" s="10" t="n">
        <v>0.8</v>
      </c>
      <c r="P176" s="10" t="n">
        <v>0.5</v>
      </c>
      <c r="Q176" s="10" t="n">
        <v>0.6</v>
      </c>
      <c r="R176" s="9" t="s">
        <v>1407</v>
      </c>
      <c r="S176" s="0" t="n">
        <v>-1</v>
      </c>
      <c r="T176" s="0" t="str">
        <f aca="false">INDEX(Calc!$G$2:$G$137,MATCH($W176,Calc!$A$2:$A$137,0))&amp;" / "&amp;INDEX(Calc!$H$2:$H$137,MATCH($W176,Calc!$A$2:$A$137,0))</f>
        <v>Ancient / Dust2</v>
      </c>
      <c r="U176" s="0" t="str">
        <f aca="false">TEXT(INDEX(Calc!$J$2:$J$137,MATCH($W176,Calc!$A$2:$A$137,0)),"0.0")&amp;" / "&amp;TEXT(INDEX(Calc!$K$2:$K$137,MATCH($W176,Calc!$A$2:$A$137,0)),"0.0")</f>
        <v>21.5 / 21.5</v>
      </c>
      <c r="V176" s="0" t="str">
        <f aca="false">IFERROR(INDEX(Calc!$AQ$2:$AQ$137,MATCH($W176,Calc!$A$2:$A$137,0)),"")</f>
        <v/>
      </c>
      <c r="W176" s="9" t="s">
        <v>1504</v>
      </c>
      <c r="X176" s="9" t="s">
        <v>1291</v>
      </c>
      <c r="Y176" s="0" t="str">
        <f aca="false">W176&amp;"|"&amp;X176</f>
        <v>x1v63r81qmuu0h4|CS2 · GLS vs PCY|K12</v>
      </c>
      <c r="Z176" s="11" t="n">
        <f aca="false">IFERROR(INDEX(CHOOSE(MATCH($X176,{"K1","K2","K3","K12","K13","H1","H2","H3","H12","H13"},0),Calc!$BA$2:$BA$137,Calc!$BB$2:$BB$137,Calc!$BC$2:$BC$137,Calc!$BD$2:$BD$137,Calc!$BE$2:$BE$137,Calc!$BF$2:$BF$137,Calc!$BG$2:$BG$137,Calc!$BH$2:$BH$137,Calc!$BI$2:$BI$137,Calc!$BJ$2:$BJ$137),MATCH($W176,Calc!$A$2:$A$137,0)),"")</f>
        <v>27.6901585195482</v>
      </c>
      <c r="AA176" s="11" t="n">
        <f aca="false">IF(Z176="","",IF(LEFT($X176,1)="H",SQRT(Z176*(IFERROR(INDEX(Calc!$AP$2:$AP$137,MATCH($W176,Calc!$A$2:$A$137,0)),0.5)*Config!$B$5+1-IFERROR(INDEX(Calc!$AP$2:$AP$137,MATCH($W176,Calc!$A$2:$A$137,0)),0.5))),SQRT(Z176*Config!$B$5)))</f>
        <v>6.22625263921786</v>
      </c>
      <c r="AB176" s="10" t="n">
        <f aca="false">IF(OR(F176="",Z176="",N(AA176)&lt;=0),"",1-NORMDIST(FLOOR(F176,1)+0.5,Z176,AA176,TRUE()))</f>
        <v>0.575796612031272</v>
      </c>
      <c r="AC176" s="10" t="n">
        <f aca="false">IF(AB176="","",NORMDIST(CEILING(F176,1)-0.5,Z176,AA176,TRUE()))</f>
        <v>0.424203387968728</v>
      </c>
      <c r="AD176" s="0" t="str">
        <f aca="false">IF(AB176="","",IF(AB176&gt;=0.5+Config!$B$6,"OVER",IF(AC176&gt;=0.5+Config!$B$6,"UNDER","—")))</f>
        <v>OVER</v>
      </c>
      <c r="AE176" s="13" t="n">
        <f aca="false">IFERROR(Z176/G176,"")</f>
        <v>0.917921411551729</v>
      </c>
    </row>
    <row r="177" customFormat="false" ht="15" hidden="false" customHeight="false" outlineLevel="0" collapsed="false">
      <c r="A177" s="0" t="s">
        <v>1139</v>
      </c>
      <c r="B177" s="0" t="s">
        <v>1222</v>
      </c>
      <c r="C177" s="0" t="s">
        <v>1505</v>
      </c>
      <c r="D177" s="0" t="s">
        <v>1228</v>
      </c>
      <c r="E177" s="0" t="s">
        <v>1286</v>
      </c>
      <c r="F177" s="0" t="n">
        <v>16.5</v>
      </c>
      <c r="G177" s="11" t="n">
        <f aca="false">IFERROR(INDEX(CHOOSE(MATCH($X177,{"K1","K2","K3","K12","K13","H1","H2","H3","H12","H13"},0),Calc!$V$2:$V$137,Calc!$AC$2:$AC$137,Calc!$AJ$2:$AJ$137,Calc!$AL$2:$AL$137,Calc!$AM$2:$AM$137,Calc!$W$2:$W$137,Calc!$AD$2:$AD$137,Calc!$AK$2:$AK$137,Calc!$AN$2:$AN$137,Calc!$AO$2:$AO$137),MATCH($W177,Calc!$A$2:$A$137,0)),"")</f>
        <v>17.5352371597633</v>
      </c>
      <c r="H177" s="11" t="n">
        <f aca="false">IF(G177="","",IF(LEFT($X177,1)="H",SQRT(G177*(IFERROR(INDEX(Calc!$AP$2:$AP$137,MATCH($W177,Calc!$A$2:$A$137,0)),0.5)*Config!$B$5+1-IFERROR(INDEX(Calc!$AP$2:$AP$137,MATCH($W177,Calc!$A$2:$A$137,0)),0.5))),SQRT(G177*Config!$B$5)))</f>
        <v>4.69261788733208</v>
      </c>
      <c r="I177" s="10" t="n">
        <f aca="false">IF(OR(F177="",G177="",N(H177)&lt;=0),"",1-NORMDIST(FLOOR(F177,1)+0.5,G177,H177,TRUE()))</f>
        <v>0.587301837419269</v>
      </c>
      <c r="J177" s="10" t="n">
        <f aca="false">IF(I177="","",NORMDIST(CEILING(F177,1)-0.5,G177,H177,TRUE()))</f>
        <v>0.412698162580731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OVER</v>
      </c>
      <c r="N177" s="0" t="n">
        <v>15.4</v>
      </c>
      <c r="O177" s="10" t="n">
        <v>0.2</v>
      </c>
      <c r="P177" s="10" t="n">
        <v>0.5</v>
      </c>
      <c r="Q177" s="10" t="n">
        <v>0.53</v>
      </c>
      <c r="R177" s="9" t="s">
        <v>1494</v>
      </c>
      <c r="S177" s="0" t="n">
        <v>-1</v>
      </c>
      <c r="T177" s="0" t="str">
        <f aca="false">INDEX(Calc!$G$2:$G$137,MATCH($W177,Calc!$A$2:$A$137,0))&amp;" / "&amp;INDEX(Calc!$H$2:$H$137,MATCH($W177,Calc!$A$2:$A$137,0))</f>
        <v>Ancient / Dust2</v>
      </c>
      <c r="U177" s="0" t="str">
        <f aca="false">TEXT(INDEX(Calc!$J$2:$J$137,MATCH($W177,Calc!$A$2:$A$137,0)),"0.0")&amp;" / "&amp;TEXT(INDEX(Calc!$K$2:$K$137,MATCH($W177,Calc!$A$2:$A$137,0)),"0.0")</f>
        <v>21.5 / 21.5</v>
      </c>
      <c r="V177" s="0" t="str">
        <f aca="false">IFERROR(INDEX(Calc!$AQ$2:$AQ$137,MATCH($W177,Calc!$A$2:$A$137,0)),"")</f>
        <v/>
      </c>
      <c r="W177" s="9" t="s">
        <v>1506</v>
      </c>
      <c r="X177" s="9" t="s">
        <v>1289</v>
      </c>
      <c r="Y177" s="0" t="str">
        <f aca="false">W177&amp;"|"&amp;X177</f>
        <v>r07w0yuctuwh8t3|CS2 · GLS vs PCY|H12</v>
      </c>
      <c r="Z177" s="11" t="n">
        <f aca="false">IFERROR(INDEX(CHOOSE(MATCH($X177,{"K1","K2","K3","K12","K13","H1","H2","H3","H12","H13"},0),Calc!$BA$2:$BA$137,Calc!$BB$2:$BB$137,Calc!$BC$2:$BC$137,Calc!$BD$2:$BD$137,Calc!$BE$2:$BE$137,Calc!$BF$2:$BF$137,Calc!$BG$2:$BG$137,Calc!$BH$2:$BH$137,Calc!$BI$2:$BI$137,Calc!$BJ$2:$BJ$137),MATCH($W177,Calc!$A$2:$A$137,0)),"")</f>
        <v>16.1061583353168</v>
      </c>
      <c r="AA177" s="11" t="n">
        <f aca="false">IF(Z177="","",IF(LEFT($X177,1)="H",SQRT(Z177*(IFERROR(INDEX(Calc!$AP$2:$AP$137,MATCH($W177,Calc!$A$2:$A$137,0)),0.5)*Config!$B$5+1-IFERROR(INDEX(Calc!$AP$2:$AP$137,MATCH($W177,Calc!$A$2:$A$137,0)),0.5))),SQRT(Z177*Config!$B$5)))</f>
        <v>4.49733617110547</v>
      </c>
      <c r="AB177" s="10" t="n">
        <f aca="false">IF(OR(F177="",Z177="",N(AA177)&lt;=0),"",1-NORMDIST(FLOOR(F177,1)+0.5,Z177,AA177,TRUE()))</f>
        <v>0.465108345512488</v>
      </c>
      <c r="AC177" s="10" t="n">
        <f aca="false">IF(AB177="","",NORMDIST(CEILING(F177,1)-0.5,Z177,AA177,TRUE()))</f>
        <v>0.534891654487512</v>
      </c>
      <c r="AD177" s="0" t="str">
        <f aca="false">IF(AB177="","",IF(AB177&gt;=0.5+Config!$B$6,"OVER",IF(AC177&gt;=0.5+Config!$B$6,"UNDER","—")))</f>
        <v>—</v>
      </c>
      <c r="AE177" s="13" t="n">
        <f aca="false">IFERROR(Z177/G177,"")</f>
        <v>0.918502452437558</v>
      </c>
    </row>
    <row r="178" customFormat="false" ht="15" hidden="false" customHeight="false" outlineLevel="0" collapsed="false">
      <c r="A178" s="0" t="s">
        <v>1139</v>
      </c>
      <c r="B178" s="0" t="s">
        <v>1222</v>
      </c>
      <c r="C178" s="0" t="s">
        <v>1505</v>
      </c>
      <c r="D178" s="0" t="s">
        <v>1228</v>
      </c>
      <c r="E178" s="0" t="s">
        <v>1290</v>
      </c>
      <c r="F178" s="0" t="n">
        <v>25.5</v>
      </c>
      <c r="G178" s="11" t="n">
        <f aca="false">IFERROR(INDEX(CHOOSE(MATCH($X178,{"K1","K2","K3","K12","K13","H1","H2","H3","H12","H13"},0),Calc!$V$2:$V$137,Calc!$AC$2:$AC$137,Calc!$AJ$2:$AJ$137,Calc!$AL$2:$AL$137,Calc!$AM$2:$AM$137,Calc!$W$2:$W$137,Calc!$AD$2:$AD$137,Calc!$AK$2:$AK$137,Calc!$AN$2:$AN$137,Calc!$AO$2:$AO$137),MATCH($W178,Calc!$A$2:$A$137,0)),"")</f>
        <v>27.4207692307692</v>
      </c>
      <c r="H178" s="11" t="n">
        <f aca="false">IF(G178="","",IF(LEFT($X178,1)="H",SQRT(G178*(IFERROR(INDEX(Calc!$AP$2:$AP$137,MATCH($W178,Calc!$A$2:$A$137,0)),0.5)*Config!$B$5+1-IFERROR(INDEX(Calc!$AP$2:$AP$137,MATCH($W178,Calc!$A$2:$A$137,0)),0.5))),SQRT(G178*Config!$B$5)))</f>
        <v>6.19589193926725</v>
      </c>
      <c r="I178" s="10" t="n">
        <f aca="false">IF(OR(F178="",G178="",N(H178)&lt;=0),"",1-NORMDIST(FLOOR(F178,1)+0.5,G178,H178,TRUE()))</f>
        <v>0.62172214402742</v>
      </c>
      <c r="J178" s="10" t="n">
        <f aca="false">IF(I178="","",NORMDIST(CEILING(F178,1)-0.5,G178,H178,TRUE()))</f>
        <v>0.37827785597258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OVER</v>
      </c>
      <c r="N178" s="0" t="n">
        <v>24.2</v>
      </c>
      <c r="O178" s="10" t="n">
        <v>0.4</v>
      </c>
      <c r="P178" s="10" t="n">
        <v>0.6</v>
      </c>
      <c r="Q178" s="10" t="n">
        <v>0.67</v>
      </c>
      <c r="R178" s="9" t="s">
        <v>1389</v>
      </c>
      <c r="S178" s="0" t="n">
        <v>-1</v>
      </c>
      <c r="T178" s="0" t="str">
        <f aca="false">INDEX(Calc!$G$2:$G$137,MATCH($W178,Calc!$A$2:$A$137,0))&amp;" / "&amp;INDEX(Calc!$H$2:$H$137,MATCH($W178,Calc!$A$2:$A$137,0))</f>
        <v>Ancient / Dust2</v>
      </c>
      <c r="U178" s="0" t="str">
        <f aca="false">TEXT(INDEX(Calc!$J$2:$J$137,MATCH($W178,Calc!$A$2:$A$137,0)),"0.0")&amp;" / "&amp;TEXT(INDEX(Calc!$K$2:$K$137,MATCH($W178,Calc!$A$2:$A$137,0)),"0.0")</f>
        <v>21.5 / 21.5</v>
      </c>
      <c r="V178" s="0" t="str">
        <f aca="false">IFERROR(INDEX(Calc!$AQ$2:$AQ$137,MATCH($W178,Calc!$A$2:$A$137,0)),"")</f>
        <v/>
      </c>
      <c r="W178" s="9" t="s">
        <v>1506</v>
      </c>
      <c r="X178" s="9" t="s">
        <v>1291</v>
      </c>
      <c r="Y178" s="0" t="str">
        <f aca="false">W178&amp;"|"&amp;X178</f>
        <v>r07w0yuctuwh8t3|CS2 · GLS vs PCY|K12</v>
      </c>
      <c r="Z178" s="11" t="n">
        <f aca="false">IFERROR(INDEX(CHOOSE(MATCH($X178,{"K1","K2","K3","K12","K13","H1","H2","H3","H12","H13"},0),Calc!$BA$2:$BA$137,Calc!$BB$2:$BB$137,Calc!$BC$2:$BC$137,Calc!$BD$2:$BD$137,Calc!$BE$2:$BE$137,Calc!$BF$2:$BF$137,Calc!$BG$2:$BG$137,Calc!$BH$2:$BH$137,Calc!$BI$2:$BI$137,Calc!$BJ$2:$BJ$137),MATCH($W178,Calc!$A$2:$A$137,0)),"")</f>
        <v>25.1805348480454</v>
      </c>
      <c r="AA178" s="11" t="n">
        <f aca="false">IF(Z178="","",IF(LEFT($X178,1)="H",SQRT(Z178*(IFERROR(INDEX(Calc!$AP$2:$AP$137,MATCH($W178,Calc!$A$2:$A$137,0)),0.5)*Config!$B$5+1-IFERROR(INDEX(Calc!$AP$2:$AP$137,MATCH($W178,Calc!$A$2:$A$137,0)),0.5))),SQRT(Z178*Config!$B$5)))</f>
        <v>5.93740252865371</v>
      </c>
      <c r="AB178" s="10" t="n">
        <f aca="false">IF(OR(F178="",Z178="",N(AA178)&lt;=0),"",1-NORMDIST(FLOOR(F178,1)+0.5,Z178,AA178,TRUE()))</f>
        <v>0.478545047635569</v>
      </c>
      <c r="AC178" s="10" t="n">
        <f aca="false">IF(AB178="","",NORMDIST(CEILING(F178,1)-0.5,Z178,AA178,TRUE()))</f>
        <v>0.521454952364432</v>
      </c>
      <c r="AD178" s="0" t="str">
        <f aca="false">IF(AB178="","",IF(AB178&gt;=0.5+Config!$B$6,"OVER",IF(AC178&gt;=0.5+Config!$B$6,"UNDER","—")))</f>
        <v>—</v>
      </c>
      <c r="AE178" s="13" t="n">
        <f aca="false">IFERROR(Z178/G178,"")</f>
        <v>0.918301548586388</v>
      </c>
    </row>
    <row r="179" customFormat="false" ht="15" hidden="false" customHeight="false" outlineLevel="0" collapsed="false">
      <c r="A179" s="0" t="s">
        <v>1139</v>
      </c>
      <c r="B179" s="0" t="s">
        <v>1222</v>
      </c>
      <c r="C179" s="0" t="s">
        <v>1507</v>
      </c>
      <c r="D179" s="0" t="s">
        <v>1228</v>
      </c>
      <c r="E179" s="0" t="s">
        <v>1286</v>
      </c>
      <c r="F179" s="0" t="n">
        <v>14</v>
      </c>
      <c r="G179" s="11" t="n">
        <f aca="false">IFERROR(INDEX(CHOOSE(MATCH($X179,{"K1","K2","K3","K12","K13","H1","H2","H3","H12","H13"},0),Calc!$V$2:$V$137,Calc!$AC$2:$AC$137,Calc!$AJ$2:$AJ$137,Calc!$AL$2:$AL$137,Calc!$AM$2:$AM$137,Calc!$W$2:$W$137,Calc!$AD$2:$AD$137,Calc!$AK$2:$AK$137,Calc!$AN$2:$AN$137,Calc!$AO$2:$AO$137),MATCH($W179,Calc!$A$2:$A$137,0)),"")</f>
        <v>15.8433067455621</v>
      </c>
      <c r="H179" s="11" t="n">
        <f aca="false">IF(G179="","",IF(LEFT($X179,1)="H",SQRT(G179*(IFERROR(INDEX(Calc!$AP$2:$AP$137,MATCH($W179,Calc!$A$2:$A$137,0)),0.5)*Config!$B$5+1-IFERROR(INDEX(Calc!$AP$2:$AP$137,MATCH($W179,Calc!$A$2:$A$137,0)),0.5))),SQRT(G179*Config!$B$5)))</f>
        <v>4.40007478430616</v>
      </c>
      <c r="I179" s="10" t="n">
        <f aca="false">IF(OR(F179="",G179="",N(H179)&lt;=0),"",1-NORMDIST(FLOOR(F179,1)+0.5,G179,H179,TRUE()))</f>
        <v>0.619928039187486</v>
      </c>
      <c r="J179" s="10" t="n">
        <f aca="false">IF(I179="","",NORMDIST(CEILING(F179,1)-0.5,G179,H179,TRUE()))</f>
        <v>0.297168869162337</v>
      </c>
      <c r="K179" s="10" t="n">
        <f aca="false">IF(I179="","",MAX(0,1-I179-J179))</f>
        <v>0.0829030916501771</v>
      </c>
      <c r="L179" s="0" t="str">
        <f aca="false">IF(I179="","",IF(I179&gt;=0.5+Config!$B$6,"OVER",IF(J179&gt;=0.5+Config!$B$6,"UNDER","—")))</f>
        <v>OVER</v>
      </c>
      <c r="N179" s="0" t="n">
        <v>13</v>
      </c>
      <c r="O179" s="10" t="n">
        <v>0.4</v>
      </c>
      <c r="P179" s="10" t="n">
        <v>0.5</v>
      </c>
      <c r="Q179" s="10" t="n">
        <v>0.53</v>
      </c>
      <c r="R179" s="9" t="s">
        <v>1329</v>
      </c>
      <c r="S179" s="0" t="n">
        <v>-1</v>
      </c>
      <c r="T179" s="0" t="str">
        <f aca="false">INDEX(Calc!$G$2:$G$137,MATCH($W179,Calc!$A$2:$A$137,0))&amp;" / "&amp;INDEX(Calc!$H$2:$H$137,MATCH($W179,Calc!$A$2:$A$137,0))</f>
        <v>Ancient / Dust2</v>
      </c>
      <c r="U179" s="0" t="str">
        <f aca="false">TEXT(INDEX(Calc!$J$2:$J$137,MATCH($W179,Calc!$A$2:$A$137,0)),"0.0")&amp;" / "&amp;TEXT(INDEX(Calc!$K$2:$K$137,MATCH($W179,Calc!$A$2:$A$137,0)),"0.0")</f>
        <v>21.5 / 21.5</v>
      </c>
      <c r="V179" s="0" t="str">
        <f aca="false">IFERROR(INDEX(Calc!$AQ$2:$AQ$137,MATCH($W179,Calc!$A$2:$A$137,0)),"")</f>
        <v/>
      </c>
      <c r="W179" s="9" t="s">
        <v>1508</v>
      </c>
      <c r="X179" s="9" t="s">
        <v>1289</v>
      </c>
      <c r="Y179" s="0" t="str">
        <f aca="false">W179&amp;"|"&amp;X179</f>
        <v>42hme0a34vl8ydg|CS2 · GLS vs PCY|H12</v>
      </c>
      <c r="Z179" s="11" t="n">
        <f aca="false">IFERROR(INDEX(CHOOSE(MATCH($X179,{"K1","K2","K3","K12","K13","H1","H2","H3","H12","H13"},0),Calc!$BA$2:$BA$137,Calc!$BB$2:$BB$137,Calc!$BC$2:$BC$137,Calc!$BD$2:$BD$137,Calc!$BE$2:$BE$137,Calc!$BF$2:$BF$137,Calc!$BG$2:$BG$137,Calc!$BH$2:$BH$137,Calc!$BI$2:$BI$137,Calc!$BJ$2:$BJ$137),MATCH($W179,Calc!$A$2:$A$137,0)),"")</f>
        <v>14.5520209109588</v>
      </c>
      <c r="AA179" s="11" t="n">
        <f aca="false">IF(Z179="","",IF(LEFT($X179,1)="H",SQRT(Z179*(IFERROR(INDEX(Calc!$AP$2:$AP$137,MATCH($W179,Calc!$A$2:$A$137,0)),0.5)*Config!$B$5+1-IFERROR(INDEX(Calc!$AP$2:$AP$137,MATCH($W179,Calc!$A$2:$A$137,0)),0.5))),SQRT(Z179*Config!$B$5)))</f>
        <v>4.21695335877268</v>
      </c>
      <c r="AB179" s="10" t="n">
        <f aca="false">IF(OR(F179="",Z179="",N(AA179)&lt;=0),"",1-NORMDIST(FLOOR(F179,1)+0.5,Z179,AA179,TRUE()))</f>
        <v>0.504921281484065</v>
      </c>
      <c r="AC179" s="10" t="n">
        <f aca="false">IF(AB179="","",NORMDIST(CEILING(F179,1)-0.5,Z179,AA179,TRUE()))</f>
        <v>0.401497011949722</v>
      </c>
      <c r="AD179" s="0" t="str">
        <f aca="false">IF(AB179="","",IF(AB179&gt;=0.5+Config!$B$6,"OVER",IF(AC179&gt;=0.5+Config!$B$6,"UNDER","—")))</f>
        <v>—</v>
      </c>
      <c r="AE179" s="13" t="n">
        <f aca="false">IFERROR(Z179/G179,"")</f>
        <v>0.918496444249871</v>
      </c>
    </row>
    <row r="180" customFormat="false" ht="15" hidden="false" customHeight="false" outlineLevel="0" collapsed="false">
      <c r="A180" s="0" t="s">
        <v>1139</v>
      </c>
      <c r="B180" s="0" t="s">
        <v>1222</v>
      </c>
      <c r="C180" s="0" t="s">
        <v>1507</v>
      </c>
      <c r="D180" s="0" t="s">
        <v>1228</v>
      </c>
      <c r="E180" s="0" t="s">
        <v>1290</v>
      </c>
      <c r="F180" s="0" t="n">
        <v>25.5</v>
      </c>
      <c r="G180" s="11" t="n">
        <f aca="false">IFERROR(INDEX(CHOOSE(MATCH($X180,{"K1","K2","K3","K12","K13","H1","H2","H3","H12","H13"},0),Calc!$V$2:$V$137,Calc!$AC$2:$AC$137,Calc!$AJ$2:$AJ$137,Calc!$AL$2:$AL$137,Calc!$AM$2:$AM$137,Calc!$W$2:$W$137,Calc!$AD$2:$AD$137,Calc!$AK$2:$AK$137,Calc!$AN$2:$AN$137,Calc!$AO$2:$AO$137),MATCH($W180,Calc!$A$2:$A$137,0)),"")</f>
        <v>28.5453846153846</v>
      </c>
      <c r="H180" s="11" t="n">
        <f aca="false">IF(G180="","",IF(LEFT($X180,1)="H",SQRT(G180*(IFERROR(INDEX(Calc!$AP$2:$AP$137,MATCH($W180,Calc!$A$2:$A$137,0)),0.5)*Config!$B$5+1-IFERROR(INDEX(Calc!$AP$2:$AP$137,MATCH($W180,Calc!$A$2:$A$137,0)),0.5))),SQRT(G180*Config!$B$5)))</f>
        <v>6.32167212543789</v>
      </c>
      <c r="I180" s="10" t="n">
        <f aca="false">IF(OR(F180="",G180="",N(H180)&lt;=0),"",1-NORMDIST(FLOOR(F180,1)+0.5,G180,H180,TRUE()))</f>
        <v>0.685003676079113</v>
      </c>
      <c r="J180" s="10" t="n">
        <f aca="false">IF(I180="","",NORMDIST(CEILING(F180,1)-0.5,G180,H180,TRUE()))</f>
        <v>0.314996323920888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OVER</v>
      </c>
      <c r="N180" s="0" t="n">
        <v>25.6</v>
      </c>
      <c r="O180" s="10" t="n">
        <v>0.4</v>
      </c>
      <c r="P180" s="10" t="n">
        <v>0.5</v>
      </c>
      <c r="Q180" s="10" t="n">
        <v>0.53</v>
      </c>
      <c r="R180" s="9" t="s">
        <v>1397</v>
      </c>
      <c r="S180" s="0" t="n">
        <v>-1</v>
      </c>
      <c r="T180" s="0" t="str">
        <f aca="false">INDEX(Calc!$G$2:$G$137,MATCH($W180,Calc!$A$2:$A$137,0))&amp;" / "&amp;INDEX(Calc!$H$2:$H$137,MATCH($W180,Calc!$A$2:$A$137,0))</f>
        <v>Ancient / Dust2</v>
      </c>
      <c r="U180" s="0" t="str">
        <f aca="false">TEXT(INDEX(Calc!$J$2:$J$137,MATCH($W180,Calc!$A$2:$A$137,0)),"0.0")&amp;" / "&amp;TEXT(INDEX(Calc!$K$2:$K$137,MATCH($W180,Calc!$A$2:$A$137,0)),"0.0")</f>
        <v>21.5 / 21.5</v>
      </c>
      <c r="V180" s="0" t="str">
        <f aca="false">IFERROR(INDEX(Calc!$AQ$2:$AQ$137,MATCH($W180,Calc!$A$2:$A$137,0)),"")</f>
        <v/>
      </c>
      <c r="W180" s="9" t="s">
        <v>1508</v>
      </c>
      <c r="X180" s="9" t="s">
        <v>1291</v>
      </c>
      <c r="Y180" s="0" t="str">
        <f aca="false">W180&amp;"|"&amp;X180</f>
        <v>42hme0a34vl8ydg|CS2 · GLS vs PCY|K12</v>
      </c>
      <c r="Z180" s="11" t="n">
        <f aca="false">IFERROR(INDEX(CHOOSE(MATCH($X180,{"K1","K2","K3","K12","K13","H1","H2","H3","H12","H13"},0),Calc!$BA$2:$BA$137,Calc!$BB$2:$BB$137,Calc!$BC$2:$BC$137,Calc!$BD$2:$BD$137,Calc!$BE$2:$BE$137,Calc!$BF$2:$BF$137,Calc!$BG$2:$BG$137,Calc!$BH$2:$BH$137,Calc!$BI$2:$BI$137,Calc!$BJ$2:$BJ$137),MATCH($W180,Calc!$A$2:$A$137,0)),"")</f>
        <v>26.2152270375315</v>
      </c>
      <c r="AA180" s="11" t="n">
        <f aca="false">IF(Z180="","",IF(LEFT($X180,1)="H",SQRT(Z180*(IFERROR(INDEX(Calc!$AP$2:$AP$137,MATCH($W180,Calc!$A$2:$A$137,0)),0.5)*Config!$B$5+1-IFERROR(INDEX(Calc!$AP$2:$AP$137,MATCH($W180,Calc!$A$2:$A$137,0)),0.5))),SQRT(Z180*Config!$B$5)))</f>
        <v>6.0581612600313</v>
      </c>
      <c r="AB180" s="10" t="n">
        <f aca="false">IF(OR(F180="",Z180="",N(AA180)&lt;=0),"",1-NORMDIST(FLOOR(F180,1)+0.5,Z180,AA180,TRUE()))</f>
        <v>0.5469899753947</v>
      </c>
      <c r="AC180" s="10" t="n">
        <f aca="false">IF(AB180="","",NORMDIST(CEILING(F180,1)-0.5,Z180,AA180,TRUE()))</f>
        <v>0.453010024605301</v>
      </c>
      <c r="AD180" s="0" t="str">
        <f aca="false">IF(AB180="","",IF(AB180&gt;=0.5+Config!$B$6,"OVER",IF(AC180&gt;=0.5+Config!$B$6,"UNDER","—")))</f>
        <v>OVER</v>
      </c>
      <c r="AE180" s="13" t="n">
        <f aca="false">IFERROR(Z180/G180,"")</f>
        <v>0.918370075959765</v>
      </c>
    </row>
    <row r="181" customFormat="false" ht="15" hidden="false" customHeight="false" outlineLevel="0" collapsed="false">
      <c r="A181" s="0" t="s">
        <v>1139</v>
      </c>
      <c r="B181" s="0" t="s">
        <v>1180</v>
      </c>
      <c r="C181" s="0" t="s">
        <v>1509</v>
      </c>
      <c r="D181" s="0" t="s">
        <v>1184</v>
      </c>
      <c r="E181" s="0" t="s">
        <v>1290</v>
      </c>
      <c r="F181" s="0" t="n">
        <v>29.5</v>
      </c>
      <c r="G181" s="11" t="n">
        <f aca="false">IFERROR(INDEX(CHOOSE(MATCH($X181,{"K1","K2","K3","K12","K13","H1","H2","H3","H12","H13"},0),Calc!$V$2:$V$137,Calc!$AC$2:$AC$137,Calc!$AJ$2:$AJ$137,Calc!$AL$2:$AL$137,Calc!$AM$2:$AM$137,Calc!$W$2:$W$137,Calc!$AD$2:$AD$137,Calc!$AK$2:$AK$137,Calc!$AN$2:$AN$137,Calc!$AO$2:$AO$137),MATCH($W181,Calc!$A$2:$A$137,0)),"")</f>
        <v>27.5840666666667</v>
      </c>
      <c r="H181" s="11" t="n">
        <f aca="false">IF(G181="","",IF(LEFT($X181,1)="H",SQRT(G181*(IFERROR(INDEX(Calc!$AP$2:$AP$137,MATCH($W181,Calc!$A$2:$A$137,0)),0.5)*Config!$B$5+1-IFERROR(INDEX(Calc!$AP$2:$AP$137,MATCH($W181,Calc!$A$2:$A$137,0)),0.5))),SQRT(G181*Config!$B$5)))</f>
        <v>6.21431358504971</v>
      </c>
      <c r="I181" s="10" t="n">
        <f aca="false">IF(OR(F181="",G181="",N(H181)&lt;=0),"",1-NORMDIST(FLOOR(F181,1)+0.5,G181,H181,TRUE()))</f>
        <v>0.378923332105127</v>
      </c>
      <c r="J181" s="10" t="n">
        <f aca="false">IF(I181="","",NORMDIST(CEILING(F181,1)-0.5,G181,H181,TRUE()))</f>
        <v>0.621076667894873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UNDER</v>
      </c>
      <c r="M181" s="0" t="n">
        <v>28.73</v>
      </c>
      <c r="N181" s="0" t="n">
        <v>29.8</v>
      </c>
      <c r="O181" s="10" t="n">
        <v>0.6</v>
      </c>
      <c r="P181" s="10" t="n">
        <v>0.5</v>
      </c>
      <c r="Q181" s="10" t="n">
        <v>0.6</v>
      </c>
      <c r="R181" s="9" t="s">
        <v>1287</v>
      </c>
      <c r="S181" s="0" t="n">
        <v>-1</v>
      </c>
      <c r="T181" s="0" t="str">
        <f aca="false">INDEX(Calc!$G$2:$G$137,MATCH($W181,Calc!$A$2:$A$137,0))&amp;" / "&amp;INDEX(Calc!$H$2:$H$137,MATCH($W181,Calc!$A$2:$A$137,0))</f>
        <v>Mirage / Dust2</v>
      </c>
      <c r="U181" s="0" t="str">
        <f aca="false">TEXT(INDEX(Calc!$J$2:$J$137,MATCH($W181,Calc!$A$2:$A$137,0)),"0.0")&amp;" / "&amp;TEXT(INDEX(Calc!$K$2:$K$137,MATCH($W181,Calc!$A$2:$A$137,0)),"0.0")</f>
        <v>18.6 / 18.6</v>
      </c>
      <c r="V181" s="0" t="str">
        <f aca="false">IFERROR(INDEX(Calc!$AQ$2:$AQ$137,MATCH($W181,Calc!$A$2:$A$137,0)),"")</f>
        <v/>
      </c>
      <c r="W181" s="9" t="s">
        <v>1510</v>
      </c>
      <c r="X181" s="9" t="s">
        <v>1291</v>
      </c>
      <c r="Y181" s="0" t="str">
        <f aca="false">W181&amp;"|"&amp;X181</f>
        <v>zskm3i3mjaiolhs|CS2 · IMP vs QUIN|K12</v>
      </c>
      <c r="Z181" s="11" t="n">
        <f aca="false">IFERROR(INDEX(CHOOSE(MATCH($X181,{"K1","K2","K3","K12","K13","H1","H2","H3","H12","H13"},0),Calc!$BA$2:$BA$137,Calc!$BB$2:$BB$137,Calc!$BC$2:$BC$137,Calc!$BD$2:$BD$137,Calc!$BE$2:$BE$137,Calc!$BF$2:$BF$137,Calc!$BG$2:$BG$137,Calc!$BH$2:$BH$137,Calc!$BI$2:$BI$137,Calc!$BJ$2:$BJ$137),MATCH($W181,Calc!$A$2:$A$137,0)),"")</f>
        <v>28.403410620158</v>
      </c>
      <c r="AA181" s="11" t="n">
        <f aca="false">IF(Z181="","",IF(LEFT($X181,1)="H",SQRT(Z181*(IFERROR(INDEX(Calc!$AP$2:$AP$137,MATCH($W181,Calc!$A$2:$A$137,0)),0.5)*Config!$B$5+1-IFERROR(INDEX(Calc!$AP$2:$AP$137,MATCH($W181,Calc!$A$2:$A$137,0)),0.5))),SQRT(Z181*Config!$B$5)))</f>
        <v>6.30593172086578</v>
      </c>
      <c r="AB181" s="10" t="n">
        <f aca="false">IF(OR(F181="",Z181="",N(AA181)&lt;=0),"",1-NORMDIST(FLOOR(F181,1)+0.5,Z181,AA181,TRUE()))</f>
        <v>0.43097278322092</v>
      </c>
      <c r="AC181" s="10" t="n">
        <f aca="false">IF(AB181="","",NORMDIST(CEILING(F181,1)-0.5,Z181,AA181,TRUE()))</f>
        <v>0.56902721677908</v>
      </c>
      <c r="AD181" s="0" t="str">
        <f aca="false">IF(AB181="","",IF(AB181&gt;=0.5+Config!$B$6,"OVER",IF(AC181&gt;=0.5+Config!$B$6,"UNDER","—")))</f>
        <v>UNDER</v>
      </c>
      <c r="AE181" s="13" t="n">
        <f aca="false">IFERROR(Z181/G181,"")</f>
        <v>1.02970352281237</v>
      </c>
    </row>
    <row r="182" customFormat="false" ht="15" hidden="false" customHeight="false" outlineLevel="0" collapsed="false">
      <c r="A182" s="0" t="s">
        <v>1139</v>
      </c>
      <c r="B182" s="0" t="s">
        <v>1180</v>
      </c>
      <c r="C182" s="0" t="s">
        <v>1511</v>
      </c>
      <c r="D182" s="0" t="s">
        <v>1184</v>
      </c>
      <c r="E182" s="0" t="s">
        <v>1290</v>
      </c>
      <c r="F182" s="0" t="n">
        <v>29.5</v>
      </c>
      <c r="G182" s="11" t="n">
        <f aca="false">IFERROR(INDEX(CHOOSE(MATCH($X182,{"K1","K2","K3","K12","K13","H1","H2","H3","H12","H13"},0),Calc!$V$2:$V$137,Calc!$AC$2:$AC$137,Calc!$AJ$2:$AJ$137,Calc!$AL$2:$AL$137,Calc!$AM$2:$AM$137,Calc!$W$2:$W$137,Calc!$AD$2:$AD$137,Calc!$AK$2:$AK$137,Calc!$AN$2:$AN$137,Calc!$AO$2:$AO$137),MATCH($W182,Calc!$A$2:$A$137,0)),"")</f>
        <v>28.4662666666667</v>
      </c>
      <c r="H182" s="11" t="n">
        <f aca="false">IF(G182="","",IF(LEFT($X182,1)="H",SQRT(G182*(IFERROR(INDEX(Calc!$AP$2:$AP$137,MATCH($W182,Calc!$A$2:$A$137,0)),0.5)*Config!$B$5+1-IFERROR(INDEX(Calc!$AP$2:$AP$137,MATCH($W182,Calc!$A$2:$A$137,0)),0.5))),SQRT(G182*Config!$B$5)))</f>
        <v>6.31290530051999</v>
      </c>
      <c r="I182" s="10" t="n">
        <f aca="false">IF(OR(F182="",G182="",N(H182)&lt;=0),"",1-NORMDIST(FLOOR(F182,1)+0.5,G182,H182,TRUE()))</f>
        <v>0.434964283356725</v>
      </c>
      <c r="J182" s="10" t="n">
        <f aca="false">IF(I182="","",NORMDIST(CEILING(F182,1)-0.5,G182,H182,TRUE()))</f>
        <v>0.565035716643275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UNDER</v>
      </c>
      <c r="M182" s="0" t="n">
        <v>28.33</v>
      </c>
      <c r="N182" s="0" t="n">
        <v>31.7</v>
      </c>
      <c r="O182" s="10" t="n">
        <v>0.4</v>
      </c>
      <c r="P182" s="10" t="n">
        <v>0.7</v>
      </c>
      <c r="Q182" s="10" t="n">
        <v>0.6</v>
      </c>
      <c r="R182" s="9" t="s">
        <v>1287</v>
      </c>
      <c r="S182" s="0" t="n">
        <v>-1</v>
      </c>
      <c r="T182" s="0" t="str">
        <f aca="false">INDEX(Calc!$G$2:$G$137,MATCH($W182,Calc!$A$2:$A$137,0))&amp;" / "&amp;INDEX(Calc!$H$2:$H$137,MATCH($W182,Calc!$A$2:$A$137,0))</f>
        <v>Mirage / Dust2</v>
      </c>
      <c r="U182" s="0" t="str">
        <f aca="false">TEXT(INDEX(Calc!$J$2:$J$137,MATCH($W182,Calc!$A$2:$A$137,0)),"0.0")&amp;" / "&amp;TEXT(INDEX(Calc!$K$2:$K$137,MATCH($W182,Calc!$A$2:$A$137,0)),"0.0")</f>
        <v>18.6 / 18.6</v>
      </c>
      <c r="V182" s="0" t="str">
        <f aca="false">IFERROR(INDEX(Calc!$AQ$2:$AQ$137,MATCH($W182,Calc!$A$2:$A$137,0)),"")</f>
        <v/>
      </c>
      <c r="W182" s="9" t="s">
        <v>1512</v>
      </c>
      <c r="X182" s="9" t="s">
        <v>1291</v>
      </c>
      <c r="Y182" s="0" t="str">
        <f aca="false">W182&amp;"|"&amp;X182</f>
        <v>247nk4skqmst67l|CS2 · IMP vs QUIN|K12</v>
      </c>
      <c r="Z182" s="11" t="n">
        <f aca="false">IFERROR(INDEX(CHOOSE(MATCH($X182,{"K1","K2","K3","K12","K13","H1","H2","H3","H12","H13"},0),Calc!$BA$2:$BA$137,Calc!$BB$2:$BB$137,Calc!$BC$2:$BC$137,Calc!$BD$2:$BD$137,Calc!$BE$2:$BE$137,Calc!$BF$2:$BF$137,Calc!$BG$2:$BG$137,Calc!$BH$2:$BH$137,Calc!$BI$2:$BI$137,Calc!$BJ$2:$BJ$137),MATCH($W182,Calc!$A$2:$A$137,0)),"")</f>
        <v>29.3026575043832</v>
      </c>
      <c r="AA182" s="11" t="n">
        <f aca="false">IF(Z182="","",IF(LEFT($X182,1)="H",SQRT(Z182*(IFERROR(INDEX(Calc!$AP$2:$AP$137,MATCH($W182,Calc!$A$2:$A$137,0)),0.5)*Config!$B$5+1-IFERROR(INDEX(Calc!$AP$2:$AP$137,MATCH($W182,Calc!$A$2:$A$137,0)),0.5))),SQRT(Z182*Config!$B$5)))</f>
        <v>6.40497622994313</v>
      </c>
      <c r="AB182" s="10" t="n">
        <f aca="false">IF(OR(F182="",Z182="",N(AA182)&lt;=0),"",1-NORMDIST(FLOOR(F182,1)+0.5,Z182,AA182,TRUE()))</f>
        <v>0.487710210316525</v>
      </c>
      <c r="AC182" s="10" t="n">
        <f aca="false">IF(AB182="","",NORMDIST(CEILING(F182,1)-0.5,Z182,AA182,TRUE()))</f>
        <v>0.512289789683475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1.02938182402036</v>
      </c>
    </row>
    <row r="183" customFormat="false" ht="15" hidden="false" customHeight="false" outlineLevel="0" collapsed="false">
      <c r="A183" s="0" t="s">
        <v>1139</v>
      </c>
      <c r="B183" s="0" t="s">
        <v>1199</v>
      </c>
      <c r="C183" s="0" t="s">
        <v>1513</v>
      </c>
      <c r="D183" s="0" t="s">
        <v>1203</v>
      </c>
      <c r="E183" s="0" t="s">
        <v>1286</v>
      </c>
      <c r="F183" s="0" t="n">
        <v>16</v>
      </c>
      <c r="G183" s="11" t="n">
        <f aca="false">IFERROR(INDEX(CHOOSE(MATCH($X183,{"K1","K2","K3","K12","K13","H1","H2","H3","H12","H13"},0),Calc!$V$2:$V$137,Calc!$AC$2:$AC$137,Calc!$AJ$2:$AJ$137,Calc!$AL$2:$AL$137,Calc!$AM$2:$AM$137,Calc!$W$2:$W$137,Calc!$AD$2:$AD$137,Calc!$AK$2:$AK$137,Calc!$AN$2:$AN$137,Calc!$AO$2:$AO$137),MATCH($W183,Calc!$A$2:$A$137,0)),"")</f>
        <v>16.7456090885675</v>
      </c>
      <c r="H183" s="11" t="n">
        <f aca="false">IF(G183="","",IF(LEFT($X183,1)="H",SQRT(G183*(IFERROR(INDEX(Calc!$AP$2:$AP$137,MATCH($W183,Calc!$A$2:$A$137,0)),0.5)*Config!$B$5+1-IFERROR(INDEX(Calc!$AP$2:$AP$137,MATCH($W183,Calc!$A$2:$A$137,0)),0.5))),SQRT(G183*Config!$B$5)))</f>
        <v>4.53134447222885</v>
      </c>
      <c r="I183" s="10" t="n">
        <f aca="false">IF(OR(F183="",G183="",N(H183)&lt;=0),"",1-NORMDIST(FLOOR(F183,1)+0.5,G183,H183,TRUE()))</f>
        <v>0.521612987950491</v>
      </c>
      <c r="J183" s="10" t="n">
        <f aca="false">IF(I183="","",NORMDIST(CEILING(F183,1)-0.5,G183,H183,TRUE()))</f>
        <v>0.391701408785108</v>
      </c>
      <c r="K183" s="10" t="n">
        <f aca="false">IF(I183="","",MAX(0,1-I183-J183))</f>
        <v>0.0866856032644011</v>
      </c>
      <c r="L183" s="0" t="str">
        <f aca="false">IF(I183="","",IF(I183&gt;=0.5+Config!$B$6,"OVER",IF(J183&gt;=0.5+Config!$B$6,"UNDER","—")))</f>
        <v>—</v>
      </c>
      <c r="N183" s="0" t="n">
        <v>17.3</v>
      </c>
      <c r="O183" s="10" t="n">
        <v>0.8</v>
      </c>
      <c r="P183" s="10" t="n">
        <v>0.6</v>
      </c>
      <c r="Q183" s="10" t="n">
        <v>0.6</v>
      </c>
      <c r="R183" s="9" t="s">
        <v>1287</v>
      </c>
      <c r="S183" s="0" t="n">
        <v>3</v>
      </c>
      <c r="T183" s="0" t="str">
        <f aca="false">INDEX(Calc!$G$2:$G$137,MATCH($W183,Calc!$A$2:$A$137,0))&amp;" / "&amp;INDEX(Calc!$H$2:$H$137,MATCH($W183,Calc!$A$2:$A$137,0))</f>
        <v>Mirage / Dust2</v>
      </c>
      <c r="U183" s="0" t="str">
        <f aca="false">TEXT(INDEX(Calc!$J$2:$J$137,MATCH($W183,Calc!$A$2:$A$137,0)),"0.0")&amp;" / "&amp;TEXT(INDEX(Calc!$K$2:$K$137,MATCH($W183,Calc!$A$2:$A$137,0)),"0.0")</f>
        <v>21.4 / 21.5</v>
      </c>
      <c r="V183" s="0" t="str">
        <f aca="false">IFERROR(INDEX(Calc!$AQ$2:$AQ$137,MATCH($W183,Calc!$A$2:$A$137,0)),"")</f>
        <v/>
      </c>
      <c r="W183" s="9" t="s">
        <v>1514</v>
      </c>
      <c r="X183" s="9" t="s">
        <v>1289</v>
      </c>
      <c r="Y183" s="0" t="str">
        <f aca="false">W183&amp;"|"&amp;X183</f>
        <v>66ajrvmetqiufsf|CS2 · MOUZ vs AUR|H12</v>
      </c>
      <c r="Z183" s="11" t="n">
        <f aca="false">IFERROR(INDEX(CHOOSE(MATCH($X183,{"K1","K2","K3","K12","K13","H1","H2","H3","H12","H13"},0),Calc!$BA$2:$BA$137,Calc!$BB$2:$BB$137,Calc!$BC$2:$BC$137,Calc!$BD$2:$BD$137,Calc!$BE$2:$BE$137,Calc!$BF$2:$BF$137,Calc!$BG$2:$BG$137,Calc!$BH$2:$BH$137,Calc!$BI$2:$BI$137,Calc!$BJ$2:$BJ$137),MATCH($W183,Calc!$A$2:$A$137,0)),"")</f>
        <v>15.8184825717942</v>
      </c>
      <c r="AA183" s="11" t="n">
        <f aca="false">IF(Z183="","",IF(LEFT($X183,1)="H",SQRT(Z183*(IFERROR(INDEX(Calc!$AP$2:$AP$137,MATCH($W183,Calc!$A$2:$A$137,0)),0.5)*Config!$B$5+1-IFERROR(INDEX(Calc!$AP$2:$AP$137,MATCH($W183,Calc!$A$2:$A$137,0)),0.5))),SQRT(Z183*Config!$B$5)))</f>
        <v>4.40411868638022</v>
      </c>
      <c r="AB183" s="10" t="n">
        <f aca="false">IF(OR(F183="",Z183="",N(AA183)&lt;=0),"",1-NORMDIST(FLOOR(F183,1)+0.5,Z183,AA183,TRUE()))</f>
        <v>0.438510989836746</v>
      </c>
      <c r="AC183" s="10" t="n">
        <f aca="false">IF(AB183="","",NORMDIST(CEILING(F183,1)-0.5,Z183,AA183,TRUE()))</f>
        <v>0.47117572867062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0.944634649485145</v>
      </c>
    </row>
    <row r="184" customFormat="false" ht="15" hidden="false" customHeight="false" outlineLevel="0" collapsed="false">
      <c r="A184" s="0" t="s">
        <v>1139</v>
      </c>
      <c r="B184" s="0" t="s">
        <v>1199</v>
      </c>
      <c r="C184" s="0" t="s">
        <v>1513</v>
      </c>
      <c r="D184" s="0" t="s">
        <v>1203</v>
      </c>
      <c r="E184" s="0" t="s">
        <v>1290</v>
      </c>
      <c r="F184" s="0" t="n">
        <v>28.5</v>
      </c>
      <c r="G184" s="11" t="n">
        <f aca="false">IFERROR(INDEX(CHOOSE(MATCH($X184,{"K1","K2","K3","K12","K13","H1","H2","H3","H12","H13"},0),Calc!$V$2:$V$137,Calc!$AC$2:$AC$137,Calc!$AJ$2:$AJ$137,Calc!$AL$2:$AL$137,Calc!$AM$2:$AM$137,Calc!$W$2:$W$137,Calc!$AD$2:$AD$137,Calc!$AK$2:$AK$137,Calc!$AN$2:$AN$137,Calc!$AO$2:$AO$137),MATCH($W184,Calc!$A$2:$A$137,0)),"")</f>
        <v>29.6150363636364</v>
      </c>
      <c r="H184" s="11" t="n">
        <f aca="false">IF(G184="","",IF(LEFT($X184,1)="H",SQRT(G184*(IFERROR(INDEX(Calc!$AP$2:$AP$137,MATCH($W184,Calc!$A$2:$A$137,0)),0.5)*Config!$B$5+1-IFERROR(INDEX(Calc!$AP$2:$AP$137,MATCH($W184,Calc!$A$2:$A$137,0)),0.5))),SQRT(G184*Config!$B$5)))</f>
        <v>6.43902561798685</v>
      </c>
      <c r="I184" s="10" t="n">
        <f aca="false">IF(OR(F184="",G184="",N(H184)&lt;=0),"",1-NORMDIST(FLOOR(F184,1)+0.5,G184,H184,TRUE()))</f>
        <v>0.568740505855332</v>
      </c>
      <c r="J184" s="10" t="n">
        <f aca="false">IF(I184="","",NORMDIST(CEILING(F184,1)-0.5,G184,H184,TRUE()))</f>
        <v>0.431259494144668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OVER</v>
      </c>
      <c r="M184" s="0" t="n">
        <v>29.18</v>
      </c>
      <c r="N184" s="0" t="n">
        <v>32.4</v>
      </c>
      <c r="O184" s="10" t="n">
        <v>0.8</v>
      </c>
      <c r="P184" s="10" t="n">
        <v>0.8</v>
      </c>
      <c r="Q184" s="10" t="n">
        <v>0.73</v>
      </c>
      <c r="R184" s="9" t="s">
        <v>1287</v>
      </c>
      <c r="S184" s="0" t="n">
        <v>3</v>
      </c>
      <c r="T184" s="0" t="str">
        <f aca="false">INDEX(Calc!$G$2:$G$137,MATCH($W184,Calc!$A$2:$A$137,0))&amp;" / "&amp;INDEX(Calc!$H$2:$H$137,MATCH($W184,Calc!$A$2:$A$137,0))</f>
        <v>Mirage / Dust2</v>
      </c>
      <c r="U184" s="0" t="str">
        <f aca="false">TEXT(INDEX(Calc!$J$2:$J$137,MATCH($W184,Calc!$A$2:$A$137,0)),"0.0")&amp;" / "&amp;TEXT(INDEX(Calc!$K$2:$K$137,MATCH($W184,Calc!$A$2:$A$137,0)),"0.0")</f>
        <v>21.4 / 21.5</v>
      </c>
      <c r="V184" s="0" t="str">
        <f aca="false">IFERROR(INDEX(Calc!$AQ$2:$AQ$137,MATCH($W184,Calc!$A$2:$A$137,0)),"")</f>
        <v/>
      </c>
      <c r="W184" s="9" t="s">
        <v>1514</v>
      </c>
      <c r="X184" s="9" t="s">
        <v>1291</v>
      </c>
      <c r="Y184" s="0" t="str">
        <f aca="false">W184&amp;"|"&amp;X184</f>
        <v>66ajrvmetqiufsf|CS2 · MOUZ vs AUR|K12</v>
      </c>
      <c r="Z184" s="11" t="n">
        <f aca="false">IFERROR(INDEX(CHOOSE(MATCH($X184,{"K1","K2","K3","K12","K13","H1","H2","H3","H12","H13"},0),Calc!$BA$2:$BA$137,Calc!$BB$2:$BB$137,Calc!$BC$2:$BC$137,Calc!$BD$2:$BD$137,Calc!$BE$2:$BE$137,Calc!$BF$2:$BF$137,Calc!$BG$2:$BG$137,Calc!$BH$2:$BH$137,Calc!$BI$2:$BI$137,Calc!$BJ$2:$BJ$137),MATCH($W184,Calc!$A$2:$A$137,0)),"")</f>
        <v>27.9651560396723</v>
      </c>
      <c r="AA184" s="11" t="n">
        <f aca="false">IF(Z184="","",IF(LEFT($X184,1)="H",SQRT(Z184*(IFERROR(INDEX(Calc!$AP$2:$AP$137,MATCH($W184,Calc!$A$2:$A$137,0)),0.5)*Config!$B$5+1-IFERROR(INDEX(Calc!$AP$2:$AP$137,MATCH($W184,Calc!$A$2:$A$137,0)),0.5))),SQRT(Z184*Config!$B$5)))</f>
        <v>6.25709345107944</v>
      </c>
      <c r="AB184" s="10" t="n">
        <f aca="false">IF(OR(F184="",Z184="",N(AA184)&lt;=0),"",1-NORMDIST(FLOOR(F184,1)+0.5,Z184,AA184,TRUE()))</f>
        <v>0.46594068442891</v>
      </c>
      <c r="AC184" s="10" t="n">
        <f aca="false">IF(AB184="","",NORMDIST(CEILING(F184,1)-0.5,Z184,AA184,TRUE()))</f>
        <v>0.53405931557109</v>
      </c>
      <c r="AD184" s="0" t="str">
        <f aca="false">IF(AB184="","",IF(AB184&gt;=0.5+Config!$B$6,"OVER",IF(AC184&gt;=0.5+Config!$B$6,"UNDER","—")))</f>
        <v>—</v>
      </c>
      <c r="AE184" s="13" t="n">
        <f aca="false">IFERROR(Z184/G184,"")</f>
        <v>0.944289100181897</v>
      </c>
    </row>
    <row r="185" customFormat="false" ht="15" hidden="false" customHeight="false" outlineLevel="0" collapsed="false">
      <c r="A185" s="0" t="s">
        <v>1139</v>
      </c>
      <c r="B185" s="0" t="s">
        <v>1199</v>
      </c>
      <c r="C185" s="0" t="s">
        <v>1515</v>
      </c>
      <c r="D185" s="0" t="s">
        <v>1203</v>
      </c>
      <c r="E185" s="0" t="s">
        <v>1286</v>
      </c>
      <c r="F185" s="0" t="n">
        <v>12.5</v>
      </c>
      <c r="G185" s="11" t="n">
        <f aca="false">IFERROR(INDEX(CHOOSE(MATCH($X185,{"K1","K2","K3","K12","K13","H1","H2","H3","H12","H13"},0),Calc!$V$2:$V$137,Calc!$AC$2:$AC$137,Calc!$AJ$2:$AJ$137,Calc!$AL$2:$AL$137,Calc!$AM$2:$AM$137,Calc!$W$2:$W$137,Calc!$AD$2:$AD$137,Calc!$AK$2:$AK$137,Calc!$AN$2:$AN$137,Calc!$AO$2:$AO$137),MATCH($W185,Calc!$A$2:$A$137,0)),"")</f>
        <v>12.82480745</v>
      </c>
      <c r="H185" s="11" t="n">
        <f aca="false">IF(G185="","",IF(LEFT($X185,1)="H",SQRT(G185*(IFERROR(INDEX(Calc!$AP$2:$AP$137,MATCH($W185,Calc!$A$2:$A$137,0)),0.5)*Config!$B$5+1-IFERROR(INDEX(Calc!$AP$2:$AP$137,MATCH($W185,Calc!$A$2:$A$137,0)),0.5))),SQRT(G185*Config!$B$5)))</f>
        <v>3.98176740789765</v>
      </c>
      <c r="I185" s="10" t="n">
        <f aca="false">IF(OR(F185="",G185="",N(H185)&lt;=0),"",1-NORMDIST(FLOOR(F185,1)+0.5,G185,H185,TRUE()))</f>
        <v>0.53250713703892</v>
      </c>
      <c r="J185" s="10" t="n">
        <f aca="false">IF(I185="","",NORMDIST(CEILING(F185,1)-0.5,G185,H185,TRUE()))</f>
        <v>0.46749286296108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—</v>
      </c>
      <c r="N185" s="0" t="n">
        <v>13.6</v>
      </c>
      <c r="O185" s="10" t="n">
        <v>0.6</v>
      </c>
      <c r="P185" s="10" t="n">
        <v>0.6</v>
      </c>
      <c r="Q185" s="10" t="n">
        <v>0.53</v>
      </c>
      <c r="R185" s="9" t="s">
        <v>1516</v>
      </c>
      <c r="S185" s="0" t="n">
        <v>2</v>
      </c>
      <c r="T185" s="0" t="str">
        <f aca="false">INDEX(Calc!$G$2:$G$137,MATCH($W185,Calc!$A$2:$A$137,0))&amp;" / "&amp;INDEX(Calc!$H$2:$H$137,MATCH($W185,Calc!$A$2:$A$137,0))</f>
        <v>Mirage / Dust2</v>
      </c>
      <c r="U185" s="0" t="str">
        <f aca="false">TEXT(INDEX(Calc!$J$2:$J$137,MATCH($W185,Calc!$A$2:$A$137,0)),"0.0")&amp;" / "&amp;TEXT(INDEX(Calc!$K$2:$K$137,MATCH($W185,Calc!$A$2:$A$137,0)),"0.0")</f>
        <v>21.4 / 21.5</v>
      </c>
      <c r="V185" s="0" t="str">
        <f aca="false">IFERROR(INDEX(Calc!$AQ$2:$AQ$137,MATCH($W185,Calc!$A$2:$A$137,0)),"")</f>
        <v/>
      </c>
      <c r="W185" s="9" t="s">
        <v>1517</v>
      </c>
      <c r="X185" s="9" t="s">
        <v>1289</v>
      </c>
      <c r="Y185" s="0" t="str">
        <f aca="false">W185&amp;"|"&amp;X185</f>
        <v>gzghvr1quamb0xn|CS2 · MOUZ vs AUR|H12</v>
      </c>
      <c r="Z185" s="11" t="n">
        <f aca="false">IFERROR(INDEX(CHOOSE(MATCH($X185,{"K1","K2","K3","K12","K13","H1","H2","H3","H12","H13"},0),Calc!$BA$2:$BA$137,Calc!$BB$2:$BB$137,Calc!$BC$2:$BC$137,Calc!$BD$2:$BD$137,Calc!$BE$2:$BE$137,Calc!$BF$2:$BF$137,Calc!$BG$2:$BG$137,Calc!$BH$2:$BH$137,Calc!$BI$2:$BI$137,Calc!$BJ$2:$BJ$137),MATCH($W185,Calc!$A$2:$A$137,0)),"")</f>
        <v>12.1026386309209</v>
      </c>
      <c r="AA185" s="11" t="n">
        <f aca="false">IF(Z185="","",IF(LEFT($X185,1)="H",SQRT(Z185*(IFERROR(INDEX(Calc!$AP$2:$AP$137,MATCH($W185,Calc!$A$2:$A$137,0)),0.5)*Config!$B$5+1-IFERROR(INDEX(Calc!$AP$2:$AP$137,MATCH($W185,Calc!$A$2:$A$137,0)),0.5))),SQRT(Z185*Config!$B$5)))</f>
        <v>3.86803587807566</v>
      </c>
      <c r="AB185" s="10" t="n">
        <f aca="false">IF(OR(F185="",Z185="",N(AA185)&lt;=0),"",1-NORMDIST(FLOOR(F185,1)+0.5,Z185,AA185,TRUE()))</f>
        <v>0.459088832269032</v>
      </c>
      <c r="AC185" s="10" t="n">
        <f aca="false">IF(AB185="","",NORMDIST(CEILING(F185,1)-0.5,Z185,AA185,TRUE()))</f>
        <v>0.540911167730968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0.94368969499974</v>
      </c>
    </row>
    <row r="186" customFormat="false" ht="15" hidden="false" customHeight="false" outlineLevel="0" collapsed="false">
      <c r="A186" s="0" t="s">
        <v>1139</v>
      </c>
      <c r="B186" s="0" t="s">
        <v>1199</v>
      </c>
      <c r="C186" s="0" t="s">
        <v>1515</v>
      </c>
      <c r="D186" s="0" t="s">
        <v>1203</v>
      </c>
      <c r="E186" s="0" t="s">
        <v>1290</v>
      </c>
      <c r="F186" s="0" t="n">
        <v>22.5</v>
      </c>
      <c r="G186" s="11" t="n">
        <f aca="false">IFERROR(INDEX(CHOOSE(MATCH($X186,{"K1","K2","K3","K12","K13","H1","H2","H3","H12","H13"},0),Calc!$V$2:$V$137,Calc!$AC$2:$AC$137,Calc!$AJ$2:$AJ$137,Calc!$AL$2:$AL$137,Calc!$AM$2:$AM$137,Calc!$W$2:$W$137,Calc!$AD$2:$AD$137,Calc!$AK$2:$AK$137,Calc!$AN$2:$AN$137,Calc!$AO$2:$AO$137),MATCH($W186,Calc!$A$2:$A$137,0)),"")</f>
        <v>21.7153681818182</v>
      </c>
      <c r="H186" s="11" t="n">
        <f aca="false">IF(G186="","",IF(LEFT($X186,1)="H",SQRT(G186*(IFERROR(INDEX(Calc!$AP$2:$AP$137,MATCH($W186,Calc!$A$2:$A$137,0)),0.5)*Config!$B$5+1-IFERROR(INDEX(Calc!$AP$2:$AP$137,MATCH($W186,Calc!$A$2:$A$137,0)),0.5))),SQRT(G186*Config!$B$5)))</f>
        <v>5.51375692740852</v>
      </c>
      <c r="I186" s="10" t="n">
        <f aca="false">IF(OR(F186="",G186="",N(H186)&lt;=0),"",1-NORMDIST(FLOOR(F186,1)+0.5,G186,H186,TRUE()))</f>
        <v>0.443419789404783</v>
      </c>
      <c r="J186" s="10" t="n">
        <f aca="false">IF(I186="","",NORMDIST(CEILING(F186,1)-0.5,G186,H186,TRUE()))</f>
        <v>0.556580210595217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UNDER</v>
      </c>
      <c r="M186" s="0" t="n">
        <v>21.57</v>
      </c>
      <c r="N186" s="0" t="n">
        <v>23.5</v>
      </c>
      <c r="O186" s="10" t="n">
        <v>0.8</v>
      </c>
      <c r="P186" s="10" t="n">
        <v>0.6</v>
      </c>
      <c r="Q186" s="10" t="n">
        <v>0.47</v>
      </c>
      <c r="R186" s="9" t="s">
        <v>1518</v>
      </c>
      <c r="S186" s="0" t="n">
        <v>3</v>
      </c>
      <c r="T186" s="0" t="str">
        <f aca="false">INDEX(Calc!$G$2:$G$137,MATCH($W186,Calc!$A$2:$A$137,0))&amp;" / "&amp;INDEX(Calc!$H$2:$H$137,MATCH($W186,Calc!$A$2:$A$137,0))</f>
        <v>Mirage / Dust2</v>
      </c>
      <c r="U186" s="0" t="str">
        <f aca="false">TEXT(INDEX(Calc!$J$2:$J$137,MATCH($W186,Calc!$A$2:$A$137,0)),"0.0")&amp;" / "&amp;TEXT(INDEX(Calc!$K$2:$K$137,MATCH($W186,Calc!$A$2:$A$137,0)),"0.0")</f>
        <v>21.4 / 21.5</v>
      </c>
      <c r="V186" s="0" t="str">
        <f aca="false">IFERROR(INDEX(Calc!$AQ$2:$AQ$137,MATCH($W186,Calc!$A$2:$A$137,0)),"")</f>
        <v/>
      </c>
      <c r="W186" s="9" t="s">
        <v>1517</v>
      </c>
      <c r="X186" s="9" t="s">
        <v>1291</v>
      </c>
      <c r="Y186" s="0" t="str">
        <f aca="false">W186&amp;"|"&amp;X186</f>
        <v>gzghvr1quamb0xn|CS2 · MOUZ vs AUR|K12</v>
      </c>
      <c r="Z186" s="11" t="n">
        <f aca="false">IFERROR(INDEX(CHOOSE(MATCH($X186,{"K1","K2","K3","K12","K13","H1","H2","H3","H12","H13"},0),Calc!$BA$2:$BA$137,Calc!$BB$2:$BB$137,Calc!$BC$2:$BC$137,Calc!$BD$2:$BD$137,Calc!$BE$2:$BE$137,Calc!$BF$2:$BF$137,Calc!$BG$2:$BG$137,Calc!$BH$2:$BH$137,Calc!$BI$2:$BI$137,Calc!$BJ$2:$BJ$137),MATCH($W186,Calc!$A$2:$A$137,0)),"")</f>
        <v>20.4938209246925</v>
      </c>
      <c r="AA186" s="11" t="n">
        <f aca="false">IF(Z186="","",IF(LEFT($X186,1)="H",SQRT(Z186*(IFERROR(INDEX(Calc!$AP$2:$AP$137,MATCH($W186,Calc!$A$2:$A$137,0)),0.5)*Config!$B$5+1-IFERROR(INDEX(Calc!$AP$2:$AP$137,MATCH($W186,Calc!$A$2:$A$137,0)),0.5))),SQRT(Z186*Config!$B$5)))</f>
        <v>5.3564306487221</v>
      </c>
      <c r="AB186" s="10" t="n">
        <f aca="false">IF(OR(F186="",Z186="",N(AA186)&lt;=0),"",1-NORMDIST(FLOOR(F186,1)+0.5,Z186,AA186,TRUE()))</f>
        <v>0.354002583164461</v>
      </c>
      <c r="AC186" s="10" t="n">
        <f aca="false">IF(AB186="","",NORMDIST(CEILING(F186,1)-0.5,Z186,AA186,TRUE()))</f>
        <v>0.645997416835539</v>
      </c>
      <c r="AD186" s="0" t="str">
        <f aca="false">IF(AB186="","",IF(AB186&gt;=0.5+Config!$B$6,"OVER",IF(AC186&gt;=0.5+Config!$B$6,"UNDER","—")))</f>
        <v>UNDER</v>
      </c>
      <c r="AE186" s="13" t="n">
        <f aca="false">IFERROR(Z186/G186,"")</f>
        <v>0.943747338433411</v>
      </c>
    </row>
    <row r="187" customFormat="false" ht="15" hidden="false" customHeight="false" outlineLevel="0" collapsed="false">
      <c r="A187" s="0" t="s">
        <v>1139</v>
      </c>
      <c r="B187" s="0" t="s">
        <v>1199</v>
      </c>
      <c r="C187" s="0" t="s">
        <v>1519</v>
      </c>
      <c r="D187" s="0" t="s">
        <v>1203</v>
      </c>
      <c r="E187" s="0" t="s">
        <v>1286</v>
      </c>
      <c r="F187" s="0" t="n">
        <v>16.5</v>
      </c>
      <c r="G187" s="11" t="n">
        <f aca="false">IFERROR(INDEX(CHOOSE(MATCH($X187,{"K1","K2","K3","K12","K13","H1","H2","H3","H12","H13"},0),Calc!$V$2:$V$137,Calc!$AC$2:$AC$137,Calc!$AJ$2:$AJ$137,Calc!$AL$2:$AL$137,Calc!$AM$2:$AM$137,Calc!$W$2:$W$137,Calc!$AD$2:$AD$137,Calc!$AK$2:$AK$137,Calc!$AN$2:$AN$137,Calc!$AO$2:$AO$137),MATCH($W187,Calc!$A$2:$A$137,0)),"")</f>
        <v>15.7022583173554</v>
      </c>
      <c r="H187" s="11" t="n">
        <f aca="false">IF(G187="","",IF(LEFT($X187,1)="H",SQRT(G187*(IFERROR(INDEX(Calc!$AP$2:$AP$137,MATCH($W187,Calc!$A$2:$A$137,0)),0.5)*Config!$B$5+1-IFERROR(INDEX(Calc!$AP$2:$AP$137,MATCH($W187,Calc!$A$2:$A$137,0)),0.5))),SQRT(G187*Config!$B$5)))</f>
        <v>4.33265463257223</v>
      </c>
      <c r="I187" s="10" t="n">
        <f aca="false">IF(OR(F187="",G187="",N(H187)&lt;=0),"",1-NORMDIST(FLOOR(F187,1)+0.5,G187,H187,TRUE()))</f>
        <v>0.426958453368507</v>
      </c>
      <c r="J187" s="10" t="n">
        <f aca="false">IF(I187="","",NORMDIST(CEILING(F187,1)-0.5,G187,H187,TRUE()))</f>
        <v>0.573041546631493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UNDER</v>
      </c>
      <c r="N187" s="0" t="n">
        <v>17.3</v>
      </c>
      <c r="O187" s="10" t="n">
        <v>0.4</v>
      </c>
      <c r="P187" s="10" t="n">
        <v>0.6</v>
      </c>
      <c r="Q187" s="10" t="n">
        <v>0.6</v>
      </c>
      <c r="R187" s="9" t="s">
        <v>1361</v>
      </c>
      <c r="S187" s="0" t="n">
        <v>-3</v>
      </c>
      <c r="T187" s="0" t="str">
        <f aca="false">INDEX(Calc!$G$2:$G$137,MATCH($W187,Calc!$A$2:$A$137,0))&amp;" / "&amp;INDEX(Calc!$H$2:$H$137,MATCH($W187,Calc!$A$2:$A$137,0))</f>
        <v>Mirage / Dust2</v>
      </c>
      <c r="U187" s="0" t="str">
        <f aca="false">TEXT(INDEX(Calc!$J$2:$J$137,MATCH($W187,Calc!$A$2:$A$137,0)),"0.0")&amp;" / "&amp;TEXT(INDEX(Calc!$K$2:$K$137,MATCH($W187,Calc!$A$2:$A$137,0)),"0.0")</f>
        <v>21.4 / 21.5</v>
      </c>
      <c r="V187" s="0" t="str">
        <f aca="false">IFERROR(INDEX(Calc!$AQ$2:$AQ$137,MATCH($W187,Calc!$A$2:$A$137,0)),"")</f>
        <v/>
      </c>
      <c r="W187" s="9" t="s">
        <v>1520</v>
      </c>
      <c r="X187" s="9" t="s">
        <v>1289</v>
      </c>
      <c r="Y187" s="0" t="str">
        <f aca="false">W187&amp;"|"&amp;X187</f>
        <v>9clq2dpvqugkf0i|CS2 · MOUZ vs AUR|H12</v>
      </c>
      <c r="Z187" s="11" t="n">
        <f aca="false">IFERROR(INDEX(CHOOSE(MATCH($X187,{"K1","K2","K3","K12","K13","H1","H2","H3","H12","H13"},0),Calc!$BA$2:$BA$137,Calc!$BB$2:$BB$137,Calc!$BC$2:$BC$137,Calc!$BD$2:$BD$137,Calc!$BE$2:$BE$137,Calc!$BF$2:$BF$137,Calc!$BG$2:$BG$137,Calc!$BH$2:$BH$137,Calc!$BI$2:$BI$137,Calc!$BJ$2:$BJ$137),MATCH($W187,Calc!$A$2:$A$137,0)),"")</f>
        <v>14.8103667619969</v>
      </c>
      <c r="AA187" s="11" t="n">
        <f aca="false">IF(Z187="","",IF(LEFT($X187,1)="H",SQRT(Z187*(IFERROR(INDEX(Calc!$AP$2:$AP$137,MATCH($W187,Calc!$A$2:$A$137,0)),0.5)*Config!$B$5+1-IFERROR(INDEX(Calc!$AP$2:$AP$137,MATCH($W187,Calc!$A$2:$A$137,0)),0.5))),SQRT(Z187*Config!$B$5)))</f>
        <v>4.20780804436886</v>
      </c>
      <c r="AB187" s="10" t="n">
        <f aca="false">IF(OR(F187="",Z187="",N(AA187)&lt;=0),"",1-NORMDIST(FLOOR(F187,1)+0.5,Z187,AA187,TRUE()))</f>
        <v>0.344008673605118</v>
      </c>
      <c r="AC187" s="10" t="n">
        <f aca="false">IF(AB187="","",NORMDIST(CEILING(F187,1)-0.5,Z187,AA187,TRUE()))</f>
        <v>0.655991326394882</v>
      </c>
      <c r="AD187" s="0" t="str">
        <f aca="false">IF(AB187="","",IF(AB187&gt;=0.5+Config!$B$6,"OVER",IF(AC187&gt;=0.5+Config!$B$6,"UNDER","—")))</f>
        <v>UNDER</v>
      </c>
      <c r="AE187" s="13" t="n">
        <f aca="false">IFERROR(Z187/G187,"")</f>
        <v>0.943199790926083</v>
      </c>
    </row>
    <row r="188" customFormat="false" ht="15" hidden="false" customHeight="false" outlineLevel="0" collapsed="false">
      <c r="A188" s="0" t="s">
        <v>1139</v>
      </c>
      <c r="B188" s="0" t="s">
        <v>1199</v>
      </c>
      <c r="C188" s="0" t="s">
        <v>1519</v>
      </c>
      <c r="D188" s="0" t="s">
        <v>1203</v>
      </c>
      <c r="E188" s="0" t="s">
        <v>1290</v>
      </c>
      <c r="F188" s="0" t="n">
        <v>30.5</v>
      </c>
      <c r="G188" s="11" t="n">
        <f aca="false">IFERROR(INDEX(CHOOSE(MATCH($X188,{"K1","K2","K3","K12","K13","H1","H2","H3","H12","H13"},0),Calc!$V$2:$V$137,Calc!$AC$2:$AC$137,Calc!$AJ$2:$AJ$137,Calc!$AL$2:$AL$137,Calc!$AM$2:$AM$137,Calc!$W$2:$W$137,Calc!$AD$2:$AD$137,Calc!$AK$2:$AK$137,Calc!$AN$2:$AN$137,Calc!$AO$2:$AO$137),MATCH($W188,Calc!$A$2:$A$137,0)),"")</f>
        <v>32.1289909090909</v>
      </c>
      <c r="H188" s="11" t="n">
        <f aca="false">IF(G188="","",IF(LEFT($X188,1)="H",SQRT(G188*(IFERROR(INDEX(Calc!$AP$2:$AP$137,MATCH($W188,Calc!$A$2:$A$137,0)),0.5)*Config!$B$5+1-IFERROR(INDEX(Calc!$AP$2:$AP$137,MATCH($W188,Calc!$A$2:$A$137,0)),0.5))),SQRT(G188*Config!$B$5)))</f>
        <v>6.70675683715515</v>
      </c>
      <c r="I188" s="10" t="n">
        <f aca="false">IF(OR(F188="",G188="",N(H188)&lt;=0),"",1-NORMDIST(FLOOR(F188,1)+0.5,G188,H188,TRUE()))</f>
        <v>0.595953927983508</v>
      </c>
      <c r="J188" s="10" t="n">
        <f aca="false">IF(I188="","",NORMDIST(CEILING(F188,1)-0.5,G188,H188,TRUE()))</f>
        <v>0.404046072016492</v>
      </c>
      <c r="K188" s="10" t="n">
        <f aca="false">IF(I188="","",MAX(0,1-I188-J188))</f>
        <v>0</v>
      </c>
      <c r="L188" s="0" t="str">
        <f aca="false">IF(I188="","",IF(I188&gt;=0.5+Config!$B$6,"OVER",IF(J188&gt;=0.5+Config!$B$6,"UNDER","—")))</f>
        <v>OVER</v>
      </c>
      <c r="M188" s="0" t="n">
        <v>30.58</v>
      </c>
      <c r="N188" s="0" t="n">
        <v>34</v>
      </c>
      <c r="O188" s="10" t="n">
        <v>0.8</v>
      </c>
      <c r="P188" s="10" t="n">
        <v>0.7</v>
      </c>
      <c r="Q188" s="10" t="n">
        <v>0.53</v>
      </c>
      <c r="R188" s="9" t="s">
        <v>1361</v>
      </c>
      <c r="S188" s="0" t="n">
        <v>-1</v>
      </c>
      <c r="T188" s="0" t="str">
        <f aca="false">INDEX(Calc!$G$2:$G$137,MATCH($W188,Calc!$A$2:$A$137,0))&amp;" / "&amp;INDEX(Calc!$H$2:$H$137,MATCH($W188,Calc!$A$2:$A$137,0))</f>
        <v>Mirage / Dust2</v>
      </c>
      <c r="U188" s="0" t="str">
        <f aca="false">TEXT(INDEX(Calc!$J$2:$J$137,MATCH($W188,Calc!$A$2:$A$137,0)),"0.0")&amp;" / "&amp;TEXT(INDEX(Calc!$K$2:$K$137,MATCH($W188,Calc!$A$2:$A$137,0)),"0.0")</f>
        <v>21.4 / 21.5</v>
      </c>
      <c r="V188" s="0" t="str">
        <f aca="false">IFERROR(INDEX(Calc!$AQ$2:$AQ$137,MATCH($W188,Calc!$A$2:$A$137,0)),"")</f>
        <v/>
      </c>
      <c r="W188" s="9" t="s">
        <v>1520</v>
      </c>
      <c r="X188" s="9" t="s">
        <v>1291</v>
      </c>
      <c r="Y188" s="0" t="str">
        <f aca="false">W188&amp;"|"&amp;X188</f>
        <v>9clq2dpvqugkf0i|CS2 · MOUZ vs AUR|K12</v>
      </c>
      <c r="Z188" s="11" t="n">
        <f aca="false">IFERROR(INDEX(CHOOSE(MATCH($X188,{"K1","K2","K3","K12","K13","H1","H2","H3","H12","H13"},0),Calc!$BA$2:$BA$137,Calc!$BB$2:$BB$137,Calc!$BC$2:$BC$137,Calc!$BD$2:$BD$137,Calc!$BE$2:$BE$137,Calc!$BF$2:$BF$137,Calc!$BG$2:$BG$137,Calc!$BH$2:$BH$137,Calc!$BI$2:$BI$137,Calc!$BJ$2:$BJ$137),MATCH($W188,Calc!$A$2:$A$137,0)),"")</f>
        <v>30.3117399735959</v>
      </c>
      <c r="AA188" s="11" t="n">
        <f aca="false">IF(Z188="","",IF(LEFT($X188,1)="H",SQRT(Z188*(IFERROR(INDEX(Calc!$AP$2:$AP$137,MATCH($W188,Calc!$A$2:$A$137,0)),0.5)*Config!$B$5+1-IFERROR(INDEX(Calc!$AP$2:$AP$137,MATCH($W188,Calc!$A$2:$A$137,0)),0.5))),SQRT(Z188*Config!$B$5)))</f>
        <v>6.51432544190373</v>
      </c>
      <c r="AB188" s="10" t="n">
        <f aca="false">IF(OR(F188="",Z188="",N(AA188)&lt;=0),"",1-NORMDIST(FLOOR(F188,1)+0.5,Z188,AA188,TRUE()))</f>
        <v>0.488472416378613</v>
      </c>
      <c r="AC188" s="10" t="n">
        <f aca="false">IF(AB188="","",NORMDIST(CEILING(F188,1)-0.5,Z188,AA188,TRUE()))</f>
        <v>0.511527583621387</v>
      </c>
      <c r="AD188" s="0" t="str">
        <f aca="false">IF(AB188="","",IF(AB188&gt;=0.5+Config!$B$6,"OVER",IF(AC188&gt;=0.5+Config!$B$6,"UNDER","—")))</f>
        <v>—</v>
      </c>
      <c r="AE188" s="13" t="n">
        <f aca="false">IFERROR(Z188/G188,"")</f>
        <v>0.943438904115074</v>
      </c>
    </row>
    <row r="189" customFormat="false" ht="15" hidden="false" customHeight="false" outlineLevel="0" collapsed="false">
      <c r="A189" s="0" t="s">
        <v>1139</v>
      </c>
      <c r="B189" s="0" t="s">
        <v>1199</v>
      </c>
      <c r="C189" s="0" t="s">
        <v>1521</v>
      </c>
      <c r="D189" s="0" t="s">
        <v>1203</v>
      </c>
      <c r="E189" s="0" t="s">
        <v>1286</v>
      </c>
      <c r="F189" s="0" t="n">
        <v>9.5</v>
      </c>
      <c r="G189" s="11" t="n">
        <f aca="false">IFERROR(INDEX(CHOOSE(MATCH($X189,{"K1","K2","K3","K12","K13","H1","H2","H3","H12","H13"},0),Calc!$V$2:$V$137,Calc!$AC$2:$AC$137,Calc!$AJ$2:$AJ$137,Calc!$AL$2:$AL$137,Calc!$AM$2:$AM$137,Calc!$W$2:$W$137,Calc!$AD$2:$AD$137,Calc!$AK$2:$AK$137,Calc!$AN$2:$AN$137,Calc!$AO$2:$AO$137),MATCH($W189,Calc!$A$2:$A$137,0)),"")</f>
        <v>10.3563665732323</v>
      </c>
      <c r="H189" s="11" t="n">
        <f aca="false">IF(G189="","",IF(LEFT($X189,1)="H",SQRT(G189*(IFERROR(INDEX(Calc!$AP$2:$AP$137,MATCH($W189,Calc!$A$2:$A$137,0)),0.5)*Config!$B$5+1-IFERROR(INDEX(Calc!$AP$2:$AP$137,MATCH($W189,Calc!$A$2:$A$137,0)),0.5))),SQRT(G189*Config!$B$5)))</f>
        <v>3.42569680089865</v>
      </c>
      <c r="I189" s="10" t="n">
        <f aca="false">IF(OR(F189="",G189="",N(H189)&lt;=0),"",1-NORMDIST(FLOOR(F189,1)+0.5,G189,H189,TRUE()))</f>
        <v>0.59869982114713</v>
      </c>
      <c r="J189" s="10" t="n">
        <f aca="false">IF(I189="","",NORMDIST(CEILING(F189,1)-0.5,G189,H189,TRUE()))</f>
        <v>0.40130017885287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OVER</v>
      </c>
      <c r="N189" s="0" t="n">
        <v>11.2</v>
      </c>
      <c r="O189" s="10" t="n">
        <v>0.6</v>
      </c>
      <c r="P189" s="10" t="n">
        <v>0.7</v>
      </c>
      <c r="Q189" s="10" t="n">
        <v>0.67</v>
      </c>
      <c r="R189" s="9" t="s">
        <v>1361</v>
      </c>
      <c r="S189" s="0" t="n">
        <v>-1</v>
      </c>
      <c r="T189" s="0" t="str">
        <f aca="false">INDEX(Calc!$G$2:$G$137,MATCH($W189,Calc!$A$2:$A$137,0))&amp;" / "&amp;INDEX(Calc!$H$2:$H$137,MATCH($W189,Calc!$A$2:$A$137,0))</f>
        <v>Mirage / Dust2</v>
      </c>
      <c r="U189" s="0" t="str">
        <f aca="false">TEXT(INDEX(Calc!$J$2:$J$137,MATCH($W189,Calc!$A$2:$A$137,0)),"0.0")&amp;" / "&amp;TEXT(INDEX(Calc!$K$2:$K$137,MATCH($W189,Calc!$A$2:$A$137,0)),"0.0")</f>
        <v>21.4 / 21.5</v>
      </c>
      <c r="V189" s="0" t="str">
        <f aca="false">IFERROR(INDEX(Calc!$AQ$2:$AQ$137,MATCH($W189,Calc!$A$2:$A$137,0)),"")</f>
        <v/>
      </c>
      <c r="W189" s="9" t="s">
        <v>1522</v>
      </c>
      <c r="X189" s="9" t="s">
        <v>1289</v>
      </c>
      <c r="Y189" s="0" t="str">
        <f aca="false">W189&amp;"|"&amp;X189</f>
        <v>lpkyyhtoofj8ova|CS2 · MOUZ vs AUR|H12</v>
      </c>
      <c r="Z189" s="11" t="n">
        <f aca="false">IFERROR(INDEX(CHOOSE(MATCH($X189,{"K1","K2","K3","K12","K13","H1","H2","H3","H12","H13"},0),Calc!$BA$2:$BA$137,Calc!$BB$2:$BB$137,Calc!$BC$2:$BC$137,Calc!$BD$2:$BD$137,Calc!$BE$2:$BE$137,Calc!$BF$2:$BF$137,Calc!$BG$2:$BG$137,Calc!$BH$2:$BH$137,Calc!$BI$2:$BI$137,Calc!$BJ$2:$BJ$137),MATCH($W189,Calc!$A$2:$A$137,0)),"")</f>
        <v>9.78414698794707</v>
      </c>
      <c r="AA189" s="11" t="n">
        <f aca="false">IF(Z189="","",IF(LEFT($X189,1)="H",SQRT(Z189*(IFERROR(INDEX(Calc!$AP$2:$AP$137,MATCH($W189,Calc!$A$2:$A$137,0)),0.5)*Config!$B$5+1-IFERROR(INDEX(Calc!$AP$2:$AP$137,MATCH($W189,Calc!$A$2:$A$137,0)),0.5))),SQRT(Z189*Config!$B$5)))</f>
        <v>3.32971221422014</v>
      </c>
      <c r="AB189" s="10" t="n">
        <f aca="false">IF(OR(F189="",Z189="",N(AA189)&lt;=0),"",1-NORMDIST(FLOOR(F189,1)+0.5,Z189,AA189,TRUE()))</f>
        <v>0.534003182290498</v>
      </c>
      <c r="AC189" s="10" t="n">
        <f aca="false">IF(AB189="","",NORMDIST(CEILING(F189,1)-0.5,Z189,AA189,TRUE()))</f>
        <v>0.465996817709502</v>
      </c>
      <c r="AD189" s="0" t="str">
        <f aca="false">IF(AB189="","",IF(AB189&gt;=0.5+Config!$B$6,"OVER",IF(AC189&gt;=0.5+Config!$B$6,"UNDER","—")))</f>
        <v>—</v>
      </c>
      <c r="AE189" s="13" t="n">
        <f aca="false">IFERROR(Z189/G189,"")</f>
        <v>0.94474707116256</v>
      </c>
    </row>
    <row r="190" customFormat="false" ht="15" hidden="false" customHeight="false" outlineLevel="0" collapsed="false">
      <c r="A190" s="0" t="s">
        <v>1139</v>
      </c>
      <c r="B190" s="0" t="s">
        <v>1199</v>
      </c>
      <c r="C190" s="0" t="s">
        <v>1521</v>
      </c>
      <c r="D190" s="0" t="s">
        <v>1203</v>
      </c>
      <c r="E190" s="0" t="s">
        <v>1290</v>
      </c>
      <c r="F190" s="0" t="n">
        <v>29.5</v>
      </c>
      <c r="G190" s="11" t="n">
        <f aca="false">IFERROR(INDEX(CHOOSE(MATCH($X190,{"K1","K2","K3","K12","K13","H1","H2","H3","H12","H13"},0),Calc!$V$2:$V$137,Calc!$AC$2:$AC$137,Calc!$AJ$2:$AJ$137,Calc!$AL$2:$AL$137,Calc!$AM$2:$AM$137,Calc!$W$2:$W$137,Calc!$AD$2:$AD$137,Calc!$AK$2:$AK$137,Calc!$AN$2:$AN$137,Calc!$AO$2:$AO$137),MATCH($W190,Calc!$A$2:$A$137,0)),"")</f>
        <v>31.1100333333333</v>
      </c>
      <c r="H190" s="11" t="n">
        <f aca="false">IF(G190="","",IF(LEFT($X190,1)="H",SQRT(G190*(IFERROR(INDEX(Calc!$AP$2:$AP$137,MATCH($W190,Calc!$A$2:$A$137,0)),0.5)*Config!$B$5+1-IFERROR(INDEX(Calc!$AP$2:$AP$137,MATCH($W190,Calc!$A$2:$A$137,0)),0.5))),SQRT(G190*Config!$B$5)))</f>
        <v>6.59954897448808</v>
      </c>
      <c r="I190" s="10" t="n">
        <f aca="false">IF(OR(F190="",G190="",N(H190)&lt;=0),"",1-NORMDIST(FLOOR(F190,1)+0.5,G190,H190,TRUE()))</f>
        <v>0.596369532492405</v>
      </c>
      <c r="J190" s="10" t="n">
        <f aca="false">IF(I190="","",NORMDIST(CEILING(F190,1)-0.5,G190,H190,TRUE()))</f>
        <v>0.403630467507595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OVER</v>
      </c>
      <c r="M190" s="0" t="n">
        <v>29.18</v>
      </c>
      <c r="N190" s="0" t="n">
        <v>32.6</v>
      </c>
      <c r="O190" s="10" t="n">
        <v>0.8</v>
      </c>
      <c r="P190" s="10" t="n">
        <v>0.5</v>
      </c>
      <c r="Q190" s="10" t="n">
        <v>0.53</v>
      </c>
      <c r="R190" s="9" t="s">
        <v>1523</v>
      </c>
      <c r="S190" s="0" t="n">
        <v>3</v>
      </c>
      <c r="T190" s="0" t="str">
        <f aca="false">INDEX(Calc!$G$2:$G$137,MATCH($W190,Calc!$A$2:$A$137,0))&amp;" / "&amp;INDEX(Calc!$H$2:$H$137,MATCH($W190,Calc!$A$2:$A$137,0))</f>
        <v>Mirage / Dust2</v>
      </c>
      <c r="U190" s="0" t="str">
        <f aca="false">TEXT(INDEX(Calc!$J$2:$J$137,MATCH($W190,Calc!$A$2:$A$137,0)),"0.0")&amp;" / "&amp;TEXT(INDEX(Calc!$K$2:$K$137,MATCH($W190,Calc!$A$2:$A$137,0)),"0.0")</f>
        <v>21.4 / 21.5</v>
      </c>
      <c r="V190" s="0" t="str">
        <f aca="false">IFERROR(INDEX(Calc!$AQ$2:$AQ$137,MATCH($W190,Calc!$A$2:$A$137,0)),"")</f>
        <v/>
      </c>
      <c r="W190" s="9" t="s">
        <v>1522</v>
      </c>
      <c r="X190" s="9" t="s">
        <v>1291</v>
      </c>
      <c r="Y190" s="0" t="str">
        <f aca="false">W190&amp;"|"&amp;X190</f>
        <v>lpkyyhtoofj8ova|CS2 · MOUZ vs AUR|K12</v>
      </c>
      <c r="Z190" s="11" t="n">
        <f aca="false">IFERROR(INDEX(CHOOSE(MATCH($X190,{"K1","K2","K3","K12","K13","H1","H2","H3","H12","H13"},0),Calc!$BA$2:$BA$137,Calc!$BB$2:$BB$137,Calc!$BC$2:$BC$137,Calc!$BD$2:$BD$137,Calc!$BE$2:$BE$137,Calc!$BF$2:$BF$137,Calc!$BG$2:$BG$137,Calc!$BH$2:$BH$137,Calc!$BI$2:$BI$137,Calc!$BJ$2:$BJ$137),MATCH($W190,Calc!$A$2:$A$137,0)),"")</f>
        <v>29.3709331399261</v>
      </c>
      <c r="AA190" s="11" t="n">
        <f aca="false">IF(Z190="","",IF(LEFT($X190,1)="H",SQRT(Z190*(IFERROR(INDEX(Calc!$AP$2:$AP$137,MATCH($W190,Calc!$A$2:$A$137,0)),0.5)*Config!$B$5+1-IFERROR(INDEX(Calc!$AP$2:$AP$137,MATCH($W190,Calc!$A$2:$A$137,0)),0.5))),SQRT(Z190*Config!$B$5)))</f>
        <v>6.41243373423044</v>
      </c>
      <c r="AB190" s="10" t="n">
        <f aca="false">IF(OR(F190="",Z190="",N(AA190)&lt;=0),"",1-NORMDIST(FLOOR(F190,1)+0.5,Z190,AA190,TRUE()))</f>
        <v>0.491970794053091</v>
      </c>
      <c r="AC190" s="10" t="n">
        <f aca="false">IF(AB190="","",NORMDIST(CEILING(F190,1)-0.5,Z190,AA190,TRUE()))</f>
        <v>0.508029205946909</v>
      </c>
      <c r="AD190" s="0" t="str">
        <f aca="false">IF(AB190="","",IF(AB190&gt;=0.5+Config!$B$6,"OVER",IF(AC190&gt;=0.5+Config!$B$6,"UNDER","—")))</f>
        <v>—</v>
      </c>
      <c r="AE190" s="13" t="n">
        <f aca="false">IFERROR(Z190/G190,"")</f>
        <v>0.944098414335549</v>
      </c>
    </row>
    <row r="191" customFormat="false" ht="15" hidden="false" customHeight="false" outlineLevel="0" collapsed="false">
      <c r="A191" s="0" t="s">
        <v>1139</v>
      </c>
      <c r="B191" s="0" t="s">
        <v>1199</v>
      </c>
      <c r="C191" s="0" t="s">
        <v>1524</v>
      </c>
      <c r="D191" s="0" t="s">
        <v>1203</v>
      </c>
      <c r="E191" s="0" t="s">
        <v>1286</v>
      </c>
      <c r="F191" s="0" t="n">
        <v>15</v>
      </c>
      <c r="G191" s="11" t="n">
        <f aca="false">IFERROR(INDEX(CHOOSE(MATCH($X191,{"K1","K2","K3","K12","K13","H1","H2","H3","H12","H13"},0),Calc!$V$2:$V$137,Calc!$AC$2:$AC$137,Calc!$AJ$2:$AJ$137,Calc!$AL$2:$AL$137,Calc!$AM$2:$AM$137,Calc!$W$2:$W$137,Calc!$AD$2:$AD$137,Calc!$AK$2:$AK$137,Calc!$AN$2:$AN$137,Calc!$AO$2:$AO$137),MATCH($W191,Calc!$A$2:$A$137,0)),"")</f>
        <v>14.2396784645776</v>
      </c>
      <c r="H191" s="11" t="n">
        <f aca="false">IF(G191="","",IF(LEFT($X191,1)="H",SQRT(G191*(IFERROR(INDEX(Calc!$AP$2:$AP$137,MATCH($W191,Calc!$A$2:$A$137,0)),0.5)*Config!$B$5+1-IFERROR(INDEX(Calc!$AP$2:$AP$137,MATCH($W191,Calc!$A$2:$A$137,0)),0.5))),SQRT(G191*Config!$B$5)))</f>
        <v>4.16838651635841</v>
      </c>
      <c r="I191" s="10" t="n">
        <f aca="false">IF(OR(F191="",G191="",N(H191)&lt;=0),"",1-NORMDIST(FLOOR(F191,1)+0.5,G191,H191,TRUE()))</f>
        <v>0.381191730506373</v>
      </c>
      <c r="J191" s="10" t="n">
        <f aca="false">IF(I191="","",NORMDIST(CEILING(F191,1)-0.5,G191,H191,TRUE()))</f>
        <v>0.524898314581322</v>
      </c>
      <c r="K191" s="10" t="n">
        <f aca="false">IF(I191="","",MAX(0,1-I191-J191))</f>
        <v>0.0939099549123041</v>
      </c>
      <c r="L191" s="0" t="str">
        <f aca="false">IF(I191="","",IF(I191&gt;=0.5+Config!$B$6,"OVER",IF(J191&gt;=0.5+Config!$B$6,"UNDER","—")))</f>
        <v>—</v>
      </c>
      <c r="N191" s="0" t="n">
        <v>17.3</v>
      </c>
      <c r="O191" s="10" t="n">
        <v>1</v>
      </c>
      <c r="P191" s="10" t="n">
        <v>0.7</v>
      </c>
      <c r="Q191" s="10" t="n">
        <v>0.53</v>
      </c>
      <c r="R191" s="9" t="s">
        <v>1363</v>
      </c>
      <c r="S191" s="0" t="n">
        <v>5</v>
      </c>
      <c r="T191" s="0" t="str">
        <f aca="false">INDEX(Calc!$G$2:$G$137,MATCH($W191,Calc!$A$2:$A$137,0))&amp;" / "&amp;INDEX(Calc!$H$2:$H$137,MATCH($W191,Calc!$A$2:$A$137,0))</f>
        <v>Mirage / Dust2</v>
      </c>
      <c r="U191" s="0" t="str">
        <f aca="false">TEXT(INDEX(Calc!$J$2:$J$137,MATCH($W191,Calc!$A$2:$A$137,0)),"0.0")&amp;" / "&amp;TEXT(INDEX(Calc!$K$2:$K$137,MATCH($W191,Calc!$A$2:$A$137,0)),"0.0")</f>
        <v>21.4 / 21.5</v>
      </c>
      <c r="V191" s="0" t="str">
        <f aca="false">IFERROR(INDEX(Calc!$AQ$2:$AQ$137,MATCH($W191,Calc!$A$2:$A$137,0)),"")</f>
        <v/>
      </c>
      <c r="W191" s="9" t="s">
        <v>1525</v>
      </c>
      <c r="X191" s="9" t="s">
        <v>1289</v>
      </c>
      <c r="Y191" s="0" t="str">
        <f aca="false">W191&amp;"|"&amp;X191</f>
        <v>zauqna21klkp1rt|CS2 · MOUZ vs AUR|H12</v>
      </c>
      <c r="Z191" s="11" t="n">
        <f aca="false">IFERROR(INDEX(CHOOSE(MATCH($X191,{"K1","K2","K3","K12","K13","H1","H2","H3","H12","H13"},0),Calc!$BA$2:$BA$137,Calc!$BB$2:$BB$137,Calc!$BC$2:$BC$137,Calc!$BD$2:$BD$137,Calc!$BE$2:$BE$137,Calc!$BF$2:$BF$137,Calc!$BG$2:$BG$137,Calc!$BH$2:$BH$137,Calc!$BI$2:$BI$137,Calc!$BJ$2:$BJ$137),MATCH($W191,Calc!$A$2:$A$137,0)),"")</f>
        <v>13.4395139091834</v>
      </c>
      <c r="AA191" s="11" t="n">
        <f aca="false">IF(Z191="","",IF(LEFT($X191,1)="H",SQRT(Z191*(IFERROR(INDEX(Calc!$AP$2:$AP$137,MATCH($W191,Calc!$A$2:$A$137,0)),0.5)*Config!$B$5+1-IFERROR(INDEX(Calc!$AP$2:$AP$137,MATCH($W191,Calc!$A$2:$A$137,0)),0.5))),SQRT(Z191*Config!$B$5)))</f>
        <v>4.04957709585717</v>
      </c>
      <c r="AB191" s="10" t="n">
        <f aca="false">IF(OR(F191="",Z191="",N(AA191)&lt;=0),"",1-NORMDIST(FLOOR(F191,1)+0.5,Z191,AA191,TRUE()))</f>
        <v>0.305440907057511</v>
      </c>
      <c r="AC191" s="10" t="n">
        <f aca="false">IF(AB191="","",NORMDIST(CEILING(F191,1)-0.5,Z191,AA191,TRUE()))</f>
        <v>0.603291386893075</v>
      </c>
      <c r="AD191" s="0" t="str">
        <f aca="false">IF(AB191="","",IF(AB191&gt;=0.5+Config!$B$6,"OVER",IF(AC191&gt;=0.5+Config!$B$6,"UNDER","—")))</f>
        <v>UNDER</v>
      </c>
      <c r="AE191" s="13" t="n">
        <f aca="false">IFERROR(Z191/G191,"")</f>
        <v>0.943807400048765</v>
      </c>
    </row>
    <row r="192" customFormat="false" ht="15" hidden="false" customHeight="false" outlineLevel="0" collapsed="false">
      <c r="A192" s="0" t="s">
        <v>1139</v>
      </c>
      <c r="B192" s="0" t="s">
        <v>1199</v>
      </c>
      <c r="C192" s="0" t="s">
        <v>1524</v>
      </c>
      <c r="D192" s="0" t="s">
        <v>1203</v>
      </c>
      <c r="E192" s="0" t="s">
        <v>1290</v>
      </c>
      <c r="F192" s="0" t="n">
        <v>27.5</v>
      </c>
      <c r="G192" s="11" t="n">
        <f aca="false">IFERROR(INDEX(CHOOSE(MATCH($X192,{"K1","K2","K3","K12","K13","H1","H2","H3","H12","H13"},0),Calc!$V$2:$V$137,Calc!$AC$2:$AC$137,Calc!$AJ$2:$AJ$137,Calc!$AL$2:$AL$137,Calc!$AM$2:$AM$137,Calc!$W$2:$W$137,Calc!$AD$2:$AD$137,Calc!$AK$2:$AK$137,Calc!$AN$2:$AN$137,Calc!$AO$2:$AO$137),MATCH($W192,Calc!$A$2:$A$137,0)),"")</f>
        <v>25.8652378787879</v>
      </c>
      <c r="H192" s="11" t="n">
        <f aca="false">IF(G192="","",IF(LEFT($X192,1)="H",SQRT(G192*(IFERROR(INDEX(Calc!$AP$2:$AP$137,MATCH($W192,Calc!$A$2:$A$137,0)),0.5)*Config!$B$5+1-IFERROR(INDEX(Calc!$AP$2:$AP$137,MATCH($W192,Calc!$A$2:$A$137,0)),0.5))),SQRT(G192*Config!$B$5)))</f>
        <v>6.01758531558158</v>
      </c>
      <c r="I192" s="10" t="n">
        <f aca="false">IF(OR(F192="",G192="",N(H192)&lt;=0),"",1-NORMDIST(FLOOR(F192,1)+0.5,G192,H192,TRUE()))</f>
        <v>0.392940139543137</v>
      </c>
      <c r="J192" s="10" t="n">
        <f aca="false">IF(I192="","",NORMDIST(CEILING(F192,1)-0.5,G192,H192,TRUE()))</f>
        <v>0.607059860456863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UNDER</v>
      </c>
      <c r="M192" s="0" t="n">
        <v>28.18</v>
      </c>
      <c r="N192" s="0" t="n">
        <v>29.1</v>
      </c>
      <c r="O192" s="10" t="n">
        <v>0.6</v>
      </c>
      <c r="P192" s="10" t="n">
        <v>0.5</v>
      </c>
      <c r="Q192" s="10" t="n">
        <v>0.47</v>
      </c>
      <c r="R192" s="9" t="s">
        <v>1363</v>
      </c>
      <c r="S192" s="0" t="n">
        <v>1</v>
      </c>
      <c r="T192" s="0" t="str">
        <f aca="false">INDEX(Calc!$G$2:$G$137,MATCH($W192,Calc!$A$2:$A$137,0))&amp;" / "&amp;INDEX(Calc!$H$2:$H$137,MATCH($W192,Calc!$A$2:$A$137,0))</f>
        <v>Mirage / Dust2</v>
      </c>
      <c r="U192" s="0" t="str">
        <f aca="false">TEXT(INDEX(Calc!$J$2:$J$137,MATCH($W192,Calc!$A$2:$A$137,0)),"0.0")&amp;" / "&amp;TEXT(INDEX(Calc!$K$2:$K$137,MATCH($W192,Calc!$A$2:$A$137,0)),"0.0")</f>
        <v>21.4 / 21.5</v>
      </c>
      <c r="V192" s="0" t="str">
        <f aca="false">IFERROR(INDEX(Calc!$AQ$2:$AQ$137,MATCH($W192,Calc!$A$2:$A$137,0)),"")</f>
        <v/>
      </c>
      <c r="W192" s="9" t="s">
        <v>1525</v>
      </c>
      <c r="X192" s="9" t="s">
        <v>1291</v>
      </c>
      <c r="Y192" s="0" t="str">
        <f aca="false">W192&amp;"|"&amp;X192</f>
        <v>zauqna21klkp1rt|CS2 · MOUZ vs AUR|K12</v>
      </c>
      <c r="Z192" s="11" t="n">
        <f aca="false">IFERROR(INDEX(CHOOSE(MATCH($X192,{"K1","K2","K3","K12","K13","H1","H2","H3","H12","H13"},0),Calc!$BA$2:$BA$137,Calc!$BB$2:$BB$137,Calc!$BC$2:$BC$137,Calc!$BD$2:$BD$137,Calc!$BE$2:$BE$137,Calc!$BF$2:$BF$137,Calc!$BG$2:$BG$137,Calc!$BH$2:$BH$137,Calc!$BI$2:$BI$137,Calc!$BJ$2:$BJ$137),MATCH($W192,Calc!$A$2:$A$137,0)),"")</f>
        <v>24.4217785817197</v>
      </c>
      <c r="AA192" s="11" t="n">
        <f aca="false">IF(Z192="","",IF(LEFT($X192,1)="H",SQRT(Z192*(IFERROR(INDEX(Calc!$AP$2:$AP$137,MATCH($W192,Calc!$A$2:$A$137,0)),0.5)*Config!$B$5+1-IFERROR(INDEX(Calc!$AP$2:$AP$137,MATCH($W192,Calc!$A$2:$A$137,0)),0.5))),SQRT(Z192*Config!$B$5)))</f>
        <v>5.84726346374161</v>
      </c>
      <c r="AB192" s="10" t="n">
        <f aca="false">IF(OR(F192="",Z192="",N(AA192)&lt;=0),"",1-NORMDIST(FLOOR(F192,1)+0.5,Z192,AA192,TRUE()))</f>
        <v>0.299291975274032</v>
      </c>
      <c r="AC192" s="10" t="n">
        <f aca="false">IF(AB192="","",NORMDIST(CEILING(F192,1)-0.5,Z192,AA192,TRUE()))</f>
        <v>0.700708024725968</v>
      </c>
      <c r="AD192" s="0" t="str">
        <f aca="false">IF(AB192="","",IF(AB192&gt;=0.5+Config!$B$6,"OVER",IF(AC192&gt;=0.5+Config!$B$6,"UNDER","—")))</f>
        <v>UNDER</v>
      </c>
      <c r="AE192" s="13" t="n">
        <f aca="false">IFERROR(Z192/G192,"")</f>
        <v>0.944193078608723</v>
      </c>
    </row>
    <row r="193" customFormat="false" ht="15" hidden="false" customHeight="false" outlineLevel="0" collapsed="false">
      <c r="A193" s="0" t="s">
        <v>1139</v>
      </c>
      <c r="B193" s="0" t="s">
        <v>1199</v>
      </c>
      <c r="C193" s="0" t="s">
        <v>1526</v>
      </c>
      <c r="D193" s="0" t="s">
        <v>1202</v>
      </c>
      <c r="E193" s="0" t="s">
        <v>1286</v>
      </c>
      <c r="F193" s="0" t="n">
        <v>14.5</v>
      </c>
      <c r="G193" s="11" t="n">
        <f aca="false">IFERROR(INDEX(CHOOSE(MATCH($X193,{"K1","K2","K3","K12","K13","H1","H2","H3","H12","H13"},0),Calc!$V$2:$V$137,Calc!$AC$2:$AC$137,Calc!$AJ$2:$AJ$137,Calc!$AL$2:$AL$137,Calc!$AM$2:$AM$137,Calc!$W$2:$W$137,Calc!$AD$2:$AD$137,Calc!$AK$2:$AK$137,Calc!$AN$2:$AN$137,Calc!$AO$2:$AO$137),MATCH($W193,Calc!$A$2:$A$137,0)),"")</f>
        <v>13.9919318626109</v>
      </c>
      <c r="H193" s="11" t="n">
        <f aca="false">IF(G193="","",IF(LEFT($X193,1)="H",SQRT(G193*(IFERROR(INDEX(Calc!$AP$2:$AP$137,MATCH($W193,Calc!$A$2:$A$137,0)),0.5)*Config!$B$5+1-IFERROR(INDEX(Calc!$AP$2:$AP$137,MATCH($W193,Calc!$A$2:$A$137,0)),0.5))),SQRT(G193*Config!$B$5)))</f>
        <v>4.1101066380692</v>
      </c>
      <c r="I193" s="10" t="n">
        <f aca="false">IF(OR(F193="",G193="",N(H193)&lt;=0),"",1-NORMDIST(FLOOR(F193,1)+0.5,G193,H193,TRUE()))</f>
        <v>0.450810317214904</v>
      </c>
      <c r="J193" s="10" t="n">
        <f aca="false">IF(I193="","",NORMDIST(CEILING(F193,1)-0.5,G193,H193,TRUE()))</f>
        <v>0.549189682785096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UNDER</v>
      </c>
      <c r="N193" s="0" t="n">
        <v>14.1</v>
      </c>
      <c r="O193" s="10" t="n">
        <v>0.6</v>
      </c>
      <c r="P193" s="10" t="n">
        <v>0.5</v>
      </c>
      <c r="Q193" s="10" t="n">
        <v>0.4</v>
      </c>
      <c r="R193" s="9" t="s">
        <v>1357</v>
      </c>
      <c r="S193" s="0" t="n">
        <v>-1</v>
      </c>
      <c r="T193" s="0" t="str">
        <f aca="false">INDEX(Calc!$G$2:$G$137,MATCH($W193,Calc!$A$2:$A$137,0))&amp;" / "&amp;INDEX(Calc!$H$2:$H$137,MATCH($W193,Calc!$A$2:$A$137,0))</f>
        <v>Mirage / Dust2</v>
      </c>
      <c r="U193" s="0" t="str">
        <f aca="false">TEXT(INDEX(Calc!$J$2:$J$137,MATCH($W193,Calc!$A$2:$A$137,0)),"0.0")&amp;" / "&amp;TEXT(INDEX(Calc!$K$2:$K$137,MATCH($W193,Calc!$A$2:$A$137,0)),"0.0")</f>
        <v>21.4 / 21.5</v>
      </c>
      <c r="V193" s="0" t="str">
        <f aca="false">IFERROR(INDEX(Calc!$AQ$2:$AQ$137,MATCH($W193,Calc!$A$2:$A$137,0)),"")</f>
        <v/>
      </c>
      <c r="W193" s="9" t="s">
        <v>1527</v>
      </c>
      <c r="X193" s="9" t="s">
        <v>1289</v>
      </c>
      <c r="Y193" s="0" t="str">
        <f aca="false">W193&amp;"|"&amp;X193</f>
        <v>pddkiy5mogisq4i|CS2 · MOUZ vs AUR|H12</v>
      </c>
      <c r="Z193" s="11" t="n">
        <f aca="false">IFERROR(INDEX(CHOOSE(MATCH($X193,{"K1","K2","K3","K12","K13","H1","H2","H3","H12","H13"},0),Calc!$BA$2:$BA$137,Calc!$BB$2:$BB$137,Calc!$BC$2:$BC$137,Calc!$BD$2:$BD$137,Calc!$BE$2:$BE$137,Calc!$BF$2:$BF$137,Calc!$BG$2:$BG$137,Calc!$BH$2:$BH$137,Calc!$BI$2:$BI$137,Calc!$BJ$2:$BJ$137),MATCH($W193,Calc!$A$2:$A$137,0)),"")</f>
        <v>13.8809874182146</v>
      </c>
      <c r="AA193" s="11" t="n">
        <f aca="false">IF(Z193="","",IF(LEFT($X193,1)="H",SQRT(Z193*(IFERROR(INDEX(Calc!$AP$2:$AP$137,MATCH($W193,Calc!$A$2:$A$137,0)),0.5)*Config!$B$5+1-IFERROR(INDEX(Calc!$AP$2:$AP$137,MATCH($W193,Calc!$A$2:$A$137,0)),0.5))),SQRT(Z193*Config!$B$5)))</f>
        <v>4.09377933544383</v>
      </c>
      <c r="AB193" s="10" t="n">
        <f aca="false">IF(OR(F193="",Z193="",N(AA193)&lt;=0),"",1-NORMDIST(FLOOR(F193,1)+0.5,Z193,AA193,TRUE()))</f>
        <v>0.439905781730081</v>
      </c>
      <c r="AC193" s="10" t="n">
        <f aca="false">IF(AB193="","",NORMDIST(CEILING(F193,1)-0.5,Z193,AA193,TRUE()))</f>
        <v>0.560094218269919</v>
      </c>
      <c r="AD193" s="0" t="str">
        <f aca="false">IF(AB193="","",IF(AB193&gt;=0.5+Config!$B$6,"OVER",IF(AC193&gt;=0.5+Config!$B$6,"UNDER","—")))</f>
        <v>UNDER</v>
      </c>
      <c r="AE193" s="13" t="n">
        <f aca="false">IFERROR(Z193/G193,"")</f>
        <v>0.992070827282059</v>
      </c>
    </row>
    <row r="194" customFormat="false" ht="15" hidden="false" customHeight="false" outlineLevel="0" collapsed="false">
      <c r="A194" s="0" t="s">
        <v>1139</v>
      </c>
      <c r="B194" s="0" t="s">
        <v>1199</v>
      </c>
      <c r="C194" s="0" t="s">
        <v>1526</v>
      </c>
      <c r="D194" s="0" t="s">
        <v>1202</v>
      </c>
      <c r="E194" s="0" t="s">
        <v>1290</v>
      </c>
      <c r="F194" s="0" t="n">
        <v>28.5</v>
      </c>
      <c r="G194" s="11" t="n">
        <f aca="false">IFERROR(INDEX(CHOOSE(MATCH($X194,{"K1","K2","K3","K12","K13","H1","H2","H3","H12","H13"},0),Calc!$V$2:$V$137,Calc!$AC$2:$AC$137,Calc!$AJ$2:$AJ$137,Calc!$AL$2:$AL$137,Calc!$AM$2:$AM$137,Calc!$W$2:$W$137,Calc!$AD$2:$AD$137,Calc!$AK$2:$AK$137,Calc!$AN$2:$AN$137,Calc!$AO$2:$AO$137),MATCH($W194,Calc!$A$2:$A$137,0)),"")</f>
        <v>26.9936076923077</v>
      </c>
      <c r="H194" s="11" t="n">
        <f aca="false">IF(G194="","",IF(LEFT($X194,1)="H",SQRT(G194*(IFERROR(INDEX(Calc!$AP$2:$AP$137,MATCH($W194,Calc!$A$2:$A$137,0)),0.5)*Config!$B$5+1-IFERROR(INDEX(Calc!$AP$2:$AP$137,MATCH($W194,Calc!$A$2:$A$137,0)),0.5))),SQRT(G194*Config!$B$5)))</f>
        <v>6.14744262024712</v>
      </c>
      <c r="I194" s="10" t="n">
        <f aca="false">IF(OR(F194="",G194="",N(H194)&lt;=0),"",1-NORMDIST(FLOOR(F194,1)+0.5,G194,H194,TRUE()))</f>
        <v>0.403211283438337</v>
      </c>
      <c r="J194" s="10" t="n">
        <f aca="false">IF(I194="","",NORMDIST(CEILING(F194,1)-0.5,G194,H194,TRUE()))</f>
        <v>0.596788716561663</v>
      </c>
      <c r="K194" s="10" t="n">
        <f aca="false">IF(I194="","",MAX(0,1-I194-J194))</f>
        <v>0</v>
      </c>
      <c r="L194" s="0" t="str">
        <f aca="false">IF(I194="","",IF(I194&gt;=0.5+Config!$B$6,"OVER",IF(J194&gt;=0.5+Config!$B$6,"UNDER","—")))</f>
        <v>UNDER</v>
      </c>
      <c r="M194" s="0" t="n">
        <v>28.82</v>
      </c>
      <c r="N194" s="0" t="n">
        <v>28</v>
      </c>
      <c r="O194" s="10" t="n">
        <v>0.4</v>
      </c>
      <c r="P194" s="10" t="n">
        <v>0.4</v>
      </c>
      <c r="Q194" s="10" t="n">
        <v>0.4</v>
      </c>
      <c r="R194" s="9" t="s">
        <v>1357</v>
      </c>
      <c r="S194" s="0" t="n">
        <v>-1</v>
      </c>
      <c r="T194" s="0" t="str">
        <f aca="false">INDEX(Calc!$G$2:$G$137,MATCH($W194,Calc!$A$2:$A$137,0))&amp;" / "&amp;INDEX(Calc!$H$2:$H$137,MATCH($W194,Calc!$A$2:$A$137,0))</f>
        <v>Mirage / Dust2</v>
      </c>
      <c r="U194" s="0" t="str">
        <f aca="false">TEXT(INDEX(Calc!$J$2:$J$137,MATCH($W194,Calc!$A$2:$A$137,0)),"0.0")&amp;" / "&amp;TEXT(INDEX(Calc!$K$2:$K$137,MATCH($W194,Calc!$A$2:$A$137,0)),"0.0")</f>
        <v>21.4 / 21.5</v>
      </c>
      <c r="V194" s="0" t="str">
        <f aca="false">IFERROR(INDEX(Calc!$AQ$2:$AQ$137,MATCH($W194,Calc!$A$2:$A$137,0)),"")</f>
        <v/>
      </c>
      <c r="W194" s="9" t="s">
        <v>1527</v>
      </c>
      <c r="X194" s="9" t="s">
        <v>1291</v>
      </c>
      <c r="Y194" s="0" t="str">
        <f aca="false">W194&amp;"|"&amp;X194</f>
        <v>pddkiy5mogisq4i|CS2 · MOUZ vs AUR|K12</v>
      </c>
      <c r="Z194" s="11" t="n">
        <f aca="false">IFERROR(INDEX(CHOOSE(MATCH($X194,{"K1","K2","K3","K12","K13","H1","H2","H3","H12","H13"},0),Calc!$BA$2:$BA$137,Calc!$BB$2:$BB$137,Calc!$BC$2:$BC$137,Calc!$BD$2:$BD$137,Calc!$BE$2:$BE$137,Calc!$BF$2:$BF$137,Calc!$BG$2:$BG$137,Calc!$BH$2:$BH$137,Calc!$BI$2:$BI$137,Calc!$BJ$2:$BJ$137),MATCH($W194,Calc!$A$2:$A$137,0)),"")</f>
        <v>26.7878174082281</v>
      </c>
      <c r="AA194" s="11" t="n">
        <f aca="false">IF(Z194="","",IF(LEFT($X194,1)="H",SQRT(Z194*(IFERROR(INDEX(Calc!$AP$2:$AP$137,MATCH($W194,Calc!$A$2:$A$137,0)),0.5)*Config!$B$5+1-IFERROR(INDEX(Calc!$AP$2:$AP$137,MATCH($W194,Calc!$A$2:$A$137,0)),0.5))),SQRT(Z194*Config!$B$5)))</f>
        <v>6.123964759167</v>
      </c>
      <c r="AB194" s="10" t="n">
        <f aca="false">IF(OR(F194="",Z194="",N(AA194)&lt;=0),"",1-NORMDIST(FLOOR(F194,1)+0.5,Z194,AA194,TRUE()))</f>
        <v>0.389897087214205</v>
      </c>
      <c r="AC194" s="10" t="n">
        <f aca="false">IF(AB194="","",NORMDIST(CEILING(F194,1)-0.5,Z194,AA194,TRUE()))</f>
        <v>0.610102912785795</v>
      </c>
      <c r="AD194" s="0" t="str">
        <f aca="false">IF(AB194="","",IF(AB194&gt;=0.5+Config!$B$6,"OVER",IF(AC194&gt;=0.5+Config!$B$6,"UNDER","—")))</f>
        <v>UNDER</v>
      </c>
      <c r="AE194" s="13" t="n">
        <f aca="false">IFERROR(Z194/G194,"")</f>
        <v>0.992376332707161</v>
      </c>
    </row>
    <row r="195" customFormat="false" ht="15" hidden="false" customHeight="false" outlineLevel="0" collapsed="false">
      <c r="A195" s="0" t="s">
        <v>1139</v>
      </c>
      <c r="B195" s="0" t="s">
        <v>1199</v>
      </c>
      <c r="C195" s="0" t="s">
        <v>1528</v>
      </c>
      <c r="D195" s="0" t="s">
        <v>1202</v>
      </c>
      <c r="E195" s="0" t="s">
        <v>1286</v>
      </c>
      <c r="F195" s="0" t="n">
        <v>17.5</v>
      </c>
      <c r="G195" s="11" t="n">
        <f aca="false">IFERROR(INDEX(CHOOSE(MATCH($X195,{"K1","K2","K3","K12","K13","H1","H2","H3","H12","H13"},0),Calc!$V$2:$V$137,Calc!$AC$2:$AC$137,Calc!$AJ$2:$AJ$137,Calc!$AL$2:$AL$137,Calc!$AM$2:$AM$137,Calc!$W$2:$W$137,Calc!$AD$2:$AD$137,Calc!$AK$2:$AK$137,Calc!$AN$2:$AN$137,Calc!$AO$2:$AO$137),MATCH($W195,Calc!$A$2:$A$137,0)),"")</f>
        <v>17.4790386810281</v>
      </c>
      <c r="H195" s="11" t="n">
        <f aca="false">IF(G195="","",IF(LEFT($X195,1)="H",SQRT(G195*(IFERROR(INDEX(Calc!$AP$2:$AP$137,MATCH($W195,Calc!$A$2:$A$137,0)),0.5)*Config!$B$5+1-IFERROR(INDEX(Calc!$AP$2:$AP$137,MATCH($W195,Calc!$A$2:$A$137,0)),0.5))),SQRT(G195*Config!$B$5)))</f>
        <v>4.64489680308841</v>
      </c>
      <c r="I195" s="10" t="n">
        <f aca="false">IF(OR(F195="",G195="",N(H195)&lt;=0),"",1-NORMDIST(FLOOR(F195,1)+0.5,G195,H195,TRUE()))</f>
        <v>0.498199674102098</v>
      </c>
      <c r="J195" s="10" t="n">
        <f aca="false">IF(I195="","",NORMDIST(CEILING(F195,1)-0.5,G195,H195,TRUE()))</f>
        <v>0.501800325897902</v>
      </c>
      <c r="K195" s="10" t="n">
        <f aca="false">IF(I195="","",MAX(0,1-I195-J195))</f>
        <v>0</v>
      </c>
      <c r="L195" s="0" t="str">
        <f aca="false">IF(I195="","",IF(I195&gt;=0.5+Config!$B$6,"OVER",IF(J195&gt;=0.5+Config!$B$6,"UNDER","—")))</f>
        <v>—</v>
      </c>
      <c r="N195" s="0" t="n">
        <v>17.6</v>
      </c>
      <c r="O195" s="10" t="n">
        <v>0.4</v>
      </c>
      <c r="P195" s="10" t="n">
        <v>0.7</v>
      </c>
      <c r="Q195" s="10" t="n">
        <v>0.6</v>
      </c>
      <c r="R195" s="9" t="s">
        <v>1397</v>
      </c>
      <c r="S195" s="0" t="n">
        <v>-2</v>
      </c>
      <c r="T195" s="0" t="str">
        <f aca="false">INDEX(Calc!$G$2:$G$137,MATCH($W195,Calc!$A$2:$A$137,0))&amp;" / "&amp;INDEX(Calc!$H$2:$H$137,MATCH($W195,Calc!$A$2:$A$137,0))</f>
        <v>Mirage / Dust2</v>
      </c>
      <c r="U195" s="0" t="str">
        <f aca="false">TEXT(INDEX(Calc!$J$2:$J$137,MATCH($W195,Calc!$A$2:$A$137,0)),"0.0")&amp;" / "&amp;TEXT(INDEX(Calc!$K$2:$K$137,MATCH($W195,Calc!$A$2:$A$137,0)),"0.0")</f>
        <v>21.4 / 21.5</v>
      </c>
      <c r="V195" s="0" t="str">
        <f aca="false">IFERROR(INDEX(Calc!$AQ$2:$AQ$137,MATCH($W195,Calc!$A$2:$A$137,0)),"")</f>
        <v/>
      </c>
      <c r="W195" s="9" t="s">
        <v>1529</v>
      </c>
      <c r="X195" s="9" t="s">
        <v>1289</v>
      </c>
      <c r="Y195" s="0" t="str">
        <f aca="false">W195&amp;"|"&amp;X195</f>
        <v>qlzigrqycoim5ix|CS2 · MOUZ vs AUR|H12</v>
      </c>
      <c r="Z195" s="11" t="n">
        <f aca="false">IFERROR(INDEX(CHOOSE(MATCH($X195,{"K1","K2","K3","K12","K13","H1","H2","H3","H12","H13"},0),Calc!$BA$2:$BA$137,Calc!$BB$2:$BB$137,Calc!$BC$2:$BC$137,Calc!$BD$2:$BD$137,Calc!$BE$2:$BE$137,Calc!$BF$2:$BF$137,Calc!$BG$2:$BG$137,Calc!$BH$2:$BH$137,Calc!$BI$2:$BI$137,Calc!$BJ$2:$BJ$137),MATCH($W195,Calc!$A$2:$A$137,0)),"")</f>
        <v>17.3305021961776</v>
      </c>
      <c r="AA195" s="11" t="n">
        <f aca="false">IF(Z195="","",IF(LEFT($X195,1)="H",SQRT(Z195*(IFERROR(INDEX(Calc!$AP$2:$AP$137,MATCH($W195,Calc!$A$2:$A$137,0)),0.5)*Config!$B$5+1-IFERROR(INDEX(Calc!$AP$2:$AP$137,MATCH($W195,Calc!$A$2:$A$137,0)),0.5))),SQRT(Z195*Config!$B$5)))</f>
        <v>4.6251185794648</v>
      </c>
      <c r="AB195" s="10" t="n">
        <f aca="false">IF(OR(F195="",Z195="",N(AA195)&lt;=0),"",1-NORMDIST(FLOOR(F195,1)+0.5,Z195,AA195,TRUE()))</f>
        <v>0.485383140676302</v>
      </c>
      <c r="AC195" s="10" t="n">
        <f aca="false">IF(AB195="","",NORMDIST(CEILING(F195,1)-0.5,Z195,AA195,TRUE()))</f>
        <v>0.514616859323698</v>
      </c>
      <c r="AD195" s="0" t="str">
        <f aca="false">IF(AB195="","",IF(AB195&gt;=0.5+Config!$B$6,"OVER",IF(AC195&gt;=0.5+Config!$B$6,"UNDER","—")))</f>
        <v>—</v>
      </c>
      <c r="AE195" s="13" t="n">
        <f aca="false">IFERROR(Z195/G195,"")</f>
        <v>0.991502022075636</v>
      </c>
    </row>
    <row r="196" customFormat="false" ht="15" hidden="false" customHeight="false" outlineLevel="0" collapsed="false">
      <c r="A196" s="0" t="s">
        <v>1139</v>
      </c>
      <c r="B196" s="0" t="s">
        <v>1199</v>
      </c>
      <c r="C196" s="0" t="s">
        <v>1528</v>
      </c>
      <c r="D196" s="0" t="s">
        <v>1202</v>
      </c>
      <c r="E196" s="0" t="s">
        <v>1290</v>
      </c>
      <c r="F196" s="0" t="n">
        <v>30.5</v>
      </c>
      <c r="G196" s="11" t="n">
        <f aca="false">IFERROR(INDEX(CHOOSE(MATCH($X196,{"K1","K2","K3","K12","K13","H1","H2","H3","H12","H13"},0),Calc!$V$2:$V$137,Calc!$AC$2:$AC$137,Calc!$AJ$2:$AJ$137,Calc!$AL$2:$AL$137,Calc!$AM$2:$AM$137,Calc!$W$2:$W$137,Calc!$AD$2:$AD$137,Calc!$AK$2:$AK$137,Calc!$AN$2:$AN$137,Calc!$AO$2:$AO$137),MATCH($W196,Calc!$A$2:$A$137,0)),"")</f>
        <v>29.8354230769231</v>
      </c>
      <c r="H196" s="11" t="n">
        <f aca="false">IF(G196="","",IF(LEFT($X196,1)="H",SQRT(G196*(IFERROR(INDEX(Calc!$AP$2:$AP$137,MATCH($W196,Calc!$A$2:$A$137,0)),0.5)*Config!$B$5+1-IFERROR(INDEX(Calc!$AP$2:$AP$137,MATCH($W196,Calc!$A$2:$A$137,0)),0.5))),SQRT(G196*Config!$B$5)))</f>
        <v>6.46293991212144</v>
      </c>
      <c r="I196" s="10" t="n">
        <f aca="false">IF(OR(F196="",G196="",N(H196)&lt;=0),"",1-NORMDIST(FLOOR(F196,1)+0.5,G196,H196,TRUE()))</f>
        <v>0.45904938881971</v>
      </c>
      <c r="J196" s="10" t="n">
        <f aca="false">IF(I196="","",NORMDIST(CEILING(F196,1)-0.5,G196,H196,TRUE()))</f>
        <v>0.54095061118029</v>
      </c>
      <c r="K196" s="10" t="n">
        <f aca="false">IF(I196="","",MAX(0,1-I196-J196))</f>
        <v>0</v>
      </c>
      <c r="L196" s="0" t="str">
        <f aca="false">IF(I196="","",IF(I196&gt;=0.5+Config!$B$6,"OVER",IF(J196&gt;=0.5+Config!$B$6,"UNDER","—")))</f>
        <v>UNDER</v>
      </c>
      <c r="M196" s="0" t="n">
        <v>29.6</v>
      </c>
      <c r="N196" s="0" t="n">
        <v>29.6</v>
      </c>
      <c r="O196" s="10" t="n">
        <v>0.4</v>
      </c>
      <c r="P196" s="10" t="n">
        <v>0.3</v>
      </c>
      <c r="Q196" s="10" t="n">
        <v>0.4</v>
      </c>
      <c r="R196" s="9" t="s">
        <v>1389</v>
      </c>
      <c r="S196" s="0" t="n">
        <v>-1</v>
      </c>
      <c r="T196" s="0" t="str">
        <f aca="false">INDEX(Calc!$G$2:$G$137,MATCH($W196,Calc!$A$2:$A$137,0))&amp;" / "&amp;INDEX(Calc!$H$2:$H$137,MATCH($W196,Calc!$A$2:$A$137,0))</f>
        <v>Mirage / Dust2</v>
      </c>
      <c r="U196" s="0" t="str">
        <f aca="false">TEXT(INDEX(Calc!$J$2:$J$137,MATCH($W196,Calc!$A$2:$A$137,0)),"0.0")&amp;" / "&amp;TEXT(INDEX(Calc!$K$2:$K$137,MATCH($W196,Calc!$A$2:$A$137,0)),"0.0")</f>
        <v>21.4 / 21.5</v>
      </c>
      <c r="V196" s="0" t="str">
        <f aca="false">IFERROR(INDEX(Calc!$AQ$2:$AQ$137,MATCH($W196,Calc!$A$2:$A$137,0)),"")</f>
        <v/>
      </c>
      <c r="W196" s="9" t="s">
        <v>1529</v>
      </c>
      <c r="X196" s="9" t="s">
        <v>1291</v>
      </c>
      <c r="Y196" s="0" t="str">
        <f aca="false">W196&amp;"|"&amp;X196</f>
        <v>qlzigrqycoim5ix|CS2 · MOUZ vs AUR|K12</v>
      </c>
      <c r="Z196" s="11" t="n">
        <f aca="false">IFERROR(INDEX(CHOOSE(MATCH($X196,{"K1","K2","K3","K12","K13","H1","H2","H3","H12","H13"},0),Calc!$BA$2:$BA$137,Calc!$BB$2:$BB$137,Calc!$BC$2:$BC$137,Calc!$BD$2:$BD$137,Calc!$BE$2:$BE$137,Calc!$BF$2:$BF$137,Calc!$BG$2:$BG$137,Calc!$BH$2:$BH$137,Calc!$BI$2:$BI$137,Calc!$BJ$2:$BJ$137),MATCH($W196,Calc!$A$2:$A$137,0)),"")</f>
        <v>29.5871608281257</v>
      </c>
      <c r="AA196" s="11" t="n">
        <f aca="false">IF(Z196="","",IF(LEFT($X196,1)="H",SQRT(Z196*(IFERROR(INDEX(Calc!$AP$2:$AP$137,MATCH($W196,Calc!$A$2:$A$137,0)),0.5)*Config!$B$5+1-IFERROR(INDEX(Calc!$AP$2:$AP$137,MATCH($W196,Calc!$A$2:$A$137,0)),0.5))),SQRT(Z196*Config!$B$5)))</f>
        <v>6.4359944965309</v>
      </c>
      <c r="AB196" s="10" t="n">
        <f aca="false">IF(OR(F196="",Z196="",N(AA196)&lt;=0),"",1-NORMDIST(FLOOR(F196,1)+0.5,Z196,AA196,TRUE()))</f>
        <v>0.443605789021273</v>
      </c>
      <c r="AC196" s="10" t="n">
        <f aca="false">IF(AB196="","",NORMDIST(CEILING(F196,1)-0.5,Z196,AA196,TRUE()))</f>
        <v>0.556394210978727</v>
      </c>
      <c r="AD196" s="0" t="str">
        <f aca="false">IF(AB196="","",IF(AB196&gt;=0.5+Config!$B$6,"OVER",IF(AC196&gt;=0.5+Config!$B$6,"UNDER","—")))</f>
        <v>UNDER</v>
      </c>
      <c r="AE196" s="13" t="n">
        <f aca="false">IFERROR(Z196/G196,"")</f>
        <v>0.991678943242827</v>
      </c>
    </row>
    <row r="197" customFormat="false" ht="15" hidden="false" customHeight="false" outlineLevel="0" collapsed="false">
      <c r="A197" s="0" t="s">
        <v>1139</v>
      </c>
      <c r="B197" s="0" t="s">
        <v>1199</v>
      </c>
      <c r="C197" s="0" t="s">
        <v>1530</v>
      </c>
      <c r="D197" s="0" t="s">
        <v>1202</v>
      </c>
      <c r="E197" s="0" t="s">
        <v>1286</v>
      </c>
      <c r="F197" s="0" t="n">
        <v>9.5</v>
      </c>
      <c r="G197" s="11" t="n">
        <f aca="false">IFERROR(INDEX(CHOOSE(MATCH($X197,{"K1","K2","K3","K12","K13","H1","H2","H3","H12","H13"},0),Calc!$V$2:$V$137,Calc!$AC$2:$AC$137,Calc!$AJ$2:$AJ$137,Calc!$AL$2:$AL$137,Calc!$AM$2:$AM$137,Calc!$W$2:$W$137,Calc!$AD$2:$AD$137,Calc!$AK$2:$AK$137,Calc!$AN$2:$AN$137,Calc!$AO$2:$AO$137),MATCH($W197,Calc!$A$2:$A$137,0)),"")</f>
        <v>8.45945069045858</v>
      </c>
      <c r="H197" s="11" t="n">
        <f aca="false">IF(G197="","",IF(LEFT($X197,1)="H",SQRT(G197*(IFERROR(INDEX(Calc!$AP$2:$AP$137,MATCH($W197,Calc!$A$2:$A$137,0)),0.5)*Config!$B$5+1-IFERROR(INDEX(Calc!$AP$2:$AP$137,MATCH($W197,Calc!$A$2:$A$137,0)),0.5))),SQRT(G197*Config!$B$5)))</f>
        <v>3.0719398393999</v>
      </c>
      <c r="I197" s="10" t="n">
        <f aca="false">IF(OR(F197="",G197="",N(H197)&lt;=0),"",1-NORMDIST(FLOOR(F197,1)+0.5,G197,H197,TRUE()))</f>
        <v>0.367407657259115</v>
      </c>
      <c r="J197" s="10" t="n">
        <f aca="false">IF(I197="","",NORMDIST(CEILING(F197,1)-0.5,G197,H197,TRUE()))</f>
        <v>0.632592342740885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UNDER</v>
      </c>
      <c r="N197" s="0" t="n">
        <v>10.5</v>
      </c>
      <c r="O197" s="10" t="n">
        <v>0.4</v>
      </c>
      <c r="P197" s="10" t="n">
        <v>0.6</v>
      </c>
      <c r="Q197" s="10" t="n">
        <v>0.53</v>
      </c>
      <c r="R197" s="9" t="s">
        <v>1389</v>
      </c>
      <c r="S197" s="0" t="n">
        <v>-1</v>
      </c>
      <c r="T197" s="0" t="str">
        <f aca="false">INDEX(Calc!$G$2:$G$137,MATCH($W197,Calc!$A$2:$A$137,0))&amp;" / "&amp;INDEX(Calc!$H$2:$H$137,MATCH($W197,Calc!$A$2:$A$137,0))</f>
        <v>Mirage / Dust2</v>
      </c>
      <c r="U197" s="0" t="str">
        <f aca="false">TEXT(INDEX(Calc!$J$2:$J$137,MATCH($W197,Calc!$A$2:$A$137,0)),"0.0")&amp;" / "&amp;TEXT(INDEX(Calc!$K$2:$K$137,MATCH($W197,Calc!$A$2:$A$137,0)),"0.0")</f>
        <v>21.4 / 21.5</v>
      </c>
      <c r="V197" s="0" t="str">
        <f aca="false">IFERROR(INDEX(Calc!$AQ$2:$AQ$137,MATCH($W197,Calc!$A$2:$A$137,0)),"")</f>
        <v/>
      </c>
      <c r="W197" s="9" t="s">
        <v>1531</v>
      </c>
      <c r="X197" s="9" t="s">
        <v>1289</v>
      </c>
      <c r="Y197" s="0" t="str">
        <f aca="false">W197&amp;"|"&amp;X197</f>
        <v>jk73jbuxys7dhxb|CS2 · MOUZ vs AUR|H12</v>
      </c>
      <c r="Z197" s="11" t="n">
        <f aca="false">IFERROR(INDEX(CHOOSE(MATCH($X197,{"K1","K2","K3","K12","K13","H1","H2","H3","H12","H13"},0),Calc!$BA$2:$BA$137,Calc!$BB$2:$BB$137,Calc!$BC$2:$BC$137,Calc!$BD$2:$BD$137,Calc!$BE$2:$BE$137,Calc!$BF$2:$BF$137,Calc!$BG$2:$BG$137,Calc!$BH$2:$BH$137,Calc!$BI$2:$BI$137,Calc!$BJ$2:$BJ$137),MATCH($W197,Calc!$A$2:$A$137,0)),"")</f>
        <v>8.37434805558203</v>
      </c>
      <c r="AA197" s="11" t="n">
        <f aca="false">IF(Z197="","",IF(LEFT($X197,1)="H",SQRT(Z197*(IFERROR(INDEX(Calc!$AP$2:$AP$137,MATCH($W197,Calc!$A$2:$A$137,0)),0.5)*Config!$B$5+1-IFERROR(INDEX(Calc!$AP$2:$AP$137,MATCH($W197,Calc!$A$2:$A$137,0)),0.5))),SQRT(Z197*Config!$B$5)))</f>
        <v>3.05644882151216</v>
      </c>
      <c r="AB197" s="10" t="n">
        <f aca="false">IF(OR(F197="",Z197="",N(AA197)&lt;=0),"",1-NORMDIST(FLOOR(F197,1)+0.5,Z197,AA197,TRUE()))</f>
        <v>0.356329430065623</v>
      </c>
      <c r="AC197" s="10" t="n">
        <f aca="false">IF(AB197="","",NORMDIST(CEILING(F197,1)-0.5,Z197,AA197,TRUE()))</f>
        <v>0.643670569934377</v>
      </c>
      <c r="AD197" s="0" t="str">
        <f aca="false">IF(AB197="","",IF(AB197&gt;=0.5+Config!$B$6,"OVER",IF(AC197&gt;=0.5+Config!$B$6,"UNDER","—")))</f>
        <v>UNDER</v>
      </c>
      <c r="AE197" s="13" t="n">
        <f aca="false">IFERROR(Z197/G197,"")</f>
        <v>0.989939933691848</v>
      </c>
    </row>
    <row r="198" customFormat="false" ht="15" hidden="false" customHeight="false" outlineLevel="0" collapsed="false">
      <c r="A198" s="0" t="s">
        <v>1139</v>
      </c>
      <c r="B198" s="0" t="s">
        <v>1199</v>
      </c>
      <c r="C198" s="0" t="s">
        <v>1530</v>
      </c>
      <c r="D198" s="0" t="s">
        <v>1202</v>
      </c>
      <c r="E198" s="0" t="s">
        <v>1290</v>
      </c>
      <c r="F198" s="0" t="n">
        <v>30.5</v>
      </c>
      <c r="G198" s="11" t="n">
        <f aca="false">IFERROR(INDEX(CHOOSE(MATCH($X198,{"K1","K2","K3","K12","K13","H1","H2","H3","H12","H13"},0),Calc!$V$2:$V$137,Calc!$AC$2:$AC$137,Calc!$AJ$2:$AJ$137,Calc!$AL$2:$AL$137,Calc!$AM$2:$AM$137,Calc!$W$2:$W$137,Calc!$AD$2:$AD$137,Calc!$AK$2:$AK$137,Calc!$AN$2:$AN$137,Calc!$AO$2:$AO$137),MATCH($W198,Calc!$A$2:$A$137,0)),"")</f>
        <v>29.2878923076923</v>
      </c>
      <c r="H198" s="11" t="n">
        <f aca="false">IF(G198="","",IF(LEFT($X198,1)="H",SQRT(G198*(IFERROR(INDEX(Calc!$AP$2:$AP$137,MATCH($W198,Calc!$A$2:$A$137,0)),0.5)*Config!$B$5+1-IFERROR(INDEX(Calc!$AP$2:$AP$137,MATCH($W198,Calc!$A$2:$A$137,0)),0.5))),SQRT(G198*Config!$B$5)))</f>
        <v>6.40336233792601</v>
      </c>
      <c r="I198" s="10" t="n">
        <f aca="false">IF(OR(F198="",G198="",N(H198)&lt;=0),"",1-NORMDIST(FLOOR(F198,1)+0.5,G198,H198,TRUE()))</f>
        <v>0.424931833906027</v>
      </c>
      <c r="J198" s="10" t="n">
        <f aca="false">IF(I198="","",NORMDIST(CEILING(F198,1)-0.5,G198,H198,TRUE()))</f>
        <v>0.575068166093973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UNDER</v>
      </c>
      <c r="M198" s="0" t="n">
        <v>30</v>
      </c>
      <c r="N198" s="0" t="n">
        <v>30.7</v>
      </c>
      <c r="O198" s="10" t="n">
        <v>0.2</v>
      </c>
      <c r="P198" s="10" t="n">
        <v>0.4</v>
      </c>
      <c r="Q198" s="10" t="n">
        <v>0.33</v>
      </c>
      <c r="R198" s="9" t="s">
        <v>1397</v>
      </c>
      <c r="S198" s="0" t="n">
        <v>-3</v>
      </c>
      <c r="T198" s="0" t="str">
        <f aca="false">INDEX(Calc!$G$2:$G$137,MATCH($W198,Calc!$A$2:$A$137,0))&amp;" / "&amp;INDEX(Calc!$H$2:$H$137,MATCH($W198,Calc!$A$2:$A$137,0))</f>
        <v>Mirage / Dust2</v>
      </c>
      <c r="U198" s="0" t="str">
        <f aca="false">TEXT(INDEX(Calc!$J$2:$J$137,MATCH($W198,Calc!$A$2:$A$137,0)),"0.0")&amp;" / "&amp;TEXT(INDEX(Calc!$K$2:$K$137,MATCH($W198,Calc!$A$2:$A$137,0)),"0.0")</f>
        <v>21.4 / 21.5</v>
      </c>
      <c r="V198" s="0" t="str">
        <f aca="false">IFERROR(INDEX(Calc!$AQ$2:$AQ$137,MATCH($W198,Calc!$A$2:$A$137,0)),"")</f>
        <v/>
      </c>
      <c r="W198" s="9" t="s">
        <v>1531</v>
      </c>
      <c r="X198" s="9" t="s">
        <v>1291</v>
      </c>
      <c r="Y198" s="0" t="str">
        <f aca="false">W198&amp;"|"&amp;X198</f>
        <v>jk73jbuxys7dhxb|CS2 · MOUZ vs AUR|K12</v>
      </c>
      <c r="Z198" s="11" t="n">
        <f aca="false">IFERROR(INDEX(CHOOSE(MATCH($X198,{"K1","K2","K3","K12","K13","H1","H2","H3","H12","H13"},0),Calc!$BA$2:$BA$137,Calc!$BB$2:$BB$137,Calc!$BC$2:$BC$137,Calc!$BD$2:$BD$137,Calc!$BE$2:$BE$137,Calc!$BF$2:$BF$137,Calc!$BG$2:$BG$137,Calc!$BH$2:$BH$137,Calc!$BI$2:$BI$137,Calc!$BJ$2:$BJ$137),MATCH($W198,Calc!$A$2:$A$137,0)),"")</f>
        <v>29.0243646116835</v>
      </c>
      <c r="AA198" s="11" t="n">
        <f aca="false">IF(Z198="","",IF(LEFT($X198,1)="H",SQRT(Z198*(IFERROR(INDEX(Calc!$AP$2:$AP$137,MATCH($W198,Calc!$A$2:$A$137,0)),0.5)*Config!$B$5+1-IFERROR(INDEX(Calc!$AP$2:$AP$137,MATCH($W198,Calc!$A$2:$A$137,0)),0.5))),SQRT(Z198*Config!$B$5)))</f>
        <v>6.37448903492326</v>
      </c>
      <c r="AB198" s="10" t="n">
        <f aca="false">IF(OR(F198="",Z198="",N(AA198)&lt;=0),"",1-NORMDIST(FLOOR(F198,1)+0.5,Z198,AA198,TRUE()))</f>
        <v>0.408466776792098</v>
      </c>
      <c r="AC198" s="10" t="n">
        <f aca="false">IF(AB198="","",NORMDIST(CEILING(F198,1)-0.5,Z198,AA198,TRUE()))</f>
        <v>0.591533223207902</v>
      </c>
      <c r="AD198" s="0" t="str">
        <f aca="false">IF(AB198="","",IF(AB198&gt;=0.5+Config!$B$6,"OVER",IF(AC198&gt;=0.5+Config!$B$6,"UNDER","—")))</f>
        <v>UNDER</v>
      </c>
      <c r="AE198" s="13" t="n">
        <f aca="false">IFERROR(Z198/G198,"")</f>
        <v>0.991002162489527</v>
      </c>
    </row>
    <row r="199" customFormat="false" ht="15" hidden="false" customHeight="false" outlineLevel="0" collapsed="false">
      <c r="A199" s="0" t="s">
        <v>1139</v>
      </c>
      <c r="B199" s="0" t="s">
        <v>1199</v>
      </c>
      <c r="C199" s="0" t="s">
        <v>1532</v>
      </c>
      <c r="D199" s="0" t="s">
        <v>1202</v>
      </c>
      <c r="E199" s="0" t="s">
        <v>1286</v>
      </c>
      <c r="F199" s="0" t="n">
        <v>18.5</v>
      </c>
      <c r="G199" s="11" t="n">
        <f aca="false">IFERROR(INDEX(CHOOSE(MATCH($X199,{"K1","K2","K3","K12","K13","H1","H2","H3","H12","H13"},0),Calc!$V$2:$V$137,Calc!$AC$2:$AC$137,Calc!$AJ$2:$AJ$137,Calc!$AL$2:$AL$137,Calc!$AM$2:$AM$137,Calc!$W$2:$W$137,Calc!$AD$2:$AD$137,Calc!$AK$2:$AK$137,Calc!$AN$2:$AN$137,Calc!$AO$2:$AO$137),MATCH($W199,Calc!$A$2:$A$137,0)),"")</f>
        <v>19.0382863054734</v>
      </c>
      <c r="H199" s="11" t="n">
        <f aca="false">IF(G199="","",IF(LEFT($X199,1)="H",SQRT(G199*(IFERROR(INDEX(Calc!$AP$2:$AP$137,MATCH($W199,Calc!$A$2:$A$137,0)),0.5)*Config!$B$5+1-IFERROR(INDEX(Calc!$AP$2:$AP$137,MATCH($W199,Calc!$A$2:$A$137,0)),0.5))),SQRT(G199*Config!$B$5)))</f>
        <v>4.90928486076422</v>
      </c>
      <c r="I199" s="10" t="n">
        <f aca="false">IF(OR(F199="",G199="",N(H199)&lt;=0),"",1-NORMDIST(FLOOR(F199,1)+0.5,G199,H199,TRUE()))</f>
        <v>0.543655166907483</v>
      </c>
      <c r="J199" s="10" t="n">
        <f aca="false">IF(I199="","",NORMDIST(CEILING(F199,1)-0.5,G199,H199,TRUE()))</f>
        <v>0.456344833092517</v>
      </c>
      <c r="K199" s="10" t="n">
        <f aca="false">IF(I199="","",MAX(0,1-I199-J199))</f>
        <v>0</v>
      </c>
      <c r="L199" s="0" t="str">
        <f aca="false">IF(I199="","",IF(I199&gt;=0.5+Config!$B$6,"OVER",IF(J199&gt;=0.5+Config!$B$6,"UNDER","—")))</f>
        <v>OVER</v>
      </c>
      <c r="N199" s="0" t="n">
        <v>18.8</v>
      </c>
      <c r="O199" s="10" t="n">
        <v>0.6</v>
      </c>
      <c r="P199" s="10" t="n">
        <v>0.6</v>
      </c>
      <c r="Q199" s="10" t="n">
        <v>0.73</v>
      </c>
      <c r="R199" s="9" t="s">
        <v>1340</v>
      </c>
      <c r="S199" s="0" t="n">
        <v>-1</v>
      </c>
      <c r="T199" s="0" t="str">
        <f aca="false">INDEX(Calc!$G$2:$G$137,MATCH($W199,Calc!$A$2:$A$137,0))&amp;" / "&amp;INDEX(Calc!$H$2:$H$137,MATCH($W199,Calc!$A$2:$A$137,0))</f>
        <v>Mirage / Dust2</v>
      </c>
      <c r="U199" s="0" t="str">
        <f aca="false">TEXT(INDEX(Calc!$J$2:$J$137,MATCH($W199,Calc!$A$2:$A$137,0)),"0.0")&amp;" / "&amp;TEXT(INDEX(Calc!$K$2:$K$137,MATCH($W199,Calc!$A$2:$A$137,0)),"0.0")</f>
        <v>21.4 / 21.5</v>
      </c>
      <c r="V199" s="0" t="str">
        <f aca="false">IFERROR(INDEX(Calc!$AQ$2:$AQ$137,MATCH($W199,Calc!$A$2:$A$137,0)),"")</f>
        <v/>
      </c>
      <c r="W199" s="9" t="s">
        <v>1533</v>
      </c>
      <c r="X199" s="9" t="s">
        <v>1289</v>
      </c>
      <c r="Y199" s="0" t="str">
        <f aca="false">W199&amp;"|"&amp;X199</f>
        <v>zs2lsmobreb35xn|CS2 · MOUZ vs AUR|H12</v>
      </c>
      <c r="Z199" s="11" t="n">
        <f aca="false">IFERROR(INDEX(CHOOSE(MATCH($X199,{"K1","K2","K3","K12","K13","H1","H2","H3","H12","H13"},0),Calc!$BA$2:$BA$137,Calc!$BB$2:$BB$137,Calc!$BC$2:$BC$137,Calc!$BD$2:$BD$137,Calc!$BE$2:$BE$137,Calc!$BF$2:$BF$137,Calc!$BG$2:$BG$137,Calc!$BH$2:$BH$137,Calc!$BI$2:$BI$137,Calc!$BJ$2:$BJ$137),MATCH($W199,Calc!$A$2:$A$137,0)),"")</f>
        <v>18.8821746470734</v>
      </c>
      <c r="AA199" s="11" t="n">
        <f aca="false">IF(Z199="","",IF(LEFT($X199,1)="H",SQRT(Z199*(IFERROR(INDEX(Calc!$AP$2:$AP$137,MATCH($W199,Calc!$A$2:$A$137,0)),0.5)*Config!$B$5+1-IFERROR(INDEX(Calc!$AP$2:$AP$137,MATCH($W199,Calc!$A$2:$A$137,0)),0.5))),SQRT(Z199*Config!$B$5)))</f>
        <v>4.88911565662947</v>
      </c>
      <c r="AB199" s="10" t="n">
        <f aca="false">IF(OR(F199="",Z199="",N(AA199)&lt;=0),"",1-NORMDIST(FLOOR(F199,1)+0.5,Z199,AA199,TRUE()))</f>
        <v>0.531152975191565</v>
      </c>
      <c r="AC199" s="10" t="n">
        <f aca="false">IF(AB199="","",NORMDIST(CEILING(F199,1)-0.5,Z199,AA199,TRUE()))</f>
        <v>0.468847024808436</v>
      </c>
      <c r="AD199" s="0" t="str">
        <f aca="false">IF(AB199="","",IF(AB199&gt;=0.5+Config!$B$6,"OVER",IF(AC199&gt;=0.5+Config!$B$6,"UNDER","—")))</f>
        <v>—</v>
      </c>
      <c r="AE199" s="13" t="n">
        <f aca="false">IFERROR(Z199/G199,"")</f>
        <v>0.991800120247424</v>
      </c>
    </row>
    <row r="200" customFormat="false" ht="15" hidden="false" customHeight="false" outlineLevel="0" collapsed="false">
      <c r="A200" s="0" t="s">
        <v>1139</v>
      </c>
      <c r="B200" s="0" t="s">
        <v>1199</v>
      </c>
      <c r="C200" s="0" t="s">
        <v>1532</v>
      </c>
      <c r="D200" s="0" t="s">
        <v>1202</v>
      </c>
      <c r="E200" s="0" t="s">
        <v>1290</v>
      </c>
      <c r="F200" s="0" t="n">
        <v>27.5</v>
      </c>
      <c r="G200" s="11" t="n">
        <f aca="false">IFERROR(INDEX(CHOOSE(MATCH($X200,{"K1","K2","K3","K12","K13","H1","H2","H3","H12","H13"},0),Calc!$V$2:$V$137,Calc!$AC$2:$AC$137,Calc!$AJ$2:$AJ$137,Calc!$AL$2:$AL$137,Calc!$AM$2:$AM$137,Calc!$W$2:$W$137,Calc!$AD$2:$AD$137,Calc!$AK$2:$AK$137,Calc!$AN$2:$AN$137,Calc!$AO$2:$AO$137),MATCH($W200,Calc!$A$2:$A$137,0)),"")</f>
        <v>28.6368769230769</v>
      </c>
      <c r="H200" s="11" t="n">
        <f aca="false">IF(G200="","",IF(LEFT($X200,1)="H",SQRT(G200*(IFERROR(INDEX(Calc!$AP$2:$AP$137,MATCH($W200,Calc!$A$2:$A$137,0)),0.5)*Config!$B$5+1-IFERROR(INDEX(Calc!$AP$2:$AP$137,MATCH($W200,Calc!$A$2:$A$137,0)),0.5))),SQRT(G200*Config!$B$5)))</f>
        <v>6.33179498186002</v>
      </c>
      <c r="I200" s="10" t="n">
        <f aca="false">IF(OR(F200="",G200="",N(H200)&lt;=0),"",1-NORMDIST(FLOOR(F200,1)+0.5,G200,H200,TRUE()))</f>
        <v>0.571247263894592</v>
      </c>
      <c r="J200" s="10" t="n">
        <f aca="false">IF(I200="","",NORMDIST(CEILING(F200,1)-0.5,G200,H200,TRUE()))</f>
        <v>0.428752736105408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OVER</v>
      </c>
      <c r="M200" s="0" t="n">
        <v>28.41</v>
      </c>
      <c r="N200" s="0" t="n">
        <v>27.5</v>
      </c>
      <c r="O200" s="10" t="n">
        <v>0.4</v>
      </c>
      <c r="P200" s="10" t="n">
        <v>0.4</v>
      </c>
      <c r="Q200" s="10" t="n">
        <v>0.6</v>
      </c>
      <c r="R200" s="9" t="s">
        <v>1338</v>
      </c>
      <c r="S200" s="0" t="n">
        <v>-1</v>
      </c>
      <c r="T200" s="0" t="str">
        <f aca="false">INDEX(Calc!$G$2:$G$137,MATCH($W200,Calc!$A$2:$A$137,0))&amp;" / "&amp;INDEX(Calc!$H$2:$H$137,MATCH($W200,Calc!$A$2:$A$137,0))</f>
        <v>Mirage / Dust2</v>
      </c>
      <c r="U200" s="0" t="str">
        <f aca="false">TEXT(INDEX(Calc!$J$2:$J$137,MATCH($W200,Calc!$A$2:$A$137,0)),"0.0")&amp;" / "&amp;TEXT(INDEX(Calc!$K$2:$K$137,MATCH($W200,Calc!$A$2:$A$137,0)),"0.0")</f>
        <v>21.4 / 21.5</v>
      </c>
      <c r="V200" s="0" t="str">
        <f aca="false">IFERROR(INDEX(Calc!$AQ$2:$AQ$137,MATCH($W200,Calc!$A$2:$A$137,0)),"")</f>
        <v/>
      </c>
      <c r="W200" s="9" t="s">
        <v>1533</v>
      </c>
      <c r="X200" s="9" t="s">
        <v>1291</v>
      </c>
      <c r="Y200" s="0" t="str">
        <f aca="false">W200&amp;"|"&amp;X200</f>
        <v>zs2lsmobreb35xn|CS2 · MOUZ vs AUR|K12</v>
      </c>
      <c r="Z200" s="11" t="n">
        <f aca="false">IFERROR(INDEX(CHOOSE(MATCH($X200,{"K1","K2","K3","K12","K13","H1","H2","H3","H12","H13"},0),Calc!$BA$2:$BA$137,Calc!$BB$2:$BB$137,Calc!$BC$2:$BC$137,Calc!$BD$2:$BD$137,Calc!$BE$2:$BE$137,Calc!$BF$2:$BF$137,Calc!$BG$2:$BG$137,Calc!$BH$2:$BH$137,Calc!$BI$2:$BI$137,Calc!$BJ$2:$BJ$137),MATCH($W200,Calc!$A$2:$A$137,0)),"")</f>
        <v>28.4145694134878</v>
      </c>
      <c r="AA200" s="11" t="n">
        <f aca="false">IF(Z200="","",IF(LEFT($X200,1)="H",SQRT(Z200*(IFERROR(INDEX(Calc!$AP$2:$AP$137,MATCH($W200,Calc!$A$2:$A$137,0)),0.5)*Config!$B$5+1-IFERROR(INDEX(Calc!$AP$2:$AP$137,MATCH($W200,Calc!$A$2:$A$137,0)),0.5))),SQRT(Z200*Config!$B$5)))</f>
        <v>6.30717029886485</v>
      </c>
      <c r="AB200" s="10" t="n">
        <f aca="false">IF(OR(F200="",Z200="",N(AA200)&lt;=0),"",1-NORMDIST(FLOOR(F200,1)+0.5,Z200,AA200,TRUE()))</f>
        <v>0.557646424310198</v>
      </c>
      <c r="AC200" s="10" t="n">
        <f aca="false">IF(AB200="","",NORMDIST(CEILING(F200,1)-0.5,Z200,AA200,TRUE()))</f>
        <v>0.442353575689803</v>
      </c>
      <c r="AD200" s="0" t="str">
        <f aca="false">IF(AB200="","",IF(AB200&gt;=0.5+Config!$B$6,"OVER",IF(AC200&gt;=0.5+Config!$B$6,"UNDER","—")))</f>
        <v>OVER</v>
      </c>
      <c r="AE200" s="13" t="n">
        <f aca="false">IFERROR(Z200/G200,"")</f>
        <v>0.992237019763493</v>
      </c>
    </row>
    <row r="201" customFormat="false" ht="15" hidden="false" customHeight="false" outlineLevel="0" collapsed="false">
      <c r="A201" s="0" t="s">
        <v>1139</v>
      </c>
      <c r="B201" s="0" t="s">
        <v>1199</v>
      </c>
      <c r="C201" s="0" t="s">
        <v>1534</v>
      </c>
      <c r="D201" s="0" t="s">
        <v>1202</v>
      </c>
      <c r="E201" s="0" t="s">
        <v>1286</v>
      </c>
      <c r="F201" s="0" t="n">
        <v>15.5</v>
      </c>
      <c r="G201" s="11" t="n">
        <f aca="false">IFERROR(INDEX(CHOOSE(MATCH($X201,{"K1","K2","K3","K12","K13","H1","H2","H3","H12","H13"},0),Calc!$V$2:$V$137,Calc!$AC$2:$AC$137,Calc!$AJ$2:$AJ$137,Calc!$AL$2:$AL$137,Calc!$AM$2:$AM$137,Calc!$W$2:$W$137,Calc!$AD$2:$AD$137,Calc!$AK$2:$AK$137,Calc!$AN$2:$AN$137,Calc!$AO$2:$AO$137),MATCH($W201,Calc!$A$2:$A$137,0)),"")</f>
        <v>16.9792687455621</v>
      </c>
      <c r="H201" s="11" t="n">
        <f aca="false">IF(G201="","",IF(LEFT($X201,1)="H",SQRT(G201*(IFERROR(INDEX(Calc!$AP$2:$AP$137,MATCH($W201,Calc!$A$2:$A$137,0)),0.5)*Config!$B$5+1-IFERROR(INDEX(Calc!$AP$2:$AP$137,MATCH($W201,Calc!$A$2:$A$137,0)),0.5))),SQRT(G201*Config!$B$5)))</f>
        <v>4.54546115691897</v>
      </c>
      <c r="I201" s="10" t="n">
        <f aca="false">IF(OR(F201="",G201="",N(H201)&lt;=0),"",1-NORMDIST(FLOOR(F201,1)+0.5,G201,H201,TRUE()))</f>
        <v>0.627575446427622</v>
      </c>
      <c r="J201" s="10" t="n">
        <f aca="false">IF(I201="","",NORMDIST(CEILING(F201,1)-0.5,G201,H201,TRUE()))</f>
        <v>0.372424553572378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14.2</v>
      </c>
      <c r="O201" s="10" t="n">
        <v>0.4</v>
      </c>
      <c r="P201" s="10" t="n">
        <v>0.3</v>
      </c>
      <c r="Q201" s="10" t="n">
        <v>0.47</v>
      </c>
      <c r="R201" s="9" t="s">
        <v>1329</v>
      </c>
      <c r="S201" s="0" t="n">
        <v>-2</v>
      </c>
      <c r="T201" s="0" t="str">
        <f aca="false">INDEX(Calc!$G$2:$G$137,MATCH($W201,Calc!$A$2:$A$137,0))&amp;" / "&amp;INDEX(Calc!$H$2:$H$137,MATCH($W201,Calc!$A$2:$A$137,0))</f>
        <v>Mirage / Dust2</v>
      </c>
      <c r="U201" s="0" t="str">
        <f aca="false">TEXT(INDEX(Calc!$J$2:$J$137,MATCH($W201,Calc!$A$2:$A$137,0)),"0.0")&amp;" / "&amp;TEXT(INDEX(Calc!$K$2:$K$137,MATCH($W201,Calc!$A$2:$A$137,0)),"0.0")</f>
        <v>21.4 / 21.5</v>
      </c>
      <c r="V201" s="0" t="str">
        <f aca="false">IFERROR(INDEX(Calc!$AQ$2:$AQ$137,MATCH($W201,Calc!$A$2:$A$137,0)),"")</f>
        <v/>
      </c>
      <c r="W201" s="9" t="s">
        <v>1535</v>
      </c>
      <c r="X201" s="9" t="s">
        <v>1289</v>
      </c>
      <c r="Y201" s="0" t="str">
        <f aca="false">W201&amp;"|"&amp;X201</f>
        <v>ih00nznuepxs9r3|CS2 · MOUZ vs AUR|H12</v>
      </c>
      <c r="Z201" s="11" t="n">
        <f aca="false">IFERROR(INDEX(CHOOSE(MATCH($X201,{"K1","K2","K3","K12","K13","H1","H2","H3","H12","H13"},0),Calc!$BA$2:$BA$137,Calc!$BB$2:$BB$137,Calc!$BC$2:$BC$137,Calc!$BD$2:$BD$137,Calc!$BE$2:$BE$137,Calc!$BF$2:$BF$137,Calc!$BG$2:$BG$137,Calc!$BH$2:$BH$137,Calc!$BI$2:$BI$137,Calc!$BJ$2:$BJ$137),MATCH($W201,Calc!$A$2:$A$137,0)),"")</f>
        <v>16.8240986365685</v>
      </c>
      <c r="AA201" s="11" t="n">
        <f aca="false">IF(Z201="","",IF(LEFT($X201,1)="H",SQRT(Z201*(IFERROR(INDEX(Calc!$AP$2:$AP$137,MATCH($W201,Calc!$A$2:$A$137,0)),0.5)*Config!$B$5+1-IFERROR(INDEX(Calc!$AP$2:$AP$137,MATCH($W201,Calc!$A$2:$A$137,0)),0.5))),SQRT(Z201*Config!$B$5)))</f>
        <v>4.52464345967337</v>
      </c>
      <c r="AB201" s="10" t="n">
        <f aca="false">IF(OR(F201="",Z201="",N(AA201)&lt;=0),"",1-NORMDIST(FLOOR(F201,1)+0.5,Z201,AA201,TRUE()))</f>
        <v>0.615101921200718</v>
      </c>
      <c r="AC201" s="10" t="n">
        <f aca="false">IF(AB201="","",NORMDIST(CEILING(F201,1)-0.5,Z201,AA201,TRUE()))</f>
        <v>0.384898078799282</v>
      </c>
      <c r="AD201" s="0" t="str">
        <f aca="false">IF(AB201="","",IF(AB201&gt;=0.5+Config!$B$6,"OVER",IF(AC201&gt;=0.5+Config!$B$6,"UNDER","—")))</f>
        <v>OVER</v>
      </c>
      <c r="AE201" s="13" t="n">
        <f aca="false">IFERROR(Z201/G201,"")</f>
        <v>0.990861201897509</v>
      </c>
    </row>
    <row r="202" customFormat="false" ht="15" hidden="false" customHeight="false" outlineLevel="0" collapsed="false">
      <c r="A202" s="0" t="s">
        <v>1139</v>
      </c>
      <c r="B202" s="0" t="s">
        <v>1199</v>
      </c>
      <c r="C202" s="0" t="s">
        <v>1534</v>
      </c>
      <c r="D202" s="0" t="s">
        <v>1202</v>
      </c>
      <c r="E202" s="0" t="s">
        <v>1290</v>
      </c>
      <c r="F202" s="0" t="n">
        <v>29.5</v>
      </c>
      <c r="G202" s="11" t="n">
        <f aca="false">IFERROR(INDEX(CHOOSE(MATCH($X202,{"K1","K2","K3","K12","K13","H1","H2","H3","H12","H13"},0),Calc!$V$2:$V$137,Calc!$AC$2:$AC$137,Calc!$AJ$2:$AJ$137,Calc!$AL$2:$AL$137,Calc!$AM$2:$AM$137,Calc!$W$2:$W$137,Calc!$AD$2:$AD$137,Calc!$AK$2:$AK$137,Calc!$AN$2:$AN$137,Calc!$AO$2:$AO$137),MATCH($W202,Calc!$A$2:$A$137,0)),"")</f>
        <v>31.3198923076923</v>
      </c>
      <c r="H202" s="11" t="n">
        <f aca="false">IF(G202="","",IF(LEFT($X202,1)="H",SQRT(G202*(IFERROR(INDEX(Calc!$AP$2:$AP$137,MATCH($W202,Calc!$A$2:$A$137,0)),0.5)*Config!$B$5+1-IFERROR(INDEX(Calc!$AP$2:$AP$137,MATCH($W202,Calc!$A$2:$A$137,0)),0.5))),SQRT(G202*Config!$B$5)))</f>
        <v>6.62177085308524</v>
      </c>
      <c r="I202" s="10" t="n">
        <f aca="false">IF(OR(F202="",G202="",N(H202)&lt;=0),"",1-NORMDIST(FLOOR(F202,1)+0.5,G202,H202,TRUE()))</f>
        <v>0.608278375544661</v>
      </c>
      <c r="J202" s="10" t="n">
        <f aca="false">IF(I202="","",NORMDIST(CEILING(F202,1)-0.5,G202,H202,TRUE()))</f>
        <v>0.39172162445534</v>
      </c>
      <c r="K202" s="10" t="n">
        <f aca="false">IF(I202="","",MAX(0,1-I202-J202))</f>
        <v>0</v>
      </c>
      <c r="L202" s="0" t="str">
        <f aca="false">IF(I202="","",IF(I202&gt;=0.5+Config!$B$6,"OVER",IF(J202&gt;=0.5+Config!$B$6,"UNDER","—")))</f>
        <v>OVER</v>
      </c>
      <c r="M202" s="0" t="n">
        <v>29.77</v>
      </c>
      <c r="N202" s="0" t="n">
        <v>27.7</v>
      </c>
      <c r="O202" s="10" t="n">
        <v>0.4</v>
      </c>
      <c r="P202" s="10" t="n">
        <v>0.3</v>
      </c>
      <c r="Q202" s="10" t="n">
        <v>0.53</v>
      </c>
      <c r="R202" s="9" t="s">
        <v>1329</v>
      </c>
      <c r="S202" s="0" t="n">
        <v>1</v>
      </c>
      <c r="T202" s="0" t="str">
        <f aca="false">INDEX(Calc!$G$2:$G$137,MATCH($W202,Calc!$A$2:$A$137,0))&amp;" / "&amp;INDEX(Calc!$H$2:$H$137,MATCH($W202,Calc!$A$2:$A$137,0))</f>
        <v>Mirage / Dust2</v>
      </c>
      <c r="U202" s="0" t="str">
        <f aca="false">TEXT(INDEX(Calc!$J$2:$J$137,MATCH($W202,Calc!$A$2:$A$137,0)),"0.0")&amp;" / "&amp;TEXT(INDEX(Calc!$K$2:$K$137,MATCH($W202,Calc!$A$2:$A$137,0)),"0.0")</f>
        <v>21.4 / 21.5</v>
      </c>
      <c r="V202" s="0" t="str">
        <f aca="false">IFERROR(INDEX(Calc!$AQ$2:$AQ$137,MATCH($W202,Calc!$A$2:$A$137,0)),"")</f>
        <v/>
      </c>
      <c r="W202" s="9" t="s">
        <v>1535</v>
      </c>
      <c r="X202" s="9" t="s">
        <v>1291</v>
      </c>
      <c r="Y202" s="0" t="str">
        <f aca="false">W202&amp;"|"&amp;X202</f>
        <v>ih00nznuepxs9r3|CS2 · MOUZ vs AUR|K12</v>
      </c>
      <c r="Z202" s="11" t="n">
        <f aca="false">IFERROR(INDEX(CHOOSE(MATCH($X202,{"K1","K2","K3","K12","K13","H1","H2","H3","H12","H13"},0),Calc!$BA$2:$BA$137,Calc!$BB$2:$BB$137,Calc!$BC$2:$BC$137,Calc!$BD$2:$BD$137,Calc!$BE$2:$BE$137,Calc!$BF$2:$BF$137,Calc!$BG$2:$BG$137,Calc!$BH$2:$BH$137,Calc!$BI$2:$BI$137,Calc!$BJ$2:$BJ$137),MATCH($W202,Calc!$A$2:$A$137,0)),"")</f>
        <v>31.0507933804872</v>
      </c>
      <c r="AA202" s="11" t="n">
        <f aca="false">IF(Z202="","",IF(LEFT($X202,1)="H",SQRT(Z202*(IFERROR(INDEX(Calc!$AP$2:$AP$137,MATCH($W202,Calc!$A$2:$A$137,0)),0.5)*Config!$B$5+1-IFERROR(INDEX(Calc!$AP$2:$AP$137,MATCH($W202,Calc!$A$2:$A$137,0)),0.5))),SQRT(Z202*Config!$B$5)))</f>
        <v>6.59326252569106</v>
      </c>
      <c r="AB202" s="10" t="n">
        <f aca="false">IF(OR(F202="",Z202="",N(AA202)&lt;=0),"",1-NORMDIST(FLOOR(F202,1)+0.5,Z202,AA202,TRUE()))</f>
        <v>0.592976662725301</v>
      </c>
      <c r="AC202" s="10" t="n">
        <f aca="false">IF(AB202="","",NORMDIST(CEILING(F202,1)-0.5,Z202,AA202,TRUE()))</f>
        <v>0.407023337274699</v>
      </c>
      <c r="AD202" s="0" t="str">
        <f aca="false">IF(AB202="","",IF(AB202&gt;=0.5+Config!$B$6,"OVER",IF(AC202&gt;=0.5+Config!$B$6,"UNDER","—")))</f>
        <v>OVER</v>
      </c>
      <c r="AE202" s="13" t="n">
        <f aca="false">IFERROR(Z202/G202,"")</f>
        <v>0.991408050686718</v>
      </c>
    </row>
    <row r="203" customFormat="false" ht="15" hidden="false" customHeight="false" outlineLevel="0" collapsed="false">
      <c r="A203" s="0" t="s">
        <v>1139</v>
      </c>
      <c r="B203" s="0" t="s">
        <v>1229</v>
      </c>
      <c r="C203" s="0" t="s">
        <v>1536</v>
      </c>
      <c r="D203" s="0" t="s">
        <v>1233</v>
      </c>
      <c r="E203" s="0" t="s">
        <v>1286</v>
      </c>
      <c r="F203" s="0" t="n">
        <v>17.5</v>
      </c>
      <c r="G203" s="11" t="n">
        <f aca="false">IFERROR(INDEX(CHOOSE(MATCH($X203,{"K1","K2","K3","K12","K13","H1","H2","H3","H12","H13"},0),Calc!$V$2:$V$137,Calc!$AC$2:$AC$137,Calc!$AJ$2:$AJ$137,Calc!$AL$2:$AL$137,Calc!$AM$2:$AM$137,Calc!$W$2:$W$137,Calc!$AD$2:$AD$137,Calc!$AK$2:$AK$137,Calc!$AN$2:$AN$137,Calc!$AO$2:$AO$137),MATCH($W203,Calc!$A$2:$A$137,0)),"")</f>
        <v>17.3438656738988</v>
      </c>
      <c r="H203" s="11" t="n">
        <f aca="false">IF(G203="","",IF(LEFT($X203,1)="H",SQRT(G203*(IFERROR(INDEX(Calc!$AP$2:$AP$137,MATCH($W203,Calc!$A$2:$A$137,0)),0.5)*Config!$B$5+1-IFERROR(INDEX(Calc!$AP$2:$AP$137,MATCH($W203,Calc!$A$2:$A$137,0)),0.5))),SQRT(G203*Config!$B$5)))</f>
        <v>4.61303140325903</v>
      </c>
      <c r="I203" s="10" t="n">
        <f aca="false">IF(OR(F203="",G203="",N(H203)&lt;=0),"",1-NORMDIST(FLOOR(F203,1)+0.5,G203,H203,TRUE()))</f>
        <v>0.486499833193486</v>
      </c>
      <c r="J203" s="10" t="n">
        <f aca="false">IF(I203="","",NORMDIST(CEILING(F203,1)-0.5,G203,H203,TRUE()))</f>
        <v>0.513500166806514</v>
      </c>
      <c r="K203" s="10" t="n">
        <f aca="false">IF(I203="","",MAX(0,1-I203-J203))</f>
        <v>0</v>
      </c>
      <c r="L203" s="0" t="str">
        <f aca="false">IF(I203="","",IF(I203&gt;=0.5+Config!$B$6,"OVER",IF(J203&gt;=0.5+Config!$B$6,"UNDER","—")))</f>
        <v>—</v>
      </c>
      <c r="N203" s="0" t="n">
        <v>18.3</v>
      </c>
      <c r="O203" s="10" t="n">
        <v>0.6</v>
      </c>
      <c r="P203" s="10" t="n">
        <v>0.7</v>
      </c>
      <c r="Q203" s="10" t="n">
        <v>0.47</v>
      </c>
      <c r="R203" s="9" t="s">
        <v>1287</v>
      </c>
      <c r="S203" s="0" t="n">
        <v>-1</v>
      </c>
      <c r="T203" s="0" t="str">
        <f aca="false">INDEX(Calc!$G$2:$G$137,MATCH($W203,Calc!$A$2:$A$137,0))&amp;" / "&amp;INDEX(Calc!$H$2:$H$137,MATCH($W203,Calc!$A$2:$A$137,0))</f>
        <v>Cache / Mirage</v>
      </c>
      <c r="U203" s="0" t="str">
        <f aca="false">TEXT(INDEX(Calc!$J$2:$J$137,MATCH($W203,Calc!$A$2:$A$137,0)),"0.0")&amp;" / "&amp;TEXT(INDEX(Calc!$K$2:$K$137,MATCH($W203,Calc!$A$2:$A$137,0)),"0.0")</f>
        <v>21.5 / 21.5</v>
      </c>
      <c r="V203" s="0" t="str">
        <f aca="false">IFERROR(INDEX(Calc!$AQ$2:$AQ$137,MATCH($W203,Calc!$A$2:$A$137,0)),"")</f>
        <v/>
      </c>
      <c r="W203" s="9" t="s">
        <v>1537</v>
      </c>
      <c r="X203" s="9" t="s">
        <v>1289</v>
      </c>
      <c r="Y203" s="0" t="str">
        <f aca="false">W203&amp;"|"&amp;X203</f>
        <v>rfqj6u4cb2993gu|CS2 · NRG vs Tactical Chaos|H12</v>
      </c>
      <c r="Z203" s="11" t="n">
        <f aca="false">IFERROR(INDEX(CHOOSE(MATCH($X203,{"K1","K2","K3","K12","K13","H1","H2","H3","H12","H13"},0),Calc!$BA$2:$BA$137,Calc!$BB$2:$BB$137,Calc!$BC$2:$BC$137,Calc!$BD$2:$BD$137,Calc!$BE$2:$BE$137,Calc!$BF$2:$BF$137,Calc!$BG$2:$BG$137,Calc!$BH$2:$BH$137,Calc!$BI$2:$BI$137,Calc!$BJ$2:$BJ$137),MATCH($W203,Calc!$A$2:$A$137,0)),"")</f>
        <v>19.1288076205926</v>
      </c>
      <c r="AA203" s="11" t="n">
        <f aca="false">IF(Z203="","",IF(LEFT($X203,1)="H",SQRT(Z203*(IFERROR(INDEX(Calc!$AP$2:$AP$137,MATCH($W203,Calc!$A$2:$A$137,0)),0.5)*Config!$B$5+1-IFERROR(INDEX(Calc!$AP$2:$AP$137,MATCH($W203,Calc!$A$2:$A$137,0)),0.5))),SQRT(Z203*Config!$B$5)))</f>
        <v>4.84459425863713</v>
      </c>
      <c r="AB203" s="10" t="n">
        <f aca="false">IF(OR(F203="",Z203="",N(AA203)&lt;=0),"",1-NORMDIST(FLOOR(F203,1)+0.5,Z203,AA203,TRUE()))</f>
        <v>0.631644256207442</v>
      </c>
      <c r="AC203" s="10" t="n">
        <f aca="false">IF(AB203="","",NORMDIST(CEILING(F203,1)-0.5,Z203,AA203,TRUE()))</f>
        <v>0.368355743792558</v>
      </c>
      <c r="AD203" s="0" t="str">
        <f aca="false">IF(AB203="","",IF(AB203&gt;=0.5+Config!$B$6,"OVER",IF(AC203&gt;=0.5+Config!$B$6,"UNDER","—")))</f>
        <v>OVER</v>
      </c>
      <c r="AE203" s="13" t="n">
        <f aca="false">IFERROR(Z203/G203,"")</f>
        <v>1.10291488531187</v>
      </c>
    </row>
    <row r="204" customFormat="false" ht="15" hidden="false" customHeight="false" outlineLevel="0" collapsed="false">
      <c r="A204" s="0" t="s">
        <v>1139</v>
      </c>
      <c r="B204" s="0" t="s">
        <v>1229</v>
      </c>
      <c r="C204" s="0" t="s">
        <v>1536</v>
      </c>
      <c r="D204" s="0" t="s">
        <v>1233</v>
      </c>
      <c r="E204" s="0" t="s">
        <v>1290</v>
      </c>
      <c r="F204" s="0" t="n">
        <v>32.5</v>
      </c>
      <c r="G204" s="11" t="n">
        <f aca="false">IFERROR(INDEX(CHOOSE(MATCH($X204,{"K1","K2","K3","K12","K13","H1","H2","H3","H12","H13"},0),Calc!$V$2:$V$137,Calc!$AC$2:$AC$137,Calc!$AJ$2:$AJ$137,Calc!$AL$2:$AL$137,Calc!$AM$2:$AM$137,Calc!$W$2:$W$137,Calc!$AD$2:$AD$137,Calc!$AK$2:$AK$137,Calc!$AN$2:$AN$137,Calc!$AO$2:$AO$137),MATCH($W204,Calc!$A$2:$A$137,0)),"")</f>
        <v>30.5685897435897</v>
      </c>
      <c r="H204" s="11" t="n">
        <f aca="false">IF(G204="","",IF(LEFT($X204,1)="H",SQRT(G204*(IFERROR(INDEX(Calc!$AP$2:$AP$137,MATCH($W204,Calc!$A$2:$A$137,0)),0.5)*Config!$B$5+1-IFERROR(INDEX(Calc!$AP$2:$AP$137,MATCH($W204,Calc!$A$2:$A$137,0)),0.5))),SQRT(G204*Config!$B$5)))</f>
        <v>6.54186713721898</v>
      </c>
      <c r="I204" s="10" t="n">
        <f aca="false">IF(OR(F204="",G204="",N(H204)&lt;=0),"",1-NORMDIST(FLOOR(F204,1)+0.5,G204,H204,TRUE()))</f>
        <v>0.383905892453763</v>
      </c>
      <c r="J204" s="10" t="n">
        <f aca="false">IF(I204="","",NORMDIST(CEILING(F204,1)-0.5,G204,H204,TRUE()))</f>
        <v>0.616094107546237</v>
      </c>
      <c r="K204" s="10" t="n">
        <f aca="false">IF(I204="","",MAX(0,1-I204-J204))</f>
        <v>0</v>
      </c>
      <c r="L204" s="0" t="str">
        <f aca="false">IF(I204="","",IF(I204&gt;=0.5+Config!$B$6,"OVER",IF(J204&gt;=0.5+Config!$B$6,"UNDER","—")))</f>
        <v>UNDER</v>
      </c>
      <c r="N204" s="0" t="n">
        <v>30.1</v>
      </c>
      <c r="O204" s="10" t="n">
        <v>0.4</v>
      </c>
      <c r="P204" s="10" t="n">
        <v>0.4</v>
      </c>
      <c r="Q204" s="10" t="n">
        <v>0.4</v>
      </c>
      <c r="R204" s="9" t="s">
        <v>1287</v>
      </c>
      <c r="S204" s="0" t="n">
        <v>-3</v>
      </c>
      <c r="T204" s="0" t="str">
        <f aca="false">INDEX(Calc!$G$2:$G$137,MATCH($W204,Calc!$A$2:$A$137,0))&amp;" / "&amp;INDEX(Calc!$H$2:$H$137,MATCH($W204,Calc!$A$2:$A$137,0))</f>
        <v>Cache / Mirage</v>
      </c>
      <c r="U204" s="0" t="str">
        <f aca="false">TEXT(INDEX(Calc!$J$2:$J$137,MATCH($W204,Calc!$A$2:$A$137,0)),"0.0")&amp;" / "&amp;TEXT(INDEX(Calc!$K$2:$K$137,MATCH($W204,Calc!$A$2:$A$137,0)),"0.0")</f>
        <v>21.5 / 21.5</v>
      </c>
      <c r="V204" s="0" t="str">
        <f aca="false">IFERROR(INDEX(Calc!$AQ$2:$AQ$137,MATCH($W204,Calc!$A$2:$A$137,0)),"")</f>
        <v/>
      </c>
      <c r="W204" s="9" t="s">
        <v>1537</v>
      </c>
      <c r="X204" s="9" t="s">
        <v>1291</v>
      </c>
      <c r="Y204" s="0" t="str">
        <f aca="false">W204&amp;"|"&amp;X204</f>
        <v>rfqj6u4cb2993gu|CS2 · NRG vs Tactical Chaos|K12</v>
      </c>
      <c r="Z204" s="11" t="n">
        <f aca="false">IFERROR(INDEX(CHOOSE(MATCH($X204,{"K1","K2","K3","K12","K13","H1","H2","H3","H12","H13"},0),Calc!$BA$2:$BA$137,Calc!$BB$2:$BB$137,Calc!$BC$2:$BC$137,Calc!$BD$2:$BD$137,Calc!$BE$2:$BE$137,Calc!$BF$2:$BF$137,Calc!$BG$2:$BG$137,Calc!$BH$2:$BH$137,Calc!$BI$2:$BI$137,Calc!$BJ$2:$BJ$137),MATCH($W204,Calc!$A$2:$A$137,0)),"")</f>
        <v>33.6789792744384</v>
      </c>
      <c r="AA204" s="11" t="n">
        <f aca="false">IF(Z204="","",IF(LEFT($X204,1)="H",SQRT(Z204*(IFERROR(INDEX(Calc!$AP$2:$AP$137,MATCH($W204,Calc!$A$2:$A$137,0)),0.5)*Config!$B$5+1-IFERROR(INDEX(Calc!$AP$2:$AP$137,MATCH($W204,Calc!$A$2:$A$137,0)),0.5))),SQRT(Z204*Config!$B$5)))</f>
        <v>6.86662733692558</v>
      </c>
      <c r="AB204" s="10" t="n">
        <f aca="false">IF(OR(F204="",Z204="",N(AA204)&lt;=0),"",1-NORMDIST(FLOOR(F204,1)+0.5,Z204,AA204,TRUE()))</f>
        <v>0.568162125520981</v>
      </c>
      <c r="AC204" s="10" t="n">
        <f aca="false">IF(AB204="","",NORMDIST(CEILING(F204,1)-0.5,Z204,AA204,TRUE()))</f>
        <v>0.431837874479019</v>
      </c>
      <c r="AD204" s="0" t="str">
        <f aca="false">IF(AB204="","",IF(AB204&gt;=0.5+Config!$B$6,"OVER",IF(AC204&gt;=0.5+Config!$B$6,"UNDER","—")))</f>
        <v>OVER</v>
      </c>
      <c r="AE204" s="13" t="n">
        <f aca="false">IFERROR(Z204/G204,"")</f>
        <v>1.10175116212225</v>
      </c>
    </row>
    <row r="205" customFormat="false" ht="15" hidden="false" customHeight="false" outlineLevel="0" collapsed="false">
      <c r="A205" s="0" t="s">
        <v>1139</v>
      </c>
      <c r="B205" s="0" t="s">
        <v>1229</v>
      </c>
      <c r="C205" s="0" t="s">
        <v>1538</v>
      </c>
      <c r="D205" s="0" t="s">
        <v>1233</v>
      </c>
      <c r="E205" s="0" t="s">
        <v>1286</v>
      </c>
      <c r="F205" s="0" t="n">
        <v>12.5</v>
      </c>
      <c r="G205" s="11" t="n">
        <f aca="false">IFERROR(INDEX(CHOOSE(MATCH($X205,{"K1","K2","K3","K12","K13","H1","H2","H3","H12","H13"},0),Calc!$V$2:$V$137,Calc!$AC$2:$AC$137,Calc!$AJ$2:$AJ$137,Calc!$AL$2:$AL$137,Calc!$AM$2:$AM$137,Calc!$W$2:$W$137,Calc!$AD$2:$AD$137,Calc!$AK$2:$AK$137,Calc!$AN$2:$AN$137,Calc!$AO$2:$AO$137),MATCH($W205,Calc!$A$2:$A$137,0)),"")</f>
        <v>11.8394139053254</v>
      </c>
      <c r="H205" s="11" t="n">
        <f aca="false">IF(G205="","",IF(LEFT($X205,1)="H",SQRT(G205*(IFERROR(INDEX(Calc!$AP$2:$AP$137,MATCH($W205,Calc!$A$2:$A$137,0)),0.5)*Config!$B$5+1-IFERROR(INDEX(Calc!$AP$2:$AP$137,MATCH($W205,Calc!$A$2:$A$137,0)),0.5))),SQRT(G205*Config!$B$5)))</f>
        <v>3.7021971859639</v>
      </c>
      <c r="I205" s="10" t="n">
        <f aca="false">IF(OR(F205="",G205="",N(H205)&lt;=0),"",1-NORMDIST(FLOOR(F205,1)+0.5,G205,H205,TRUE()))</f>
        <v>0.429192321806912</v>
      </c>
      <c r="J205" s="10" t="n">
        <f aca="false">IF(I205="","",NORMDIST(CEILING(F205,1)-0.5,G205,H205,TRUE()))</f>
        <v>0.570807678193088</v>
      </c>
      <c r="K205" s="10" t="n">
        <f aca="false">IF(I205="","",MAX(0,1-I205-J205))</f>
        <v>0</v>
      </c>
      <c r="L205" s="0" t="str">
        <f aca="false">IF(I205="","",IF(I205&gt;=0.5+Config!$B$6,"OVER",IF(J205&gt;=0.5+Config!$B$6,"UNDER","—")))</f>
        <v>UNDER</v>
      </c>
      <c r="N205" s="0" t="n">
        <v>12.2</v>
      </c>
      <c r="O205" s="10" t="n">
        <v>0.4</v>
      </c>
      <c r="P205" s="10" t="n">
        <v>0.4</v>
      </c>
      <c r="Q205" s="10" t="n">
        <v>0.4</v>
      </c>
      <c r="R205" s="9" t="s">
        <v>1287</v>
      </c>
      <c r="S205" s="0" t="n">
        <v>1</v>
      </c>
      <c r="T205" s="0" t="str">
        <f aca="false">INDEX(Calc!$G$2:$G$137,MATCH($W205,Calc!$A$2:$A$137,0))&amp;" / "&amp;INDEX(Calc!$H$2:$H$137,MATCH($W205,Calc!$A$2:$A$137,0))</f>
        <v>Cache / Mirage</v>
      </c>
      <c r="U205" s="0" t="str">
        <f aca="false">TEXT(INDEX(Calc!$J$2:$J$137,MATCH($W205,Calc!$A$2:$A$137,0)),"0.0")&amp;" / "&amp;TEXT(INDEX(Calc!$K$2:$K$137,MATCH($W205,Calc!$A$2:$A$137,0)),"0.0")</f>
        <v>21.5 / 21.5</v>
      </c>
      <c r="V205" s="0" t="str">
        <f aca="false">IFERROR(INDEX(Calc!$AQ$2:$AQ$137,MATCH($W205,Calc!$A$2:$A$137,0)),"")</f>
        <v/>
      </c>
      <c r="W205" s="9" t="s">
        <v>1539</v>
      </c>
      <c r="X205" s="9" t="s">
        <v>1289</v>
      </c>
      <c r="Y205" s="0" t="str">
        <f aca="false">W205&amp;"|"&amp;X205</f>
        <v>mprhmt5nqri2sa5|CS2 · NRG vs Tactical Chaos|H12</v>
      </c>
      <c r="Z205" s="11" t="n">
        <f aca="false">IFERROR(INDEX(CHOOSE(MATCH($X205,{"K1","K2","K3","K12","K13","H1","H2","H3","H12","H13"},0),Calc!$BA$2:$BA$137,Calc!$BB$2:$BB$137,Calc!$BC$2:$BC$137,Calc!$BD$2:$BD$137,Calc!$BE$2:$BE$137,Calc!$BF$2:$BF$137,Calc!$BG$2:$BG$137,Calc!$BH$2:$BH$137,Calc!$BI$2:$BI$137,Calc!$BJ$2:$BJ$137),MATCH($W205,Calc!$A$2:$A$137,0)),"")</f>
        <v>13.0568083092968</v>
      </c>
      <c r="AA205" s="11" t="n">
        <f aca="false">IF(Z205="","",IF(LEFT($X205,1)="H",SQRT(Z205*(IFERROR(INDEX(Calc!$AP$2:$AP$137,MATCH($W205,Calc!$A$2:$A$137,0)),0.5)*Config!$B$5+1-IFERROR(INDEX(Calc!$AP$2:$AP$137,MATCH($W205,Calc!$A$2:$A$137,0)),0.5))),SQRT(Z205*Config!$B$5)))</f>
        <v>3.88788095505774</v>
      </c>
      <c r="AB205" s="10" t="n">
        <f aca="false">IF(OR(F205="",Z205="",N(AA205)&lt;=0),"",1-NORMDIST(FLOOR(F205,1)+0.5,Z205,AA205,TRUE()))</f>
        <v>0.55694036051601</v>
      </c>
      <c r="AC205" s="10" t="n">
        <f aca="false">IF(AB205="","",NORMDIST(CEILING(F205,1)-0.5,Z205,AA205,TRUE()))</f>
        <v>0.44305963948399</v>
      </c>
      <c r="AD205" s="0" t="str">
        <f aca="false">IF(AB205="","",IF(AB205&gt;=0.5+Config!$B$6,"OVER",IF(AC205&gt;=0.5+Config!$B$6,"UNDER","—")))</f>
        <v>OVER</v>
      </c>
      <c r="AE205" s="13" t="n">
        <f aca="false">IFERROR(Z205/G205,"")</f>
        <v>1.10282556330121</v>
      </c>
    </row>
    <row r="206" customFormat="false" ht="15" hidden="false" customHeight="false" outlineLevel="0" collapsed="false">
      <c r="A206" s="0" t="s">
        <v>1139</v>
      </c>
      <c r="B206" s="0" t="s">
        <v>1229</v>
      </c>
      <c r="C206" s="0" t="s">
        <v>1538</v>
      </c>
      <c r="D206" s="0" t="s">
        <v>1233</v>
      </c>
      <c r="E206" s="0" t="s">
        <v>1290</v>
      </c>
      <c r="F206" s="0" t="n">
        <v>31.5</v>
      </c>
      <c r="G206" s="11" t="n">
        <f aca="false">IFERROR(INDEX(CHOOSE(MATCH($X206,{"K1","K2","K3","K12","K13","H1","H2","H3","H12","H13"},0),Calc!$V$2:$V$137,Calc!$AC$2:$AC$137,Calc!$AJ$2:$AJ$137,Calc!$AL$2:$AL$137,Calc!$AM$2:$AM$137,Calc!$W$2:$W$137,Calc!$AD$2:$AD$137,Calc!$AK$2:$AK$137,Calc!$AN$2:$AN$137,Calc!$AO$2:$AO$137),MATCH($W206,Calc!$A$2:$A$137,0)),"")</f>
        <v>30.0338461538462</v>
      </c>
      <c r="H206" s="11" t="n">
        <f aca="false">IF(G206="","",IF(LEFT($X206,1)="H",SQRT(G206*(IFERROR(INDEX(Calc!$AP$2:$AP$137,MATCH($W206,Calc!$A$2:$A$137,0)),0.5)*Config!$B$5+1-IFERROR(INDEX(Calc!$AP$2:$AP$137,MATCH($W206,Calc!$A$2:$A$137,0)),0.5))),SQRT(G206*Config!$B$5)))</f>
        <v>6.4843954703106</v>
      </c>
      <c r="I206" s="10" t="n">
        <f aca="false">IF(OR(F206="",G206="",N(H206)&lt;=0),"",1-NORMDIST(FLOOR(F206,1)+0.5,G206,H206,TRUE()))</f>
        <v>0.410559901412784</v>
      </c>
      <c r="J206" s="10" t="n">
        <f aca="false">IF(I206="","",NORMDIST(CEILING(F206,1)-0.5,G206,H206,TRUE()))</f>
        <v>0.589440098587216</v>
      </c>
      <c r="K206" s="10" t="n">
        <f aca="false">IF(I206="","",MAX(0,1-I206-J206))</f>
        <v>0</v>
      </c>
      <c r="L206" s="0" t="str">
        <f aca="false">IF(I206="","",IF(I206&gt;=0.5+Config!$B$6,"OVER",IF(J206&gt;=0.5+Config!$B$6,"UNDER","—")))</f>
        <v>UNDER</v>
      </c>
      <c r="N206" s="0" t="n">
        <v>29.1</v>
      </c>
      <c r="O206" s="10" t="n">
        <v>0.4</v>
      </c>
      <c r="P206" s="10" t="n">
        <v>0.4</v>
      </c>
      <c r="Q206" s="10" t="n">
        <v>0.4</v>
      </c>
      <c r="R206" s="9" t="s">
        <v>1287</v>
      </c>
      <c r="S206" s="0" t="n">
        <v>1</v>
      </c>
      <c r="T206" s="0" t="str">
        <f aca="false">INDEX(Calc!$G$2:$G$137,MATCH($W206,Calc!$A$2:$A$137,0))&amp;" / "&amp;INDEX(Calc!$H$2:$H$137,MATCH($W206,Calc!$A$2:$A$137,0))</f>
        <v>Cache / Mirage</v>
      </c>
      <c r="U206" s="0" t="str">
        <f aca="false">TEXT(INDEX(Calc!$J$2:$J$137,MATCH($W206,Calc!$A$2:$A$137,0)),"0.0")&amp;" / "&amp;TEXT(INDEX(Calc!$K$2:$K$137,MATCH($W206,Calc!$A$2:$A$137,0)),"0.0")</f>
        <v>21.5 / 21.5</v>
      </c>
      <c r="V206" s="0" t="str">
        <f aca="false">IFERROR(INDEX(Calc!$AQ$2:$AQ$137,MATCH($W206,Calc!$A$2:$A$137,0)),"")</f>
        <v/>
      </c>
      <c r="W206" s="9" t="s">
        <v>1539</v>
      </c>
      <c r="X206" s="9" t="s">
        <v>1291</v>
      </c>
      <c r="Y206" s="0" t="str">
        <f aca="false">W206&amp;"|"&amp;X206</f>
        <v>mprhmt5nqri2sa5|CS2 · NRG vs Tactical Chaos|K12</v>
      </c>
      <c r="Z206" s="11" t="n">
        <f aca="false">IFERROR(INDEX(CHOOSE(MATCH($X206,{"K1","K2","K3","K12","K13","H1","H2","H3","H12","H13"},0),Calc!$BA$2:$BA$137,Calc!$BB$2:$BB$137,Calc!$BC$2:$BC$137,Calc!$BD$2:$BD$137,Calc!$BE$2:$BE$137,Calc!$BF$2:$BF$137,Calc!$BG$2:$BG$137,Calc!$BH$2:$BH$137,Calc!$BI$2:$BI$137,Calc!$BJ$2:$BJ$137),MATCH($W206,Calc!$A$2:$A$137,0)),"")</f>
        <v>33.1003017707965</v>
      </c>
      <c r="AA206" s="11" t="n">
        <f aca="false">IF(Z206="","",IF(LEFT($X206,1)="H",SQRT(Z206*(IFERROR(INDEX(Calc!$AP$2:$AP$137,MATCH($W206,Calc!$A$2:$A$137,0)),0.5)*Config!$B$5+1-IFERROR(INDEX(Calc!$AP$2:$AP$137,MATCH($W206,Calc!$A$2:$A$137,0)),0.5))),SQRT(Z206*Config!$B$5)))</f>
        <v>6.80738000108082</v>
      </c>
      <c r="AB206" s="10" t="n">
        <f aca="false">IF(OR(F206="",Z206="",N(AA206)&lt;=0),"",1-NORMDIST(FLOOR(F206,1)+0.5,Z206,AA206,TRUE()))</f>
        <v>0.592927983605483</v>
      </c>
      <c r="AC206" s="10" t="n">
        <f aca="false">IF(AB206="","",NORMDIST(CEILING(F206,1)-0.5,Z206,AA206,TRUE()))</f>
        <v>0.407072016394517</v>
      </c>
      <c r="AD206" s="0" t="str">
        <f aca="false">IF(AB206="","",IF(AB206&gt;=0.5+Config!$B$6,"OVER",IF(AC206&gt;=0.5+Config!$B$6,"UNDER","—")))</f>
        <v>OVER</v>
      </c>
      <c r="AE206" s="13" t="n">
        <f aca="false">IFERROR(Z206/G206,"")</f>
        <v>1.10209999749092</v>
      </c>
    </row>
    <row r="207" customFormat="false" ht="15" hidden="false" customHeight="false" outlineLevel="0" collapsed="false">
      <c r="A207" s="0" t="s">
        <v>1139</v>
      </c>
      <c r="B207" s="0" t="s">
        <v>1229</v>
      </c>
      <c r="C207" s="0" t="s">
        <v>1540</v>
      </c>
      <c r="D207" s="0" t="s">
        <v>1233</v>
      </c>
      <c r="E207" s="0" t="s">
        <v>1286</v>
      </c>
      <c r="F207" s="0" t="n">
        <v>14.5</v>
      </c>
      <c r="G207" s="11" t="n">
        <f aca="false">IFERROR(INDEX(CHOOSE(MATCH($X207,{"K1","K2","K3","K12","K13","H1","H2","H3","H12","H13"},0),Calc!$V$2:$V$137,Calc!$AC$2:$AC$137,Calc!$AJ$2:$AJ$137,Calc!$AL$2:$AL$137,Calc!$AM$2:$AM$137,Calc!$W$2:$W$137,Calc!$AD$2:$AD$137,Calc!$AK$2:$AK$137,Calc!$AN$2:$AN$137,Calc!$AO$2:$AO$137),MATCH($W207,Calc!$A$2:$A$137,0)),"")</f>
        <v>12.6853816568047</v>
      </c>
      <c r="H207" s="11" t="n">
        <f aca="false">IF(G207="","",IF(LEFT($X207,1)="H",SQRT(G207*(IFERROR(INDEX(Calc!$AP$2:$AP$137,MATCH($W207,Calc!$A$2:$A$137,0)),0.5)*Config!$B$5+1-IFERROR(INDEX(Calc!$AP$2:$AP$137,MATCH($W207,Calc!$A$2:$A$137,0)),0.5))),SQRT(G207*Config!$B$5)))</f>
        <v>3.89340230674605</v>
      </c>
      <c r="I207" s="10" t="n">
        <f aca="false">IF(OR(F207="",G207="",N(H207)&lt;=0),"",1-NORMDIST(FLOOR(F207,1)+0.5,G207,H207,TRUE()))</f>
        <v>0.320580829310988</v>
      </c>
      <c r="J207" s="10" t="n">
        <f aca="false">IF(I207="","",NORMDIST(CEILING(F207,1)-0.5,G207,H207,TRUE()))</f>
        <v>0.679419170689012</v>
      </c>
      <c r="K207" s="10" t="n">
        <f aca="false">IF(I207="","",MAX(0,1-I207-J207))</f>
        <v>0</v>
      </c>
      <c r="L207" s="0" t="str">
        <f aca="false">IF(I207="","",IF(I207&gt;=0.5+Config!$B$6,"OVER",IF(J207&gt;=0.5+Config!$B$6,"UNDER","—")))</f>
        <v>UNDER</v>
      </c>
      <c r="N207" s="0" t="n">
        <v>12.3</v>
      </c>
      <c r="O207" s="10" t="n">
        <v>0</v>
      </c>
      <c r="P207" s="10" t="n">
        <v>0.2</v>
      </c>
      <c r="Q207" s="10" t="n">
        <v>0.27</v>
      </c>
      <c r="R207" s="9" t="s">
        <v>1287</v>
      </c>
      <c r="S207" s="0" t="n">
        <v>-6</v>
      </c>
      <c r="T207" s="0" t="str">
        <f aca="false">INDEX(Calc!$G$2:$G$137,MATCH($W207,Calc!$A$2:$A$137,0))&amp;" / "&amp;INDEX(Calc!$H$2:$H$137,MATCH($W207,Calc!$A$2:$A$137,0))</f>
        <v>Cache / Mirage</v>
      </c>
      <c r="U207" s="0" t="str">
        <f aca="false">TEXT(INDEX(Calc!$J$2:$J$137,MATCH($W207,Calc!$A$2:$A$137,0)),"0.0")&amp;" / "&amp;TEXT(INDEX(Calc!$K$2:$K$137,MATCH($W207,Calc!$A$2:$A$137,0)),"0.0")</f>
        <v>21.5 / 21.5</v>
      </c>
      <c r="V207" s="0" t="str">
        <f aca="false">IFERROR(INDEX(Calc!$AQ$2:$AQ$137,MATCH($W207,Calc!$A$2:$A$137,0)),"")</f>
        <v/>
      </c>
      <c r="W207" s="9" t="s">
        <v>1541</v>
      </c>
      <c r="X207" s="9" t="s">
        <v>1289</v>
      </c>
      <c r="Y207" s="0" t="str">
        <f aca="false">W207&amp;"|"&amp;X207</f>
        <v>hdv5agzi5iecire|CS2 · NRG vs Tactical Chaos|H12</v>
      </c>
      <c r="Z207" s="11" t="n">
        <f aca="false">IFERROR(INDEX(CHOOSE(MATCH($X207,{"K1","K2","K3","K12","K13","H1","H2","H3","H12","H13"},0),Calc!$BA$2:$BA$137,Calc!$BB$2:$BB$137,Calc!$BC$2:$BC$137,Calc!$BD$2:$BD$137,Calc!$BE$2:$BE$137,Calc!$BF$2:$BF$137,Calc!$BG$2:$BG$137,Calc!$BH$2:$BH$137,Calc!$BI$2:$BI$137,Calc!$BJ$2:$BJ$137),MATCH($W207,Calc!$A$2:$A$137,0)),"")</f>
        <v>13.9897629243623</v>
      </c>
      <c r="AA207" s="11" t="n">
        <f aca="false">IF(Z207="","",IF(LEFT($X207,1)="H",SQRT(Z207*(IFERROR(INDEX(Calc!$AP$2:$AP$137,MATCH($W207,Calc!$A$2:$A$137,0)),0.5)*Config!$B$5+1-IFERROR(INDEX(Calc!$AP$2:$AP$137,MATCH($W207,Calc!$A$2:$A$137,0)),0.5))),SQRT(Z207*Config!$B$5)))</f>
        <v>4.08867593615477</v>
      </c>
      <c r="AB207" s="10" t="n">
        <f aca="false">IF(OR(F207="",Z207="",N(AA207)&lt;=0),"",1-NORMDIST(FLOOR(F207,1)+0.5,Z207,AA207,TRUE()))</f>
        <v>0.450343817300015</v>
      </c>
      <c r="AC207" s="10" t="n">
        <f aca="false">IF(AB207="","",NORMDIST(CEILING(F207,1)-0.5,Z207,AA207,TRUE()))</f>
        <v>0.549656182699985</v>
      </c>
      <c r="AD207" s="0" t="str">
        <f aca="false">IF(AB207="","",IF(AB207&gt;=0.5+Config!$B$6,"OVER",IF(AC207&gt;=0.5+Config!$B$6,"UNDER","—")))</f>
        <v>UNDER</v>
      </c>
      <c r="AE207" s="13" t="n">
        <f aca="false">IFERROR(Z207/G207,"")</f>
        <v>1.10282554383043</v>
      </c>
    </row>
    <row r="208" customFormat="false" ht="15" hidden="false" customHeight="false" outlineLevel="0" collapsed="false">
      <c r="A208" s="0" t="s">
        <v>1139</v>
      </c>
      <c r="B208" s="0" t="s">
        <v>1229</v>
      </c>
      <c r="C208" s="0" t="s">
        <v>1540</v>
      </c>
      <c r="D208" s="0" t="s">
        <v>1233</v>
      </c>
      <c r="E208" s="0" t="s">
        <v>1290</v>
      </c>
      <c r="F208" s="0" t="n">
        <v>28.5</v>
      </c>
      <c r="G208" s="11" t="n">
        <f aca="false">IFERROR(INDEX(CHOOSE(MATCH($X208,{"K1","K2","K3","K12","K13","H1","H2","H3","H12","H13"},0),Calc!$V$2:$V$137,Calc!$AC$2:$AC$137,Calc!$AJ$2:$AJ$137,Calc!$AL$2:$AL$137,Calc!$AM$2:$AM$137,Calc!$W$2:$W$137,Calc!$AD$2:$AD$137,Calc!$AK$2:$AK$137,Calc!$AN$2:$AN$137,Calc!$AO$2:$AO$137),MATCH($W208,Calc!$A$2:$A$137,0)),"")</f>
        <v>26.0260256410256</v>
      </c>
      <c r="H208" s="11" t="n">
        <f aca="false">IF(G208="","",IF(LEFT($X208,1)="H",SQRT(G208*(IFERROR(INDEX(Calc!$AP$2:$AP$137,MATCH($W208,Calc!$A$2:$A$137,0)),0.5)*Config!$B$5+1-IFERROR(INDEX(Calc!$AP$2:$AP$137,MATCH($W208,Calc!$A$2:$A$137,0)),0.5))),SQRT(G208*Config!$B$5)))</f>
        <v>6.03626009193076</v>
      </c>
      <c r="I208" s="10" t="n">
        <f aca="false">IF(OR(F208="",G208="",N(H208)&lt;=0),"",1-NORMDIST(FLOOR(F208,1)+0.5,G208,H208,TRUE()))</f>
        <v>0.340957193004533</v>
      </c>
      <c r="J208" s="10" t="n">
        <f aca="false">IF(I208="","",NORMDIST(CEILING(F208,1)-0.5,G208,H208,TRUE()))</f>
        <v>0.659042806995467</v>
      </c>
      <c r="K208" s="10" t="n">
        <f aca="false">IF(I208="","",MAX(0,1-I208-J208))</f>
        <v>0</v>
      </c>
      <c r="L208" s="0" t="str">
        <f aca="false">IF(I208="","",IF(I208&gt;=0.5+Config!$B$6,"OVER",IF(J208&gt;=0.5+Config!$B$6,"UNDER","—")))</f>
        <v>UNDER</v>
      </c>
      <c r="N208" s="0" t="n">
        <v>26.6</v>
      </c>
      <c r="O208" s="10" t="n">
        <v>0.2</v>
      </c>
      <c r="P208" s="10" t="n">
        <v>0.3</v>
      </c>
      <c r="Q208" s="10" t="n">
        <v>0.33</v>
      </c>
      <c r="R208" s="9" t="s">
        <v>1287</v>
      </c>
      <c r="S208" s="0" t="n">
        <v>-1</v>
      </c>
      <c r="T208" s="0" t="str">
        <f aca="false">INDEX(Calc!$G$2:$G$137,MATCH($W208,Calc!$A$2:$A$137,0))&amp;" / "&amp;INDEX(Calc!$H$2:$H$137,MATCH($W208,Calc!$A$2:$A$137,0))</f>
        <v>Cache / Mirage</v>
      </c>
      <c r="U208" s="0" t="str">
        <f aca="false">TEXT(INDEX(Calc!$J$2:$J$137,MATCH($W208,Calc!$A$2:$A$137,0)),"0.0")&amp;" / "&amp;TEXT(INDEX(Calc!$K$2:$K$137,MATCH($W208,Calc!$A$2:$A$137,0)),"0.0")</f>
        <v>21.5 / 21.5</v>
      </c>
      <c r="V208" s="0" t="str">
        <f aca="false">IFERROR(INDEX(Calc!$AQ$2:$AQ$137,MATCH($W208,Calc!$A$2:$A$137,0)),"")</f>
        <v/>
      </c>
      <c r="W208" s="9" t="s">
        <v>1541</v>
      </c>
      <c r="X208" s="9" t="s">
        <v>1291</v>
      </c>
      <c r="Y208" s="0" t="str">
        <f aca="false">W208&amp;"|"&amp;X208</f>
        <v>hdv5agzi5iecire|CS2 · NRG vs Tactical Chaos|K12</v>
      </c>
      <c r="Z208" s="11" t="n">
        <f aca="false">IFERROR(INDEX(CHOOSE(MATCH($X208,{"K1","K2","K3","K12","K13","H1","H2","H3","H12","H13"},0),Calc!$BA$2:$BA$137,Calc!$BB$2:$BB$137,Calc!$BC$2:$BC$137,Calc!$BD$2:$BD$137,Calc!$BE$2:$BE$137,Calc!$BF$2:$BF$137,Calc!$BG$2:$BG$137,Calc!$BH$2:$BH$137,Calc!$BI$2:$BI$137,Calc!$BJ$2:$BJ$137),MATCH($W208,Calc!$A$2:$A$137,0)),"")</f>
        <v>28.6974497802058</v>
      </c>
      <c r="AA208" s="11" t="n">
        <f aca="false">IF(Z208="","",IF(LEFT($X208,1)="H",SQRT(Z208*(IFERROR(INDEX(Calc!$AP$2:$AP$137,MATCH($W208,Calc!$A$2:$A$137,0)),0.5)*Config!$B$5+1-IFERROR(INDEX(Calc!$AP$2:$AP$137,MATCH($W208,Calc!$A$2:$A$137,0)),0.5))),SQRT(Z208*Config!$B$5)))</f>
        <v>6.33848796577607</v>
      </c>
      <c r="AB208" s="10" t="n">
        <f aca="false">IF(OR(F208="",Z208="",N(AA208)&lt;=0),"",1-NORMDIST(FLOOR(F208,1)+0.5,Z208,AA208,TRUE()))</f>
        <v>0.512425412529158</v>
      </c>
      <c r="AC208" s="10" t="n">
        <f aca="false">IF(AB208="","",NORMDIST(CEILING(F208,1)-0.5,Z208,AA208,TRUE()))</f>
        <v>0.487574587470842</v>
      </c>
      <c r="AD208" s="0" t="str">
        <f aca="false">IF(AB208="","",IF(AB208&gt;=0.5+Config!$B$6,"OVER",IF(AC208&gt;=0.5+Config!$B$6,"UNDER","—")))</f>
        <v>—</v>
      </c>
      <c r="AE208" s="13" t="n">
        <f aca="false">IFERROR(Z208/G208,"")</f>
        <v>1.10264433671229</v>
      </c>
    </row>
    <row r="209" customFormat="false" ht="15" hidden="false" customHeight="false" outlineLevel="0" collapsed="false">
      <c r="A209" s="0" t="s">
        <v>1139</v>
      </c>
      <c r="B209" s="0" t="s">
        <v>1229</v>
      </c>
      <c r="C209" s="0" t="s">
        <v>1542</v>
      </c>
      <c r="D209" s="0" t="s">
        <v>1233</v>
      </c>
      <c r="E209" s="0" t="s">
        <v>1286</v>
      </c>
      <c r="F209" s="0" t="n">
        <v>14.5</v>
      </c>
      <c r="G209" s="11" t="n">
        <f aca="false">IFERROR(INDEX(CHOOSE(MATCH($X209,{"K1","K2","K3","K12","K13","H1","H2","H3","H12","H13"},0),Calc!$V$2:$V$137,Calc!$AC$2:$AC$137,Calc!$AJ$2:$AJ$137,Calc!$AL$2:$AL$137,Calc!$AM$2:$AM$137,Calc!$W$2:$W$137,Calc!$AD$2:$AD$137,Calc!$AK$2:$AK$137,Calc!$AN$2:$AN$137,Calc!$AO$2:$AO$137),MATCH($W209,Calc!$A$2:$A$137,0)),"")</f>
        <v>15.110287834073</v>
      </c>
      <c r="H209" s="11" t="n">
        <f aca="false">IF(G209="","",IF(LEFT($X209,1)="H",SQRT(G209*(IFERROR(INDEX(Calc!$AP$2:$AP$137,MATCH($W209,Calc!$A$2:$A$137,0)),0.5)*Config!$B$5+1-IFERROR(INDEX(Calc!$AP$2:$AP$137,MATCH($W209,Calc!$A$2:$A$137,0)),0.5))),SQRT(G209*Config!$B$5)))</f>
        <v>4.3280001948537</v>
      </c>
      <c r="I209" s="10" t="n">
        <f aca="false">IF(OR(F209="",G209="",N(H209)&lt;=0),"",1-NORMDIST(FLOOR(F209,1)+0.5,G209,H209,TRUE()))</f>
        <v>0.556068661787418</v>
      </c>
      <c r="J209" s="10" t="n">
        <f aca="false">IF(I209="","",NORMDIST(CEILING(F209,1)-0.5,G209,H209,TRUE()))</f>
        <v>0.443931338212583</v>
      </c>
      <c r="K209" s="10" t="n">
        <f aca="false">IF(I209="","",MAX(0,1-I209-J209))</f>
        <v>0</v>
      </c>
      <c r="L209" s="0" t="str">
        <f aca="false">IF(I209="","",IF(I209&gt;=0.5+Config!$B$6,"OVER",IF(J209&gt;=0.5+Config!$B$6,"UNDER","—")))</f>
        <v>OVER</v>
      </c>
      <c r="N209" s="0" t="n">
        <v>14.9</v>
      </c>
      <c r="O209" s="10" t="n">
        <v>0.8</v>
      </c>
      <c r="P209" s="10" t="n">
        <v>0.6</v>
      </c>
      <c r="Q209" s="10" t="n">
        <v>0.6</v>
      </c>
      <c r="R209" s="9" t="s">
        <v>1287</v>
      </c>
      <c r="S209" s="0" t="n">
        <v>-1</v>
      </c>
      <c r="T209" s="0" t="str">
        <f aca="false">INDEX(Calc!$G$2:$G$137,MATCH($W209,Calc!$A$2:$A$137,0))&amp;" / "&amp;INDEX(Calc!$H$2:$H$137,MATCH($W209,Calc!$A$2:$A$137,0))</f>
        <v>Cache / Mirage</v>
      </c>
      <c r="U209" s="0" t="str">
        <f aca="false">TEXT(INDEX(Calc!$J$2:$J$137,MATCH($W209,Calc!$A$2:$A$137,0)),"0.0")&amp;" / "&amp;TEXT(INDEX(Calc!$K$2:$K$137,MATCH($W209,Calc!$A$2:$A$137,0)),"0.0")</f>
        <v>21.5 / 21.5</v>
      </c>
      <c r="V209" s="0" t="str">
        <f aca="false">IFERROR(INDEX(Calc!$AQ$2:$AQ$137,MATCH($W209,Calc!$A$2:$A$137,0)),"")</f>
        <v/>
      </c>
      <c r="W209" s="9" t="s">
        <v>1543</v>
      </c>
      <c r="X209" s="9" t="s">
        <v>1289</v>
      </c>
      <c r="Y209" s="0" t="str">
        <f aca="false">W209&amp;"|"&amp;X209</f>
        <v>237c8v92obxm2e9|CS2 · NRG vs Tactical Chaos|H12</v>
      </c>
      <c r="Z209" s="11" t="n">
        <f aca="false">IFERROR(INDEX(CHOOSE(MATCH($X209,{"K1","K2","K3","K12","K13","H1","H2","H3","H12","H13"},0),Calc!$BA$2:$BA$137,Calc!$BB$2:$BB$137,Calc!$BC$2:$BC$137,Calc!$BD$2:$BD$137,Calc!$BE$2:$BE$137,Calc!$BF$2:$BF$137,Calc!$BG$2:$BG$137,Calc!$BH$2:$BH$137,Calc!$BI$2:$BI$137,Calc!$BJ$2:$BJ$137),MATCH($W209,Calc!$A$2:$A$137,0)),"")</f>
        <v>16.6622009429025</v>
      </c>
      <c r="AA209" s="11" t="n">
        <f aca="false">IF(Z209="","",IF(LEFT($X209,1)="H",SQRT(Z209*(IFERROR(INDEX(Calc!$AP$2:$AP$137,MATCH($W209,Calc!$A$2:$A$137,0)),0.5)*Config!$B$5+1-IFERROR(INDEX(Calc!$AP$2:$AP$137,MATCH($W209,Calc!$A$2:$A$137,0)),0.5))),SQRT(Z209*Config!$B$5)))</f>
        <v>4.54482417997754</v>
      </c>
      <c r="AB209" s="10" t="n">
        <f aca="false">IF(OR(F209="",Z209="",N(AA209)&lt;=0),"",1-NORMDIST(FLOOR(F209,1)+0.5,Z209,AA209,TRUE()))</f>
        <v>0.682873818299812</v>
      </c>
      <c r="AC209" s="10" t="n">
        <f aca="false">IF(AB209="","",NORMDIST(CEILING(F209,1)-0.5,Z209,AA209,TRUE()))</f>
        <v>0.317126181700188</v>
      </c>
      <c r="AD209" s="0" t="str">
        <f aca="false">IF(AB209="","",IF(AB209&gt;=0.5+Config!$B$6,"OVER",IF(AC209&gt;=0.5+Config!$B$6,"UNDER","—")))</f>
        <v>OVER</v>
      </c>
      <c r="AE209" s="13" t="n">
        <f aca="false">IFERROR(Z209/G209,"")</f>
        <v>1.10270572777112</v>
      </c>
    </row>
    <row r="210" customFormat="false" ht="15" hidden="false" customHeight="false" outlineLevel="0" collapsed="false">
      <c r="A210" s="0" t="s">
        <v>1139</v>
      </c>
      <c r="B210" s="0" t="s">
        <v>1229</v>
      </c>
      <c r="C210" s="0" t="s">
        <v>1542</v>
      </c>
      <c r="D210" s="0" t="s">
        <v>1233</v>
      </c>
      <c r="E210" s="0" t="s">
        <v>1290</v>
      </c>
      <c r="F210" s="0" t="n">
        <v>26.5</v>
      </c>
      <c r="G210" s="11" t="n">
        <f aca="false">IFERROR(INDEX(CHOOSE(MATCH($X210,{"K1","K2","K3","K12","K13","H1","H2","H3","H12","H13"},0),Calc!$V$2:$V$137,Calc!$AC$2:$AC$137,Calc!$AJ$2:$AJ$137,Calc!$AL$2:$AL$137,Calc!$AM$2:$AM$137,Calc!$W$2:$W$137,Calc!$AD$2:$AD$137,Calc!$AK$2:$AK$137,Calc!$AN$2:$AN$137,Calc!$AO$2:$AO$137),MATCH($W210,Calc!$A$2:$A$137,0)),"")</f>
        <v>25.2197756410256</v>
      </c>
      <c r="H210" s="11" t="n">
        <f aca="false">IF(G210="","",IF(LEFT($X210,1)="H",SQRT(G210*(IFERROR(INDEX(Calc!$AP$2:$AP$137,MATCH($W210,Calc!$A$2:$A$137,0)),0.5)*Config!$B$5+1-IFERROR(INDEX(Calc!$AP$2:$AP$137,MATCH($W210,Calc!$A$2:$A$137,0)),0.5))),SQRT(G210*Config!$B$5)))</f>
        <v>5.94202708656195</v>
      </c>
      <c r="I210" s="10" t="n">
        <f aca="false">IF(OR(F210="",G210="",N(H210)&lt;=0),"",1-NORMDIST(FLOOR(F210,1)+0.5,G210,H210,TRUE()))</f>
        <v>0.41470728614979</v>
      </c>
      <c r="J210" s="10" t="n">
        <f aca="false">IF(I210="","",NORMDIST(CEILING(F210,1)-0.5,G210,H210,TRUE()))</f>
        <v>0.58529271385021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UNDER</v>
      </c>
      <c r="N210" s="0" t="n">
        <v>24.2</v>
      </c>
      <c r="O210" s="10" t="n">
        <v>0.4</v>
      </c>
      <c r="P210" s="10" t="n">
        <v>0.4</v>
      </c>
      <c r="Q210" s="10" t="n">
        <v>0.4</v>
      </c>
      <c r="R210" s="9" t="s">
        <v>1287</v>
      </c>
      <c r="S210" s="0" t="n">
        <v>-2</v>
      </c>
      <c r="T210" s="0" t="str">
        <f aca="false">INDEX(Calc!$G$2:$G$137,MATCH($W210,Calc!$A$2:$A$137,0))&amp;" / "&amp;INDEX(Calc!$H$2:$H$137,MATCH($W210,Calc!$A$2:$A$137,0))</f>
        <v>Cache / Mirage</v>
      </c>
      <c r="U210" s="0" t="str">
        <f aca="false">TEXT(INDEX(Calc!$J$2:$J$137,MATCH($W210,Calc!$A$2:$A$137,0)),"0.0")&amp;" / "&amp;TEXT(INDEX(Calc!$K$2:$K$137,MATCH($W210,Calc!$A$2:$A$137,0)),"0.0")</f>
        <v>21.5 / 21.5</v>
      </c>
      <c r="V210" s="0" t="str">
        <f aca="false">IFERROR(INDEX(Calc!$AQ$2:$AQ$137,MATCH($W210,Calc!$A$2:$A$137,0)),"")</f>
        <v/>
      </c>
      <c r="W210" s="9" t="s">
        <v>1543</v>
      </c>
      <c r="X210" s="9" t="s">
        <v>1291</v>
      </c>
      <c r="Y210" s="0" t="str">
        <f aca="false">W210&amp;"|"&amp;X210</f>
        <v>237c8v92obxm2e9|CS2 · NRG vs Tactical Chaos|K12</v>
      </c>
      <c r="Z210" s="11" t="n">
        <f aca="false">IFERROR(INDEX(CHOOSE(MATCH($X210,{"K1","K2","K3","K12","K13","H1","H2","H3","H12","H13"},0),Calc!$BA$2:$BA$137,Calc!$BB$2:$BB$137,Calc!$BC$2:$BC$137,Calc!$BD$2:$BD$137,Calc!$BE$2:$BE$137,Calc!$BF$2:$BF$137,Calc!$BG$2:$BG$137,Calc!$BH$2:$BH$137,Calc!$BI$2:$BI$137,Calc!$BJ$2:$BJ$137),MATCH($W210,Calc!$A$2:$A$137,0)),"")</f>
        <v>27.8131294632662</v>
      </c>
      <c r="AA210" s="11" t="n">
        <f aca="false">IF(Z210="","",IF(LEFT($X210,1)="H",SQRT(Z210*(IFERROR(INDEX(Calc!$AP$2:$AP$137,MATCH($W210,Calc!$A$2:$A$137,0)),0.5)*Config!$B$5+1-IFERROR(INDEX(Calc!$AP$2:$AP$137,MATCH($W210,Calc!$A$2:$A$137,0)),0.5))),SQRT(Z210*Config!$B$5)))</f>
        <v>6.24006259973188</v>
      </c>
      <c r="AB210" s="10" t="n">
        <f aca="false">IF(OR(F210="",Z210="",N(AA210)&lt;=0),"",1-NORMDIST(FLOOR(F210,1)+0.5,Z210,AA210,TRUE()))</f>
        <v>0.58333602913249</v>
      </c>
      <c r="AC210" s="10" t="n">
        <f aca="false">IF(AB210="","",NORMDIST(CEILING(F210,1)-0.5,Z210,AA210,TRUE()))</f>
        <v>0.41666397086751</v>
      </c>
      <c r="AD210" s="0" t="str">
        <f aca="false">IF(AB210="","",IF(AB210&gt;=0.5+Config!$B$6,"OVER",IF(AC210&gt;=0.5+Config!$B$6,"UNDER","—")))</f>
        <v>OVER</v>
      </c>
      <c r="AE210" s="13" t="n">
        <f aca="false">IFERROR(Z210/G210,"")</f>
        <v>1.10283017022649</v>
      </c>
    </row>
    <row r="211" customFormat="false" ht="15" hidden="false" customHeight="false" outlineLevel="0" collapsed="false">
      <c r="A211" s="0" t="s">
        <v>1139</v>
      </c>
      <c r="B211" s="0" t="s">
        <v>1229</v>
      </c>
      <c r="C211" s="0" t="s">
        <v>1544</v>
      </c>
      <c r="D211" s="0" t="s">
        <v>1233</v>
      </c>
      <c r="E211" s="0" t="s">
        <v>1290</v>
      </c>
      <c r="F211" s="0" t="n">
        <v>29.5</v>
      </c>
      <c r="G211" s="11" t="n">
        <f aca="false">IFERROR(INDEX(CHOOSE(MATCH($X211,{"K1","K2","K3","K12","K13","H1","H2","H3","H12","H13"},0),Calc!$V$2:$V$137,Calc!$AC$2:$AC$137,Calc!$AJ$2:$AJ$137,Calc!$AL$2:$AL$137,Calc!$AM$2:$AM$137,Calc!$W$2:$W$137,Calc!$AD$2:$AD$137,Calc!$AK$2:$AK$137,Calc!$AN$2:$AN$137,Calc!$AO$2:$AO$137),MATCH($W211,Calc!$A$2:$A$137,0)),"")</f>
        <v>27.5654807692308</v>
      </c>
      <c r="H211" s="11" t="n">
        <f aca="false">IF(G211="","",IF(LEFT($X211,1)="H",SQRT(G211*(IFERROR(INDEX(Calc!$AP$2:$AP$137,MATCH($W211,Calc!$A$2:$A$137,0)),0.5)*Config!$B$5+1-IFERROR(INDEX(Calc!$AP$2:$AP$137,MATCH($W211,Calc!$A$2:$A$137,0)),0.5))),SQRT(G211*Config!$B$5)))</f>
        <v>6.21221965781339</v>
      </c>
      <c r="I211" s="10" t="n">
        <f aca="false">IF(OR(F211="",G211="",N(H211)&lt;=0),"",1-NORMDIST(FLOOR(F211,1)+0.5,G211,H211,TRUE()))</f>
        <v>0.377746195053058</v>
      </c>
      <c r="J211" s="10" t="n">
        <f aca="false">IF(I211="","",NORMDIST(CEILING(F211,1)-0.5,G211,H211,TRUE()))</f>
        <v>0.622253804946942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UNDER</v>
      </c>
      <c r="N211" s="0" t="n">
        <v>26.5</v>
      </c>
      <c r="O211" s="10" t="n">
        <v>0.2</v>
      </c>
      <c r="P211" s="10" t="n">
        <v>0.3</v>
      </c>
      <c r="Q211" s="10" t="n">
        <v>0.33</v>
      </c>
      <c r="R211" s="9" t="s">
        <v>1287</v>
      </c>
      <c r="S211" s="0" t="n">
        <v>-2</v>
      </c>
      <c r="T211" s="0" t="str">
        <f aca="false">INDEX(Calc!$G$2:$G$137,MATCH($W211,Calc!$A$2:$A$137,0))&amp;" / "&amp;INDEX(Calc!$H$2:$H$137,MATCH($W211,Calc!$A$2:$A$137,0))</f>
        <v>Cache / Mirage</v>
      </c>
      <c r="U211" s="0" t="str">
        <f aca="false">TEXT(INDEX(Calc!$J$2:$J$137,MATCH($W211,Calc!$A$2:$A$137,0)),"0.0")&amp;" / "&amp;TEXT(INDEX(Calc!$K$2:$K$137,MATCH($W211,Calc!$A$2:$A$137,0)),"0.0")</f>
        <v>21.5 / 21.5</v>
      </c>
      <c r="V211" s="0" t="str">
        <f aca="false">IFERROR(INDEX(Calc!$AQ$2:$AQ$137,MATCH($W211,Calc!$A$2:$A$137,0)),"")</f>
        <v/>
      </c>
      <c r="W211" s="9" t="s">
        <v>1545</v>
      </c>
      <c r="X211" s="9" t="s">
        <v>1291</v>
      </c>
      <c r="Y211" s="0" t="str">
        <f aca="false">W211&amp;"|"&amp;X211</f>
        <v>f23gfr3wlpk01nz|CS2 · NRG vs Tactical Chaos|K12</v>
      </c>
      <c r="Z211" s="11" t="n">
        <f aca="false">IFERROR(INDEX(CHOOSE(MATCH($X211,{"K1","K2","K3","K12","K13","H1","H2","H3","H12","H13"},0),Calc!$BA$2:$BA$137,Calc!$BB$2:$BB$137,Calc!$BC$2:$BC$137,Calc!$BD$2:$BD$137,Calc!$BE$2:$BE$137,Calc!$BF$2:$BF$137,Calc!$BG$2:$BG$137,Calc!$BH$2:$BH$137,Calc!$BI$2:$BI$137,Calc!$BJ$2:$BJ$137),MATCH($W211,Calc!$A$2:$A$137,0)),"")</f>
        <v>30.3712489303509</v>
      </c>
      <c r="AA211" s="11" t="n">
        <f aca="false">IF(Z211="","",IF(LEFT($X211,1)="H",SQRT(Z211*(IFERROR(INDEX(Calc!$AP$2:$AP$137,MATCH($W211,Calc!$A$2:$A$137,0)),0.5)*Config!$B$5+1-IFERROR(INDEX(Calc!$AP$2:$AP$137,MATCH($W211,Calc!$A$2:$A$137,0)),0.5))),SQRT(Z211*Config!$B$5)))</f>
        <v>6.52071687029051</v>
      </c>
      <c r="AB211" s="10" t="n">
        <f aca="false">IF(OR(F211="",Z211="",N(AA211)&lt;=0),"",1-NORMDIST(FLOOR(F211,1)+0.5,Z211,AA211,TRUE()))</f>
        <v>0.553145478999982</v>
      </c>
      <c r="AC211" s="10" t="n">
        <f aca="false">IF(AB211="","",NORMDIST(CEILING(F211,1)-0.5,Z211,AA211,TRUE()))</f>
        <v>0.446854521000018</v>
      </c>
      <c r="AD211" s="0" t="str">
        <f aca="false">IF(AB211="","",IF(AB211&gt;=0.5+Config!$B$6,"OVER",IF(AC211&gt;=0.5+Config!$B$6,"UNDER","—")))</f>
        <v>OVER</v>
      </c>
      <c r="AE211" s="13" t="n">
        <f aca="false">IFERROR(Z211/G211,"")</f>
        <v>1.10178556959006</v>
      </c>
    </row>
    <row r="212" customFormat="false" ht="15" hidden="false" customHeight="false" outlineLevel="0" collapsed="false">
      <c r="A212" s="0" t="s">
        <v>1139</v>
      </c>
      <c r="B212" s="0" t="s">
        <v>1239</v>
      </c>
      <c r="C212" s="0" t="s">
        <v>1546</v>
      </c>
      <c r="D212" s="0" t="s">
        <v>1245</v>
      </c>
      <c r="E212" s="0" t="s">
        <v>1286</v>
      </c>
      <c r="F212" s="0" t="n">
        <v>13</v>
      </c>
      <c r="G212" s="11" t="n">
        <f aca="false">IFERROR(INDEX(CHOOSE(MATCH($X212,{"K1","K2","K3","K12","K13","H1","H2","H3","H12","H13"},0),Calc!$V$2:$V$137,Calc!$AC$2:$AC$137,Calc!$AJ$2:$AJ$137,Calc!$AL$2:$AL$137,Calc!$AM$2:$AM$137,Calc!$W$2:$W$137,Calc!$AD$2:$AD$137,Calc!$AK$2:$AK$137,Calc!$AN$2:$AN$137,Calc!$AO$2:$AO$137),MATCH($W212,Calc!$A$2:$A$137,0)),"")</f>
        <v>13.1622428788927</v>
      </c>
      <c r="H212" s="11" t="n">
        <f aca="false">IF(G212="","",IF(LEFT($X212,1)="H",SQRT(G212*(IFERROR(INDEX(Calc!$AP$2:$AP$137,MATCH($W212,Calc!$A$2:$A$137,0)),0.5)*Config!$B$5+1-IFERROR(INDEX(Calc!$AP$2:$AP$137,MATCH($W212,Calc!$A$2:$A$137,0)),0.5))),SQRT(G212*Config!$B$5)))</f>
        <v>3.98065884056033</v>
      </c>
      <c r="I212" s="10" t="n">
        <f aca="false">IF(OR(F212="",G212="",N(H212)&lt;=0),"",1-NORMDIST(FLOOR(F212,1)+0.5,G212,H212,TRUE()))</f>
        <v>0.46619049919257</v>
      </c>
      <c r="J212" s="10" t="n">
        <f aca="false">IF(I212="","",NORMDIST(CEILING(F212,1)-0.5,G212,H212,TRUE()))</f>
        <v>0.433934801591045</v>
      </c>
      <c r="K212" s="10" t="n">
        <f aca="false">IF(I212="","",MAX(0,1-I212-J212))</f>
        <v>0.0998746992163844</v>
      </c>
      <c r="L212" s="0" t="str">
        <f aca="false">IF(I212="","",IF(I212&gt;=0.5+Config!$B$6,"OVER",IF(J212&gt;=0.5+Config!$B$6,"UNDER","—")))</f>
        <v>—</v>
      </c>
      <c r="N212" s="0" t="n">
        <v>14</v>
      </c>
      <c r="O212" s="10" t="n">
        <v>0.4</v>
      </c>
      <c r="P212" s="10" t="n">
        <v>0.6</v>
      </c>
      <c r="Q212" s="10" t="n">
        <v>0.6</v>
      </c>
      <c r="R212" s="9" t="s">
        <v>1359</v>
      </c>
      <c r="S212" s="0" t="n">
        <v>-2</v>
      </c>
      <c r="T212" s="0" t="str">
        <f aca="false">INDEX(Calc!$G$2:$G$137,MATCH($W212,Calc!$A$2:$A$137,0))&amp;" / "&amp;INDEX(Calc!$H$2:$H$137,MATCH($W212,Calc!$A$2:$A$137,0))</f>
        <v>Ancient / Dust2</v>
      </c>
      <c r="U212" s="0" t="str">
        <f aca="false">TEXT(INDEX(Calc!$J$2:$J$137,MATCH($W212,Calc!$A$2:$A$137,0)),"0.0")&amp;" / "&amp;TEXT(INDEX(Calc!$K$2:$K$137,MATCH($W212,Calc!$A$2:$A$137,0)),"0.0")</f>
        <v>20.8 / 20.8</v>
      </c>
      <c r="V212" s="0" t="str">
        <f aca="false">IFERROR(INDEX(Calc!$AQ$2:$AQ$137,MATCH($W212,Calc!$A$2:$A$137,0)),"")</f>
        <v/>
      </c>
      <c r="W212" s="9" t="s">
        <v>1547</v>
      </c>
      <c r="X212" s="9" t="s">
        <v>1289</v>
      </c>
      <c r="Y212" s="0" t="str">
        <f aca="false">W212&amp;"|"&amp;X212</f>
        <v>ociqtxrjuk45u59|CS2 · TdP vs ALKA|H12</v>
      </c>
      <c r="Z212" s="11" t="n">
        <f aca="false">IFERROR(INDEX(CHOOSE(MATCH($X212,{"K1","K2","K3","K12","K13","H1","H2","H3","H12","H13"},0),Calc!$BA$2:$BA$137,Calc!$BB$2:$BB$137,Calc!$BC$2:$BC$137,Calc!$BD$2:$BD$137,Calc!$BE$2:$BE$137,Calc!$BF$2:$BF$137,Calc!$BG$2:$BG$137,Calc!$BH$2:$BH$137,Calc!$BI$2:$BI$137,Calc!$BJ$2:$BJ$137),MATCH($W212,Calc!$A$2:$A$137,0)),"")</f>
        <v>12.7523300025171</v>
      </c>
      <c r="AA212" s="11" t="n">
        <f aca="false">IF(Z212="","",IF(LEFT($X212,1)="H",SQRT(Z212*(IFERROR(INDEX(Calc!$AP$2:$AP$137,MATCH($W212,Calc!$A$2:$A$137,0)),0.5)*Config!$B$5+1-IFERROR(INDEX(Calc!$AP$2:$AP$137,MATCH($W212,Calc!$A$2:$A$137,0)),0.5))),SQRT(Z212*Config!$B$5)))</f>
        <v>3.91818357260802</v>
      </c>
      <c r="AB212" s="10" t="n">
        <f aca="false">IF(OR(F212="",Z212="",N(AA212)&lt;=0),"",1-NORMDIST(FLOOR(F212,1)+0.5,Z212,AA212,TRUE()))</f>
        <v>0.424333088657</v>
      </c>
      <c r="AC212" s="10" t="n">
        <f aca="false">IF(AB212="","",NORMDIST(CEILING(F212,1)-0.5,Z212,AA212,TRUE()))</f>
        <v>0.474325968608829</v>
      </c>
      <c r="AD212" s="0" t="str">
        <f aca="false">IF(AB212="","",IF(AB212&gt;=0.5+Config!$B$6,"OVER",IF(AC212&gt;=0.5+Config!$B$6,"UNDER","—")))</f>
        <v>—</v>
      </c>
      <c r="AE212" s="13" t="n">
        <f aca="false">IFERROR(Z212/G212,"")</f>
        <v>0.968856912902513</v>
      </c>
    </row>
    <row r="213" customFormat="false" ht="15" hidden="false" customHeight="false" outlineLevel="0" collapsed="false">
      <c r="A213" s="0" t="s">
        <v>1139</v>
      </c>
      <c r="B213" s="0" t="s">
        <v>1239</v>
      </c>
      <c r="C213" s="0" t="s">
        <v>1546</v>
      </c>
      <c r="D213" s="0" t="s">
        <v>1245</v>
      </c>
      <c r="E213" s="0" t="s">
        <v>1290</v>
      </c>
      <c r="F213" s="0" t="n">
        <v>25.5</v>
      </c>
      <c r="G213" s="11" t="n">
        <f aca="false">IFERROR(INDEX(CHOOSE(MATCH($X213,{"K1","K2","K3","K12","K13","H1","H2","H3","H12","H13"},0),Calc!$V$2:$V$137,Calc!$AC$2:$AC$137,Calc!$AJ$2:$AJ$137,Calc!$AL$2:$AL$137,Calc!$AM$2:$AM$137,Calc!$W$2:$W$137,Calc!$AD$2:$AD$137,Calc!$AK$2:$AK$137,Calc!$AN$2:$AN$137,Calc!$AO$2:$AO$137),MATCH($W213,Calc!$A$2:$A$137,0)),"")</f>
        <v>25.8246274509804</v>
      </c>
      <c r="H213" s="11" t="n">
        <f aca="false">IF(G213="","",IF(LEFT($X213,1)="H",SQRT(G213*(IFERROR(INDEX(Calc!$AP$2:$AP$137,MATCH($W213,Calc!$A$2:$A$137,0)),0.5)*Config!$B$5+1-IFERROR(INDEX(Calc!$AP$2:$AP$137,MATCH($W213,Calc!$A$2:$A$137,0)),0.5))),SQRT(G213*Config!$B$5)))</f>
        <v>6.01285942221939</v>
      </c>
      <c r="I213" s="10" t="n">
        <f aca="false">IF(OR(F213="",G213="",N(H213)&lt;=0),"",1-NORMDIST(FLOOR(F213,1)+0.5,G213,H213,TRUE()))</f>
        <v>0.521527981820074</v>
      </c>
      <c r="J213" s="10" t="n">
        <f aca="false">IF(I213="","",NORMDIST(CEILING(F213,1)-0.5,G213,H213,TRUE()))</f>
        <v>0.478472018179926</v>
      </c>
      <c r="K213" s="10" t="n">
        <f aca="false">IF(I213="","",MAX(0,1-I213-J213))</f>
        <v>0</v>
      </c>
      <c r="L213" s="0" t="str">
        <f aca="false">IF(I213="","",IF(I213&gt;=0.5+Config!$B$6,"OVER",IF(J213&gt;=0.5+Config!$B$6,"UNDER","—")))</f>
        <v>—</v>
      </c>
      <c r="M213" s="0" t="n">
        <v>25.65</v>
      </c>
      <c r="N213" s="0" t="n">
        <v>25.9</v>
      </c>
      <c r="O213" s="10" t="n">
        <v>0.4</v>
      </c>
      <c r="P213" s="10" t="n">
        <v>0.6</v>
      </c>
      <c r="Q213" s="10" t="n">
        <v>0.6</v>
      </c>
      <c r="R213" s="9" t="s">
        <v>1359</v>
      </c>
      <c r="S213" s="0" t="n">
        <v>-2</v>
      </c>
      <c r="T213" s="0" t="str">
        <f aca="false">INDEX(Calc!$G$2:$G$137,MATCH($W213,Calc!$A$2:$A$137,0))&amp;" / "&amp;INDEX(Calc!$H$2:$H$137,MATCH($W213,Calc!$A$2:$A$137,0))</f>
        <v>Ancient / Dust2</v>
      </c>
      <c r="U213" s="0" t="str">
        <f aca="false">TEXT(INDEX(Calc!$J$2:$J$137,MATCH($W213,Calc!$A$2:$A$137,0)),"0.0")&amp;" / "&amp;TEXT(INDEX(Calc!$K$2:$K$137,MATCH($W213,Calc!$A$2:$A$137,0)),"0.0")</f>
        <v>20.8 / 20.8</v>
      </c>
      <c r="V213" s="0" t="str">
        <f aca="false">IFERROR(INDEX(Calc!$AQ$2:$AQ$137,MATCH($W213,Calc!$A$2:$A$137,0)),"")</f>
        <v/>
      </c>
      <c r="W213" s="9" t="s">
        <v>1547</v>
      </c>
      <c r="X213" s="9" t="s">
        <v>1291</v>
      </c>
      <c r="Y213" s="0" t="str">
        <f aca="false">W213&amp;"|"&amp;X213</f>
        <v>ociqtxrjuk45u59|CS2 · TdP vs ALKA|K12</v>
      </c>
      <c r="Z213" s="11" t="n">
        <f aca="false">IFERROR(INDEX(CHOOSE(MATCH($X213,{"K1","K2","K3","K12","K13","H1","H2","H3","H12","H13"},0),Calc!$BA$2:$BA$137,Calc!$BB$2:$BB$137,Calc!$BC$2:$BC$137,Calc!$BD$2:$BD$137,Calc!$BE$2:$BE$137,Calc!$BF$2:$BF$137,Calc!$BG$2:$BG$137,Calc!$BH$2:$BH$137,Calc!$BI$2:$BI$137,Calc!$BJ$2:$BJ$137),MATCH($W213,Calc!$A$2:$A$137,0)),"")</f>
        <v>25.0273676668675</v>
      </c>
      <c r="AA213" s="11" t="n">
        <f aca="false">IF(Z213="","",IF(LEFT($X213,1)="H",SQRT(Z213*(IFERROR(INDEX(Calc!$AP$2:$AP$137,MATCH($W213,Calc!$A$2:$A$137,0)),0.5)*Config!$B$5+1-IFERROR(INDEX(Calc!$AP$2:$AP$137,MATCH($W213,Calc!$A$2:$A$137,0)),0.5))),SQRT(Z213*Config!$B$5)))</f>
        <v>5.9193170833817</v>
      </c>
      <c r="AB213" s="10" t="n">
        <f aca="false">IF(OR(F213="",Z213="",N(AA213)&lt;=0),"",1-NORMDIST(FLOOR(F213,1)+0.5,Z213,AA213,TRUE()))</f>
        <v>0.468179967188786</v>
      </c>
      <c r="AC213" s="10" t="n">
        <f aca="false">IF(AB213="","",NORMDIST(CEILING(F213,1)-0.5,Z213,AA213,TRUE()))</f>
        <v>0.531820032811214</v>
      </c>
      <c r="AD213" s="0" t="str">
        <f aca="false">IF(AB213="","",IF(AB213&gt;=0.5+Config!$B$6,"OVER",IF(AC213&gt;=0.5+Config!$B$6,"UNDER","—")))</f>
        <v>—</v>
      </c>
      <c r="AE213" s="13" t="n">
        <f aca="false">IFERROR(Z213/G213,"")</f>
        <v>0.969127926990379</v>
      </c>
    </row>
    <row r="214" customFormat="false" ht="15" hidden="false" customHeight="false" outlineLevel="0" collapsed="false">
      <c r="A214" s="0" t="s">
        <v>1139</v>
      </c>
      <c r="B214" s="0" t="s">
        <v>1239</v>
      </c>
      <c r="C214" s="0" t="s">
        <v>1548</v>
      </c>
      <c r="D214" s="0" t="s">
        <v>1245</v>
      </c>
      <c r="E214" s="0" t="s">
        <v>1286</v>
      </c>
      <c r="F214" s="0" t="n">
        <v>13</v>
      </c>
      <c r="G214" s="11" t="n">
        <f aca="false">IFERROR(INDEX(CHOOSE(MATCH($X214,{"K1","K2","K3","K12","K13","H1","H2","H3","H12","H13"},0),Calc!$V$2:$V$137,Calc!$AC$2:$AC$137,Calc!$AJ$2:$AJ$137,Calc!$AL$2:$AL$137,Calc!$AM$2:$AM$137,Calc!$W$2:$W$137,Calc!$AD$2:$AD$137,Calc!$AK$2:$AK$137,Calc!$AN$2:$AN$137,Calc!$AO$2:$AO$137),MATCH($W214,Calc!$A$2:$A$137,0)),"")</f>
        <v>13.5702592295271</v>
      </c>
      <c r="H214" s="11" t="n">
        <f aca="false">IF(G214="","",IF(LEFT($X214,1)="H",SQRT(G214*(IFERROR(INDEX(Calc!$AP$2:$AP$137,MATCH($W214,Calc!$A$2:$A$137,0)),0.5)*Config!$B$5+1-IFERROR(INDEX(Calc!$AP$2:$AP$137,MATCH($W214,Calc!$A$2:$A$137,0)),0.5))),SQRT(G214*Config!$B$5)))</f>
        <v>4.02625935309246</v>
      </c>
      <c r="I214" s="10" t="n">
        <f aca="false">IF(OR(F214="",G214="",N(H214)&lt;=0),"",1-NORMDIST(FLOOR(F214,1)+0.5,G214,H214,TRUE()))</f>
        <v>0.506961288955968</v>
      </c>
      <c r="J214" s="10" t="n">
        <f aca="false">IF(I214="","",NORMDIST(CEILING(F214,1)-0.5,G214,H214,TRUE()))</f>
        <v>0.395189018392301</v>
      </c>
      <c r="K214" s="10" t="n">
        <f aca="false">IF(I214="","",MAX(0,1-I214-J214))</f>
        <v>0.0978496926517315</v>
      </c>
      <c r="L214" s="0" t="str">
        <f aca="false">IF(I214="","",IF(I214&gt;=0.5+Config!$B$6,"OVER",IF(J214&gt;=0.5+Config!$B$6,"UNDER","—")))</f>
        <v>—</v>
      </c>
      <c r="N214" s="0" t="n">
        <v>13.1</v>
      </c>
      <c r="O214" s="10" t="n">
        <v>0.6</v>
      </c>
      <c r="P214" s="10" t="n">
        <v>0.4</v>
      </c>
      <c r="Q214" s="10" t="n">
        <v>0.6</v>
      </c>
      <c r="R214" s="9" t="s">
        <v>1359</v>
      </c>
      <c r="S214" s="0" t="n">
        <v>1</v>
      </c>
      <c r="T214" s="0" t="str">
        <f aca="false">INDEX(Calc!$G$2:$G$137,MATCH($W214,Calc!$A$2:$A$137,0))&amp;" / "&amp;INDEX(Calc!$H$2:$H$137,MATCH($W214,Calc!$A$2:$A$137,0))</f>
        <v>Ancient / Dust2</v>
      </c>
      <c r="U214" s="0" t="str">
        <f aca="false">TEXT(INDEX(Calc!$J$2:$J$137,MATCH($W214,Calc!$A$2:$A$137,0)),"0.0")&amp;" / "&amp;TEXT(INDEX(Calc!$K$2:$K$137,MATCH($W214,Calc!$A$2:$A$137,0)),"0.0")</f>
        <v>20.8 / 20.8</v>
      </c>
      <c r="V214" s="0" t="str">
        <f aca="false">IFERROR(INDEX(Calc!$AQ$2:$AQ$137,MATCH($W214,Calc!$A$2:$A$137,0)),"")</f>
        <v/>
      </c>
      <c r="W214" s="9" t="s">
        <v>1549</v>
      </c>
      <c r="X214" s="9" t="s">
        <v>1289</v>
      </c>
      <c r="Y214" s="0" t="str">
        <f aca="false">W214&amp;"|"&amp;X214</f>
        <v>x8upaam3ujpx331|CS2 · TdP vs ALKA|H12</v>
      </c>
      <c r="Z214" s="11" t="n">
        <f aca="false">IFERROR(INDEX(CHOOSE(MATCH($X214,{"K1","K2","K3","K12","K13","H1","H2","H3","H12","H13"},0),Calc!$BA$2:$BA$137,Calc!$BB$2:$BB$137,Calc!$BC$2:$BC$137,Calc!$BD$2:$BD$137,Calc!$BE$2:$BE$137,Calc!$BF$2:$BF$137,Calc!$BG$2:$BG$137,Calc!$BH$2:$BH$137,Calc!$BI$2:$BI$137,Calc!$BJ$2:$BJ$137),MATCH($W214,Calc!$A$2:$A$137,0)),"")</f>
        <v>13.1511920992412</v>
      </c>
      <c r="AA214" s="11" t="n">
        <f aca="false">IF(Z214="","",IF(LEFT($X214,1)="H",SQRT(Z214*(IFERROR(INDEX(Calc!$AP$2:$AP$137,MATCH($W214,Calc!$A$2:$A$137,0)),0.5)*Config!$B$5+1-IFERROR(INDEX(Calc!$AP$2:$AP$137,MATCH($W214,Calc!$A$2:$A$137,0)),0.5))),SQRT(Z214*Config!$B$5)))</f>
        <v>3.96360379440334</v>
      </c>
      <c r="AB214" s="10" t="n">
        <f aca="false">IF(OR(F214="",Z214="",N(AA214)&lt;=0),"",1-NORMDIST(FLOOR(F214,1)+0.5,Z214,AA214,TRUE()))</f>
        <v>0.464937258561215</v>
      </c>
      <c r="AC214" s="10" t="n">
        <f aca="false">IF(AB214="","",NORMDIST(CEILING(F214,1)-0.5,Z214,AA214,TRUE()))</f>
        <v>0.434750271719804</v>
      </c>
      <c r="AD214" s="0" t="str">
        <f aca="false">IF(AB214="","",IF(AB214&gt;=0.5+Config!$B$6,"OVER",IF(AC214&gt;=0.5+Config!$B$6,"UNDER","—")))</f>
        <v>—</v>
      </c>
      <c r="AE214" s="13" t="n">
        <f aca="false">IFERROR(Z214/G214,"")</f>
        <v>0.969118708552444</v>
      </c>
    </row>
    <row r="215" customFormat="false" ht="15" hidden="false" customHeight="false" outlineLevel="0" collapsed="false">
      <c r="A215" s="0" t="s">
        <v>1139</v>
      </c>
      <c r="B215" s="0" t="s">
        <v>1239</v>
      </c>
      <c r="C215" s="0" t="s">
        <v>1548</v>
      </c>
      <c r="D215" s="0" t="s">
        <v>1245</v>
      </c>
      <c r="E215" s="0" t="s">
        <v>1290</v>
      </c>
      <c r="F215" s="0" t="n">
        <v>25.5</v>
      </c>
      <c r="G215" s="11" t="n">
        <f aca="false">IFERROR(INDEX(CHOOSE(MATCH($X215,{"K1","K2","K3","K12","K13","H1","H2","H3","H12","H13"},0),Calc!$V$2:$V$137,Calc!$AC$2:$AC$137,Calc!$AJ$2:$AJ$137,Calc!$AL$2:$AL$137,Calc!$AM$2:$AM$137,Calc!$W$2:$W$137,Calc!$AD$2:$AD$137,Calc!$AK$2:$AK$137,Calc!$AN$2:$AN$137,Calc!$AO$2:$AO$137),MATCH($W215,Calc!$A$2:$A$137,0)),"")</f>
        <v>27.8964705882353</v>
      </c>
      <c r="H215" s="11" t="n">
        <f aca="false">IF(G215="","",IF(LEFT($X215,1)="H",SQRT(G215*(IFERROR(INDEX(Calc!$AP$2:$AP$137,MATCH($W215,Calc!$A$2:$A$137,0)),0.5)*Config!$B$5+1-IFERROR(INDEX(Calc!$AP$2:$AP$137,MATCH($W215,Calc!$A$2:$A$137,0)),0.5))),SQRT(G215*Config!$B$5)))</f>
        <v>6.24940467752965</v>
      </c>
      <c r="I215" s="10" t="n">
        <f aca="false">IF(OR(F215="",G215="",N(H215)&lt;=0),"",1-NORMDIST(FLOOR(F215,1)+0.5,G215,H215,TRUE()))</f>
        <v>0.64931501982294</v>
      </c>
      <c r="J215" s="10" t="n">
        <f aca="false">IF(I215="","",NORMDIST(CEILING(F215,1)-0.5,G215,H215,TRUE()))</f>
        <v>0.350684980177061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OVER</v>
      </c>
      <c r="M215" s="0" t="n">
        <v>26.46</v>
      </c>
      <c r="N215" s="0" t="n">
        <v>27.9</v>
      </c>
      <c r="O215" s="10" t="n">
        <v>0.4</v>
      </c>
      <c r="P215" s="10" t="n">
        <v>0.5</v>
      </c>
      <c r="Q215" s="10" t="n">
        <v>0.6</v>
      </c>
      <c r="R215" s="9" t="s">
        <v>1407</v>
      </c>
      <c r="S215" s="0" t="n">
        <v>1</v>
      </c>
      <c r="T215" s="0" t="str">
        <f aca="false">INDEX(Calc!$G$2:$G$137,MATCH($W215,Calc!$A$2:$A$137,0))&amp;" / "&amp;INDEX(Calc!$H$2:$H$137,MATCH($W215,Calc!$A$2:$A$137,0))</f>
        <v>Ancient / Dust2</v>
      </c>
      <c r="U215" s="0" t="str">
        <f aca="false">TEXT(INDEX(Calc!$J$2:$J$137,MATCH($W215,Calc!$A$2:$A$137,0)),"0.0")&amp;" / "&amp;TEXT(INDEX(Calc!$K$2:$K$137,MATCH($W215,Calc!$A$2:$A$137,0)),"0.0")</f>
        <v>20.8 / 20.8</v>
      </c>
      <c r="V215" s="0" t="str">
        <f aca="false">IFERROR(INDEX(Calc!$AQ$2:$AQ$137,MATCH($W215,Calc!$A$2:$A$137,0)),"")</f>
        <v/>
      </c>
      <c r="W215" s="9" t="s">
        <v>1549</v>
      </c>
      <c r="X215" s="9" t="s">
        <v>1291</v>
      </c>
      <c r="Y215" s="0" t="str">
        <f aca="false">W215&amp;"|"&amp;X215</f>
        <v>x8upaam3ujpx331|CS2 · TdP vs ALKA|K12</v>
      </c>
      <c r="Z215" s="11" t="n">
        <f aca="false">IFERROR(INDEX(CHOOSE(MATCH($X215,{"K1","K2","K3","K12","K13","H1","H2","H3","H12","H13"},0),Calc!$BA$2:$BA$137,Calc!$BB$2:$BB$137,Calc!$BC$2:$BC$137,Calc!$BD$2:$BD$137,Calc!$BE$2:$BE$137,Calc!$BF$2:$BF$137,Calc!$BG$2:$BG$137,Calc!$BH$2:$BH$137,Calc!$BI$2:$BI$137,Calc!$BJ$2:$BJ$137),MATCH($W215,Calc!$A$2:$A$137,0)),"")</f>
        <v>27.0405960747941</v>
      </c>
      <c r="AA215" s="11" t="n">
        <f aca="false">IF(Z215="","",IF(LEFT($X215,1)="H",SQRT(Z215*(IFERROR(INDEX(Calc!$AP$2:$AP$137,MATCH($W215,Calc!$A$2:$A$137,0)),0.5)*Config!$B$5+1-IFERROR(INDEX(Calc!$AP$2:$AP$137,MATCH($W215,Calc!$A$2:$A$137,0)),0.5))),SQRT(Z215*Config!$B$5)))</f>
        <v>6.15279078993522</v>
      </c>
      <c r="AB215" s="10" t="n">
        <f aca="false">IF(OR(F215="",Z215="",N(AA215)&lt;=0),"",1-NORMDIST(FLOOR(F215,1)+0.5,Z215,AA215,TRUE()))</f>
        <v>0.598857042790141</v>
      </c>
      <c r="AC215" s="10" t="n">
        <f aca="false">IF(AB215="","",NORMDIST(CEILING(F215,1)-0.5,Z215,AA215,TRUE()))</f>
        <v>0.401142957209859</v>
      </c>
      <c r="AD215" s="0" t="str">
        <f aca="false">IF(AB215="","",IF(AB215&gt;=0.5+Config!$B$6,"OVER",IF(AC215&gt;=0.5+Config!$B$6,"UNDER","—")))</f>
        <v>OVER</v>
      </c>
      <c r="AE215" s="13" t="n">
        <f aca="false">IFERROR(Z215/G215,"")</f>
        <v>0.969319613005018</v>
      </c>
    </row>
    <row r="216" customFormat="false" ht="15" hidden="false" customHeight="false" outlineLevel="0" collapsed="false">
      <c r="A216" s="0" t="s">
        <v>1139</v>
      </c>
      <c r="B216" s="0" t="s">
        <v>1239</v>
      </c>
      <c r="C216" s="0" t="s">
        <v>1550</v>
      </c>
      <c r="D216" s="0" t="s">
        <v>1245</v>
      </c>
      <c r="E216" s="0" t="s">
        <v>1286</v>
      </c>
      <c r="F216" s="0" t="n">
        <v>9.5</v>
      </c>
      <c r="G216" s="11" t="n">
        <f aca="false">IFERROR(INDEX(CHOOSE(MATCH($X216,{"K1","K2","K3","K12","K13","H1","H2","H3","H12","H13"},0),Calc!$V$2:$V$137,Calc!$AC$2:$AC$137,Calc!$AJ$2:$AJ$137,Calc!$AL$2:$AL$137,Calc!$AM$2:$AM$137,Calc!$W$2:$W$137,Calc!$AD$2:$AD$137,Calc!$AK$2:$AK$137,Calc!$AN$2:$AN$137,Calc!$AO$2:$AO$137),MATCH($W216,Calc!$A$2:$A$137,0)),"")</f>
        <v>10.7836033402537</v>
      </c>
      <c r="H216" s="11" t="n">
        <f aca="false">IF(G216="","",IF(LEFT($X216,1)="H",SQRT(G216*(IFERROR(INDEX(Calc!$AP$2:$AP$137,MATCH($W216,Calc!$A$2:$A$137,0)),0.5)*Config!$B$5+1-IFERROR(INDEX(Calc!$AP$2:$AP$137,MATCH($W216,Calc!$A$2:$A$137,0)),0.5))),SQRT(G216*Config!$B$5)))</f>
        <v>3.51144577429042</v>
      </c>
      <c r="I216" s="10" t="n">
        <f aca="false">IF(OR(F216="",G216="",N(H216)&lt;=0),"",1-NORMDIST(FLOOR(F216,1)+0.5,G216,H216,TRUE()))</f>
        <v>0.642648952938025</v>
      </c>
      <c r="J216" s="10" t="n">
        <f aca="false">IF(I216="","",NORMDIST(CEILING(F216,1)-0.5,G216,H216,TRUE()))</f>
        <v>0.357351047061975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OVER</v>
      </c>
      <c r="N216" s="0" t="n">
        <v>10.7</v>
      </c>
      <c r="O216" s="10" t="n">
        <v>0.8</v>
      </c>
      <c r="P216" s="10" t="n">
        <v>0.6</v>
      </c>
      <c r="Q216" s="10" t="n">
        <v>0.6</v>
      </c>
      <c r="R216" s="9" t="s">
        <v>1407</v>
      </c>
      <c r="S216" s="0" t="n">
        <v>3</v>
      </c>
      <c r="T216" s="0" t="str">
        <f aca="false">INDEX(Calc!$G$2:$G$137,MATCH($W216,Calc!$A$2:$A$137,0))&amp;" / "&amp;INDEX(Calc!$H$2:$H$137,MATCH($W216,Calc!$A$2:$A$137,0))</f>
        <v>Ancient / Dust2</v>
      </c>
      <c r="U216" s="0" t="str">
        <f aca="false">TEXT(INDEX(Calc!$J$2:$J$137,MATCH($W216,Calc!$A$2:$A$137,0)),"0.0")&amp;" / "&amp;TEXT(INDEX(Calc!$K$2:$K$137,MATCH($W216,Calc!$A$2:$A$137,0)),"0.0")</f>
        <v>20.8 / 20.8</v>
      </c>
      <c r="V216" s="0" t="str">
        <f aca="false">IFERROR(INDEX(Calc!$AQ$2:$AQ$137,MATCH($W216,Calc!$A$2:$A$137,0)),"")</f>
        <v/>
      </c>
      <c r="W216" s="9" t="s">
        <v>1551</v>
      </c>
      <c r="X216" s="9" t="s">
        <v>1289</v>
      </c>
      <c r="Y216" s="0" t="str">
        <f aca="false">W216&amp;"|"&amp;X216</f>
        <v>7ehti0cn8n4gylc|CS2 · TdP vs ALKA|H12</v>
      </c>
      <c r="Z216" s="11" t="n">
        <f aca="false">IFERROR(INDEX(CHOOSE(MATCH($X216,{"K1","K2","K3","K12","K13","H1","H2","H3","H12","H13"},0),Calc!$BA$2:$BA$137,Calc!$BB$2:$BB$137,Calc!$BC$2:$BC$137,Calc!$BD$2:$BD$137,Calc!$BE$2:$BE$137,Calc!$BF$2:$BF$137,Calc!$BG$2:$BG$137,Calc!$BH$2:$BH$137,Calc!$BI$2:$BI$137,Calc!$BJ$2:$BJ$137),MATCH($W216,Calc!$A$2:$A$137,0)),"")</f>
        <v>10.4494740960243</v>
      </c>
      <c r="AA216" s="11" t="n">
        <f aca="false">IF(Z216="","",IF(LEFT($X216,1)="H",SQRT(Z216*(IFERROR(INDEX(Calc!$AP$2:$AP$137,MATCH($W216,Calc!$A$2:$A$137,0)),0.5)*Config!$B$5+1-IFERROR(INDEX(Calc!$AP$2:$AP$137,MATCH($W216,Calc!$A$2:$A$137,0)),0.5))),SQRT(Z216*Config!$B$5)))</f>
        <v>3.45661675512</v>
      </c>
      <c r="AB216" s="10" t="n">
        <f aca="false">IF(OR(F216="",Z216="",N(AA216)&lt;=0),"",1-NORMDIST(FLOOR(F216,1)+0.5,Z216,AA216,TRUE()))</f>
        <v>0.608220129720111</v>
      </c>
      <c r="AC216" s="10" t="n">
        <f aca="false">IF(AB216="","",NORMDIST(CEILING(F216,1)-0.5,Z216,AA216,TRUE()))</f>
        <v>0.391779870279889</v>
      </c>
      <c r="AD216" s="0" t="str">
        <f aca="false">IF(AB216="","",IF(AB216&gt;=0.5+Config!$B$6,"OVER",IF(AC216&gt;=0.5+Config!$B$6,"UNDER","—")))</f>
        <v>OVER</v>
      </c>
      <c r="AE216" s="13" t="n">
        <f aca="false">IFERROR(Z216/G216,"")</f>
        <v>0.969015065401919</v>
      </c>
    </row>
    <row r="217" customFormat="false" ht="15" hidden="false" customHeight="false" outlineLevel="0" collapsed="false">
      <c r="A217" s="0" t="s">
        <v>1139</v>
      </c>
      <c r="B217" s="0" t="s">
        <v>1239</v>
      </c>
      <c r="C217" s="0" t="s">
        <v>1550</v>
      </c>
      <c r="D217" s="0" t="s">
        <v>1245</v>
      </c>
      <c r="E217" s="0" t="s">
        <v>1290</v>
      </c>
      <c r="F217" s="0" t="n">
        <v>28.5</v>
      </c>
      <c r="G217" s="11" t="n">
        <f aca="false">IFERROR(INDEX(CHOOSE(MATCH($X217,{"K1","K2","K3","K12","K13","H1","H2","H3","H12","H13"},0),Calc!$V$2:$V$137,Calc!$AC$2:$AC$137,Calc!$AJ$2:$AJ$137,Calc!$AL$2:$AL$137,Calc!$AM$2:$AM$137,Calc!$W$2:$W$137,Calc!$AD$2:$AD$137,Calc!$AK$2:$AK$137,Calc!$AN$2:$AN$137,Calc!$AO$2:$AO$137),MATCH($W217,Calc!$A$2:$A$137,0)),"")</f>
        <v>30.0743529411765</v>
      </c>
      <c r="H217" s="11" t="n">
        <f aca="false">IF(G217="","",IF(LEFT($X217,1)="H",SQRT(G217*(IFERROR(INDEX(Calc!$AP$2:$AP$137,MATCH($W217,Calc!$A$2:$A$137,0)),0.5)*Config!$B$5+1-IFERROR(INDEX(Calc!$AP$2:$AP$137,MATCH($W217,Calc!$A$2:$A$137,0)),0.5))),SQRT(G217*Config!$B$5)))</f>
        <v>6.48876676400432</v>
      </c>
      <c r="I217" s="10" t="n">
        <f aca="false">IF(OR(F217="",G217="",N(H217)&lt;=0),"",1-NORMDIST(FLOOR(F217,1)+0.5,G217,H217,TRUE()))</f>
        <v>0.595852993212987</v>
      </c>
      <c r="J217" s="10" t="n">
        <f aca="false">IF(I217="","",NORMDIST(CEILING(F217,1)-0.5,G217,H217,TRUE()))</f>
        <v>0.404147006787014</v>
      </c>
      <c r="K217" s="10" t="n">
        <f aca="false">IF(I217="","",MAX(0,1-I217-J217))</f>
        <v>0</v>
      </c>
      <c r="L217" s="0" t="str">
        <f aca="false">IF(I217="","",IF(I217&gt;=0.5+Config!$B$6,"OVER",IF(J217&gt;=0.5+Config!$B$6,"UNDER","—")))</f>
        <v>OVER</v>
      </c>
      <c r="M217" s="0" t="n">
        <v>28.85</v>
      </c>
      <c r="N217" s="0" t="n">
        <v>29.8</v>
      </c>
      <c r="O217" s="10" t="n">
        <v>0.4</v>
      </c>
      <c r="P217" s="10" t="n">
        <v>0.5</v>
      </c>
      <c r="Q217" s="10" t="n">
        <v>0.6</v>
      </c>
      <c r="R217" s="9" t="s">
        <v>1359</v>
      </c>
      <c r="S217" s="0" t="n">
        <v>-2</v>
      </c>
      <c r="T217" s="0" t="str">
        <f aca="false">INDEX(Calc!$G$2:$G$137,MATCH($W217,Calc!$A$2:$A$137,0))&amp;" / "&amp;INDEX(Calc!$H$2:$H$137,MATCH($W217,Calc!$A$2:$A$137,0))</f>
        <v>Ancient / Dust2</v>
      </c>
      <c r="U217" s="0" t="str">
        <f aca="false">TEXT(INDEX(Calc!$J$2:$J$137,MATCH($W217,Calc!$A$2:$A$137,0)),"0.0")&amp;" / "&amp;TEXT(INDEX(Calc!$K$2:$K$137,MATCH($W217,Calc!$A$2:$A$137,0)),"0.0")</f>
        <v>20.8 / 20.8</v>
      </c>
      <c r="V217" s="0" t="str">
        <f aca="false">IFERROR(INDEX(Calc!$AQ$2:$AQ$137,MATCH($W217,Calc!$A$2:$A$137,0)),"")</f>
        <v/>
      </c>
      <c r="W217" s="9" t="s">
        <v>1551</v>
      </c>
      <c r="X217" s="9" t="s">
        <v>1291</v>
      </c>
      <c r="Y217" s="0" t="str">
        <f aca="false">W217&amp;"|"&amp;X217</f>
        <v>7ehti0cn8n4gylc|CS2 · TdP vs ALKA|K12</v>
      </c>
      <c r="Z217" s="11" t="n">
        <f aca="false">IFERROR(INDEX(CHOOSE(MATCH($X217,{"K1","K2","K3","K12","K13","H1","H2","H3","H12","H13"},0),Calc!$BA$2:$BA$137,Calc!$BB$2:$BB$137,Calc!$BC$2:$BC$137,Calc!$BD$2:$BD$137,Calc!$BE$2:$BE$137,Calc!$BF$2:$BF$137,Calc!$BG$2:$BG$137,Calc!$BH$2:$BH$137,Calc!$BI$2:$BI$137,Calc!$BJ$2:$BJ$137),MATCH($W217,Calc!$A$2:$A$137,0)),"")</f>
        <v>29.1530755019156</v>
      </c>
      <c r="AA217" s="11" t="n">
        <f aca="false">IF(Z217="","",IF(LEFT($X217,1)="H",SQRT(Z217*(IFERROR(INDEX(Calc!$AP$2:$AP$137,MATCH($W217,Calc!$A$2:$A$137,0)),0.5)*Config!$B$5+1-IFERROR(INDEX(Calc!$AP$2:$AP$137,MATCH($W217,Calc!$A$2:$A$137,0)),0.5))),SQRT(Z217*Config!$B$5)))</f>
        <v>6.38860749323997</v>
      </c>
      <c r="AB217" s="10" t="n">
        <f aca="false">IF(OR(F217="",Z217="",N(AA217)&lt;=0),"",1-NORMDIST(FLOOR(F217,1)+0.5,Z217,AA217,TRUE()))</f>
        <v>0.540710963984811</v>
      </c>
      <c r="AC217" s="10" t="n">
        <f aca="false">IF(AB217="","",NORMDIST(CEILING(F217,1)-0.5,Z217,AA217,TRUE()))</f>
        <v>0.459289036015189</v>
      </c>
      <c r="AD217" s="0" t="str">
        <f aca="false">IF(AB217="","",IF(AB217&gt;=0.5+Config!$B$6,"OVER",IF(AC217&gt;=0.5+Config!$B$6,"UNDER","—")))</f>
        <v>OVER</v>
      </c>
      <c r="AE217" s="13" t="n">
        <f aca="false">IFERROR(Z217/G217,"")</f>
        <v>0.969366674619307</v>
      </c>
    </row>
    <row r="218" customFormat="false" ht="15" hidden="false" customHeight="false" outlineLevel="0" collapsed="false">
      <c r="A218" s="0" t="s">
        <v>1139</v>
      </c>
      <c r="B218" s="0" t="s">
        <v>1239</v>
      </c>
      <c r="C218" s="0" t="s">
        <v>1552</v>
      </c>
      <c r="D218" s="0" t="s">
        <v>1245</v>
      </c>
      <c r="E218" s="0" t="s">
        <v>1286</v>
      </c>
      <c r="F218" s="0" t="n">
        <v>13</v>
      </c>
      <c r="G218" s="11" t="n">
        <f aca="false">IFERROR(INDEX(CHOOSE(MATCH($X218,{"K1","K2","K3","K12","K13","H1","H2","H3","H12","H13"},0),Calc!$V$2:$V$137,Calc!$AC$2:$AC$137,Calc!$AJ$2:$AJ$137,Calc!$AL$2:$AL$137,Calc!$AM$2:$AM$137,Calc!$W$2:$W$137,Calc!$AD$2:$AD$137,Calc!$AK$2:$AK$137,Calc!$AN$2:$AN$137,Calc!$AO$2:$AO$137),MATCH($W218,Calc!$A$2:$A$137,0)),"")</f>
        <v>12.7583371072664</v>
      </c>
      <c r="H218" s="11" t="n">
        <f aca="false">IF(G218="","",IF(LEFT($X218,1)="H",SQRT(G218*(IFERROR(INDEX(Calc!$AP$2:$AP$137,MATCH($W218,Calc!$A$2:$A$137,0)),0.5)*Config!$B$5+1-IFERROR(INDEX(Calc!$AP$2:$AP$137,MATCH($W218,Calc!$A$2:$A$137,0)),0.5))),SQRT(G218*Config!$B$5)))</f>
        <v>3.92402445991245</v>
      </c>
      <c r="I218" s="10" t="n">
        <f aca="false">IF(OR(F218="",G218="",N(H218)&lt;=0),"",1-NORMDIST(FLOOR(F218,1)+0.5,G218,H218,TRUE()))</f>
        <v>0.425044184378914</v>
      </c>
      <c r="J218" s="10" t="n">
        <f aca="false">IF(I218="","",NORMDIST(CEILING(F218,1)-0.5,G218,H218,TRUE()))</f>
        <v>0.473754701163809</v>
      </c>
      <c r="K218" s="10" t="n">
        <f aca="false">IF(I218="","",MAX(0,1-I218-J218))</f>
        <v>0.101201114457277</v>
      </c>
      <c r="L218" s="0" t="str">
        <f aca="false">IF(I218="","",IF(I218&gt;=0.5+Config!$B$6,"OVER",IF(J218&gt;=0.5+Config!$B$6,"UNDER","—")))</f>
        <v>—</v>
      </c>
      <c r="N218" s="0" t="n">
        <v>13.4</v>
      </c>
      <c r="O218" s="10" t="n">
        <v>0.6</v>
      </c>
      <c r="P218" s="10" t="n">
        <v>0.4</v>
      </c>
      <c r="Q218" s="10" t="n">
        <v>0.53</v>
      </c>
      <c r="R218" s="9" t="s">
        <v>1439</v>
      </c>
      <c r="S218" s="0" t="n">
        <v>-2</v>
      </c>
      <c r="T218" s="0" t="str">
        <f aca="false">INDEX(Calc!$G$2:$G$137,MATCH($W218,Calc!$A$2:$A$137,0))&amp;" / "&amp;INDEX(Calc!$H$2:$H$137,MATCH($W218,Calc!$A$2:$A$137,0))</f>
        <v>Ancient / Dust2</v>
      </c>
      <c r="U218" s="0" t="str">
        <f aca="false">TEXT(INDEX(Calc!$J$2:$J$137,MATCH($W218,Calc!$A$2:$A$137,0)),"0.0")&amp;" / "&amp;TEXT(INDEX(Calc!$K$2:$K$137,MATCH($W218,Calc!$A$2:$A$137,0)),"0.0")</f>
        <v>20.8 / 20.8</v>
      </c>
      <c r="V218" s="0" t="str">
        <f aca="false">IFERROR(INDEX(Calc!$AQ$2:$AQ$137,MATCH($W218,Calc!$A$2:$A$137,0)),"")</f>
        <v/>
      </c>
      <c r="W218" s="9" t="s">
        <v>1553</v>
      </c>
      <c r="X218" s="9" t="s">
        <v>1289</v>
      </c>
      <c r="Y218" s="0" t="str">
        <f aca="false">W218&amp;"|"&amp;X218</f>
        <v>6nc5vmzm030q26g|CS2 · TdP vs ALKA|H12</v>
      </c>
      <c r="Z218" s="11" t="n">
        <f aca="false">IFERROR(INDEX(CHOOSE(MATCH($X218,{"K1","K2","K3","K12","K13","H1","H2","H3","H12","H13"},0),Calc!$BA$2:$BA$137,Calc!$BB$2:$BB$137,Calc!$BC$2:$BC$137,Calc!$BD$2:$BD$137,Calc!$BE$2:$BE$137,Calc!$BF$2:$BF$137,Calc!$BG$2:$BG$137,Calc!$BH$2:$BH$137,Calc!$BI$2:$BI$137,Calc!$BJ$2:$BJ$137),MATCH($W218,Calc!$A$2:$A$137,0)),"")</f>
        <v>12.3645842463732</v>
      </c>
      <c r="AA218" s="11" t="n">
        <f aca="false">IF(Z218="","",IF(LEFT($X218,1)="H",SQRT(Z218*(IFERROR(INDEX(Calc!$AP$2:$AP$137,MATCH($W218,Calc!$A$2:$A$137,0)),0.5)*Config!$B$5+1-IFERROR(INDEX(Calc!$AP$2:$AP$137,MATCH($W218,Calc!$A$2:$A$137,0)),0.5))),SQRT(Z218*Config!$B$5)))</f>
        <v>3.86299751055416</v>
      </c>
      <c r="AB218" s="10" t="n">
        <f aca="false">IF(OR(F218="",Z218="",N(AA218)&lt;=0),"",1-NORMDIST(FLOOR(F218,1)+0.5,Z218,AA218,TRUE()))</f>
        <v>0.384409168810782</v>
      </c>
      <c r="AC218" s="10" t="n">
        <f aca="false">IF(AB218="","",NORMDIST(CEILING(F218,1)-0.5,Z218,AA218,TRUE()))</f>
        <v>0.513981890309009</v>
      </c>
      <c r="AD218" s="0" t="str">
        <f aca="false">IF(AB218="","",IF(AB218&gt;=0.5+Config!$B$6,"OVER",IF(AC218&gt;=0.5+Config!$B$6,"UNDER","—")))</f>
        <v>—</v>
      </c>
      <c r="AE218" s="13" t="n">
        <f aca="false">IFERROR(Z218/G218,"")</f>
        <v>0.969137603311255</v>
      </c>
    </row>
    <row r="219" customFormat="false" ht="15" hidden="false" customHeight="false" outlineLevel="0" collapsed="false">
      <c r="A219" s="0" t="s">
        <v>1139</v>
      </c>
      <c r="B219" s="0" t="s">
        <v>1239</v>
      </c>
      <c r="C219" s="0" t="s">
        <v>1552</v>
      </c>
      <c r="D219" s="0" t="s">
        <v>1245</v>
      </c>
      <c r="E219" s="0" t="s">
        <v>1290</v>
      </c>
      <c r="F219" s="0" t="n">
        <v>22.5</v>
      </c>
      <c r="G219" s="11" t="n">
        <f aca="false">IFERROR(INDEX(CHOOSE(MATCH($X219,{"K1","K2","K3","K12","K13","H1","H2","H3","H12","H13"},0),Calc!$V$2:$V$137,Calc!$AC$2:$AC$137,Calc!$AJ$2:$AJ$137,Calc!$AL$2:$AL$137,Calc!$AM$2:$AM$137,Calc!$W$2:$W$137,Calc!$AD$2:$AD$137,Calc!$AK$2:$AK$137,Calc!$AN$2:$AN$137,Calc!$AO$2:$AO$137),MATCH($W219,Calc!$A$2:$A$137,0)),"")</f>
        <v>24.6663529411765</v>
      </c>
      <c r="H219" s="11" t="n">
        <f aca="false">IF(G219="","",IF(LEFT($X219,1)="H",SQRT(G219*(IFERROR(INDEX(Calc!$AP$2:$AP$137,MATCH($W219,Calc!$A$2:$A$137,0)),0.5)*Config!$B$5+1-IFERROR(INDEX(Calc!$AP$2:$AP$137,MATCH($W219,Calc!$A$2:$A$137,0)),0.5))),SQRT(G219*Config!$B$5)))</f>
        <v>5.87646952835179</v>
      </c>
      <c r="I219" s="10" t="n">
        <f aca="false">IF(OR(F219="",G219="",N(H219)&lt;=0),"",1-NORMDIST(FLOOR(F219,1)+0.5,G219,H219,TRUE()))</f>
        <v>0.643805210180126</v>
      </c>
      <c r="J219" s="10" t="n">
        <f aca="false">IF(I219="","",NORMDIST(CEILING(F219,1)-0.5,G219,H219,TRUE()))</f>
        <v>0.356194789819874</v>
      </c>
      <c r="K219" s="10" t="n">
        <f aca="false">IF(I219="","",MAX(0,1-I219-J219))</f>
        <v>0</v>
      </c>
      <c r="L219" s="0" t="str">
        <f aca="false">IF(I219="","",IF(I219&gt;=0.5+Config!$B$6,"OVER",IF(J219&gt;=0.5+Config!$B$6,"UNDER","—")))</f>
        <v>OVER</v>
      </c>
      <c r="M219" s="0" t="n">
        <v>23.25</v>
      </c>
      <c r="N219" s="0" t="n">
        <v>25.5</v>
      </c>
      <c r="O219" s="10" t="n">
        <v>0.6</v>
      </c>
      <c r="P219" s="10" t="n">
        <v>0.7</v>
      </c>
      <c r="Q219" s="10" t="n">
        <v>0.67</v>
      </c>
      <c r="R219" s="9" t="s">
        <v>1357</v>
      </c>
      <c r="S219" s="0" t="n">
        <v>-2</v>
      </c>
      <c r="T219" s="0" t="str">
        <f aca="false">INDEX(Calc!$G$2:$G$137,MATCH($W219,Calc!$A$2:$A$137,0))&amp;" / "&amp;INDEX(Calc!$H$2:$H$137,MATCH($W219,Calc!$A$2:$A$137,0))</f>
        <v>Ancient / Dust2</v>
      </c>
      <c r="U219" s="0" t="str">
        <f aca="false">TEXT(INDEX(Calc!$J$2:$J$137,MATCH($W219,Calc!$A$2:$A$137,0)),"0.0")&amp;" / "&amp;TEXT(INDEX(Calc!$K$2:$K$137,MATCH($W219,Calc!$A$2:$A$137,0)),"0.0")</f>
        <v>20.8 / 20.8</v>
      </c>
      <c r="V219" s="0" t="str">
        <f aca="false">IFERROR(INDEX(Calc!$AQ$2:$AQ$137,MATCH($W219,Calc!$A$2:$A$137,0)),"")</f>
        <v/>
      </c>
      <c r="W219" s="9" t="s">
        <v>1553</v>
      </c>
      <c r="X219" s="9" t="s">
        <v>1291</v>
      </c>
      <c r="Y219" s="0" t="str">
        <f aca="false">W219&amp;"|"&amp;X219</f>
        <v>6nc5vmzm030q26g|CS2 · TdP vs ALKA|K12</v>
      </c>
      <c r="Z219" s="11" t="n">
        <f aca="false">IFERROR(INDEX(CHOOSE(MATCH($X219,{"K1","K2","K3","K12","K13","H1","H2","H3","H12","H13"},0),Calc!$BA$2:$BA$137,Calc!$BB$2:$BB$137,Calc!$BC$2:$BC$137,Calc!$BD$2:$BD$137,Calc!$BE$2:$BE$137,Calc!$BF$2:$BF$137,Calc!$BG$2:$BG$137,Calc!$BH$2:$BH$137,Calc!$BI$2:$BI$137,Calc!$BJ$2:$BJ$137),MATCH($W219,Calc!$A$2:$A$137,0)),"")</f>
        <v>23.9109740547175</v>
      </c>
      <c r="AA219" s="11" t="n">
        <f aca="false">IF(Z219="","",IF(LEFT($X219,1)="H",SQRT(Z219*(IFERROR(INDEX(Calc!$AP$2:$AP$137,MATCH($W219,Calc!$A$2:$A$137,0)),0.5)*Config!$B$5+1-IFERROR(INDEX(Calc!$AP$2:$AP$137,MATCH($W219,Calc!$A$2:$A$137,0)),0.5))),SQRT(Z219*Config!$B$5)))</f>
        <v>5.78578980577453</v>
      </c>
      <c r="AB219" s="10" t="n">
        <f aca="false">IF(OR(F219="",Z219="",N(AA219)&lt;=0),"",1-NORMDIST(FLOOR(F219,1)+0.5,Z219,AA219,TRUE()))</f>
        <v>0.596333812430191</v>
      </c>
      <c r="AC219" s="10" t="n">
        <f aca="false">IF(AB219="","",NORMDIST(CEILING(F219,1)-0.5,Z219,AA219,TRUE()))</f>
        <v>0.403666187569809</v>
      </c>
      <c r="AD219" s="0" t="str">
        <f aca="false">IF(AB219="","",IF(AB219&gt;=0.5+Config!$B$6,"OVER",IF(AC219&gt;=0.5+Config!$B$6,"UNDER","—")))</f>
        <v>OVER</v>
      </c>
      <c r="AE219" s="13" t="n">
        <f aca="false">IFERROR(Z219/G219,"")</f>
        <v>0.969376142137412</v>
      </c>
    </row>
    <row r="220" customFormat="false" ht="15" hidden="false" customHeight="false" outlineLevel="0" collapsed="false">
      <c r="A220" s="0" t="s">
        <v>1139</v>
      </c>
      <c r="B220" s="0" t="s">
        <v>1239</v>
      </c>
      <c r="C220" s="0" t="s">
        <v>1554</v>
      </c>
      <c r="D220" s="0" t="s">
        <v>1245</v>
      </c>
      <c r="E220" s="0" t="s">
        <v>1286</v>
      </c>
      <c r="F220" s="0" t="n">
        <v>14.5</v>
      </c>
      <c r="G220" s="11" t="n">
        <f aca="false">IFERROR(INDEX(CHOOSE(MATCH($X220,{"K1","K2","K3","K12","K13","H1","H2","H3","H12","H13"},0),Calc!$V$2:$V$137,Calc!$AC$2:$AC$137,Calc!$AJ$2:$AJ$137,Calc!$AL$2:$AL$137,Calc!$AM$2:$AM$137,Calc!$W$2:$W$137,Calc!$AD$2:$AD$137,Calc!$AK$2:$AK$137,Calc!$AN$2:$AN$137,Calc!$AO$2:$AO$137),MATCH($W220,Calc!$A$2:$A$137,0)),"")</f>
        <v>15.8613905051903</v>
      </c>
      <c r="H220" s="11" t="n">
        <f aca="false">IF(G220="","",IF(LEFT($X220,1)="H",SQRT(G220*(IFERROR(INDEX(Calc!$AP$2:$AP$137,MATCH($W220,Calc!$A$2:$A$137,0)),0.5)*Config!$B$5+1-IFERROR(INDEX(Calc!$AP$2:$AP$137,MATCH($W220,Calc!$A$2:$A$137,0)),0.5))),SQRT(G220*Config!$B$5)))</f>
        <v>4.41705707170601</v>
      </c>
      <c r="I220" s="10" t="n">
        <f aca="false">IF(OR(F220="",G220="",N(H220)&lt;=0),"",1-NORMDIST(FLOOR(F220,1)+0.5,G220,H220,TRUE()))</f>
        <v>0.621039533027518</v>
      </c>
      <c r="J220" s="10" t="n">
        <f aca="false">IF(I220="","",NORMDIST(CEILING(F220,1)-0.5,G220,H220,TRUE()))</f>
        <v>0.378960466972482</v>
      </c>
      <c r="K220" s="10" t="n">
        <f aca="false">IF(I220="","",MAX(0,1-I220-J220))</f>
        <v>0</v>
      </c>
      <c r="L220" s="0" t="str">
        <f aca="false">IF(I220="","",IF(I220&gt;=0.5+Config!$B$6,"OVER",IF(J220&gt;=0.5+Config!$B$6,"UNDER","—")))</f>
        <v>OVER</v>
      </c>
      <c r="N220" s="0" t="n">
        <v>16.5</v>
      </c>
      <c r="O220" s="10" t="n">
        <v>0.6</v>
      </c>
      <c r="P220" s="10" t="n">
        <v>0.6</v>
      </c>
      <c r="Q220" s="10" t="n">
        <v>0.6</v>
      </c>
      <c r="R220" s="9" t="s">
        <v>1359</v>
      </c>
      <c r="S220" s="0" t="n">
        <v>-2</v>
      </c>
      <c r="T220" s="0" t="str">
        <f aca="false">INDEX(Calc!$G$2:$G$137,MATCH($W220,Calc!$A$2:$A$137,0))&amp;" / "&amp;INDEX(Calc!$H$2:$H$137,MATCH($W220,Calc!$A$2:$A$137,0))</f>
        <v>Ancient / Dust2</v>
      </c>
      <c r="U220" s="0" t="str">
        <f aca="false">TEXT(INDEX(Calc!$J$2:$J$137,MATCH($W220,Calc!$A$2:$A$137,0)),"0.0")&amp;" / "&amp;TEXT(INDEX(Calc!$K$2:$K$137,MATCH($W220,Calc!$A$2:$A$137,0)),"0.0")</f>
        <v>20.8 / 20.8</v>
      </c>
      <c r="V220" s="0" t="str">
        <f aca="false">IFERROR(INDEX(Calc!$AQ$2:$AQ$137,MATCH($W220,Calc!$A$2:$A$137,0)),"")</f>
        <v/>
      </c>
      <c r="W220" s="9" t="s">
        <v>1555</v>
      </c>
      <c r="X220" s="9" t="s">
        <v>1289</v>
      </c>
      <c r="Y220" s="0" t="str">
        <f aca="false">W220&amp;"|"&amp;X220</f>
        <v>ayxk4sbko48l7n5|CS2 · TdP vs ALKA|H12</v>
      </c>
      <c r="Z220" s="11" t="n">
        <f aca="false">IFERROR(INDEX(CHOOSE(MATCH($X220,{"K1","K2","K3","K12","K13","H1","H2","H3","H12","H13"},0),Calc!$BA$2:$BA$137,Calc!$BB$2:$BB$137,Calc!$BC$2:$BC$137,Calc!$BD$2:$BD$137,Calc!$BE$2:$BE$137,Calc!$BF$2:$BF$137,Calc!$BG$2:$BG$137,Calc!$BH$2:$BH$137,Calc!$BI$2:$BI$137,Calc!$BJ$2:$BJ$137),MATCH($W220,Calc!$A$2:$A$137,0)),"")</f>
        <v>15.3785065893858</v>
      </c>
      <c r="AA220" s="11" t="n">
        <f aca="false">IF(Z220="","",IF(LEFT($X220,1)="H",SQRT(Z220*(IFERROR(INDEX(Calc!$AP$2:$AP$137,MATCH($W220,Calc!$A$2:$A$137,0)),0.5)*Config!$B$5+1-IFERROR(INDEX(Calc!$AP$2:$AP$137,MATCH($W220,Calc!$A$2:$A$137,0)),0.5))),SQRT(Z220*Config!$B$5)))</f>
        <v>4.34930098759516</v>
      </c>
      <c r="AB220" s="10" t="n">
        <f aca="false">IF(OR(F220="",Z220="",N(AA220)&lt;=0),"",1-NORMDIST(FLOOR(F220,1)+0.5,Z220,AA220,TRUE()))</f>
        <v>0.580036945615241</v>
      </c>
      <c r="AC220" s="10" t="n">
        <f aca="false">IF(AB220="","",NORMDIST(CEILING(F220,1)-0.5,Z220,AA220,TRUE()))</f>
        <v>0.419963054384759</v>
      </c>
      <c r="AD220" s="0" t="str">
        <f aca="false">IF(AB220="","",IF(AB220&gt;=0.5+Config!$B$6,"OVER",IF(AC220&gt;=0.5+Config!$B$6,"UNDER","—")))</f>
        <v>OVER</v>
      </c>
      <c r="AE220" s="13" t="n">
        <f aca="false">IFERROR(Z220/G220,"")</f>
        <v>0.969556016186189</v>
      </c>
    </row>
    <row r="221" customFormat="false" ht="15" hidden="false" customHeight="false" outlineLevel="0" collapsed="false">
      <c r="A221" s="0" t="s">
        <v>1139</v>
      </c>
      <c r="B221" s="0" t="s">
        <v>1239</v>
      </c>
      <c r="C221" s="0" t="s">
        <v>1554</v>
      </c>
      <c r="D221" s="0" t="s">
        <v>1245</v>
      </c>
      <c r="E221" s="0" t="s">
        <v>1290</v>
      </c>
      <c r="F221" s="0" t="n">
        <v>26.5</v>
      </c>
      <c r="G221" s="11" t="n">
        <f aca="false">IFERROR(INDEX(CHOOSE(MATCH($X221,{"K1","K2","K3","K12","K13","H1","H2","H3","H12","H13"},0),Calc!$V$2:$V$137,Calc!$AC$2:$AC$137,Calc!$AJ$2:$AJ$137,Calc!$AL$2:$AL$137,Calc!$AM$2:$AM$137,Calc!$W$2:$W$137,Calc!$AD$2:$AD$137,Calc!$AK$2:$AK$137,Calc!$AN$2:$AN$137,Calc!$AO$2:$AO$137),MATCH($W221,Calc!$A$2:$A$137,0)),"")</f>
        <v>27.5783529411765</v>
      </c>
      <c r="H221" s="11" t="n">
        <f aca="false">IF(G221="","",IF(LEFT($X221,1)="H",SQRT(G221*(IFERROR(INDEX(Calc!$AP$2:$AP$137,MATCH($W221,Calc!$A$2:$A$137,0)),0.5)*Config!$B$5+1-IFERROR(INDEX(Calc!$AP$2:$AP$137,MATCH($W221,Calc!$A$2:$A$137,0)),0.5))),SQRT(G221*Config!$B$5)))</f>
        <v>6.21366993954837</v>
      </c>
      <c r="I221" s="10" t="n">
        <f aca="false">IF(OR(F221="",G221="",N(H221)&lt;=0),"",1-NORMDIST(FLOOR(F221,1)+0.5,G221,H221,TRUE()))</f>
        <v>0.568888570867038</v>
      </c>
      <c r="J221" s="10" t="n">
        <f aca="false">IF(I221="","",NORMDIST(CEILING(F221,1)-0.5,G221,H221,TRUE()))</f>
        <v>0.431111429132962</v>
      </c>
      <c r="K221" s="10" t="n">
        <f aca="false">IF(I221="","",MAX(0,1-I221-J221))</f>
        <v>0</v>
      </c>
      <c r="L221" s="0" t="str">
        <f aca="false">IF(I221="","",IF(I221&gt;=0.5+Config!$B$6,"OVER",IF(J221&gt;=0.5+Config!$B$6,"UNDER","—")))</f>
        <v>OVER</v>
      </c>
      <c r="M221" s="0" t="n">
        <v>26.46</v>
      </c>
      <c r="N221" s="0" t="n">
        <v>28.5</v>
      </c>
      <c r="O221" s="10" t="n">
        <v>0.8</v>
      </c>
      <c r="P221" s="10" t="n">
        <v>0.7</v>
      </c>
      <c r="Q221" s="10" t="n">
        <v>0.73</v>
      </c>
      <c r="R221" s="9" t="s">
        <v>1359</v>
      </c>
      <c r="S221" s="0" t="n">
        <v>-1</v>
      </c>
      <c r="T221" s="0" t="str">
        <f aca="false">INDEX(Calc!$G$2:$G$137,MATCH($W221,Calc!$A$2:$A$137,0))&amp;" / "&amp;INDEX(Calc!$H$2:$H$137,MATCH($W221,Calc!$A$2:$A$137,0))</f>
        <v>Ancient / Dust2</v>
      </c>
      <c r="U221" s="0" t="str">
        <f aca="false">TEXT(INDEX(Calc!$J$2:$J$137,MATCH($W221,Calc!$A$2:$A$137,0)),"0.0")&amp;" / "&amp;TEXT(INDEX(Calc!$K$2:$K$137,MATCH($W221,Calc!$A$2:$A$137,0)),"0.0")</f>
        <v>20.8 / 20.8</v>
      </c>
      <c r="V221" s="0" t="str">
        <f aca="false">IFERROR(INDEX(Calc!$AQ$2:$AQ$137,MATCH($W221,Calc!$A$2:$A$137,0)),"")</f>
        <v/>
      </c>
      <c r="W221" s="9" t="s">
        <v>1555</v>
      </c>
      <c r="X221" s="9" t="s">
        <v>1291</v>
      </c>
      <c r="Y221" s="0" t="str">
        <f aca="false">W221&amp;"|"&amp;X221</f>
        <v>ayxk4sbko48l7n5|CS2 · TdP vs ALKA|K12</v>
      </c>
      <c r="Z221" s="11" t="n">
        <f aca="false">IFERROR(INDEX(CHOOSE(MATCH($X221,{"K1","K2","K3","K12","K13","H1","H2","H3","H12","H13"},0),Calc!$BA$2:$BA$137,Calc!$BB$2:$BB$137,Calc!$BC$2:$BC$137,Calc!$BD$2:$BD$137,Calc!$BE$2:$BE$137,Calc!$BF$2:$BF$137,Calc!$BG$2:$BG$137,Calc!$BH$2:$BH$137,Calc!$BI$2:$BI$137,Calc!$BJ$2:$BJ$137),MATCH($W221,Calc!$A$2:$A$137,0)),"")</f>
        <v>26.7336440647472</v>
      </c>
      <c r="AA221" s="11" t="n">
        <f aca="false">IF(Z221="","",IF(LEFT($X221,1)="H",SQRT(Z221*(IFERROR(INDEX(Calc!$AP$2:$AP$137,MATCH($W221,Calc!$A$2:$A$137,0)),0.5)*Config!$B$5+1-IFERROR(INDEX(Calc!$AP$2:$AP$137,MATCH($W221,Calc!$A$2:$A$137,0)),0.5))),SQRT(Z221*Config!$B$5)))</f>
        <v>6.11776933944441</v>
      </c>
      <c r="AB221" s="10" t="n">
        <f aca="false">IF(OR(F221="",Z221="",N(AA221)&lt;=0),"",1-NORMDIST(FLOOR(F221,1)+0.5,Z221,AA221,TRUE()))</f>
        <v>0.515232323577433</v>
      </c>
      <c r="AC221" s="10" t="n">
        <f aca="false">IF(AB221="","",NORMDIST(CEILING(F221,1)-0.5,Z221,AA221,TRUE()))</f>
        <v>0.484767676422567</v>
      </c>
      <c r="AD221" s="0" t="str">
        <f aca="false">IF(AB221="","",IF(AB221&gt;=0.5+Config!$B$6,"OVER",IF(AC221&gt;=0.5+Config!$B$6,"UNDER","—")))</f>
        <v>—</v>
      </c>
      <c r="AE221" s="13" t="n">
        <f aca="false">IFERROR(Z221/G221,"")</f>
        <v>0.969370582854205</v>
      </c>
    </row>
    <row r="222" customFormat="false" ht="15" hidden="false" customHeight="false" outlineLevel="0" collapsed="false">
      <c r="A222" s="0" t="s">
        <v>1139</v>
      </c>
      <c r="B222" s="0" t="s">
        <v>1239</v>
      </c>
      <c r="C222" s="0" t="s">
        <v>1556</v>
      </c>
      <c r="D222" s="0" t="s">
        <v>1244</v>
      </c>
      <c r="E222" s="0" t="s">
        <v>1286</v>
      </c>
      <c r="F222" s="0" t="n">
        <v>15.5</v>
      </c>
      <c r="G222" s="11" t="n">
        <f aca="false">IFERROR(INDEX(CHOOSE(MATCH($X222,{"K1","K2","K3","K12","K13","H1","H2","H3","H12","H13"},0),Calc!$V$2:$V$137,Calc!$AC$2:$AC$137,Calc!$AJ$2:$AJ$137,Calc!$AL$2:$AL$137,Calc!$AM$2:$AM$137,Calc!$W$2:$W$137,Calc!$AD$2:$AD$137,Calc!$AK$2:$AK$137,Calc!$AN$2:$AN$137,Calc!$AO$2:$AO$137),MATCH($W222,Calc!$A$2:$A$137,0)),"")</f>
        <v>14.4387870747937</v>
      </c>
      <c r="H222" s="11" t="n">
        <f aca="false">IF(G222="","",IF(LEFT($X222,1)="H",SQRT(G222*(IFERROR(INDEX(Calc!$AP$2:$AP$137,MATCH($W222,Calc!$A$2:$A$137,0)),0.5)*Config!$B$5+1-IFERROR(INDEX(Calc!$AP$2:$AP$137,MATCH($W222,Calc!$A$2:$A$137,0)),0.5))),SQRT(G222*Config!$B$5)))</f>
        <v>4.20496364557705</v>
      </c>
      <c r="I222" s="10" t="n">
        <f aca="false">IF(OR(F222="",G222="",N(H222)&lt;=0),"",1-NORMDIST(FLOOR(F222,1)+0.5,G222,H222,TRUE()))</f>
        <v>0.400376968793617</v>
      </c>
      <c r="J222" s="10" t="n">
        <f aca="false">IF(I222="","",NORMDIST(CEILING(F222,1)-0.5,G222,H222,TRUE()))</f>
        <v>0.599623031206383</v>
      </c>
      <c r="K222" s="10" t="n">
        <f aca="false">IF(I222="","",MAX(0,1-I222-J222))</f>
        <v>0</v>
      </c>
      <c r="L222" s="0" t="str">
        <f aca="false">IF(I222="","",IF(I222&gt;=0.5+Config!$B$6,"OVER",IF(J222&gt;=0.5+Config!$B$6,"UNDER","—")))</f>
        <v>UNDER</v>
      </c>
      <c r="N222" s="0" t="n">
        <v>13.9</v>
      </c>
      <c r="O222" s="10" t="n">
        <v>0.4</v>
      </c>
      <c r="P222" s="10" t="n">
        <v>0.4</v>
      </c>
      <c r="Q222" s="10" t="n">
        <v>0.33</v>
      </c>
      <c r="R222" s="9" t="s">
        <v>1463</v>
      </c>
      <c r="S222" s="0" t="n">
        <v>2</v>
      </c>
      <c r="T222" s="0" t="str">
        <f aca="false">INDEX(Calc!$G$2:$G$137,MATCH($W222,Calc!$A$2:$A$137,0))&amp;" / "&amp;INDEX(Calc!$H$2:$H$137,MATCH($W222,Calc!$A$2:$A$137,0))</f>
        <v>Ancient / Dust2</v>
      </c>
      <c r="U222" s="0" t="str">
        <f aca="false">TEXT(INDEX(Calc!$J$2:$J$137,MATCH($W222,Calc!$A$2:$A$137,0)),"0.0")&amp;" / "&amp;TEXT(INDEX(Calc!$K$2:$K$137,MATCH($W222,Calc!$A$2:$A$137,0)),"0.0")</f>
        <v>20.8 / 20.8</v>
      </c>
      <c r="V222" s="0" t="str">
        <f aca="false">IFERROR(INDEX(Calc!$AQ$2:$AQ$137,MATCH($W222,Calc!$A$2:$A$137,0)),"")</f>
        <v/>
      </c>
      <c r="W222" s="9" t="s">
        <v>1557</v>
      </c>
      <c r="X222" s="9" t="s">
        <v>1289</v>
      </c>
      <c r="Y222" s="0" t="str">
        <f aca="false">W222&amp;"|"&amp;X222</f>
        <v>u9w9fgcak41kfr9|CS2 · TdP vs ALKA|H12</v>
      </c>
      <c r="Z222" s="11" t="n">
        <f aca="false">IFERROR(INDEX(CHOOSE(MATCH($X222,{"K1","K2","K3","K12","K13","H1","H2","H3","H12","H13"},0),Calc!$BA$2:$BA$137,Calc!$BB$2:$BB$137,Calc!$BC$2:$BC$137,Calc!$BD$2:$BD$137,Calc!$BE$2:$BE$137,Calc!$BF$2:$BF$137,Calc!$BG$2:$BG$137,Calc!$BH$2:$BH$137,Calc!$BI$2:$BI$137,Calc!$BJ$2:$BJ$137),MATCH($W222,Calc!$A$2:$A$137,0)),"")</f>
        <v>14.7746554771672</v>
      </c>
      <c r="AA222" s="11" t="n">
        <f aca="false">IF(Z222="","",IF(LEFT($X222,1)="H",SQRT(Z222*(IFERROR(INDEX(Calc!$AP$2:$AP$137,MATCH($W222,Calc!$A$2:$A$137,0)),0.5)*Config!$B$5+1-IFERROR(INDEX(Calc!$AP$2:$AP$137,MATCH($W222,Calc!$A$2:$A$137,0)),0.5))),SQRT(Z222*Config!$B$5)))</f>
        <v>4.2535894554015</v>
      </c>
      <c r="AB222" s="10" t="n">
        <f aca="false">IF(OR(F222="",Z222="",N(AA222)&lt;=0),"",1-NORMDIST(FLOOR(F222,1)+0.5,Z222,AA222,TRUE()))</f>
        <v>0.432298528401795</v>
      </c>
      <c r="AC222" s="10" t="n">
        <f aca="false">IF(AB222="","",NORMDIST(CEILING(F222,1)-0.5,Z222,AA222,TRUE()))</f>
        <v>0.567701471598205</v>
      </c>
      <c r="AD222" s="0" t="str">
        <f aca="false">IF(AB222="","",IF(AB222&gt;=0.5+Config!$B$6,"OVER",IF(AC222&gt;=0.5+Config!$B$6,"UNDER","—")))</f>
        <v>UNDER</v>
      </c>
      <c r="AE222" s="13" t="n">
        <f aca="false">IFERROR(Z222/G222,"")</f>
        <v>1.02326153856509</v>
      </c>
    </row>
    <row r="223" customFormat="false" ht="15" hidden="false" customHeight="false" outlineLevel="0" collapsed="false">
      <c r="A223" s="0" t="s">
        <v>1139</v>
      </c>
      <c r="B223" s="0" t="s">
        <v>1239</v>
      </c>
      <c r="C223" s="0" t="s">
        <v>1556</v>
      </c>
      <c r="D223" s="0" t="s">
        <v>1244</v>
      </c>
      <c r="E223" s="0" t="s">
        <v>1290</v>
      </c>
      <c r="F223" s="0" t="n">
        <v>29.5</v>
      </c>
      <c r="G223" s="11" t="n">
        <f aca="false">IFERROR(INDEX(CHOOSE(MATCH($X223,{"K1","K2","K3","K12","K13","H1","H2","H3","H12","H13"},0),Calc!$V$2:$V$137,Calc!$AC$2:$AC$137,Calc!$AJ$2:$AJ$137,Calc!$AL$2:$AL$137,Calc!$AM$2:$AM$137,Calc!$W$2:$W$137,Calc!$AD$2:$AD$137,Calc!$AK$2:$AK$137,Calc!$AN$2:$AN$137,Calc!$AO$2:$AO$137),MATCH($W223,Calc!$A$2:$A$137,0)),"")</f>
        <v>25.7148235294118</v>
      </c>
      <c r="H223" s="11" t="n">
        <f aca="false">IF(G223="","",IF(LEFT($X223,1)="H",SQRT(G223*(IFERROR(INDEX(Calc!$AP$2:$AP$137,MATCH($W223,Calc!$A$2:$A$137,0)),0.5)*Config!$B$5+1-IFERROR(INDEX(Calc!$AP$2:$AP$137,MATCH($W223,Calc!$A$2:$A$137,0)),0.5))),SQRT(G223*Config!$B$5)))</f>
        <v>6.00006274476996</v>
      </c>
      <c r="I223" s="10" t="n">
        <f aca="false">IF(OR(F223="",G223="",N(H223)&lt;=0),"",1-NORMDIST(FLOOR(F223,1)+0.5,G223,H223,TRUE()))</f>
        <v>0.264067293442861</v>
      </c>
      <c r="J223" s="10" t="n">
        <f aca="false">IF(I223="","",NORMDIST(CEILING(F223,1)-0.5,G223,H223,TRUE()))</f>
        <v>0.735932706557139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UNDER</v>
      </c>
      <c r="M223" s="0" t="n">
        <v>29.2</v>
      </c>
      <c r="N223" s="0" t="n">
        <v>28.2</v>
      </c>
      <c r="O223" s="10" t="n">
        <v>0.2</v>
      </c>
      <c r="P223" s="10" t="n">
        <v>0.3</v>
      </c>
      <c r="Q223" s="10" t="n">
        <v>0.27</v>
      </c>
      <c r="R223" s="9" t="s">
        <v>1466</v>
      </c>
      <c r="S223" s="0" t="n">
        <v>-1</v>
      </c>
      <c r="T223" s="0" t="str">
        <f aca="false">INDEX(Calc!$G$2:$G$137,MATCH($W223,Calc!$A$2:$A$137,0))&amp;" / "&amp;INDEX(Calc!$H$2:$H$137,MATCH($W223,Calc!$A$2:$A$137,0))</f>
        <v>Ancient / Dust2</v>
      </c>
      <c r="U223" s="0" t="str">
        <f aca="false">TEXT(INDEX(Calc!$J$2:$J$137,MATCH($W223,Calc!$A$2:$A$137,0)),"0.0")&amp;" / "&amp;TEXT(INDEX(Calc!$K$2:$K$137,MATCH($W223,Calc!$A$2:$A$137,0)),"0.0")</f>
        <v>20.8 / 20.8</v>
      </c>
      <c r="V223" s="0" t="str">
        <f aca="false">IFERROR(INDEX(Calc!$AQ$2:$AQ$137,MATCH($W223,Calc!$A$2:$A$137,0)),"")</f>
        <v/>
      </c>
      <c r="W223" s="9" t="s">
        <v>1557</v>
      </c>
      <c r="X223" s="9" t="s">
        <v>1291</v>
      </c>
      <c r="Y223" s="0" t="str">
        <f aca="false">W223&amp;"|"&amp;X223</f>
        <v>u9w9fgcak41kfr9|CS2 · TdP vs ALKA|K12</v>
      </c>
      <c r="Z223" s="11" t="n">
        <f aca="false">IFERROR(INDEX(CHOOSE(MATCH($X223,{"K1","K2","K3","K12","K13","H1","H2","H3","H12","H13"},0),Calc!$BA$2:$BA$137,Calc!$BB$2:$BB$137,Calc!$BC$2:$BC$137,Calc!$BD$2:$BD$137,Calc!$BE$2:$BE$137,Calc!$BF$2:$BF$137,Calc!$BG$2:$BG$137,Calc!$BH$2:$BH$137,Calc!$BI$2:$BI$137,Calc!$BJ$2:$BJ$137),MATCH($W223,Calc!$A$2:$A$137,0)),"")</f>
        <v>26.3115178135939</v>
      </c>
      <c r="AA223" s="11" t="n">
        <f aca="false">IF(Z223="","",IF(LEFT($X223,1)="H",SQRT(Z223*(IFERROR(INDEX(Calc!$AP$2:$AP$137,MATCH($W223,Calc!$A$2:$A$137,0)),0.5)*Config!$B$5+1-IFERROR(INDEX(Calc!$AP$2:$AP$137,MATCH($W223,Calc!$A$2:$A$137,0)),0.5))),SQRT(Z223*Config!$B$5)))</f>
        <v>6.06927713480208</v>
      </c>
      <c r="AB223" s="10" t="n">
        <f aca="false">IF(OR(F223="",Z223="",N(AA223)&lt;=0),"",1-NORMDIST(FLOOR(F223,1)+0.5,Z223,AA223,TRUE()))</f>
        <v>0.299670671467285</v>
      </c>
      <c r="AC223" s="10" t="n">
        <f aca="false">IF(AB223="","",NORMDIST(CEILING(F223,1)-0.5,Z223,AA223,TRUE()))</f>
        <v>0.700329328532715</v>
      </c>
      <c r="AD223" s="0" t="str">
        <f aca="false">IF(AB223="","",IF(AB223&gt;=0.5+Config!$B$6,"OVER",IF(AC223&gt;=0.5+Config!$B$6,"UNDER","—")))</f>
        <v>UNDER</v>
      </c>
      <c r="AE223" s="13" t="n">
        <f aca="false">IFERROR(Z223/G223,"")</f>
        <v>1.02320429239966</v>
      </c>
    </row>
    <row r="224" customFormat="false" ht="15" hidden="false" customHeight="false" outlineLevel="0" collapsed="false">
      <c r="A224" s="0" t="s">
        <v>1139</v>
      </c>
      <c r="B224" s="0" t="s">
        <v>1239</v>
      </c>
      <c r="C224" s="0" t="s">
        <v>1558</v>
      </c>
      <c r="D224" s="0" t="s">
        <v>1244</v>
      </c>
      <c r="E224" s="0" t="s">
        <v>1286</v>
      </c>
      <c r="F224" s="0" t="n">
        <v>18</v>
      </c>
      <c r="G224" s="11" t="n">
        <f aca="false">IFERROR(INDEX(CHOOSE(MATCH($X224,{"K1","K2","K3","K12","K13","H1","H2","H3","H12","H13"},0),Calc!$V$2:$V$137,Calc!$AC$2:$AC$137,Calc!$AJ$2:$AJ$137,Calc!$AL$2:$AL$137,Calc!$AM$2:$AM$137,Calc!$W$2:$W$137,Calc!$AD$2:$AD$137,Calc!$AK$2:$AK$137,Calc!$AN$2:$AN$137,Calc!$AO$2:$AO$137),MATCH($W224,Calc!$A$2:$A$137,0)),"")</f>
        <v>17.1147454202632</v>
      </c>
      <c r="H224" s="11" t="n">
        <f aca="false">IF(G224="","",IF(LEFT($X224,1)="H",SQRT(G224*(IFERROR(INDEX(Calc!$AP$2:$AP$137,MATCH($W224,Calc!$A$2:$A$137,0)),0.5)*Config!$B$5+1-IFERROR(INDEX(Calc!$AP$2:$AP$137,MATCH($W224,Calc!$A$2:$A$137,0)),0.5))),SQRT(G224*Config!$B$5)))</f>
        <v>4.60701478589367</v>
      </c>
      <c r="I224" s="10" t="n">
        <f aca="false">IF(OR(F224="",G224="",N(H224)&lt;=0),"",1-NORMDIST(FLOOR(F224,1)+0.5,G224,H224,TRUE()))</f>
        <v>0.381827822577536</v>
      </c>
      <c r="J224" s="10" t="n">
        <f aca="false">IF(I224="","",NORMDIST(CEILING(F224,1)-0.5,G224,H224,TRUE()))</f>
        <v>0.533322098501814</v>
      </c>
      <c r="K224" s="10" t="n">
        <f aca="false">IF(I224="","",MAX(0,1-I224-J224))</f>
        <v>0.0848500789206502</v>
      </c>
      <c r="L224" s="0" t="str">
        <f aca="false">IF(I224="","",IF(I224&gt;=0.5+Config!$B$6,"OVER",IF(J224&gt;=0.5+Config!$B$6,"UNDER","—")))</f>
        <v>—</v>
      </c>
      <c r="N224" s="0" t="n">
        <v>18.5</v>
      </c>
      <c r="O224" s="10" t="n">
        <v>0.2</v>
      </c>
      <c r="P224" s="10" t="n">
        <v>0.6</v>
      </c>
      <c r="Q224" s="10" t="n">
        <v>0.53</v>
      </c>
      <c r="R224" s="9" t="s">
        <v>1389</v>
      </c>
      <c r="S224" s="0" t="n">
        <v>-1</v>
      </c>
      <c r="T224" s="0" t="str">
        <f aca="false">INDEX(Calc!$G$2:$G$137,MATCH($W224,Calc!$A$2:$A$137,0))&amp;" / "&amp;INDEX(Calc!$H$2:$H$137,MATCH($W224,Calc!$A$2:$A$137,0))</f>
        <v>Ancient / Dust2</v>
      </c>
      <c r="U224" s="0" t="str">
        <f aca="false">TEXT(INDEX(Calc!$J$2:$J$137,MATCH($W224,Calc!$A$2:$A$137,0)),"0.0")&amp;" / "&amp;TEXT(INDEX(Calc!$K$2:$K$137,MATCH($W224,Calc!$A$2:$A$137,0)),"0.0")</f>
        <v>20.8 / 20.8</v>
      </c>
      <c r="V224" s="0" t="str">
        <f aca="false">IFERROR(INDEX(Calc!$AQ$2:$AQ$137,MATCH($W224,Calc!$A$2:$A$137,0)),"")</f>
        <v/>
      </c>
      <c r="W224" s="9" t="s">
        <v>1559</v>
      </c>
      <c r="X224" s="9" t="s">
        <v>1289</v>
      </c>
      <c r="Y224" s="0" t="str">
        <f aca="false">W224&amp;"|"&amp;X224</f>
        <v>z76txvqnu9utr9a|CS2 · TdP vs ALKA|H12</v>
      </c>
      <c r="Z224" s="11" t="n">
        <f aca="false">IFERROR(INDEX(CHOOSE(MATCH($X224,{"K1","K2","K3","K12","K13","H1","H2","H3","H12","H13"},0),Calc!$BA$2:$BA$137,Calc!$BB$2:$BB$137,Calc!$BC$2:$BC$137,Calc!$BD$2:$BD$137,Calc!$BE$2:$BE$137,Calc!$BF$2:$BF$137,Calc!$BG$2:$BG$137,Calc!$BH$2:$BH$137,Calc!$BI$2:$BI$137,Calc!$BJ$2:$BJ$137),MATCH($W224,Calc!$A$2:$A$137,0)),"")</f>
        <v>17.5091168797933</v>
      </c>
      <c r="AA224" s="11" t="n">
        <f aca="false">IF(Z224="","",IF(LEFT($X224,1)="H",SQRT(Z224*(IFERROR(INDEX(Calc!$AP$2:$AP$137,MATCH($W224,Calc!$A$2:$A$137,0)),0.5)*Config!$B$5+1-IFERROR(INDEX(Calc!$AP$2:$AP$137,MATCH($W224,Calc!$A$2:$A$137,0)),0.5))),SQRT(Z224*Config!$B$5)))</f>
        <v>4.65979171924972</v>
      </c>
      <c r="AB224" s="10" t="n">
        <f aca="false">IF(OR(F224="",Z224="",N(AA224)&lt;=0),"",1-NORMDIST(FLOOR(F224,1)+0.5,Z224,AA224,TRUE()))</f>
        <v>0.415801791433941</v>
      </c>
      <c r="AC224" s="10" t="n">
        <f aca="false">IF(AB224="","",NORMDIST(CEILING(F224,1)-0.5,Z224,AA224,TRUE()))</f>
        <v>0.499219470157979</v>
      </c>
      <c r="AD224" s="0" t="str">
        <f aca="false">IF(AB224="","",IF(AB224&gt;=0.5+Config!$B$6,"OVER",IF(AC224&gt;=0.5+Config!$B$6,"UNDER","—")))</f>
        <v>—</v>
      </c>
      <c r="AE224" s="13" t="n">
        <f aca="false">IFERROR(Z224/G224,"")</f>
        <v>1.02304278853386</v>
      </c>
    </row>
    <row r="225" customFormat="false" ht="15" hidden="false" customHeight="false" outlineLevel="0" collapsed="false">
      <c r="A225" s="0" t="s">
        <v>1139</v>
      </c>
      <c r="B225" s="0" t="s">
        <v>1239</v>
      </c>
      <c r="C225" s="0" t="s">
        <v>1558</v>
      </c>
      <c r="D225" s="0" t="s">
        <v>1244</v>
      </c>
      <c r="E225" s="0" t="s">
        <v>1290</v>
      </c>
      <c r="F225" s="0" t="n">
        <v>30.5</v>
      </c>
      <c r="G225" s="11" t="n">
        <f aca="false">IFERROR(INDEX(CHOOSE(MATCH($X225,{"K1","K2","K3","K12","K13","H1","H2","H3","H12","H13"},0),Calc!$V$2:$V$137,Calc!$AC$2:$AC$137,Calc!$AJ$2:$AJ$137,Calc!$AL$2:$AL$137,Calc!$AM$2:$AM$137,Calc!$W$2:$W$137,Calc!$AD$2:$AD$137,Calc!$AK$2:$AK$137,Calc!$AN$2:$AN$137,Calc!$AO$2:$AO$137),MATCH($W225,Calc!$A$2:$A$137,0)),"")</f>
        <v>28.5086060606061</v>
      </c>
      <c r="H225" s="11" t="n">
        <f aca="false">IF(G225="","",IF(LEFT($X225,1)="H",SQRT(G225*(IFERROR(INDEX(Calc!$AP$2:$AP$137,MATCH($W225,Calc!$A$2:$A$137,0)),0.5)*Config!$B$5+1-IFERROR(INDEX(Calc!$AP$2:$AP$137,MATCH($W225,Calc!$A$2:$A$137,0)),0.5))),SQRT(G225*Config!$B$5)))</f>
        <v>6.31759831619964</v>
      </c>
      <c r="I225" s="10" t="n">
        <f aca="false">IF(OR(F225="",G225="",N(H225)&lt;=0),"",1-NORMDIST(FLOOR(F225,1)+0.5,G225,H225,TRUE()))</f>
        <v>0.376299678175814</v>
      </c>
      <c r="J225" s="10" t="n">
        <f aca="false">IF(I225="","",NORMDIST(CEILING(F225,1)-0.5,G225,H225,TRUE()))</f>
        <v>0.623700321824186</v>
      </c>
      <c r="K225" s="10" t="n">
        <f aca="false">IF(I225="","",MAX(0,1-I225-J225))</f>
        <v>0</v>
      </c>
      <c r="L225" s="0" t="str">
        <f aca="false">IF(I225="","",IF(I225&gt;=0.5+Config!$B$6,"OVER",IF(J225&gt;=0.5+Config!$B$6,"UNDER","—")))</f>
        <v>UNDER</v>
      </c>
      <c r="M225" s="0" t="n">
        <v>30.5</v>
      </c>
      <c r="N225" s="0" t="n">
        <v>30.2</v>
      </c>
      <c r="O225" s="10" t="n">
        <v>0.2</v>
      </c>
      <c r="P225" s="10" t="n">
        <v>0.3</v>
      </c>
      <c r="Q225" s="10" t="n">
        <v>0.33</v>
      </c>
      <c r="R225" s="9" t="s">
        <v>1389</v>
      </c>
      <c r="S225" s="0" t="n">
        <v>-1</v>
      </c>
      <c r="T225" s="0" t="str">
        <f aca="false">INDEX(Calc!$G$2:$G$137,MATCH($W225,Calc!$A$2:$A$137,0))&amp;" / "&amp;INDEX(Calc!$H$2:$H$137,MATCH($W225,Calc!$A$2:$A$137,0))</f>
        <v>Ancient / Dust2</v>
      </c>
      <c r="U225" s="0" t="str">
        <f aca="false">TEXT(INDEX(Calc!$J$2:$J$137,MATCH($W225,Calc!$A$2:$A$137,0)),"0.0")&amp;" / "&amp;TEXT(INDEX(Calc!$K$2:$K$137,MATCH($W225,Calc!$A$2:$A$137,0)),"0.0")</f>
        <v>20.8 / 20.8</v>
      </c>
      <c r="V225" s="0" t="str">
        <f aca="false">IFERROR(INDEX(Calc!$AQ$2:$AQ$137,MATCH($W225,Calc!$A$2:$A$137,0)),"")</f>
        <v/>
      </c>
      <c r="W225" s="9" t="s">
        <v>1559</v>
      </c>
      <c r="X225" s="9" t="s">
        <v>1291</v>
      </c>
      <c r="Y225" s="0" t="str">
        <f aca="false">W225&amp;"|"&amp;X225</f>
        <v>z76txvqnu9utr9a|CS2 · TdP vs ALKA|K12</v>
      </c>
      <c r="Z225" s="11" t="n">
        <f aca="false">IFERROR(INDEX(CHOOSE(MATCH($X225,{"K1","K2","K3","K12","K13","H1","H2","H3","H12","H13"},0),Calc!$BA$2:$BA$137,Calc!$BB$2:$BB$137,Calc!$BC$2:$BC$137,Calc!$BD$2:$BD$137,Calc!$BE$2:$BE$137,Calc!$BF$2:$BF$137,Calc!$BG$2:$BG$137,Calc!$BH$2:$BH$137,Calc!$BI$2:$BI$137,Calc!$BJ$2:$BJ$137),MATCH($W225,Calc!$A$2:$A$137,0)),"")</f>
        <v>29.1670546385341</v>
      </c>
      <c r="AA225" s="11" t="n">
        <f aca="false">IF(Z225="","",IF(LEFT($X225,1)="H",SQRT(Z225*(IFERROR(INDEX(Calc!$AP$2:$AP$137,MATCH($W225,Calc!$A$2:$A$137,0)),0.5)*Config!$B$5+1-IFERROR(INDEX(Calc!$AP$2:$AP$137,MATCH($W225,Calc!$A$2:$A$137,0)),0.5))),SQRT(Z225*Config!$B$5)))</f>
        <v>6.3901390042743</v>
      </c>
      <c r="AB225" s="10" t="n">
        <f aca="false">IF(OR(F225="",Z225="",N(AA225)&lt;=0),"",1-NORMDIST(FLOOR(F225,1)+0.5,Z225,AA225,TRUE()))</f>
        <v>0.417382554298033</v>
      </c>
      <c r="AC225" s="10" t="n">
        <f aca="false">IF(AB225="","",NORMDIST(CEILING(F225,1)-0.5,Z225,AA225,TRUE()))</f>
        <v>0.582617445701967</v>
      </c>
      <c r="AD225" s="0" t="str">
        <f aca="false">IF(AB225="","",IF(AB225&gt;=0.5+Config!$B$6,"OVER",IF(AC225&gt;=0.5+Config!$B$6,"UNDER","—")))</f>
        <v>UNDER</v>
      </c>
      <c r="AE225" s="13" t="n">
        <f aca="false">IFERROR(Z225/G225,"")</f>
        <v>1.02309648449764</v>
      </c>
    </row>
    <row r="226" customFormat="false" ht="15" hidden="false" customHeight="false" outlineLevel="0" collapsed="false">
      <c r="A226" s="0" t="s">
        <v>1139</v>
      </c>
      <c r="B226" s="0" t="s">
        <v>1239</v>
      </c>
      <c r="C226" s="0" t="s">
        <v>1560</v>
      </c>
      <c r="D226" s="0" t="s">
        <v>1244</v>
      </c>
      <c r="E226" s="0" t="s">
        <v>1286</v>
      </c>
      <c r="F226" s="0" t="n">
        <v>14.5</v>
      </c>
      <c r="G226" s="11" t="n">
        <f aca="false">IFERROR(INDEX(CHOOSE(MATCH($X226,{"K1","K2","K3","K12","K13","H1","H2","H3","H12","H13"},0),Calc!$V$2:$V$137,Calc!$AC$2:$AC$137,Calc!$AJ$2:$AJ$137,Calc!$AL$2:$AL$137,Calc!$AM$2:$AM$137,Calc!$W$2:$W$137,Calc!$AD$2:$AD$137,Calc!$AK$2:$AK$137,Calc!$AN$2:$AN$137,Calc!$AO$2:$AO$137),MATCH($W226,Calc!$A$2:$A$137,0)),"")</f>
        <v>13.8669227817896</v>
      </c>
      <c r="H226" s="11" t="n">
        <f aca="false">IF(G226="","",IF(LEFT($X226,1)="H",SQRT(G226*(IFERROR(INDEX(Calc!$AP$2:$AP$137,MATCH($W226,Calc!$A$2:$A$137,0)),0.5)*Config!$B$5+1-IFERROR(INDEX(Calc!$AP$2:$AP$137,MATCH($W226,Calc!$A$2:$A$137,0)),0.5))),SQRT(G226*Config!$B$5)))</f>
        <v>4.10067477201599</v>
      </c>
      <c r="I226" s="10" t="n">
        <f aca="false">IF(OR(F226="",G226="",N(H226)&lt;=0),"",1-NORMDIST(FLOOR(F226,1)+0.5,G226,H226,TRUE()))</f>
        <v>0.438653614619637</v>
      </c>
      <c r="J226" s="10" t="n">
        <f aca="false">IF(I226="","",NORMDIST(CEILING(F226,1)-0.5,G226,H226,TRUE()))</f>
        <v>0.561346385380363</v>
      </c>
      <c r="K226" s="10" t="n">
        <f aca="false">IF(I226="","",MAX(0,1-I226-J226))</f>
        <v>0</v>
      </c>
      <c r="L226" s="0" t="str">
        <f aca="false">IF(I226="","",IF(I226&gt;=0.5+Config!$B$6,"OVER",IF(J226&gt;=0.5+Config!$B$6,"UNDER","—")))</f>
        <v>UNDER</v>
      </c>
      <c r="N226" s="0" t="n">
        <v>15</v>
      </c>
      <c r="O226" s="10" t="n">
        <v>0.8</v>
      </c>
      <c r="P226" s="10" t="n">
        <v>0.5</v>
      </c>
      <c r="Q226" s="10" t="n">
        <v>0.47</v>
      </c>
      <c r="R226" s="9" t="s">
        <v>1317</v>
      </c>
      <c r="S226" s="0" t="n">
        <v>3</v>
      </c>
      <c r="T226" s="0" t="str">
        <f aca="false">INDEX(Calc!$G$2:$G$137,MATCH($W226,Calc!$A$2:$A$137,0))&amp;" / "&amp;INDEX(Calc!$H$2:$H$137,MATCH($W226,Calc!$A$2:$A$137,0))</f>
        <v>Ancient / Dust2</v>
      </c>
      <c r="U226" s="0" t="str">
        <f aca="false">TEXT(INDEX(Calc!$J$2:$J$137,MATCH($W226,Calc!$A$2:$A$137,0)),"0.0")&amp;" / "&amp;TEXT(INDEX(Calc!$K$2:$K$137,MATCH($W226,Calc!$A$2:$A$137,0)),"0.0")</f>
        <v>20.8 / 20.8</v>
      </c>
      <c r="V226" s="0" t="str">
        <f aca="false">IFERROR(INDEX(Calc!$AQ$2:$AQ$137,MATCH($W226,Calc!$A$2:$A$137,0)),"")</f>
        <v/>
      </c>
      <c r="W226" s="9" t="s">
        <v>1561</v>
      </c>
      <c r="X226" s="9" t="s">
        <v>1289</v>
      </c>
      <c r="Y226" s="0" t="str">
        <f aca="false">W226&amp;"|"&amp;X226</f>
        <v>9w6j2f9myaeeuie|CS2 · TdP vs ALKA|H12</v>
      </c>
      <c r="Z226" s="11" t="n">
        <f aca="false">IFERROR(INDEX(CHOOSE(MATCH($X226,{"K1","K2","K3","K12","K13","H1","H2","H3","H12","H13"},0),Calc!$BA$2:$BA$137,Calc!$BB$2:$BB$137,Calc!$BC$2:$BC$137,Calc!$BD$2:$BD$137,Calc!$BE$2:$BE$137,Calc!$BF$2:$BF$137,Calc!$BG$2:$BG$137,Calc!$BH$2:$BH$137,Calc!$BI$2:$BI$137,Calc!$BJ$2:$BJ$137),MATCH($W226,Calc!$A$2:$A$137,0)),"")</f>
        <v>14.1903825772273</v>
      </c>
      <c r="AA226" s="11" t="n">
        <f aca="false">IF(Z226="","",IF(LEFT($X226,1)="H",SQRT(Z226*(IFERROR(INDEX(Calc!$AP$2:$AP$137,MATCH($W226,Calc!$A$2:$A$137,0)),0.5)*Config!$B$5+1-IFERROR(INDEX(Calc!$AP$2:$AP$137,MATCH($W226,Calc!$A$2:$A$137,0)),0.5))),SQRT(Z226*Config!$B$5)))</f>
        <v>4.14822524307133</v>
      </c>
      <c r="AB226" s="10" t="n">
        <f aca="false">IF(OR(F226="",Z226="",N(AA226)&lt;=0),"",1-NORMDIST(FLOOR(F226,1)+0.5,Z226,AA226,TRUE()))</f>
        <v>0.470251159651591</v>
      </c>
      <c r="AC226" s="10" t="n">
        <f aca="false">IF(AB226="","",NORMDIST(CEILING(F226,1)-0.5,Z226,AA226,TRUE()))</f>
        <v>0.529748840348409</v>
      </c>
      <c r="AD226" s="0" t="str">
        <f aca="false">IF(AB226="","",IF(AB226&gt;=0.5+Config!$B$6,"OVER",IF(AC226&gt;=0.5+Config!$B$6,"UNDER","—")))</f>
        <v>—</v>
      </c>
      <c r="AE226" s="13" t="n">
        <f aca="false">IFERROR(Z226/G226,"")</f>
        <v>1.02332599672816</v>
      </c>
    </row>
    <row r="227" customFormat="false" ht="15" hidden="false" customHeight="false" outlineLevel="0" collapsed="false">
      <c r="A227" s="0" t="s">
        <v>1139</v>
      </c>
      <c r="B227" s="0" t="s">
        <v>1239</v>
      </c>
      <c r="C227" s="0" t="s">
        <v>1560</v>
      </c>
      <c r="D227" s="0" t="s">
        <v>1244</v>
      </c>
      <c r="E227" s="0" t="s">
        <v>1290</v>
      </c>
      <c r="F227" s="0" t="n">
        <v>28.5</v>
      </c>
      <c r="G227" s="11" t="n">
        <f aca="false">IFERROR(INDEX(CHOOSE(MATCH($X227,{"K1","K2","K3","K12","K13","H1","H2","H3","H12","H13"},0),Calc!$V$2:$V$137,Calc!$AC$2:$AC$137,Calc!$AJ$2:$AJ$137,Calc!$AL$2:$AL$137,Calc!$AM$2:$AM$137,Calc!$W$2:$W$137,Calc!$AD$2:$AD$137,Calc!$AK$2:$AK$137,Calc!$AN$2:$AN$137,Calc!$AO$2:$AO$137),MATCH($W227,Calc!$A$2:$A$137,0)),"")</f>
        <v>26.0857142857143</v>
      </c>
      <c r="H227" s="11" t="n">
        <f aca="false">IF(G227="","",IF(LEFT($X227,1)="H",SQRT(G227*(IFERROR(INDEX(Calc!$AP$2:$AP$137,MATCH($W227,Calc!$A$2:$A$137,0)),0.5)*Config!$B$5+1-IFERROR(INDEX(Calc!$AP$2:$AP$137,MATCH($W227,Calc!$A$2:$A$137,0)),0.5))),SQRT(G227*Config!$B$5)))</f>
        <v>6.04317797189525</v>
      </c>
      <c r="I227" s="10" t="n">
        <f aca="false">IF(OR(F227="",G227="",N(H227)&lt;=0),"",1-NORMDIST(FLOOR(F227,1)+0.5,G227,H227,TRUE()))</f>
        <v>0.344760210617854</v>
      </c>
      <c r="J227" s="10" t="n">
        <f aca="false">IF(I227="","",NORMDIST(CEILING(F227,1)-0.5,G227,H227,TRUE()))</f>
        <v>0.655239789382146</v>
      </c>
      <c r="K227" s="10" t="n">
        <f aca="false">IF(I227="","",MAX(0,1-I227-J227))</f>
        <v>0</v>
      </c>
      <c r="L227" s="0" t="str">
        <f aca="false">IF(I227="","",IF(I227&gt;=0.5+Config!$B$6,"OVER",IF(J227&gt;=0.5+Config!$B$6,"UNDER","—")))</f>
        <v>UNDER</v>
      </c>
      <c r="M227" s="0" t="n">
        <v>27.43</v>
      </c>
      <c r="N227" s="0" t="n">
        <v>28.2</v>
      </c>
      <c r="O227" s="10" t="n">
        <v>0.6</v>
      </c>
      <c r="P227" s="10" t="n">
        <v>0.4</v>
      </c>
      <c r="Q227" s="10" t="n">
        <v>0.47</v>
      </c>
      <c r="R227" s="9" t="s">
        <v>1317</v>
      </c>
      <c r="S227" s="0" t="n">
        <v>-1</v>
      </c>
      <c r="T227" s="0" t="str">
        <f aca="false">INDEX(Calc!$G$2:$G$137,MATCH($W227,Calc!$A$2:$A$137,0))&amp;" / "&amp;INDEX(Calc!$H$2:$H$137,MATCH($W227,Calc!$A$2:$A$137,0))</f>
        <v>Ancient / Dust2</v>
      </c>
      <c r="U227" s="0" t="str">
        <f aca="false">TEXT(INDEX(Calc!$J$2:$J$137,MATCH($W227,Calc!$A$2:$A$137,0)),"0.0")&amp;" / "&amp;TEXT(INDEX(Calc!$K$2:$K$137,MATCH($W227,Calc!$A$2:$A$137,0)),"0.0")</f>
        <v>20.8 / 20.8</v>
      </c>
      <c r="V227" s="0" t="str">
        <f aca="false">IFERROR(INDEX(Calc!$AQ$2:$AQ$137,MATCH($W227,Calc!$A$2:$A$137,0)),"")</f>
        <v/>
      </c>
      <c r="W227" s="9" t="s">
        <v>1561</v>
      </c>
      <c r="X227" s="9" t="s">
        <v>1291</v>
      </c>
      <c r="Y227" s="0" t="str">
        <f aca="false">W227&amp;"|"&amp;X227</f>
        <v>9w6j2f9myaeeuie|CS2 · TdP vs ALKA|K12</v>
      </c>
      <c r="Z227" s="11" t="n">
        <f aca="false">IFERROR(INDEX(CHOOSE(MATCH($X227,{"K1","K2","K3","K12","K13","H1","H2","H3","H12","H13"},0),Calc!$BA$2:$BA$137,Calc!$BB$2:$BB$137,Calc!$BC$2:$BC$137,Calc!$BD$2:$BD$137,Calc!$BE$2:$BE$137,Calc!$BF$2:$BF$137,Calc!$BG$2:$BG$137,Calc!$BH$2:$BH$137,Calc!$BI$2:$BI$137,Calc!$BJ$2:$BJ$137),MATCH($W227,Calc!$A$2:$A$137,0)),"")</f>
        <v>26.6927835782641</v>
      </c>
      <c r="AA227" s="11" t="n">
        <f aca="false">IF(Z227="","",IF(LEFT($X227,1)="H",SQRT(Z227*(IFERROR(INDEX(Calc!$AP$2:$AP$137,MATCH($W227,Calc!$A$2:$A$137,0)),0.5)*Config!$B$5+1-IFERROR(INDEX(Calc!$AP$2:$AP$137,MATCH($W227,Calc!$A$2:$A$137,0)),0.5))),SQRT(Z227*Config!$B$5)))</f>
        <v>6.1130922624781</v>
      </c>
      <c r="AB227" s="10" t="n">
        <f aca="false">IF(OR(F227="",Z227="",N(AA227)&lt;=0),"",1-NORMDIST(FLOOR(F227,1)+0.5,Z227,AA227,TRUE()))</f>
        <v>0.383756145558702</v>
      </c>
      <c r="AC227" s="10" t="n">
        <f aca="false">IF(AB227="","",NORMDIST(CEILING(F227,1)-0.5,Z227,AA227,TRUE()))</f>
        <v>0.616243854441298</v>
      </c>
      <c r="AD227" s="0" t="str">
        <f aca="false">IF(AB227="","",IF(AB227&gt;=0.5+Config!$B$6,"OVER",IF(AC227&gt;=0.5+Config!$B$6,"UNDER","—")))</f>
        <v>UNDER</v>
      </c>
      <c r="AE227" s="13" t="n">
        <f aca="false">IFERROR(Z227/G227,"")</f>
        <v>1.02327209774287</v>
      </c>
    </row>
    <row r="228" customFormat="false" ht="15" hidden="false" customHeight="false" outlineLevel="0" collapsed="false">
      <c r="A228" s="0" t="s">
        <v>1139</v>
      </c>
      <c r="B228" s="0" t="s">
        <v>1239</v>
      </c>
      <c r="C228" s="0" t="s">
        <v>1562</v>
      </c>
      <c r="D228" s="0" t="s">
        <v>1244</v>
      </c>
      <c r="E228" s="0" t="s">
        <v>1286</v>
      </c>
      <c r="F228" s="0" t="n">
        <v>16.5</v>
      </c>
      <c r="G228" s="11" t="n">
        <f aca="false">IFERROR(INDEX(CHOOSE(MATCH($X228,{"K1","K2","K3","K12","K13","H1","H2","H3","H12","H13"},0),Calc!$V$2:$V$137,Calc!$AC$2:$AC$137,Calc!$AJ$2:$AJ$137,Calc!$AL$2:$AL$137,Calc!$AM$2:$AM$137,Calc!$W$2:$W$137,Calc!$AD$2:$AD$137,Calc!$AK$2:$AK$137,Calc!$AN$2:$AN$137,Calc!$AO$2:$AO$137),MATCH($W228,Calc!$A$2:$A$137,0)),"")</f>
        <v>16.8785035682073</v>
      </c>
      <c r="H228" s="11" t="n">
        <f aca="false">IF(G228="","",IF(LEFT($X228,1)="H",SQRT(G228*(IFERROR(INDEX(Calc!$AP$2:$AP$137,MATCH($W228,Calc!$A$2:$A$137,0)),0.5)*Config!$B$5+1-IFERROR(INDEX(Calc!$AP$2:$AP$137,MATCH($W228,Calc!$A$2:$A$137,0)),0.5))),SQRT(G228*Config!$B$5)))</f>
        <v>4.56722348017661</v>
      </c>
      <c r="I228" s="10" t="n">
        <f aca="false">IF(OR(F228="",G228="",N(H228)&lt;=0),"",1-NORMDIST(FLOOR(F228,1)+0.5,G228,H228,TRUE()))</f>
        <v>0.533024091611357</v>
      </c>
      <c r="J228" s="10" t="n">
        <f aca="false">IF(I228="","",NORMDIST(CEILING(F228,1)-0.5,G228,H228,TRUE()))</f>
        <v>0.466975908388643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—</v>
      </c>
      <c r="N228" s="0" t="n">
        <v>17.2</v>
      </c>
      <c r="O228" s="10" t="n">
        <v>0.4</v>
      </c>
      <c r="P228" s="10" t="n">
        <v>0.5</v>
      </c>
      <c r="Q228" s="10" t="n">
        <v>0.6</v>
      </c>
      <c r="R228" s="9" t="s">
        <v>1359</v>
      </c>
      <c r="S228" s="0" t="n">
        <v>-1</v>
      </c>
      <c r="T228" s="0" t="str">
        <f aca="false">INDEX(Calc!$G$2:$G$137,MATCH($W228,Calc!$A$2:$A$137,0))&amp;" / "&amp;INDEX(Calc!$H$2:$H$137,MATCH($W228,Calc!$A$2:$A$137,0))</f>
        <v>Ancient / Dust2</v>
      </c>
      <c r="U228" s="0" t="str">
        <f aca="false">TEXT(INDEX(Calc!$J$2:$J$137,MATCH($W228,Calc!$A$2:$A$137,0)),"0.0")&amp;" / "&amp;TEXT(INDEX(Calc!$K$2:$K$137,MATCH($W228,Calc!$A$2:$A$137,0)),"0.0")</f>
        <v>20.8 / 20.8</v>
      </c>
      <c r="V228" s="0" t="str">
        <f aca="false">IFERROR(INDEX(Calc!$AQ$2:$AQ$137,MATCH($W228,Calc!$A$2:$A$137,0)),"")</f>
        <v/>
      </c>
      <c r="W228" s="9" t="s">
        <v>1563</v>
      </c>
      <c r="X228" s="9" t="s">
        <v>1289</v>
      </c>
      <c r="Y228" s="0" t="str">
        <f aca="false">W228&amp;"|"&amp;X228</f>
        <v>qsyrug527ihd0m5|CS2 · TdP vs ALKA|H12</v>
      </c>
      <c r="Z228" s="11" t="n">
        <f aca="false">IFERROR(INDEX(CHOOSE(MATCH($X228,{"K1","K2","K3","K12","K13","H1","H2","H3","H12","H13"},0),Calc!$BA$2:$BA$137,Calc!$BB$2:$BB$137,Calc!$BC$2:$BC$137,Calc!$BD$2:$BD$137,Calc!$BE$2:$BE$137,Calc!$BF$2:$BF$137,Calc!$BG$2:$BG$137,Calc!$BH$2:$BH$137,Calc!$BI$2:$BI$137,Calc!$BJ$2:$BJ$137),MATCH($W228,Calc!$A$2:$A$137,0)),"")</f>
        <v>17.2712066564991</v>
      </c>
      <c r="AA228" s="11" t="n">
        <f aca="false">IF(Z228="","",IF(LEFT($X228,1)="H",SQRT(Z228*(IFERROR(INDEX(Calc!$AP$2:$AP$137,MATCH($W228,Calc!$A$2:$A$137,0)),0.5)*Config!$B$5+1-IFERROR(INDEX(Calc!$AP$2:$AP$137,MATCH($W228,Calc!$A$2:$A$137,0)),0.5))),SQRT(Z228*Config!$B$5)))</f>
        <v>4.62004954735212</v>
      </c>
      <c r="AB228" s="10" t="n">
        <f aca="false">IF(OR(F228="",Z228="",N(AA228)&lt;=0),"",1-NORMDIST(FLOOR(F228,1)+0.5,Z228,AA228,TRUE()))</f>
        <v>0.566285885068552</v>
      </c>
      <c r="AC228" s="10" t="n">
        <f aca="false">IF(AB228="","",NORMDIST(CEILING(F228,1)-0.5,Z228,AA228,TRUE()))</f>
        <v>0.433714114931448</v>
      </c>
      <c r="AD228" s="0" t="str">
        <f aca="false">IF(AB228="","",IF(AB228&gt;=0.5+Config!$B$6,"OVER",IF(AC228&gt;=0.5+Config!$B$6,"UNDER","—")))</f>
        <v>OVER</v>
      </c>
      <c r="AE228" s="13" t="n">
        <f aca="false">IFERROR(Z228/G228,"")</f>
        <v>1.02326646356443</v>
      </c>
    </row>
    <row r="229" customFormat="false" ht="15" hidden="false" customHeight="false" outlineLevel="0" collapsed="false">
      <c r="A229" s="0" t="s">
        <v>1139</v>
      </c>
      <c r="B229" s="0" t="s">
        <v>1239</v>
      </c>
      <c r="C229" s="0" t="s">
        <v>1562</v>
      </c>
      <c r="D229" s="0" t="s">
        <v>1244</v>
      </c>
      <c r="E229" s="0" t="s">
        <v>1290</v>
      </c>
      <c r="F229" s="0" t="n">
        <v>30.5</v>
      </c>
      <c r="G229" s="11" t="n">
        <f aca="false">IFERROR(INDEX(CHOOSE(MATCH($X229,{"K1","K2","K3","K12","K13","H1","H2","H3","H12","H13"},0),Calc!$V$2:$V$137,Calc!$AC$2:$AC$137,Calc!$AJ$2:$AJ$137,Calc!$AL$2:$AL$137,Calc!$AM$2:$AM$137,Calc!$W$2:$W$137,Calc!$AD$2:$AD$137,Calc!$AK$2:$AK$137,Calc!$AN$2:$AN$137,Calc!$AO$2:$AO$137),MATCH($W229,Calc!$A$2:$A$137,0)),"")</f>
        <v>28.6241616161616</v>
      </c>
      <c r="H229" s="11" t="n">
        <f aca="false">IF(G229="","",IF(LEFT($X229,1)="H",SQRT(G229*(IFERROR(INDEX(Calc!$AP$2:$AP$137,MATCH($W229,Calc!$A$2:$A$137,0)),0.5)*Config!$B$5+1-IFERROR(INDEX(Calc!$AP$2:$AP$137,MATCH($W229,Calc!$A$2:$A$137,0)),0.5))),SQRT(G229*Config!$B$5)))</f>
        <v>6.33038910831129</v>
      </c>
      <c r="I229" s="10" t="n">
        <f aca="false">IF(OR(F229="",G229="",N(H229)&lt;=0),"",1-NORMDIST(FLOOR(F229,1)+0.5,G229,H229,TRUE()))</f>
        <v>0.383491802350154</v>
      </c>
      <c r="J229" s="10" t="n">
        <f aca="false">IF(I229="","",NORMDIST(CEILING(F229,1)-0.5,G229,H229,TRUE()))</f>
        <v>0.616508197649846</v>
      </c>
      <c r="K229" s="10" t="n">
        <f aca="false">IF(I229="","",MAX(0,1-I229-J229))</f>
        <v>0</v>
      </c>
      <c r="L229" s="0" t="str">
        <f aca="false">IF(I229="","",IF(I229&gt;=0.5+Config!$B$6,"OVER",IF(J229&gt;=0.5+Config!$B$6,"UNDER","—")))</f>
        <v>UNDER</v>
      </c>
      <c r="M229" s="0" t="n">
        <v>29.63</v>
      </c>
      <c r="N229" s="0" t="n">
        <v>31.4</v>
      </c>
      <c r="O229" s="10" t="n">
        <v>0.4</v>
      </c>
      <c r="P229" s="10" t="n">
        <v>0.4</v>
      </c>
      <c r="Q229" s="10" t="n">
        <v>0.4</v>
      </c>
      <c r="R229" s="9" t="s">
        <v>1357</v>
      </c>
      <c r="S229" s="0" t="n">
        <v>-1</v>
      </c>
      <c r="T229" s="0" t="str">
        <f aca="false">INDEX(Calc!$G$2:$G$137,MATCH($W229,Calc!$A$2:$A$137,0))&amp;" / "&amp;INDEX(Calc!$H$2:$H$137,MATCH($W229,Calc!$A$2:$A$137,0))</f>
        <v>Ancient / Dust2</v>
      </c>
      <c r="U229" s="0" t="str">
        <f aca="false">TEXT(INDEX(Calc!$J$2:$J$137,MATCH($W229,Calc!$A$2:$A$137,0)),"0.0")&amp;" / "&amp;TEXT(INDEX(Calc!$K$2:$K$137,MATCH($W229,Calc!$A$2:$A$137,0)),"0.0")</f>
        <v>20.8 / 20.8</v>
      </c>
      <c r="V229" s="0" t="str">
        <f aca="false">IFERROR(INDEX(Calc!$AQ$2:$AQ$137,MATCH($W229,Calc!$A$2:$A$137,0)),"")</f>
        <v/>
      </c>
      <c r="W229" s="9" t="s">
        <v>1563</v>
      </c>
      <c r="X229" s="9" t="s">
        <v>1291</v>
      </c>
      <c r="Y229" s="0" t="str">
        <f aca="false">W229&amp;"|"&amp;X229</f>
        <v>qsyrug527ihd0m5|CS2 · TdP vs ALKA|K12</v>
      </c>
      <c r="Z229" s="11" t="n">
        <f aca="false">IFERROR(INDEX(CHOOSE(MATCH($X229,{"K1","K2","K3","K12","K13","H1","H2","H3","H12","H13"},0),Calc!$BA$2:$BA$137,Calc!$BB$2:$BB$137,Calc!$BC$2:$BC$137,Calc!$BD$2:$BD$137,Calc!$BE$2:$BE$137,Calc!$BF$2:$BF$137,Calc!$BG$2:$BG$137,Calc!$BH$2:$BH$137,Calc!$BI$2:$BI$137,Calc!$BJ$2:$BJ$137),MATCH($W229,Calc!$A$2:$A$137,0)),"")</f>
        <v>29.2866079090665</v>
      </c>
      <c r="AA229" s="11" t="n">
        <f aca="false">IF(Z229="","",IF(LEFT($X229,1)="H",SQRT(Z229*(IFERROR(INDEX(Calc!$AP$2:$AP$137,MATCH($W229,Calc!$A$2:$A$137,0)),0.5)*Config!$B$5+1-IFERROR(INDEX(Calc!$AP$2:$AP$137,MATCH($W229,Calc!$A$2:$A$137,0)),0.5))),SQRT(Z229*Config!$B$5)))</f>
        <v>6.40322192905206</v>
      </c>
      <c r="AB229" s="10" t="n">
        <f aca="false">IF(OR(F229="",Z229="",N(AA229)&lt;=0),"",1-NORMDIST(FLOOR(F229,1)+0.5,Z229,AA229,TRUE()))</f>
        <v>0.424851607485338</v>
      </c>
      <c r="AC229" s="10" t="n">
        <f aca="false">IF(AB229="","",NORMDIST(CEILING(F229,1)-0.5,Z229,AA229,TRUE()))</f>
        <v>0.575148392514662</v>
      </c>
      <c r="AD229" s="0" t="str">
        <f aca="false">IF(AB229="","",IF(AB229&gt;=0.5+Config!$B$6,"OVER",IF(AC229&gt;=0.5+Config!$B$6,"UNDER","—")))</f>
        <v>UNDER</v>
      </c>
      <c r="AE229" s="13" t="n">
        <f aca="false">IFERROR(Z229/G229,"")</f>
        <v>1.02314290639454</v>
      </c>
    </row>
    <row r="230" customFormat="false" ht="15" hidden="false" customHeight="false" outlineLevel="0" collapsed="false">
      <c r="A230" s="0" t="s">
        <v>1139</v>
      </c>
      <c r="B230" s="0" t="s">
        <v>1239</v>
      </c>
      <c r="C230" s="0" t="s">
        <v>1564</v>
      </c>
      <c r="D230" s="0" t="s">
        <v>1244</v>
      </c>
      <c r="E230" s="0" t="s">
        <v>1286</v>
      </c>
      <c r="F230" s="0" t="n">
        <v>8.5</v>
      </c>
      <c r="G230" s="11" t="n">
        <f aca="false">IFERROR(INDEX(CHOOSE(MATCH($X230,{"K1","K2","K3","K12","K13","H1","H2","H3","H12","H13"},0),Calc!$V$2:$V$137,Calc!$AC$2:$AC$137,Calc!$AJ$2:$AJ$137,Calc!$AL$2:$AL$137,Calc!$AM$2:$AM$137,Calc!$W$2:$W$137,Calc!$AD$2:$AD$137,Calc!$AK$2:$AK$137,Calc!$AN$2:$AN$137,Calc!$AO$2:$AO$137),MATCH($W230,Calc!$A$2:$A$137,0)),"")</f>
        <v>8.54507739210285</v>
      </c>
      <c r="H230" s="11" t="n">
        <f aca="false">IF(G230="","",IF(LEFT($X230,1)="H",SQRT(G230*(IFERROR(INDEX(Calc!$AP$2:$AP$137,MATCH($W230,Calc!$A$2:$A$137,0)),0.5)*Config!$B$5+1-IFERROR(INDEX(Calc!$AP$2:$AP$137,MATCH($W230,Calc!$A$2:$A$137,0)),0.5))),SQRT(G230*Config!$B$5)))</f>
        <v>3.11221134237504</v>
      </c>
      <c r="I230" s="10" t="n">
        <f aca="false">IF(OR(F230="",G230="",N(H230)&lt;=0),"",1-NORMDIST(FLOOR(F230,1)+0.5,G230,H230,TRUE()))</f>
        <v>0.505778093729525</v>
      </c>
      <c r="J230" s="10" t="n">
        <f aca="false">IF(I230="","",NORMDIST(CEILING(F230,1)-0.5,G230,H230,TRUE()))</f>
        <v>0.494221906270475</v>
      </c>
      <c r="K230" s="10" t="n">
        <f aca="false">IF(I230="","",MAX(0,1-I230-J230))</f>
        <v>0</v>
      </c>
      <c r="L230" s="0" t="str">
        <f aca="false">IF(I230="","",IF(I230&gt;=0.5+Config!$B$6,"OVER",IF(J230&gt;=0.5+Config!$B$6,"UNDER","—")))</f>
        <v>—</v>
      </c>
      <c r="N230" s="0" t="n">
        <v>8.2</v>
      </c>
      <c r="O230" s="10" t="n">
        <v>0.6</v>
      </c>
      <c r="P230" s="10" t="n">
        <v>0.6</v>
      </c>
      <c r="Q230" s="10" t="n">
        <v>0.6</v>
      </c>
      <c r="R230" s="9" t="s">
        <v>1359</v>
      </c>
      <c r="S230" s="0" t="n">
        <v>-1</v>
      </c>
      <c r="T230" s="0" t="str">
        <f aca="false">INDEX(Calc!$G$2:$G$137,MATCH($W230,Calc!$A$2:$A$137,0))&amp;" / "&amp;INDEX(Calc!$H$2:$H$137,MATCH($W230,Calc!$A$2:$A$137,0))</f>
        <v>Ancient / Dust2</v>
      </c>
      <c r="U230" s="0" t="str">
        <f aca="false">TEXT(INDEX(Calc!$J$2:$J$137,MATCH($W230,Calc!$A$2:$A$137,0)),"0.0")&amp;" / "&amp;TEXT(INDEX(Calc!$K$2:$K$137,MATCH($W230,Calc!$A$2:$A$137,0)),"0.0")</f>
        <v>20.8 / 20.8</v>
      </c>
      <c r="V230" s="0" t="str">
        <f aca="false">IFERROR(INDEX(Calc!$AQ$2:$AQ$137,MATCH($W230,Calc!$A$2:$A$137,0)),"")</f>
        <v/>
      </c>
      <c r="W230" s="9" t="s">
        <v>1565</v>
      </c>
      <c r="X230" s="9" t="s">
        <v>1289</v>
      </c>
      <c r="Y230" s="0" t="str">
        <f aca="false">W230&amp;"|"&amp;X230</f>
        <v>46l8s320mbib9t5|CS2 · TdP vs ALKA|H12</v>
      </c>
      <c r="Z230" s="11" t="n">
        <f aca="false">IFERROR(INDEX(CHOOSE(MATCH($X230,{"K1","K2","K3","K12","K13","H1","H2","H3","H12","H13"},0),Calc!$BA$2:$BA$137,Calc!$BB$2:$BB$137,Calc!$BC$2:$BC$137,Calc!$BD$2:$BD$137,Calc!$BE$2:$BE$137,Calc!$BF$2:$BF$137,Calc!$BG$2:$BG$137,Calc!$BH$2:$BH$137,Calc!$BI$2:$BI$137,Calc!$BJ$2:$BJ$137),MATCH($W230,Calc!$A$2:$A$137,0)),"")</f>
        <v>8.74303283200907</v>
      </c>
      <c r="AA230" s="11" t="n">
        <f aca="false">IF(Z230="","",IF(LEFT($X230,1)="H",SQRT(Z230*(IFERROR(INDEX(Calc!$AP$2:$AP$137,MATCH($W230,Calc!$A$2:$A$137,0)),0.5)*Config!$B$5+1-IFERROR(INDEX(Calc!$AP$2:$AP$137,MATCH($W230,Calc!$A$2:$A$137,0)),0.5))),SQRT(Z230*Config!$B$5)))</f>
        <v>3.1480537257267</v>
      </c>
      <c r="AB230" s="10" t="n">
        <f aca="false">IF(OR(F230="",Z230="",N(AA230)&lt;=0),"",1-NORMDIST(FLOOR(F230,1)+0.5,Z230,AA230,TRUE()))</f>
        <v>0.530768168886273</v>
      </c>
      <c r="AC230" s="10" t="n">
        <f aca="false">IF(AB230="","",NORMDIST(CEILING(F230,1)-0.5,Z230,AA230,TRUE()))</f>
        <v>0.469231831113727</v>
      </c>
      <c r="AD230" s="0" t="str">
        <f aca="false">IF(AB230="","",IF(AB230&gt;=0.5+Config!$B$6,"OVER",IF(AC230&gt;=0.5+Config!$B$6,"UNDER","—")))</f>
        <v>—</v>
      </c>
      <c r="AE230" s="13" t="n">
        <f aca="false">IFERROR(Z230/G230,"")</f>
        <v>1.02316602071845</v>
      </c>
    </row>
    <row r="231" customFormat="false" ht="15" hidden="false" customHeight="false" outlineLevel="0" collapsed="false">
      <c r="A231" s="0" t="s">
        <v>1139</v>
      </c>
      <c r="B231" s="0" t="s">
        <v>1239</v>
      </c>
      <c r="C231" s="0" t="s">
        <v>1564</v>
      </c>
      <c r="D231" s="0" t="s">
        <v>1244</v>
      </c>
      <c r="E231" s="0" t="s">
        <v>1290</v>
      </c>
      <c r="F231" s="0" t="n">
        <v>27</v>
      </c>
      <c r="G231" s="11" t="n">
        <f aca="false">IFERROR(INDEX(CHOOSE(MATCH($X231,{"K1","K2","K3","K12","K13","H1","H2","H3","H12","H13"},0),Calc!$V$2:$V$137,Calc!$AC$2:$AC$137,Calc!$AJ$2:$AJ$137,Calc!$AL$2:$AL$137,Calc!$AM$2:$AM$137,Calc!$W$2:$W$137,Calc!$AD$2:$AD$137,Calc!$AK$2:$AK$137,Calc!$AN$2:$AN$137,Calc!$AO$2:$AO$137),MATCH($W231,Calc!$A$2:$A$137,0)),"")</f>
        <v>25.6029090909091</v>
      </c>
      <c r="H231" s="11" t="n">
        <f aca="false">IF(G231="","",IF(LEFT($X231,1)="H",SQRT(G231*(IFERROR(INDEX(Calc!$AP$2:$AP$137,MATCH($W231,Calc!$A$2:$A$137,0)),0.5)*Config!$B$5+1-IFERROR(INDEX(Calc!$AP$2:$AP$137,MATCH($W231,Calc!$A$2:$A$137,0)),0.5))),SQRT(G231*Config!$B$5)))</f>
        <v>5.98699195984701</v>
      </c>
      <c r="I231" s="10" t="n">
        <f aca="false">IF(OR(F231="",G231="",N(H231)&lt;=0),"",1-NORMDIST(FLOOR(F231,1)+0.5,G231,H231,TRUE()))</f>
        <v>0.375671581600333</v>
      </c>
      <c r="J231" s="10" t="n">
        <f aca="false">IF(I231="","",NORMDIST(CEILING(F231,1)-0.5,G231,H231,TRUE()))</f>
        <v>0.559554577149083</v>
      </c>
      <c r="K231" s="10" t="n">
        <f aca="false">IF(I231="","",MAX(0,1-I231-J231))</f>
        <v>0.0647738412505838</v>
      </c>
      <c r="L231" s="0" t="str">
        <f aca="false">IF(I231="","",IF(I231&gt;=0.5+Config!$B$6,"OVER",IF(J231&gt;=0.5+Config!$B$6,"UNDER","—")))</f>
        <v>UNDER</v>
      </c>
      <c r="M231" s="0" t="n">
        <v>27.43</v>
      </c>
      <c r="N231" s="0" t="n">
        <v>28.3</v>
      </c>
      <c r="O231" s="10" t="n">
        <v>0.2</v>
      </c>
      <c r="P231" s="10" t="n">
        <v>0.3</v>
      </c>
      <c r="Q231" s="10" t="n">
        <v>0.4</v>
      </c>
      <c r="R231" s="9" t="s">
        <v>1359</v>
      </c>
      <c r="S231" s="0" t="n">
        <v>-1</v>
      </c>
      <c r="T231" s="0" t="str">
        <f aca="false">INDEX(Calc!$G$2:$G$137,MATCH($W231,Calc!$A$2:$A$137,0))&amp;" / "&amp;INDEX(Calc!$H$2:$H$137,MATCH($W231,Calc!$A$2:$A$137,0))</f>
        <v>Ancient / Dust2</v>
      </c>
      <c r="U231" s="0" t="str">
        <f aca="false">TEXT(INDEX(Calc!$J$2:$J$137,MATCH($W231,Calc!$A$2:$A$137,0)),"0.0")&amp;" / "&amp;TEXT(INDEX(Calc!$K$2:$K$137,MATCH($W231,Calc!$A$2:$A$137,0)),"0.0")</f>
        <v>20.8 / 20.8</v>
      </c>
      <c r="V231" s="0" t="str">
        <f aca="false">IFERROR(INDEX(Calc!$AQ$2:$AQ$137,MATCH($W231,Calc!$A$2:$A$137,0)),"")</f>
        <v/>
      </c>
      <c r="W231" s="9" t="s">
        <v>1565</v>
      </c>
      <c r="X231" s="9" t="s">
        <v>1291</v>
      </c>
      <c r="Y231" s="0" t="str">
        <f aca="false">W231&amp;"|"&amp;X231</f>
        <v>46l8s320mbib9t5|CS2 · TdP vs ALKA|K12</v>
      </c>
      <c r="Z231" s="11" t="n">
        <f aca="false">IFERROR(INDEX(CHOOSE(MATCH($X231,{"K1","K2","K3","K12","K13","H1","H2","H3","H12","H13"},0),Calc!$BA$2:$BA$137,Calc!$BB$2:$BB$137,Calc!$BC$2:$BC$137,Calc!$BD$2:$BD$137,Calc!$BE$2:$BE$137,Calc!$BF$2:$BF$137,Calc!$BG$2:$BG$137,Calc!$BH$2:$BH$137,Calc!$BI$2:$BI$137,Calc!$BJ$2:$BJ$137),MATCH($W231,Calc!$A$2:$A$137,0)),"")</f>
        <v>26.1959771996346</v>
      </c>
      <c r="AA231" s="11" t="n">
        <f aca="false">IF(Z231="","",IF(LEFT($X231,1)="H",SQRT(Z231*(IFERROR(INDEX(Calc!$AP$2:$AP$137,MATCH($W231,Calc!$A$2:$A$137,0)),0.5)*Config!$B$5+1-IFERROR(INDEX(Calc!$AP$2:$AP$137,MATCH($W231,Calc!$A$2:$A$137,0)),0.5))),SQRT(Z231*Config!$B$5)))</f>
        <v>6.05593659804067</v>
      </c>
      <c r="AB231" s="10" t="n">
        <f aca="false">IF(OR(F231="",Z231="",N(AA231)&lt;=0),"",1-NORMDIST(FLOOR(F231,1)+0.5,Z231,AA231,TRUE()))</f>
        <v>0.414755151271665</v>
      </c>
      <c r="AC231" s="10" t="n">
        <f aca="false">IF(AB231="","",NORMDIST(CEILING(F231,1)-0.5,Z231,AA231,TRUE()))</f>
        <v>0.52001946685365</v>
      </c>
      <c r="AD231" s="0" t="str">
        <f aca="false">IF(AB231="","",IF(AB231&gt;=0.5+Config!$B$6,"OVER",IF(AC231&gt;=0.5+Config!$B$6,"UNDER","—")))</f>
        <v>—</v>
      </c>
      <c r="AE231" s="13" t="n">
        <f aca="false">IFERROR(Z231/G231,"")</f>
        <v>1.02316409071405</v>
      </c>
    </row>
    <row r="232" customFormat="false" ht="15" hidden="false" customHeight="false" outlineLevel="0" collapsed="false">
      <c r="A232" s="0" t="s">
        <v>1139</v>
      </c>
      <c r="B232" s="0" t="s">
        <v>1161</v>
      </c>
      <c r="C232" s="0" t="s">
        <v>1566</v>
      </c>
      <c r="D232" s="0" t="s">
        <v>1166</v>
      </c>
      <c r="E232" s="0" t="s">
        <v>1286</v>
      </c>
      <c r="F232" s="0" t="n">
        <v>11</v>
      </c>
      <c r="G232" s="11" t="n">
        <f aca="false">IFERROR(INDEX(CHOOSE(MATCH($X232,{"K1","K2","K3","K12","K13","H1","H2","H3","H12","H13"},0),Calc!$V$2:$V$137,Calc!$AC$2:$AC$137,Calc!$AJ$2:$AJ$137,Calc!$AL$2:$AL$137,Calc!$AM$2:$AM$137,Calc!$W$2:$W$137,Calc!$AD$2:$AD$137,Calc!$AK$2:$AK$137,Calc!$AN$2:$AN$137,Calc!$AO$2:$AO$137),MATCH($W232,Calc!$A$2:$A$137,0)),"")</f>
        <v>11.16775371875</v>
      </c>
      <c r="H232" s="11" t="n">
        <f aca="false">IF(G232="","",IF(LEFT($X232,1)="H",SQRT(G232*(IFERROR(INDEX(Calc!$AP$2:$AP$137,MATCH($W232,Calc!$A$2:$A$137,0)),0.5)*Config!$B$5+1-IFERROR(INDEX(Calc!$AP$2:$AP$137,MATCH($W232,Calc!$A$2:$A$137,0)),0.5))),SQRT(G232*Config!$B$5)))</f>
        <v>3.66394867005065</v>
      </c>
      <c r="I232" s="10" t="n">
        <f aca="false">IF(OR(F232="",G232="",N(H232)&lt;=0),"",1-NORMDIST(FLOOR(F232,1)+0.5,G232,H232,TRUE()))</f>
        <v>0.463873494760794</v>
      </c>
      <c r="J232" s="10" t="n">
        <f aca="false">IF(I232="","",NORMDIST(CEILING(F232,1)-0.5,G232,H232,TRUE()))</f>
        <v>0.427693367034498</v>
      </c>
      <c r="K232" s="10" t="n">
        <f aca="false">IF(I232="","",MAX(0,1-I232-J232))</f>
        <v>0.108433138204709</v>
      </c>
      <c r="L232" s="0" t="str">
        <f aca="false">IF(I232="","",IF(I232&gt;=0.5+Config!$B$6,"OVER",IF(J232&gt;=0.5+Config!$B$6,"UNDER","—")))</f>
        <v>—</v>
      </c>
      <c r="N232" s="0" t="n">
        <v>12.7</v>
      </c>
      <c r="O232" s="10" t="n">
        <v>0.4</v>
      </c>
      <c r="P232" s="10" t="n">
        <v>0.5</v>
      </c>
      <c r="Q232" s="10" t="n">
        <v>0.47</v>
      </c>
      <c r="R232" s="9" t="s">
        <v>1523</v>
      </c>
      <c r="S232" s="0" t="n">
        <v>-2</v>
      </c>
      <c r="T232" s="0" t="str">
        <f aca="false">INDEX(Calc!$G$2:$G$137,MATCH($W232,Calc!$A$2:$A$137,0))&amp;" / "&amp;INDEX(Calc!$H$2:$H$137,MATCH($W232,Calc!$A$2:$A$137,0))</f>
        <v>Dust2 / Mirage</v>
      </c>
      <c r="U232" s="0" t="str">
        <f aca="false">TEXT(INDEX(Calc!$J$2:$J$137,MATCH($W232,Calc!$A$2:$A$137,0)),"0.0")&amp;" / "&amp;TEXT(INDEX(Calc!$K$2:$K$137,MATCH($W232,Calc!$A$2:$A$137,0)),"0.0")</f>
        <v>21.4 / 21.1</v>
      </c>
      <c r="V232" s="0" t="str">
        <f aca="false">IFERROR(INDEX(Calc!$AQ$2:$AQ$137,MATCH($W232,Calc!$A$2:$A$137,0)),"")</f>
        <v/>
      </c>
      <c r="W232" s="9" t="s">
        <v>1567</v>
      </c>
      <c r="X232" s="9" t="s">
        <v>1289</v>
      </c>
      <c r="Y232" s="0" t="str">
        <f aca="false">W232&amp;"|"&amp;X232</f>
        <v>509x6s2e70l3hhg|CS2 · VIT vs NAVI|H12</v>
      </c>
      <c r="Z232" s="11" t="n">
        <f aca="false">IFERROR(INDEX(CHOOSE(MATCH($X232,{"K1","K2","K3","K12","K13","H1","H2","H3","H12","H13"},0),Calc!$BA$2:$BA$137,Calc!$BB$2:$BB$137,Calc!$BC$2:$BC$137,Calc!$BD$2:$BD$137,Calc!$BE$2:$BE$137,Calc!$BF$2:$BF$137,Calc!$BG$2:$BG$137,Calc!$BH$2:$BH$137,Calc!$BI$2:$BI$137,Calc!$BJ$2:$BJ$137),MATCH($W232,Calc!$A$2:$A$137,0)),"")</f>
        <v>10.8407508563097</v>
      </c>
      <c r="AA232" s="11" t="n">
        <f aca="false">IF(Z232="","",IF(LEFT($X232,1)="H",SQRT(Z232*(IFERROR(INDEX(Calc!$AP$2:$AP$137,MATCH($W232,Calc!$A$2:$A$137,0)),0.5)*Config!$B$5+1-IFERROR(INDEX(Calc!$AP$2:$AP$137,MATCH($W232,Calc!$A$2:$A$137,0)),0.5))),SQRT(Z232*Config!$B$5)))</f>
        <v>3.60990812239828</v>
      </c>
      <c r="AB232" s="10" t="n">
        <f aca="false">IF(OR(F232="",Z232="",N(AA232)&lt;=0),"",1-NORMDIST(FLOOR(F232,1)+0.5,Z232,AA232,TRUE()))</f>
        <v>0.427547255944583</v>
      </c>
      <c r="AC232" s="10" t="n">
        <f aca="false">IF(AB232="","",NORMDIST(CEILING(F232,1)-0.5,Z232,AA232,TRUE()))</f>
        <v>0.462398400187091</v>
      </c>
      <c r="AD232" s="0" t="str">
        <f aca="false">IF(AB232="","",IF(AB232&gt;=0.5+Config!$B$6,"OVER",IF(AC232&gt;=0.5+Config!$B$6,"UNDER","—")))</f>
        <v>—</v>
      </c>
      <c r="AE232" s="13" t="n">
        <f aca="false">IFERROR(Z232/G232,"")</f>
        <v>0.9707190120166</v>
      </c>
    </row>
    <row r="233" customFormat="false" ht="15" hidden="false" customHeight="false" outlineLevel="0" collapsed="false">
      <c r="A233" s="0" t="s">
        <v>1139</v>
      </c>
      <c r="B233" s="0" t="s">
        <v>1161</v>
      </c>
      <c r="C233" s="0" t="s">
        <v>1566</v>
      </c>
      <c r="D233" s="0" t="s">
        <v>1166</v>
      </c>
      <c r="E233" s="0" t="s">
        <v>1290</v>
      </c>
      <c r="F233" s="0" t="n">
        <v>21</v>
      </c>
      <c r="G233" s="11" t="n">
        <f aca="false">IFERROR(INDEX(CHOOSE(MATCH($X233,{"K1","K2","K3","K12","K13","H1","H2","H3","H12","H13"},0),Calc!$V$2:$V$137,Calc!$AC$2:$AC$137,Calc!$AJ$2:$AJ$137,Calc!$AL$2:$AL$137,Calc!$AM$2:$AM$137,Calc!$W$2:$W$137,Calc!$AD$2:$AD$137,Calc!$AK$2:$AK$137,Calc!$AN$2:$AN$137,Calc!$AO$2:$AO$137),MATCH($W233,Calc!$A$2:$A$137,0)),"")</f>
        <v>22.1057416666667</v>
      </c>
      <c r="H233" s="11" t="n">
        <f aca="false">IF(G233="","",IF(LEFT($X233,1)="H",SQRT(G233*(IFERROR(INDEX(Calc!$AP$2:$AP$137,MATCH($W233,Calc!$A$2:$A$137,0)),0.5)*Config!$B$5+1-IFERROR(INDEX(Calc!$AP$2:$AP$137,MATCH($W233,Calc!$A$2:$A$137,0)),0.5))),SQRT(G233*Config!$B$5)))</f>
        <v>5.56309611038074</v>
      </c>
      <c r="I233" s="10" t="n">
        <f aca="false">IF(OR(F233="",G233="",N(H233)&lt;=0),"",1-NORMDIST(FLOOR(F233,1)+0.5,G233,H233,TRUE()))</f>
        <v>0.543353429269749</v>
      </c>
      <c r="J233" s="10" t="n">
        <f aca="false">IF(I233="","",NORMDIST(CEILING(F233,1)-0.5,G233,H233,TRUE()))</f>
        <v>0.386427780339659</v>
      </c>
      <c r="K233" s="10" t="n">
        <f aca="false">IF(I233="","",MAX(0,1-I233-J233))</f>
        <v>0.0702187903905919</v>
      </c>
      <c r="L233" s="0" t="str">
        <f aca="false">IF(I233="","",IF(I233&gt;=0.5+Config!$B$6,"OVER",IF(J233&gt;=0.5+Config!$B$6,"UNDER","—")))</f>
        <v>OVER</v>
      </c>
      <c r="M233" s="0" t="n">
        <v>21.39</v>
      </c>
      <c r="N233" s="0" t="n">
        <v>22.9</v>
      </c>
      <c r="O233" s="10" t="n">
        <v>0.4</v>
      </c>
      <c r="P233" s="10" t="n">
        <v>0.4</v>
      </c>
      <c r="Q233" s="10" t="n">
        <v>0.33</v>
      </c>
      <c r="R233" s="9" t="s">
        <v>1523</v>
      </c>
      <c r="S233" s="0" t="n">
        <v>-3</v>
      </c>
      <c r="T233" s="0" t="str">
        <f aca="false">INDEX(Calc!$G$2:$G$137,MATCH($W233,Calc!$A$2:$A$137,0))&amp;" / "&amp;INDEX(Calc!$H$2:$H$137,MATCH($W233,Calc!$A$2:$A$137,0))</f>
        <v>Dust2 / Mirage</v>
      </c>
      <c r="U233" s="0" t="str">
        <f aca="false">TEXT(INDEX(Calc!$J$2:$J$137,MATCH($W233,Calc!$A$2:$A$137,0)),"0.0")&amp;" / "&amp;TEXT(INDEX(Calc!$K$2:$K$137,MATCH($W233,Calc!$A$2:$A$137,0)),"0.0")</f>
        <v>21.4 / 21.1</v>
      </c>
      <c r="V233" s="0" t="str">
        <f aca="false">IFERROR(INDEX(Calc!$AQ$2:$AQ$137,MATCH($W233,Calc!$A$2:$A$137,0)),"")</f>
        <v/>
      </c>
      <c r="W233" s="9" t="s">
        <v>1567</v>
      </c>
      <c r="X233" s="9" t="s">
        <v>1291</v>
      </c>
      <c r="Y233" s="0" t="str">
        <f aca="false">W233&amp;"|"&amp;X233</f>
        <v>509x6s2e70l3hhg|CS2 · VIT vs NAVI|K12</v>
      </c>
      <c r="Z233" s="11" t="n">
        <f aca="false">IFERROR(INDEX(CHOOSE(MATCH($X233,{"K1","K2","K3","K12","K13","H1","H2","H3","H12","H13"},0),Calc!$BA$2:$BA$137,Calc!$BB$2:$BB$137,Calc!$BC$2:$BC$137,Calc!$BD$2:$BD$137,Calc!$BE$2:$BE$137,Calc!$BF$2:$BF$137,Calc!$BG$2:$BG$137,Calc!$BH$2:$BH$137,Calc!$BI$2:$BI$137,Calc!$BJ$2:$BJ$137),MATCH($W233,Calc!$A$2:$A$137,0)),"")</f>
        <v>21.4580943886332</v>
      </c>
      <c r="AA233" s="11" t="n">
        <f aca="false">IF(Z233="","",IF(LEFT($X233,1)="H",SQRT(Z233*(IFERROR(INDEX(Calc!$AP$2:$AP$137,MATCH($W233,Calc!$A$2:$A$137,0)),0.5)*Config!$B$5+1-IFERROR(INDEX(Calc!$AP$2:$AP$137,MATCH($W233,Calc!$A$2:$A$137,0)),0.5))),SQRT(Z233*Config!$B$5)))</f>
        <v>5.4809973676409</v>
      </c>
      <c r="AB233" s="10" t="n">
        <f aca="false">IF(OR(F233="",Z233="",N(AA233)&lt;=0),"",1-NORMDIST(FLOOR(F233,1)+0.5,Z233,AA233,TRUE()))</f>
        <v>0.496949869491861</v>
      </c>
      <c r="AC233" s="10" t="n">
        <f aca="false">IF(AB233="","",NORMDIST(CEILING(F233,1)-0.5,Z233,AA233,TRUE()))</f>
        <v>0.430617243746838</v>
      </c>
      <c r="AD233" s="0" t="str">
        <f aca="false">IF(AB233="","",IF(AB233&gt;=0.5+Config!$B$6,"OVER",IF(AC233&gt;=0.5+Config!$B$6,"UNDER","—")))</f>
        <v>—</v>
      </c>
      <c r="AE233" s="13" t="n">
        <f aca="false">IFERROR(Z233/G233,"")</f>
        <v>0.970702304957717</v>
      </c>
    </row>
    <row r="234" customFormat="false" ht="15" hidden="false" customHeight="false" outlineLevel="0" collapsed="false">
      <c r="A234" s="0" t="s">
        <v>1139</v>
      </c>
      <c r="B234" s="0" t="s">
        <v>1161</v>
      </c>
      <c r="C234" s="0" t="s">
        <v>1568</v>
      </c>
      <c r="D234" s="0" t="s">
        <v>1166</v>
      </c>
      <c r="E234" s="0" t="s">
        <v>1286</v>
      </c>
      <c r="F234" s="0" t="n">
        <v>17</v>
      </c>
      <c r="G234" s="11" t="n">
        <f aca="false">IFERROR(INDEX(CHOOSE(MATCH($X234,{"K1","K2","K3","K12","K13","H1","H2","H3","H12","H13"},0),Calc!$V$2:$V$137,Calc!$AC$2:$AC$137,Calc!$AJ$2:$AJ$137,Calc!$AL$2:$AL$137,Calc!$AM$2:$AM$137,Calc!$W$2:$W$137,Calc!$AD$2:$AD$137,Calc!$AK$2:$AK$137,Calc!$AN$2:$AN$137,Calc!$AO$2:$AO$137),MATCH($W234,Calc!$A$2:$A$137,0)),"")</f>
        <v>15.7819396444444</v>
      </c>
      <c r="H234" s="11" t="n">
        <f aca="false">IF(G234="","",IF(LEFT($X234,1)="H",SQRT(G234*(IFERROR(INDEX(Calc!$AP$2:$AP$137,MATCH($W234,Calc!$A$2:$A$137,0)),0.5)*Config!$B$5+1-IFERROR(INDEX(Calc!$AP$2:$AP$137,MATCH($W234,Calc!$A$2:$A$137,0)),0.5))),SQRT(G234*Config!$B$5)))</f>
        <v>4.42039723276942</v>
      </c>
      <c r="I234" s="10" t="n">
        <f aca="false">IF(OR(F234="",G234="",N(H234)&lt;=0),"",1-NORMDIST(FLOOR(F234,1)+0.5,G234,H234,TRUE()))</f>
        <v>0.34876143052524</v>
      </c>
      <c r="J234" s="10" t="n">
        <f aca="false">IF(I234="","",NORMDIST(CEILING(F234,1)-0.5,G234,H234,TRUE()))</f>
        <v>0.56452129550028</v>
      </c>
      <c r="K234" s="10" t="n">
        <f aca="false">IF(I234="","",MAX(0,1-I234-J234))</f>
        <v>0.0867172739744794</v>
      </c>
      <c r="L234" s="0" t="str">
        <f aca="false">IF(I234="","",IF(I234&gt;=0.5+Config!$B$6,"OVER",IF(J234&gt;=0.5+Config!$B$6,"UNDER","—")))</f>
        <v>UNDER</v>
      </c>
      <c r="N234" s="0" t="n">
        <v>18.7</v>
      </c>
      <c r="O234" s="10" t="n">
        <v>0.6</v>
      </c>
      <c r="P234" s="10" t="n">
        <v>0.6</v>
      </c>
      <c r="Q234" s="10" t="n">
        <v>0.53</v>
      </c>
      <c r="R234" s="9" t="s">
        <v>1361</v>
      </c>
      <c r="S234" s="0" t="n">
        <v>-2</v>
      </c>
      <c r="T234" s="0" t="str">
        <f aca="false">INDEX(Calc!$G$2:$G$137,MATCH($W234,Calc!$A$2:$A$137,0))&amp;" / "&amp;INDEX(Calc!$H$2:$H$137,MATCH($W234,Calc!$A$2:$A$137,0))</f>
        <v>Dust2 / Mirage</v>
      </c>
      <c r="U234" s="0" t="str">
        <f aca="false">TEXT(INDEX(Calc!$J$2:$J$137,MATCH($W234,Calc!$A$2:$A$137,0)),"0.0")&amp;" / "&amp;TEXT(INDEX(Calc!$K$2:$K$137,MATCH($W234,Calc!$A$2:$A$137,0)),"0.0")</f>
        <v>21.4 / 21.1</v>
      </c>
      <c r="V234" s="0" t="str">
        <f aca="false">IFERROR(INDEX(Calc!$AQ$2:$AQ$137,MATCH($W234,Calc!$A$2:$A$137,0)),"")</f>
        <v/>
      </c>
      <c r="W234" s="9" t="s">
        <v>1569</v>
      </c>
      <c r="X234" s="9" t="s">
        <v>1289</v>
      </c>
      <c r="Y234" s="0" t="str">
        <f aca="false">W234&amp;"|"&amp;X234</f>
        <v>2y1yay7td9d3pb6|CS2 · VIT vs NAVI|H12</v>
      </c>
      <c r="Z234" s="11" t="n">
        <f aca="false">IFERROR(INDEX(CHOOSE(MATCH($X234,{"K1","K2","K3","K12","K13","H1","H2","H3","H12","H13"},0),Calc!$BA$2:$BA$137,Calc!$BB$2:$BB$137,Calc!$BC$2:$BC$137,Calc!$BD$2:$BD$137,Calc!$BE$2:$BE$137,Calc!$BF$2:$BF$137,Calc!$BG$2:$BG$137,Calc!$BH$2:$BH$137,Calc!$BI$2:$BI$137,Calc!$BJ$2:$BJ$137),MATCH($W234,Calc!$A$2:$A$137,0)),"")</f>
        <v>15.3194199297843</v>
      </c>
      <c r="AA234" s="11" t="n">
        <f aca="false">IF(Z234="","",IF(LEFT($X234,1)="H",SQRT(Z234*(IFERROR(INDEX(Calc!$AP$2:$AP$137,MATCH($W234,Calc!$A$2:$A$137,0)),0.5)*Config!$B$5+1-IFERROR(INDEX(Calc!$AP$2:$AP$137,MATCH($W234,Calc!$A$2:$A$137,0)),0.5))),SQRT(Z234*Config!$B$5)))</f>
        <v>4.3551414985788</v>
      </c>
      <c r="AB234" s="10" t="n">
        <f aca="false">IF(OR(F234="",Z234="",N(AA234)&lt;=0),"",1-NORMDIST(FLOOR(F234,1)+0.5,Z234,AA234,TRUE()))</f>
        <v>0.308294310240156</v>
      </c>
      <c r="AC234" s="10" t="n">
        <f aca="false">IF(AB234="","",NORMDIST(CEILING(F234,1)-0.5,Z234,AA234,TRUE()))</f>
        <v>0.606834216268419</v>
      </c>
      <c r="AD234" s="0" t="str">
        <f aca="false">IF(AB234="","",IF(AB234&gt;=0.5+Config!$B$6,"OVER",IF(AC234&gt;=0.5+Config!$B$6,"UNDER","—")))</f>
        <v>UNDER</v>
      </c>
      <c r="AE234" s="13" t="n">
        <f aca="false">IFERROR(Z234/G234,"")</f>
        <v>0.970693100779728</v>
      </c>
    </row>
    <row r="235" customFormat="false" ht="15" hidden="false" customHeight="false" outlineLevel="0" collapsed="false">
      <c r="A235" s="0" t="s">
        <v>1139</v>
      </c>
      <c r="B235" s="0" t="s">
        <v>1161</v>
      </c>
      <c r="C235" s="0" t="s">
        <v>1568</v>
      </c>
      <c r="D235" s="0" t="s">
        <v>1166</v>
      </c>
      <c r="E235" s="0" t="s">
        <v>1290</v>
      </c>
      <c r="F235" s="0" t="n">
        <v>27.5</v>
      </c>
      <c r="G235" s="11" t="n">
        <f aca="false">IFERROR(INDEX(CHOOSE(MATCH($X235,{"K1","K2","K3","K12","K13","H1","H2","H3","H12","H13"},0),Calc!$V$2:$V$137,Calc!$AC$2:$AC$137,Calc!$AJ$2:$AJ$137,Calc!$AL$2:$AL$137,Calc!$AM$2:$AM$137,Calc!$W$2:$W$137,Calc!$AD$2:$AD$137,Calc!$AK$2:$AK$137,Calc!$AN$2:$AN$137,Calc!$AO$2:$AO$137),MATCH($W235,Calc!$A$2:$A$137,0)),"")</f>
        <v>26.5110666666667</v>
      </c>
      <c r="H235" s="11" t="n">
        <f aca="false">IF(G235="","",IF(LEFT($X235,1)="H",SQRT(G235*(IFERROR(INDEX(Calc!$AP$2:$AP$137,MATCH($W235,Calc!$A$2:$A$137,0)),0.5)*Config!$B$5+1-IFERROR(INDEX(Calc!$AP$2:$AP$137,MATCH($W235,Calc!$A$2:$A$137,0)),0.5))),SQRT(G235*Config!$B$5)))</f>
        <v>6.09224862701231</v>
      </c>
      <c r="I235" s="10" t="n">
        <f aca="false">IF(OR(F235="",G235="",N(H235)&lt;=0),"",1-NORMDIST(FLOOR(F235,1)+0.5,G235,H235,TRUE()))</f>
        <v>0.435524377817408</v>
      </c>
      <c r="J235" s="10" t="n">
        <f aca="false">IF(I235="","",NORMDIST(CEILING(F235,1)-0.5,G235,H235,TRUE()))</f>
        <v>0.564475622182592</v>
      </c>
      <c r="K235" s="10" t="n">
        <f aca="false">IF(I235="","",MAX(0,1-I235-J235))</f>
        <v>0</v>
      </c>
      <c r="L235" s="0" t="str">
        <f aca="false">IF(I235="","",IF(I235&gt;=0.5+Config!$B$6,"OVER",IF(J235&gt;=0.5+Config!$B$6,"UNDER","—")))</f>
        <v>UNDER</v>
      </c>
      <c r="M235" s="0" t="n">
        <v>27.96</v>
      </c>
      <c r="N235" s="0" t="n">
        <v>29.8</v>
      </c>
      <c r="O235" s="10" t="n">
        <v>0.4</v>
      </c>
      <c r="P235" s="10" t="n">
        <v>0.5</v>
      </c>
      <c r="Q235" s="10" t="n">
        <v>0.53</v>
      </c>
      <c r="R235" s="9" t="s">
        <v>1361</v>
      </c>
      <c r="S235" s="0" t="n">
        <v>-3</v>
      </c>
      <c r="T235" s="0" t="str">
        <f aca="false">INDEX(Calc!$G$2:$G$137,MATCH($W235,Calc!$A$2:$A$137,0))&amp;" / "&amp;INDEX(Calc!$H$2:$H$137,MATCH($W235,Calc!$A$2:$A$137,0))</f>
        <v>Dust2 / Mirage</v>
      </c>
      <c r="U235" s="0" t="str">
        <f aca="false">TEXT(INDEX(Calc!$J$2:$J$137,MATCH($W235,Calc!$A$2:$A$137,0)),"0.0")&amp;" / "&amp;TEXT(INDEX(Calc!$K$2:$K$137,MATCH($W235,Calc!$A$2:$A$137,0)),"0.0")</f>
        <v>21.4 / 21.1</v>
      </c>
      <c r="V235" s="0" t="str">
        <f aca="false">IFERROR(INDEX(Calc!$AQ$2:$AQ$137,MATCH($W235,Calc!$A$2:$A$137,0)),"")</f>
        <v/>
      </c>
      <c r="W235" s="9" t="s">
        <v>1569</v>
      </c>
      <c r="X235" s="9" t="s">
        <v>1291</v>
      </c>
      <c r="Y235" s="0" t="str">
        <f aca="false">W235&amp;"|"&amp;X235</f>
        <v>2y1yay7td9d3pb6|CS2 · VIT vs NAVI|K12</v>
      </c>
      <c r="Z235" s="11" t="n">
        <f aca="false">IFERROR(INDEX(CHOOSE(MATCH($X235,{"K1","K2","K3","K12","K13","H1","H2","H3","H12","H13"},0),Calc!$BA$2:$BA$137,Calc!$BB$2:$BB$137,Calc!$BC$2:$BC$137,Calc!$BD$2:$BD$137,Calc!$BE$2:$BE$137,Calc!$BF$2:$BF$137,Calc!$BG$2:$BG$137,Calc!$BH$2:$BH$137,Calc!$BI$2:$BI$137,Calc!$BJ$2:$BJ$137),MATCH($W235,Calc!$A$2:$A$137,0)),"")</f>
        <v>25.7345427215703</v>
      </c>
      <c r="AA235" s="11" t="n">
        <f aca="false">IF(Z235="","",IF(LEFT($X235,1)="H",SQRT(Z235*(IFERROR(INDEX(Calc!$AP$2:$AP$137,MATCH($W235,Calc!$A$2:$A$137,0)),0.5)*Config!$B$5+1-IFERROR(INDEX(Calc!$AP$2:$AP$137,MATCH($W235,Calc!$A$2:$A$137,0)),0.5))),SQRT(Z235*Config!$B$5)))</f>
        <v>6.00236285226064</v>
      </c>
      <c r="AB235" s="10" t="n">
        <f aca="false">IF(OR(F235="",Z235="",N(AA235)&lt;=0),"",1-NORMDIST(FLOOR(F235,1)+0.5,Z235,AA235,TRUE()))</f>
        <v>0.384330410867557</v>
      </c>
      <c r="AC235" s="10" t="n">
        <f aca="false">IF(AB235="","",NORMDIST(CEILING(F235,1)-0.5,Z235,AA235,TRUE()))</f>
        <v>0.615669589132444</v>
      </c>
      <c r="AD235" s="0" t="str">
        <f aca="false">IF(AB235="","",IF(AB235&gt;=0.5+Config!$B$6,"OVER",IF(AC235&gt;=0.5+Config!$B$6,"UNDER","—")))</f>
        <v>UNDER</v>
      </c>
      <c r="AE235" s="13" t="n">
        <f aca="false">IFERROR(Z235/G235,"")</f>
        <v>0.97070944165092</v>
      </c>
    </row>
    <row r="236" customFormat="false" ht="15" hidden="false" customHeight="false" outlineLevel="0" collapsed="false">
      <c r="A236" s="0" t="s">
        <v>1139</v>
      </c>
      <c r="B236" s="0" t="s">
        <v>1161</v>
      </c>
      <c r="C236" s="0" t="s">
        <v>1570</v>
      </c>
      <c r="D236" s="0" t="s">
        <v>1166</v>
      </c>
      <c r="E236" s="0" t="s">
        <v>1286</v>
      </c>
      <c r="F236" s="0" t="n">
        <v>11.5</v>
      </c>
      <c r="G236" s="11" t="n">
        <f aca="false">IFERROR(INDEX(CHOOSE(MATCH($X236,{"K1","K2","K3","K12","K13","H1","H2","H3","H12","H13"},0),Calc!$V$2:$V$137,Calc!$AC$2:$AC$137,Calc!$AJ$2:$AJ$137,Calc!$AL$2:$AL$137,Calc!$AM$2:$AM$137,Calc!$W$2:$W$137,Calc!$AD$2:$AD$137,Calc!$AK$2:$AK$137,Calc!$AN$2:$AN$137,Calc!$AO$2:$AO$137),MATCH($W236,Calc!$A$2:$A$137,0)),"")</f>
        <v>11.6153793472222</v>
      </c>
      <c r="H236" s="11" t="n">
        <f aca="false">IF(G236="","",IF(LEFT($X236,1)="H",SQRT(G236*(IFERROR(INDEX(Calc!$AP$2:$AP$137,MATCH($W236,Calc!$A$2:$A$137,0)),0.5)*Config!$B$5+1-IFERROR(INDEX(Calc!$AP$2:$AP$137,MATCH($W236,Calc!$A$2:$A$137,0)),0.5))),SQRT(G236*Config!$B$5)))</f>
        <v>3.69752266260809</v>
      </c>
      <c r="I236" s="10" t="n">
        <f aca="false">IF(OR(F236="",G236="",N(H236)&lt;=0),"",1-NORMDIST(FLOOR(F236,1)+0.5,G236,H236,TRUE()))</f>
        <v>0.512446774548639</v>
      </c>
      <c r="J236" s="10" t="n">
        <f aca="false">IF(I236="","",NORMDIST(CEILING(F236,1)-0.5,G236,H236,TRUE()))</f>
        <v>0.487553225451361</v>
      </c>
      <c r="K236" s="10" t="n">
        <f aca="false">IF(I236="","",MAX(0,1-I236-J236))</f>
        <v>0</v>
      </c>
      <c r="L236" s="0" t="str">
        <f aca="false">IF(I236="","",IF(I236&gt;=0.5+Config!$B$6,"OVER",IF(J236&gt;=0.5+Config!$B$6,"UNDER","—")))</f>
        <v>—</v>
      </c>
      <c r="N236" s="0" t="n">
        <v>12.4</v>
      </c>
      <c r="O236" s="10" t="n">
        <v>0.4</v>
      </c>
      <c r="P236" s="10" t="n">
        <v>0.5</v>
      </c>
      <c r="Q236" s="10" t="n">
        <v>0.53</v>
      </c>
      <c r="R236" s="9" t="s">
        <v>1361</v>
      </c>
      <c r="S236" s="0" t="n">
        <v>-2</v>
      </c>
      <c r="T236" s="0" t="str">
        <f aca="false">INDEX(Calc!$G$2:$G$137,MATCH($W236,Calc!$A$2:$A$137,0))&amp;" / "&amp;INDEX(Calc!$H$2:$H$137,MATCH($W236,Calc!$A$2:$A$137,0))</f>
        <v>Dust2 / Mirage</v>
      </c>
      <c r="U236" s="0" t="str">
        <f aca="false">TEXT(INDEX(Calc!$J$2:$J$137,MATCH($W236,Calc!$A$2:$A$137,0)),"0.0")&amp;" / "&amp;TEXT(INDEX(Calc!$K$2:$K$137,MATCH($W236,Calc!$A$2:$A$137,0)),"0.0")</f>
        <v>21.4 / 21.1</v>
      </c>
      <c r="V236" s="0" t="str">
        <f aca="false">IFERROR(INDEX(Calc!$AQ$2:$AQ$137,MATCH($W236,Calc!$A$2:$A$137,0)),"")</f>
        <v/>
      </c>
      <c r="W236" s="9" t="s">
        <v>1571</v>
      </c>
      <c r="X236" s="9" t="s">
        <v>1289</v>
      </c>
      <c r="Y236" s="0" t="str">
        <f aca="false">W236&amp;"|"&amp;X236</f>
        <v>6fnysfxfr7gofjk|CS2 · VIT vs NAVI|H12</v>
      </c>
      <c r="Z236" s="11" t="n">
        <f aca="false">IFERROR(INDEX(CHOOSE(MATCH($X236,{"K1","K2","K3","K12","K13","H1","H2","H3","H12","H13"},0),Calc!$BA$2:$BA$137,Calc!$BB$2:$BB$137,Calc!$BC$2:$BC$137,Calc!$BD$2:$BD$137,Calc!$BE$2:$BE$137,Calc!$BF$2:$BF$137,Calc!$BG$2:$BG$137,Calc!$BH$2:$BH$137,Calc!$BI$2:$BI$137,Calc!$BJ$2:$BJ$137),MATCH($W236,Calc!$A$2:$A$137,0)),"")</f>
        <v>11.2747856792925</v>
      </c>
      <c r="AA236" s="11" t="n">
        <f aca="false">IF(Z236="","",IF(LEFT($X236,1)="H",SQRT(Z236*(IFERROR(INDEX(Calc!$AP$2:$AP$137,MATCH($W236,Calc!$A$2:$A$137,0)),0.5)*Config!$B$5+1-IFERROR(INDEX(Calc!$AP$2:$AP$137,MATCH($W236,Calc!$A$2:$A$137,0)),0.5))),SQRT(Z236*Config!$B$5)))</f>
        <v>3.64290875195827</v>
      </c>
      <c r="AB236" s="10" t="n">
        <f aca="false">IF(OR(F236="",Z236="",N(AA236)&lt;=0),"",1-NORMDIST(FLOOR(F236,1)+0.5,Z236,AA236,TRUE()))</f>
        <v>0.475352027705821</v>
      </c>
      <c r="AC236" s="10" t="n">
        <f aca="false">IF(AB236="","",NORMDIST(CEILING(F236,1)-0.5,Z236,AA236,TRUE()))</f>
        <v>0.52464797229418</v>
      </c>
      <c r="AD236" s="0" t="str">
        <f aca="false">IF(AB236="","",IF(AB236&gt;=0.5+Config!$B$6,"OVER",IF(AC236&gt;=0.5+Config!$B$6,"UNDER","—")))</f>
        <v>—</v>
      </c>
      <c r="AE236" s="13" t="n">
        <f aca="false">IFERROR(Z236/G236,"")</f>
        <v>0.97067735303788</v>
      </c>
    </row>
    <row r="237" customFormat="false" ht="15" hidden="false" customHeight="false" outlineLevel="0" collapsed="false">
      <c r="A237" s="0" t="s">
        <v>1139</v>
      </c>
      <c r="B237" s="0" t="s">
        <v>1161</v>
      </c>
      <c r="C237" s="0" t="s">
        <v>1570</v>
      </c>
      <c r="D237" s="0" t="s">
        <v>1166</v>
      </c>
      <c r="E237" s="0" t="s">
        <v>1290</v>
      </c>
      <c r="F237" s="0" t="n">
        <v>26.5</v>
      </c>
      <c r="G237" s="11" t="n">
        <f aca="false">IFERROR(INDEX(CHOOSE(MATCH($X237,{"K1","K2","K3","K12","K13","H1","H2","H3","H12","H13"},0),Calc!$V$2:$V$137,Calc!$AC$2:$AC$137,Calc!$AJ$2:$AJ$137,Calc!$AL$2:$AL$137,Calc!$AM$2:$AM$137,Calc!$W$2:$W$137,Calc!$AD$2:$AD$137,Calc!$AK$2:$AK$137,Calc!$AN$2:$AN$137,Calc!$AO$2:$AO$137),MATCH($W237,Calc!$A$2:$A$137,0)),"")</f>
        <v>26.2446916666667</v>
      </c>
      <c r="H237" s="11" t="n">
        <f aca="false">IF(G237="","",IF(LEFT($X237,1)="H",SQRT(G237*(IFERROR(INDEX(Calc!$AP$2:$AP$137,MATCH($W237,Calc!$A$2:$A$137,0)),0.5)*Config!$B$5+1-IFERROR(INDEX(Calc!$AP$2:$AP$137,MATCH($W237,Calc!$A$2:$A$137,0)),0.5))),SQRT(G237*Config!$B$5)))</f>
        <v>6.06156484196394</v>
      </c>
      <c r="I237" s="10" t="n">
        <f aca="false">IF(OR(F237="",G237="",N(H237)&lt;=0),"",1-NORMDIST(FLOOR(F237,1)+0.5,G237,H237,TRUE()))</f>
        <v>0.483201832484752</v>
      </c>
      <c r="J237" s="10" t="n">
        <f aca="false">IF(I237="","",NORMDIST(CEILING(F237,1)-0.5,G237,H237,TRUE()))</f>
        <v>0.516798167515248</v>
      </c>
      <c r="K237" s="10" t="n">
        <f aca="false">IF(I237="","",MAX(0,1-I237-J237))</f>
        <v>0</v>
      </c>
      <c r="L237" s="0" t="str">
        <f aca="false">IF(I237="","",IF(I237&gt;=0.5+Config!$B$6,"OVER",IF(J237&gt;=0.5+Config!$B$6,"UNDER","—")))</f>
        <v>—</v>
      </c>
      <c r="M237" s="0" t="n">
        <v>26.76</v>
      </c>
      <c r="N237" s="0" t="n">
        <v>27.5</v>
      </c>
      <c r="O237" s="10" t="n">
        <v>0.4</v>
      </c>
      <c r="P237" s="10" t="n">
        <v>0.5</v>
      </c>
      <c r="Q237" s="10" t="n">
        <v>0.6</v>
      </c>
      <c r="R237" s="9" t="s">
        <v>1363</v>
      </c>
      <c r="S237" s="0" t="n">
        <v>-2</v>
      </c>
      <c r="T237" s="0" t="str">
        <f aca="false">INDEX(Calc!$G$2:$G$137,MATCH($W237,Calc!$A$2:$A$137,0))&amp;" / "&amp;INDEX(Calc!$H$2:$H$137,MATCH($W237,Calc!$A$2:$A$137,0))</f>
        <v>Dust2 / Mirage</v>
      </c>
      <c r="U237" s="0" t="str">
        <f aca="false">TEXT(INDEX(Calc!$J$2:$J$137,MATCH($W237,Calc!$A$2:$A$137,0)),"0.0")&amp;" / "&amp;TEXT(INDEX(Calc!$K$2:$K$137,MATCH($W237,Calc!$A$2:$A$137,0)),"0.0")</f>
        <v>21.4 / 21.1</v>
      </c>
      <c r="V237" s="0" t="str">
        <f aca="false">IFERROR(INDEX(Calc!$AQ$2:$AQ$137,MATCH($W237,Calc!$A$2:$A$137,0)),"")</f>
        <v/>
      </c>
      <c r="W237" s="9" t="s">
        <v>1571</v>
      </c>
      <c r="X237" s="9" t="s">
        <v>1291</v>
      </c>
      <c r="Y237" s="0" t="str">
        <f aca="false">W237&amp;"|"&amp;X237</f>
        <v>6fnysfxfr7gofjk|CS2 · VIT vs NAVI|K12</v>
      </c>
      <c r="Z237" s="11" t="n">
        <f aca="false">IFERROR(INDEX(CHOOSE(MATCH($X237,{"K1","K2","K3","K12","K13","H1","H2","H3","H12","H13"},0),Calc!$BA$2:$BA$137,Calc!$BB$2:$BB$137,Calc!$BC$2:$BC$137,Calc!$BD$2:$BD$137,Calc!$BE$2:$BE$137,Calc!$BF$2:$BF$137,Calc!$BG$2:$BG$137,Calc!$BH$2:$BH$137,Calc!$BI$2:$BI$137,Calc!$BJ$2:$BJ$137),MATCH($W237,Calc!$A$2:$A$137,0)),"")</f>
        <v>25.4760734926848</v>
      </c>
      <c r="AA237" s="11" t="n">
        <f aca="false">IF(Z237="","",IF(LEFT($X237,1)="H",SQRT(Z237*(IFERROR(INDEX(Calc!$AP$2:$AP$137,MATCH($W237,Calc!$A$2:$A$137,0)),0.5)*Config!$B$5+1-IFERROR(INDEX(Calc!$AP$2:$AP$137,MATCH($W237,Calc!$A$2:$A$137,0)),0.5))),SQRT(Z237*Config!$B$5)))</f>
        <v>5.9721439106705</v>
      </c>
      <c r="AB237" s="10" t="n">
        <f aca="false">IF(OR(F237="",Z237="",N(AA237)&lt;=0),"",1-NORMDIST(FLOOR(F237,1)+0.5,Z237,AA237,TRUE()))</f>
        <v>0.431934811011821</v>
      </c>
      <c r="AC237" s="10" t="n">
        <f aca="false">IF(AB237="","",NORMDIST(CEILING(F237,1)-0.5,Z237,AA237,TRUE()))</f>
        <v>0.568065188988179</v>
      </c>
      <c r="AD237" s="0" t="str">
        <f aca="false">IF(AB237="","",IF(AB237&gt;=0.5+Config!$B$6,"OVER",IF(AC237&gt;=0.5+Config!$B$6,"UNDER","—")))</f>
        <v>UNDER</v>
      </c>
      <c r="AE237" s="13" t="n">
        <f aca="false">IFERROR(Z237/G237,"")</f>
        <v>0.97071338525352</v>
      </c>
    </row>
    <row r="238" customFormat="false" ht="15" hidden="false" customHeight="false" outlineLevel="0" collapsed="false">
      <c r="A238" s="0" t="s">
        <v>1139</v>
      </c>
      <c r="B238" s="0" t="s">
        <v>1161</v>
      </c>
      <c r="C238" s="0" t="s">
        <v>1572</v>
      </c>
      <c r="D238" s="0" t="s">
        <v>1166</v>
      </c>
      <c r="E238" s="0" t="s">
        <v>1286</v>
      </c>
      <c r="F238" s="0" t="n">
        <v>14.5</v>
      </c>
      <c r="G238" s="11" t="n">
        <f aca="false">IFERROR(INDEX(CHOOSE(MATCH($X238,{"K1","K2","K3","K12","K13","H1","H2","H3","H12","H13"},0),Calc!$V$2:$V$137,Calc!$AC$2:$AC$137,Calc!$AJ$2:$AJ$137,Calc!$AL$2:$AL$137,Calc!$AM$2:$AM$137,Calc!$W$2:$W$137,Calc!$AD$2:$AD$137,Calc!$AK$2:$AK$137,Calc!$AN$2:$AN$137,Calc!$AO$2:$AO$137),MATCH($W238,Calc!$A$2:$A$137,0)),"")</f>
        <v>14.5541950361111</v>
      </c>
      <c r="H238" s="11" t="n">
        <f aca="false">IF(G238="","",IF(LEFT($X238,1)="H",SQRT(G238*(IFERROR(INDEX(Calc!$AP$2:$AP$137,MATCH($W238,Calc!$A$2:$A$137,0)),0.5)*Config!$B$5+1-IFERROR(INDEX(Calc!$AP$2:$AP$137,MATCH($W238,Calc!$A$2:$A$137,0)),0.5))),SQRT(G238*Config!$B$5)))</f>
        <v>4.18662336459262</v>
      </c>
      <c r="I238" s="10" t="n">
        <f aca="false">IF(OR(F238="",G238="",N(H238)&lt;=0),"",1-NORMDIST(FLOOR(F238,1)+0.5,G238,H238,TRUE()))</f>
        <v>0.505164087046319</v>
      </c>
      <c r="J238" s="10" t="n">
        <f aca="false">IF(I238="","",NORMDIST(CEILING(F238,1)-0.5,G238,H238,TRUE()))</f>
        <v>0.494835912953681</v>
      </c>
      <c r="K238" s="10" t="n">
        <f aca="false">IF(I238="","",MAX(0,1-I238-J238))</f>
        <v>0</v>
      </c>
      <c r="L238" s="0" t="str">
        <f aca="false">IF(I238="","",IF(I238&gt;=0.5+Config!$B$6,"OVER",IF(J238&gt;=0.5+Config!$B$6,"UNDER","—")))</f>
        <v>—</v>
      </c>
      <c r="N238" s="0" t="n">
        <v>15.9</v>
      </c>
      <c r="O238" s="10" t="n">
        <v>0.4</v>
      </c>
      <c r="P238" s="10" t="n">
        <v>0.6</v>
      </c>
      <c r="Q238" s="10" t="n">
        <v>0.6</v>
      </c>
      <c r="R238" s="9" t="s">
        <v>1573</v>
      </c>
      <c r="S238" s="0" t="n">
        <v>2</v>
      </c>
      <c r="T238" s="0" t="str">
        <f aca="false">INDEX(Calc!$G$2:$G$137,MATCH($W238,Calc!$A$2:$A$137,0))&amp;" / "&amp;INDEX(Calc!$H$2:$H$137,MATCH($W238,Calc!$A$2:$A$137,0))</f>
        <v>Dust2 / Mirage</v>
      </c>
      <c r="U238" s="0" t="str">
        <f aca="false">TEXT(INDEX(Calc!$J$2:$J$137,MATCH($W238,Calc!$A$2:$A$137,0)),"0.0")&amp;" / "&amp;TEXT(INDEX(Calc!$K$2:$K$137,MATCH($W238,Calc!$A$2:$A$137,0)),"0.0")</f>
        <v>21.4 / 21.1</v>
      </c>
      <c r="V238" s="0" t="str">
        <f aca="false">IFERROR(INDEX(Calc!$AQ$2:$AQ$137,MATCH($W238,Calc!$A$2:$A$137,0)),"")</f>
        <v/>
      </c>
      <c r="W238" s="9" t="s">
        <v>1574</v>
      </c>
      <c r="X238" s="9" t="s">
        <v>1289</v>
      </c>
      <c r="Y238" s="0" t="str">
        <f aca="false">W238&amp;"|"&amp;X238</f>
        <v>6oi74s8csyxqh63|CS2 · VIT vs NAVI|H12</v>
      </c>
      <c r="Z238" s="11" t="n">
        <f aca="false">IFERROR(INDEX(CHOOSE(MATCH($X238,{"K1","K2","K3","K12","K13","H1","H2","H3","H12","H13"},0),Calc!$BA$2:$BA$137,Calc!$BB$2:$BB$137,Calc!$BC$2:$BC$137,Calc!$BD$2:$BD$137,Calc!$BE$2:$BE$137,Calc!$BF$2:$BF$137,Calc!$BG$2:$BG$137,Calc!$BH$2:$BH$137,Calc!$BI$2:$BI$137,Calc!$BJ$2:$BJ$137),MATCH($W238,Calc!$A$2:$A$137,0)),"")</f>
        <v>14.1280397435524</v>
      </c>
      <c r="AA238" s="11" t="n">
        <f aca="false">IF(Z238="","",IF(LEFT($X238,1)="H",SQRT(Z238*(IFERROR(INDEX(Calc!$AP$2:$AP$137,MATCH($W238,Calc!$A$2:$A$137,0)),0.5)*Config!$B$5+1-IFERROR(INDEX(Calc!$AP$2:$AP$137,MATCH($W238,Calc!$A$2:$A$137,0)),0.5))),SQRT(Z238*Config!$B$5)))</f>
        <v>4.12487461351288</v>
      </c>
      <c r="AB238" s="10" t="n">
        <f aca="false">IF(OR(F238="",Z238="",N(AA238)&lt;=0),"",1-NORMDIST(FLOOR(F238,1)+0.5,Z238,AA238,TRUE()))</f>
        <v>0.46407410527848</v>
      </c>
      <c r="AC238" s="10" t="n">
        <f aca="false">IF(AB238="","",NORMDIST(CEILING(F238,1)-0.5,Z238,AA238,TRUE()))</f>
        <v>0.53592589472152</v>
      </c>
      <c r="AD238" s="0" t="str">
        <f aca="false">IF(AB238="","",IF(AB238&gt;=0.5+Config!$B$6,"OVER",IF(AC238&gt;=0.5+Config!$B$6,"UNDER","—")))</f>
        <v>—</v>
      </c>
      <c r="AE238" s="13" t="n">
        <f aca="false">IFERROR(Z238/G238,"")</f>
        <v>0.970719418593652</v>
      </c>
    </row>
    <row r="239" customFormat="false" ht="15" hidden="false" customHeight="false" outlineLevel="0" collapsed="false">
      <c r="A239" s="0" t="s">
        <v>1139</v>
      </c>
      <c r="B239" s="0" t="s">
        <v>1161</v>
      </c>
      <c r="C239" s="0" t="s">
        <v>1572</v>
      </c>
      <c r="D239" s="0" t="s">
        <v>1166</v>
      </c>
      <c r="E239" s="0" t="s">
        <v>1290</v>
      </c>
      <c r="F239" s="0" t="n">
        <v>28</v>
      </c>
      <c r="G239" s="11" t="n">
        <f aca="false">IFERROR(INDEX(CHOOSE(MATCH($X239,{"K1","K2","K3","K12","K13","H1","H2","H3","H12","H13"},0),Calc!$V$2:$V$137,Calc!$AC$2:$AC$137,Calc!$AJ$2:$AJ$137,Calc!$AL$2:$AL$137,Calc!$AM$2:$AM$137,Calc!$W$2:$W$137,Calc!$AD$2:$AD$137,Calc!$AK$2:$AK$137,Calc!$AN$2:$AN$137,Calc!$AO$2:$AO$137),MATCH($W239,Calc!$A$2:$A$137,0)),"")</f>
        <v>28.4938333333333</v>
      </c>
      <c r="H239" s="11" t="n">
        <f aca="false">IF(G239="","",IF(LEFT($X239,1)="H",SQRT(G239*(IFERROR(INDEX(Calc!$AP$2:$AP$137,MATCH($W239,Calc!$A$2:$A$137,0)),0.5)*Config!$B$5+1-IFERROR(INDEX(Calc!$AP$2:$AP$137,MATCH($W239,Calc!$A$2:$A$137,0)),0.5))),SQRT(G239*Config!$B$5)))</f>
        <v>6.31596126228357</v>
      </c>
      <c r="I239" s="10" t="n">
        <f aca="false">IF(OR(F239="",G239="",N(H239)&lt;=0),"",1-NORMDIST(FLOOR(F239,1)+0.5,G239,H239,TRUE()))</f>
        <v>0.499610487846672</v>
      </c>
      <c r="J239" s="10" t="n">
        <f aca="false">IF(I239="","",NORMDIST(CEILING(F239,1)-0.5,G239,H239,TRUE()))</f>
        <v>0.437483458458168</v>
      </c>
      <c r="K239" s="10" t="n">
        <f aca="false">IF(I239="","",MAX(0,1-I239-J239))</f>
        <v>0.0629060536951598</v>
      </c>
      <c r="L239" s="0" t="str">
        <f aca="false">IF(I239="","",IF(I239&gt;=0.5+Config!$B$6,"OVER",IF(J239&gt;=0.5+Config!$B$6,"UNDER","—")))</f>
        <v>—</v>
      </c>
      <c r="M239" s="0" t="n">
        <v>27.6</v>
      </c>
      <c r="N239" s="0" t="n">
        <v>30.1</v>
      </c>
      <c r="O239" s="10" t="n">
        <v>0.4</v>
      </c>
      <c r="P239" s="10" t="n">
        <v>0.6</v>
      </c>
      <c r="Q239" s="10" t="n">
        <v>0.6</v>
      </c>
      <c r="R239" s="9" t="s">
        <v>1575</v>
      </c>
      <c r="S239" s="0" t="n">
        <v>1</v>
      </c>
      <c r="T239" s="0" t="str">
        <f aca="false">INDEX(Calc!$G$2:$G$137,MATCH($W239,Calc!$A$2:$A$137,0))&amp;" / "&amp;INDEX(Calc!$H$2:$H$137,MATCH($W239,Calc!$A$2:$A$137,0))</f>
        <v>Dust2 / Mirage</v>
      </c>
      <c r="U239" s="0" t="str">
        <f aca="false">TEXT(INDEX(Calc!$J$2:$J$137,MATCH($W239,Calc!$A$2:$A$137,0)),"0.0")&amp;" / "&amp;TEXT(INDEX(Calc!$K$2:$K$137,MATCH($W239,Calc!$A$2:$A$137,0)),"0.0")</f>
        <v>21.4 / 21.1</v>
      </c>
      <c r="V239" s="0" t="str">
        <f aca="false">IFERROR(INDEX(Calc!$AQ$2:$AQ$137,MATCH($W239,Calc!$A$2:$A$137,0)),"")</f>
        <v/>
      </c>
      <c r="W239" s="9" t="s">
        <v>1574</v>
      </c>
      <c r="X239" s="9" t="s">
        <v>1291</v>
      </c>
      <c r="Y239" s="0" t="str">
        <f aca="false">W239&amp;"|"&amp;X239</f>
        <v>6oi74s8csyxqh63|CS2 · VIT vs NAVI|K12</v>
      </c>
      <c r="Z239" s="11" t="n">
        <f aca="false">IFERROR(INDEX(CHOOSE(MATCH($X239,{"K1","K2","K3","K12","K13","H1","H2","H3","H12","H13"},0),Calc!$BA$2:$BA$137,Calc!$BB$2:$BB$137,Calc!$BC$2:$BC$137,Calc!$BD$2:$BD$137,Calc!$BE$2:$BE$137,Calc!$BF$2:$BF$137,Calc!$BG$2:$BG$137,Calc!$BH$2:$BH$137,Calc!$BI$2:$BI$137,Calc!$BJ$2:$BJ$137),MATCH($W239,Calc!$A$2:$A$137,0)),"")</f>
        <v>27.6591613269173</v>
      </c>
      <c r="AA239" s="11" t="n">
        <f aca="false">IF(Z239="","",IF(LEFT($X239,1)="H",SQRT(Z239*(IFERROR(INDEX(Calc!$AP$2:$AP$137,MATCH($W239,Calc!$A$2:$A$137,0)),0.5)*Config!$B$5+1-IFERROR(INDEX(Calc!$AP$2:$AP$137,MATCH($W239,Calc!$A$2:$A$137,0)),0.5))),SQRT(Z239*Config!$B$5)))</f>
        <v>6.22276673656375</v>
      </c>
      <c r="AB239" s="10" t="n">
        <f aca="false">IF(OR(F239="",Z239="",N(AA239)&lt;=0),"",1-NORMDIST(FLOOR(F239,1)+0.5,Z239,AA239,TRUE()))</f>
        <v>0.446257327821824</v>
      </c>
      <c r="AC239" s="10" t="n">
        <f aca="false">IF(AB239="","",NORMDIST(CEILING(F239,1)-0.5,Z239,AA239,TRUE()))</f>
        <v>0.489797261745733</v>
      </c>
      <c r="AD239" s="0" t="str">
        <f aca="false">IF(AB239="","",IF(AB239&gt;=0.5+Config!$B$6,"OVER",IF(AC239&gt;=0.5+Config!$B$6,"UNDER","—")))</f>
        <v>—</v>
      </c>
      <c r="AE239" s="13" t="n">
        <f aca="false">IFERROR(Z239/G239,"")</f>
        <v>0.970706924665009</v>
      </c>
    </row>
    <row r="240" customFormat="false" ht="15" hidden="false" customHeight="false" outlineLevel="0" collapsed="false">
      <c r="A240" s="0" t="s">
        <v>1139</v>
      </c>
      <c r="B240" s="0" t="s">
        <v>1161</v>
      </c>
      <c r="C240" s="0" t="s">
        <v>1576</v>
      </c>
      <c r="D240" s="0" t="s">
        <v>1166</v>
      </c>
      <c r="E240" s="0" t="s">
        <v>1286</v>
      </c>
      <c r="F240" s="0" t="n">
        <v>11.5</v>
      </c>
      <c r="G240" s="11" t="n">
        <f aca="false">IFERROR(INDEX(CHOOSE(MATCH($X240,{"K1","K2","K3","K12","K13","H1","H2","H3","H12","H13"},0),Calc!$V$2:$V$137,Calc!$AC$2:$AC$137,Calc!$AJ$2:$AJ$137,Calc!$AL$2:$AL$137,Calc!$AM$2:$AM$137,Calc!$W$2:$W$137,Calc!$AD$2:$AD$137,Calc!$AK$2:$AK$137,Calc!$AN$2:$AN$137,Calc!$AO$2:$AO$137),MATCH($W240,Calc!$A$2:$A$137,0)),"")</f>
        <v>12.7412965791667</v>
      </c>
      <c r="H240" s="11" t="n">
        <f aca="false">IF(G240="","",IF(LEFT($X240,1)="H",SQRT(G240*(IFERROR(INDEX(Calc!$AP$2:$AP$137,MATCH($W240,Calc!$A$2:$A$137,0)),0.5)*Config!$B$5+1-IFERROR(INDEX(Calc!$AP$2:$AP$137,MATCH($W240,Calc!$A$2:$A$137,0)),0.5))),SQRT(G240*Config!$B$5)))</f>
        <v>3.8376373582247</v>
      </c>
      <c r="I240" s="10" t="n">
        <f aca="false">IF(OR(F240="",G240="",N(H240)&lt;=0),"",1-NORMDIST(FLOOR(F240,1)+0.5,G240,H240,TRUE()))</f>
        <v>0.626824026293859</v>
      </c>
      <c r="J240" s="10" t="n">
        <f aca="false">IF(I240="","",NORMDIST(CEILING(F240,1)-0.5,G240,H240,TRUE()))</f>
        <v>0.373175973706142</v>
      </c>
      <c r="K240" s="10" t="n">
        <f aca="false">IF(I240="","",MAX(0,1-I240-J240))</f>
        <v>0</v>
      </c>
      <c r="L240" s="0" t="str">
        <f aca="false">IF(I240="","",IF(I240&gt;=0.5+Config!$B$6,"OVER",IF(J240&gt;=0.5+Config!$B$6,"UNDER","—")))</f>
        <v>OVER</v>
      </c>
      <c r="N240" s="0" t="n">
        <v>13.4</v>
      </c>
      <c r="O240" s="10" t="n">
        <v>0.8</v>
      </c>
      <c r="P240" s="10" t="n">
        <v>0.8</v>
      </c>
      <c r="Q240" s="10" t="n">
        <v>0.67</v>
      </c>
      <c r="R240" s="9" t="s">
        <v>1577</v>
      </c>
      <c r="S240" s="0" t="n">
        <v>-1</v>
      </c>
      <c r="T240" s="0" t="str">
        <f aca="false">INDEX(Calc!$G$2:$G$137,MATCH($W240,Calc!$A$2:$A$137,0))&amp;" / "&amp;INDEX(Calc!$H$2:$H$137,MATCH($W240,Calc!$A$2:$A$137,0))</f>
        <v>Dust2 / Mirage</v>
      </c>
      <c r="U240" s="0" t="str">
        <f aca="false">TEXT(INDEX(Calc!$J$2:$J$137,MATCH($W240,Calc!$A$2:$A$137,0)),"0.0")&amp;" / "&amp;TEXT(INDEX(Calc!$K$2:$K$137,MATCH($W240,Calc!$A$2:$A$137,0)),"0.0")</f>
        <v>21.4 / 21.1</v>
      </c>
      <c r="V240" s="0" t="str">
        <f aca="false">IFERROR(INDEX(Calc!$AQ$2:$AQ$137,MATCH($W240,Calc!$A$2:$A$137,0)),"")</f>
        <v/>
      </c>
      <c r="W240" s="9" t="s">
        <v>1578</v>
      </c>
      <c r="X240" s="9" t="s">
        <v>1289</v>
      </c>
      <c r="Y240" s="0" t="str">
        <f aca="false">W240&amp;"|"&amp;X240</f>
        <v>9wdj3z2kekttkk3|CS2 · VIT vs NAVI|H12</v>
      </c>
      <c r="Z240" s="11" t="n">
        <f aca="false">IFERROR(INDEX(CHOOSE(MATCH($X240,{"K1","K2","K3","K12","K13","H1","H2","H3","H12","H13"},0),Calc!$BA$2:$BA$137,Calc!$BB$2:$BB$137,Calc!$BC$2:$BC$137,Calc!$BD$2:$BD$137,Calc!$BE$2:$BE$137,Calc!$BF$2:$BF$137,Calc!$BG$2:$BG$137,Calc!$BH$2:$BH$137,Calc!$BI$2:$BI$137,Calc!$BJ$2:$BJ$137),MATCH($W240,Calc!$A$2:$A$137,0)),"")</f>
        <v>12.3679988961726</v>
      </c>
      <c r="AA240" s="11" t="n">
        <f aca="false">IF(Z240="","",IF(LEFT($X240,1)="H",SQRT(Z240*(IFERROR(INDEX(Calc!$AP$2:$AP$137,MATCH($W240,Calc!$A$2:$A$137,0)),0.5)*Config!$B$5+1-IFERROR(INDEX(Calc!$AP$2:$AP$137,MATCH($W240,Calc!$A$2:$A$137,0)),0.5))),SQRT(Z240*Config!$B$5)))</f>
        <v>3.78100141296378</v>
      </c>
      <c r="AB240" s="10" t="n">
        <f aca="false">IF(OR(F240="",Z240="",N(AA240)&lt;=0),"",1-NORMDIST(FLOOR(F240,1)+0.5,Z240,AA240,TRUE()))</f>
        <v>0.590786464276135</v>
      </c>
      <c r="AC240" s="10" t="n">
        <f aca="false">IF(AB240="","",NORMDIST(CEILING(F240,1)-0.5,Z240,AA240,TRUE()))</f>
        <v>0.409213535723865</v>
      </c>
      <c r="AD240" s="0" t="str">
        <f aca="false">IF(AB240="","",IF(AB240&gt;=0.5+Config!$B$6,"OVER",IF(AC240&gt;=0.5+Config!$B$6,"UNDER","—")))</f>
        <v>OVER</v>
      </c>
      <c r="AE240" s="13" t="n">
        <f aca="false">IFERROR(Z240/G240,"")</f>
        <v>0.970701750746118</v>
      </c>
    </row>
    <row r="241" customFormat="false" ht="15" hidden="false" customHeight="false" outlineLevel="0" collapsed="false">
      <c r="A241" s="0" t="s">
        <v>1139</v>
      </c>
      <c r="B241" s="0" t="s">
        <v>1161</v>
      </c>
      <c r="C241" s="0" t="s">
        <v>1576</v>
      </c>
      <c r="D241" s="0" t="s">
        <v>1166</v>
      </c>
      <c r="E241" s="0" t="s">
        <v>1290</v>
      </c>
      <c r="F241" s="0" t="n">
        <v>30.5</v>
      </c>
      <c r="G241" s="11" t="n">
        <f aca="false">IFERROR(INDEX(CHOOSE(MATCH($X241,{"K1","K2","K3","K12","K13","H1","H2","H3","H12","H13"},0),Calc!$V$2:$V$137,Calc!$AC$2:$AC$137,Calc!$AJ$2:$AJ$137,Calc!$AL$2:$AL$137,Calc!$AM$2:$AM$137,Calc!$W$2:$W$137,Calc!$AD$2:$AD$137,Calc!$AK$2:$AK$137,Calc!$AN$2:$AN$137,Calc!$AO$2:$AO$137),MATCH($W241,Calc!$A$2:$A$137,0)),"")</f>
        <v>32.6943083333333</v>
      </c>
      <c r="H241" s="11" t="n">
        <f aca="false">IF(G241="","",IF(LEFT($X241,1)="H",SQRT(G241*(IFERROR(INDEX(Calc!$AP$2:$AP$137,MATCH($W241,Calc!$A$2:$A$137,0)),0.5)*Config!$B$5+1-IFERROR(INDEX(Calc!$AP$2:$AP$137,MATCH($W241,Calc!$A$2:$A$137,0)),0.5))),SQRT(G241*Config!$B$5)))</f>
        <v>6.76550306087187</v>
      </c>
      <c r="I241" s="10" t="n">
        <f aca="false">IF(OR(F241="",G241="",N(H241)&lt;=0),"",1-NORMDIST(FLOOR(F241,1)+0.5,G241,H241,TRUE()))</f>
        <v>0.627158845056002</v>
      </c>
      <c r="J241" s="10" t="n">
        <f aca="false">IF(I241="","",NORMDIST(CEILING(F241,1)-0.5,G241,H241,TRUE()))</f>
        <v>0.372841154943998</v>
      </c>
      <c r="K241" s="10" t="n">
        <f aca="false">IF(I241="","",MAX(0,1-I241-J241))</f>
        <v>0</v>
      </c>
      <c r="L241" s="0" t="str">
        <f aca="false">IF(I241="","",IF(I241&gt;=0.5+Config!$B$6,"OVER",IF(J241&gt;=0.5+Config!$B$6,"UNDER","—")))</f>
        <v>OVER</v>
      </c>
      <c r="M241" s="0" t="n">
        <v>32.14</v>
      </c>
      <c r="N241" s="0" t="n">
        <v>36.2</v>
      </c>
      <c r="O241" s="10" t="n">
        <v>0.6</v>
      </c>
      <c r="P241" s="10" t="n">
        <v>0.7</v>
      </c>
      <c r="Q241" s="10" t="n">
        <v>0.67</v>
      </c>
      <c r="R241" s="9" t="s">
        <v>1523</v>
      </c>
      <c r="S241" s="0" t="n">
        <v>1</v>
      </c>
      <c r="T241" s="0" t="str">
        <f aca="false">INDEX(Calc!$G$2:$G$137,MATCH($W241,Calc!$A$2:$A$137,0))&amp;" / "&amp;INDEX(Calc!$H$2:$H$137,MATCH($W241,Calc!$A$2:$A$137,0))</f>
        <v>Dust2 / Mirage</v>
      </c>
      <c r="U241" s="0" t="str">
        <f aca="false">TEXT(INDEX(Calc!$J$2:$J$137,MATCH($W241,Calc!$A$2:$A$137,0)),"0.0")&amp;" / "&amp;TEXT(INDEX(Calc!$K$2:$K$137,MATCH($W241,Calc!$A$2:$A$137,0)),"0.0")</f>
        <v>21.4 / 21.1</v>
      </c>
      <c r="V241" s="0" t="str">
        <f aca="false">IFERROR(INDEX(Calc!$AQ$2:$AQ$137,MATCH($W241,Calc!$A$2:$A$137,0)),"")</f>
        <v/>
      </c>
      <c r="W241" s="9" t="s">
        <v>1578</v>
      </c>
      <c r="X241" s="9" t="s">
        <v>1291</v>
      </c>
      <c r="Y241" s="0" t="str">
        <f aca="false">W241&amp;"|"&amp;X241</f>
        <v>9wdj3z2kekttkk3|CS2 · VIT vs NAVI|K12</v>
      </c>
      <c r="Z241" s="11" t="n">
        <f aca="false">IFERROR(INDEX(CHOOSE(MATCH($X241,{"K1","K2","K3","K12","K13","H1","H2","H3","H12","H13"},0),Calc!$BA$2:$BA$137,Calc!$BB$2:$BB$137,Calc!$BC$2:$BC$137,Calc!$BD$2:$BD$137,Calc!$BE$2:$BE$137,Calc!$BF$2:$BF$137,Calc!$BG$2:$BG$137,Calc!$BH$2:$BH$137,Calc!$BI$2:$BI$137,Calc!$BJ$2:$BJ$137),MATCH($W241,Calc!$A$2:$A$137,0)),"")</f>
        <v>31.7359047100268</v>
      </c>
      <c r="AA241" s="11" t="n">
        <f aca="false">IF(Z241="","",IF(LEFT($X241,1)="H",SQRT(Z241*(IFERROR(INDEX(Calc!$AP$2:$AP$137,MATCH($W241,Calc!$A$2:$A$137,0)),0.5)*Config!$B$5+1-IFERROR(INDEX(Calc!$AP$2:$AP$137,MATCH($W241,Calc!$A$2:$A$137,0)),0.5))),SQRT(Z241*Config!$B$5)))</f>
        <v>6.66560324307092</v>
      </c>
      <c r="AB241" s="10" t="n">
        <f aca="false">IF(OR(F241="",Z241="",N(AA241)&lt;=0),"",1-NORMDIST(FLOOR(F241,1)+0.5,Z241,AA241,TRUE()))</f>
        <v>0.573548338827065</v>
      </c>
      <c r="AC241" s="10" t="n">
        <f aca="false">IF(AB241="","",NORMDIST(CEILING(F241,1)-0.5,Z241,AA241,TRUE()))</f>
        <v>0.426451661172935</v>
      </c>
      <c r="AD241" s="0" t="str">
        <f aca="false">IF(AB241="","",IF(AB241&gt;=0.5+Config!$B$6,"OVER",IF(AC241&gt;=0.5+Config!$B$6,"UNDER","—")))</f>
        <v>OVER</v>
      </c>
      <c r="AE241" s="13" t="n">
        <f aca="false">IFERROR(Z241/G241,"")</f>
        <v>0.970685918370405</v>
      </c>
    </row>
    <row r="242" customFormat="false" ht="15" hidden="false" customHeight="false" outlineLevel="0" collapsed="false">
      <c r="A242" s="0" t="s">
        <v>1139</v>
      </c>
      <c r="B242" s="0" t="s">
        <v>1161</v>
      </c>
      <c r="C242" s="0" t="s">
        <v>1579</v>
      </c>
      <c r="D242" s="0" t="s">
        <v>1165</v>
      </c>
      <c r="E242" s="0" t="s">
        <v>1286</v>
      </c>
      <c r="F242" s="0" t="n">
        <v>15.5</v>
      </c>
      <c r="G242" s="11" t="n">
        <f aca="false">IFERROR(INDEX(CHOOSE(MATCH($X242,{"K1","K2","K3","K12","K13","H1","H2","H3","H12","H13"},0),Calc!$V$2:$V$137,Calc!$AC$2:$AC$137,Calc!$AJ$2:$AJ$137,Calc!$AL$2:$AL$137,Calc!$AM$2:$AM$137,Calc!$W$2:$W$137,Calc!$AD$2:$AD$137,Calc!$AK$2:$AK$137,Calc!$AN$2:$AN$137,Calc!$AO$2:$AO$137),MATCH($W242,Calc!$A$2:$A$137,0)),"")</f>
        <v>15.152946083432</v>
      </c>
      <c r="H242" s="11" t="n">
        <f aca="false">IF(G242="","",IF(LEFT($X242,1)="H",SQRT(G242*(IFERROR(INDEX(Calc!$AP$2:$AP$137,MATCH($W242,Calc!$A$2:$A$137,0)),0.5)*Config!$B$5+1-IFERROR(INDEX(Calc!$AP$2:$AP$137,MATCH($W242,Calc!$A$2:$A$137,0)),0.5))),SQRT(G242*Config!$B$5)))</f>
        <v>4.26604526104508</v>
      </c>
      <c r="I242" s="10" t="n">
        <f aca="false">IF(OR(F242="",G242="",N(H242)&lt;=0),"",1-NORMDIST(FLOOR(F242,1)+0.5,G242,H242,TRUE()))</f>
        <v>0.467580767916988</v>
      </c>
      <c r="J242" s="10" t="n">
        <f aca="false">IF(I242="","",NORMDIST(CEILING(F242,1)-0.5,G242,H242,TRUE()))</f>
        <v>0.532419232083012</v>
      </c>
      <c r="K242" s="10" t="n">
        <f aca="false">IF(I242="","",MAX(0,1-I242-J242))</f>
        <v>0</v>
      </c>
      <c r="L242" s="0" t="str">
        <f aca="false">IF(I242="","",IF(I242&gt;=0.5+Config!$B$6,"OVER",IF(J242&gt;=0.5+Config!$B$6,"UNDER","—")))</f>
        <v>—</v>
      </c>
      <c r="N242" s="0" t="n">
        <v>15.8</v>
      </c>
      <c r="O242" s="10" t="n">
        <v>0.6</v>
      </c>
      <c r="P242" s="10" t="n">
        <v>0.5</v>
      </c>
      <c r="Q242" s="10" t="n">
        <v>0.53</v>
      </c>
      <c r="R242" s="9" t="s">
        <v>1363</v>
      </c>
      <c r="S242" s="0" t="n">
        <v>-2</v>
      </c>
      <c r="T242" s="0" t="str">
        <f aca="false">INDEX(Calc!$G$2:$G$137,MATCH($W242,Calc!$A$2:$A$137,0))&amp;" / "&amp;INDEX(Calc!$H$2:$H$137,MATCH($W242,Calc!$A$2:$A$137,0))</f>
        <v>Dust2 / Mirage</v>
      </c>
      <c r="U242" s="0" t="str">
        <f aca="false">TEXT(INDEX(Calc!$J$2:$J$137,MATCH($W242,Calc!$A$2:$A$137,0)),"0.0")&amp;" / "&amp;TEXT(INDEX(Calc!$K$2:$K$137,MATCH($W242,Calc!$A$2:$A$137,0)),"0.0")</f>
        <v>21.4 / 21.1</v>
      </c>
      <c r="V242" s="0" t="str">
        <f aca="false">IFERROR(INDEX(Calc!$AQ$2:$AQ$137,MATCH($W242,Calc!$A$2:$A$137,0)),"")</f>
        <v/>
      </c>
      <c r="W242" s="9" t="s">
        <v>1580</v>
      </c>
      <c r="X242" s="9" t="s">
        <v>1289</v>
      </c>
      <c r="Y242" s="0" t="str">
        <f aca="false">W242&amp;"|"&amp;X242</f>
        <v>uiy2ot3l9f0c2i9|CS2 · VIT vs NAVI|H12</v>
      </c>
      <c r="Z242" s="11" t="n">
        <f aca="false">IFERROR(INDEX(CHOOSE(MATCH($X242,{"K1","K2","K3","K12","K13","H1","H2","H3","H12","H13"},0),Calc!$BA$2:$BA$137,Calc!$BB$2:$BB$137,Calc!$BC$2:$BC$137,Calc!$BD$2:$BD$137,Calc!$BE$2:$BE$137,Calc!$BF$2:$BF$137,Calc!$BG$2:$BG$137,Calc!$BH$2:$BH$137,Calc!$BI$2:$BI$137,Calc!$BJ$2:$BJ$137),MATCH($W242,Calc!$A$2:$A$137,0)),"")</f>
        <v>14.897112328377</v>
      </c>
      <c r="AA242" s="11" t="n">
        <f aca="false">IF(Z242="","",IF(LEFT($X242,1)="H",SQRT(Z242*(IFERROR(INDEX(Calc!$AP$2:$AP$137,MATCH($W242,Calc!$A$2:$A$137,0)),0.5)*Config!$B$5+1-IFERROR(INDEX(Calc!$AP$2:$AP$137,MATCH($W242,Calc!$A$2:$A$137,0)),0.5))),SQRT(Z242*Config!$B$5)))</f>
        <v>4.2298792140774</v>
      </c>
      <c r="AB242" s="10" t="n">
        <f aca="false">IF(OR(F242="",Z242="",N(AA242)&lt;=0),"",1-NORMDIST(FLOOR(F242,1)+0.5,Z242,AA242,TRUE()))</f>
        <v>0.44333041344778</v>
      </c>
      <c r="AC242" s="10" t="n">
        <f aca="false">IF(AB242="","",NORMDIST(CEILING(F242,1)-0.5,Z242,AA242,TRUE()))</f>
        <v>0.55666958655222</v>
      </c>
      <c r="AD242" s="0" t="str">
        <f aca="false">IF(AB242="","",IF(AB242&gt;=0.5+Config!$B$6,"OVER",IF(AC242&gt;=0.5+Config!$B$6,"UNDER","—")))</f>
        <v>UNDER</v>
      </c>
      <c r="AE242" s="13" t="n">
        <f aca="false">IFERROR(Z242/G242,"")</f>
        <v>0.983116566663255</v>
      </c>
    </row>
    <row r="243" customFormat="false" ht="15" hidden="false" customHeight="false" outlineLevel="0" collapsed="false">
      <c r="A243" s="0" t="s">
        <v>1139</v>
      </c>
      <c r="B243" s="0" t="s">
        <v>1161</v>
      </c>
      <c r="C243" s="0" t="s">
        <v>1579</v>
      </c>
      <c r="D243" s="0" t="s">
        <v>1165</v>
      </c>
      <c r="E243" s="0" t="s">
        <v>1290</v>
      </c>
      <c r="F243" s="0" t="n">
        <v>29.5</v>
      </c>
      <c r="G243" s="11" t="n">
        <f aca="false">IFERROR(INDEX(CHOOSE(MATCH($X243,{"K1","K2","K3","K12","K13","H1","H2","H3","H12","H13"},0),Calc!$V$2:$V$137,Calc!$AC$2:$AC$137,Calc!$AJ$2:$AJ$137,Calc!$AL$2:$AL$137,Calc!$AM$2:$AM$137,Calc!$W$2:$W$137,Calc!$AD$2:$AD$137,Calc!$AK$2:$AK$137,Calc!$AN$2:$AN$137,Calc!$AO$2:$AO$137),MATCH($W243,Calc!$A$2:$A$137,0)),"")</f>
        <v>30.1506230769231</v>
      </c>
      <c r="H243" s="11" t="n">
        <f aca="false">IF(G243="","",IF(LEFT($X243,1)="H",SQRT(G243*(IFERROR(INDEX(Calc!$AP$2:$AP$137,MATCH($W243,Calc!$A$2:$A$137,0)),0.5)*Config!$B$5+1-IFERROR(INDEX(Calc!$AP$2:$AP$137,MATCH($W243,Calc!$A$2:$A$137,0)),0.5))),SQRT(G243*Config!$B$5)))</f>
        <v>6.49698948034336</v>
      </c>
      <c r="I243" s="10" t="n">
        <f aca="false">IF(OR(F243="",G243="",N(H243)&lt;=0),"",1-NORMDIST(FLOOR(F243,1)+0.5,G243,H243,TRUE()))</f>
        <v>0.53988429922876</v>
      </c>
      <c r="J243" s="10" t="n">
        <f aca="false">IF(I243="","",NORMDIST(CEILING(F243,1)-0.5,G243,H243,TRUE()))</f>
        <v>0.460115700771241</v>
      </c>
      <c r="K243" s="10" t="n">
        <f aca="false">IF(I243="","",MAX(0,1-I243-J243))</f>
        <v>0</v>
      </c>
      <c r="L243" s="0" t="str">
        <f aca="false">IF(I243="","",IF(I243&gt;=0.5+Config!$B$6,"OVER",IF(J243&gt;=0.5+Config!$B$6,"UNDER","—")))</f>
        <v>—</v>
      </c>
      <c r="M243" s="0" t="n">
        <v>29.42</v>
      </c>
      <c r="N243" s="0" t="n">
        <v>29.9</v>
      </c>
      <c r="O243" s="10" t="n">
        <v>0.6</v>
      </c>
      <c r="P243" s="10" t="n">
        <v>0.5</v>
      </c>
      <c r="Q243" s="10" t="n">
        <v>0.33</v>
      </c>
      <c r="R243" s="9" t="s">
        <v>1368</v>
      </c>
      <c r="S243" s="0" t="n">
        <v>-2</v>
      </c>
      <c r="T243" s="0" t="str">
        <f aca="false">INDEX(Calc!$G$2:$G$137,MATCH($W243,Calc!$A$2:$A$137,0))&amp;" / "&amp;INDEX(Calc!$H$2:$H$137,MATCH($W243,Calc!$A$2:$A$137,0))</f>
        <v>Dust2 / Mirage</v>
      </c>
      <c r="U243" s="0" t="str">
        <f aca="false">TEXT(INDEX(Calc!$J$2:$J$137,MATCH($W243,Calc!$A$2:$A$137,0)),"0.0")&amp;" / "&amp;TEXT(INDEX(Calc!$K$2:$K$137,MATCH($W243,Calc!$A$2:$A$137,0)),"0.0")</f>
        <v>21.4 / 21.1</v>
      </c>
      <c r="V243" s="0" t="str">
        <f aca="false">IFERROR(INDEX(Calc!$AQ$2:$AQ$137,MATCH($W243,Calc!$A$2:$A$137,0)),"")</f>
        <v/>
      </c>
      <c r="W243" s="9" t="s">
        <v>1580</v>
      </c>
      <c r="X243" s="9" t="s">
        <v>1291</v>
      </c>
      <c r="Y243" s="0" t="str">
        <f aca="false">W243&amp;"|"&amp;X243</f>
        <v>uiy2ot3l9f0c2i9|CS2 · VIT vs NAVI|K12</v>
      </c>
      <c r="Z243" s="11" t="n">
        <f aca="false">IFERROR(INDEX(CHOOSE(MATCH($X243,{"K1","K2","K3","K12","K13","H1","H2","H3","H12","H13"},0),Calc!$BA$2:$BA$137,Calc!$BB$2:$BB$137,Calc!$BC$2:$BC$137,Calc!$BD$2:$BD$137,Calc!$BE$2:$BE$137,Calc!$BF$2:$BF$137,Calc!$BG$2:$BG$137,Calc!$BH$2:$BH$137,Calc!$BI$2:$BI$137,Calc!$BJ$2:$BJ$137),MATCH($W243,Calc!$A$2:$A$137,0)),"")</f>
        <v>29.6406887718929</v>
      </c>
      <c r="AA243" s="11" t="n">
        <f aca="false">IF(Z243="","",IF(LEFT($X243,1)="H",SQRT(Z243*(IFERROR(INDEX(Calc!$AP$2:$AP$137,MATCH($W243,Calc!$A$2:$A$137,0)),0.5)*Config!$B$5+1-IFERROR(INDEX(Calc!$AP$2:$AP$137,MATCH($W243,Calc!$A$2:$A$137,0)),0.5))),SQRT(Z243*Config!$B$5)))</f>
        <v>6.44181374153662</v>
      </c>
      <c r="AB243" s="10" t="n">
        <f aca="false">IF(OR(F243="",Z243="",N(AA243)&lt;=0),"",1-NORMDIST(FLOOR(F243,1)+0.5,Z243,AA243,TRUE()))</f>
        <v>0.508712179542415</v>
      </c>
      <c r="AC243" s="10" t="n">
        <f aca="false">IF(AB243="","",NORMDIST(CEILING(F243,1)-0.5,Z243,AA243,TRUE()))</f>
        <v>0.491287820457585</v>
      </c>
      <c r="AD243" s="0" t="str">
        <f aca="false">IF(AB243="","",IF(AB243&gt;=0.5+Config!$B$6,"OVER",IF(AC243&gt;=0.5+Config!$B$6,"UNDER","—")))</f>
        <v>—</v>
      </c>
      <c r="AE243" s="13" t="n">
        <f aca="false">IFERROR(Z243/G243,"")</f>
        <v>0.983087105572273</v>
      </c>
    </row>
    <row r="244" customFormat="false" ht="15" hidden="false" customHeight="false" outlineLevel="0" collapsed="false">
      <c r="A244" s="0" t="s">
        <v>1139</v>
      </c>
      <c r="B244" s="0" t="s">
        <v>1161</v>
      </c>
      <c r="C244" s="0" t="s">
        <v>1581</v>
      </c>
      <c r="D244" s="0" t="s">
        <v>1165</v>
      </c>
      <c r="E244" s="0" t="s">
        <v>1286</v>
      </c>
      <c r="F244" s="0" t="n">
        <v>16</v>
      </c>
      <c r="G244" s="11" t="n">
        <f aca="false">IFERROR(INDEX(CHOOSE(MATCH($X244,{"K1","K2","K3","K12","K13","H1","H2","H3","H12","H13"},0),Calc!$V$2:$V$137,Calc!$AC$2:$AC$137,Calc!$AJ$2:$AJ$137,Calc!$AL$2:$AL$137,Calc!$AM$2:$AM$137,Calc!$W$2:$W$137,Calc!$AD$2:$AD$137,Calc!$AK$2:$AK$137,Calc!$AN$2:$AN$137,Calc!$AO$2:$AO$137),MATCH($W244,Calc!$A$2:$A$137,0)),"")</f>
        <v>15.758756392562</v>
      </c>
      <c r="H244" s="11" t="n">
        <f aca="false">IF(G244="","",IF(LEFT($X244,1)="H",SQRT(G244*(IFERROR(INDEX(Calc!$AP$2:$AP$137,MATCH($W244,Calc!$A$2:$A$137,0)),0.5)*Config!$B$5+1-IFERROR(INDEX(Calc!$AP$2:$AP$137,MATCH($W244,Calc!$A$2:$A$137,0)),0.5))),SQRT(G244*Config!$B$5)))</f>
        <v>4.39797677258661</v>
      </c>
      <c r="I244" s="10" t="n">
        <f aca="false">IF(OR(F244="",G244="",N(H244)&lt;=0),"",1-NORMDIST(FLOOR(F244,1)+0.5,G244,H244,TRUE()))</f>
        <v>0.433078469830552</v>
      </c>
      <c r="J244" s="10" t="n">
        <f aca="false">IF(I244="","",NORMDIST(CEILING(F244,1)-0.5,G244,H244,TRUE()))</f>
        <v>0.476541635968606</v>
      </c>
      <c r="K244" s="10" t="n">
        <f aca="false">IF(I244="","",MAX(0,1-I244-J244))</f>
        <v>0.090379894200842</v>
      </c>
      <c r="L244" s="0" t="str">
        <f aca="false">IF(I244="","",IF(I244&gt;=0.5+Config!$B$6,"OVER",IF(J244&gt;=0.5+Config!$B$6,"UNDER","—")))</f>
        <v>—</v>
      </c>
      <c r="N244" s="0" t="n">
        <v>15.1</v>
      </c>
      <c r="O244" s="10" t="n">
        <v>0.2</v>
      </c>
      <c r="P244" s="10" t="n">
        <v>0.4</v>
      </c>
      <c r="Q244" s="10" t="n">
        <v>0.4</v>
      </c>
      <c r="R244" s="9" t="s">
        <v>1320</v>
      </c>
      <c r="S244" s="0" t="n">
        <v>1</v>
      </c>
      <c r="T244" s="0" t="str">
        <f aca="false">INDEX(Calc!$G$2:$G$137,MATCH($W244,Calc!$A$2:$A$137,0))&amp;" / "&amp;INDEX(Calc!$H$2:$H$137,MATCH($W244,Calc!$A$2:$A$137,0))</f>
        <v>Dust2 / Mirage</v>
      </c>
      <c r="U244" s="0" t="str">
        <f aca="false">TEXT(INDEX(Calc!$J$2:$J$137,MATCH($W244,Calc!$A$2:$A$137,0)),"0.0")&amp;" / "&amp;TEXT(INDEX(Calc!$K$2:$K$137,MATCH($W244,Calc!$A$2:$A$137,0)),"0.0")</f>
        <v>21.4 / 21.1</v>
      </c>
      <c r="V244" s="0" t="str">
        <f aca="false">IFERROR(INDEX(Calc!$AQ$2:$AQ$137,MATCH($W244,Calc!$A$2:$A$137,0)),"")</f>
        <v/>
      </c>
      <c r="W244" s="9" t="s">
        <v>1582</v>
      </c>
      <c r="X244" s="9" t="s">
        <v>1289</v>
      </c>
      <c r="Y244" s="0" t="str">
        <f aca="false">W244&amp;"|"&amp;X244</f>
        <v>frzabcozzj3obrl|CS2 · VIT vs NAVI|H12</v>
      </c>
      <c r="Z244" s="11" t="n">
        <f aca="false">IFERROR(INDEX(CHOOSE(MATCH($X244,{"K1","K2","K3","K12","K13","H1","H2","H3","H12","H13"},0),Calc!$BA$2:$BA$137,Calc!$BB$2:$BB$137,Calc!$BC$2:$BC$137,Calc!$BD$2:$BD$137,Calc!$BE$2:$BE$137,Calc!$BF$2:$BF$137,Calc!$BG$2:$BG$137,Calc!$BH$2:$BH$137,Calc!$BI$2:$BI$137,Calc!$BJ$2:$BJ$137),MATCH($W244,Calc!$A$2:$A$137,0)),"")</f>
        <v>15.4928760782046</v>
      </c>
      <c r="AA244" s="11" t="n">
        <f aca="false">IF(Z244="","",IF(LEFT($X244,1)="H",SQRT(Z244*(IFERROR(INDEX(Calc!$AP$2:$AP$137,MATCH($W244,Calc!$A$2:$A$137,0)),0.5)*Config!$B$5+1-IFERROR(INDEX(Calc!$AP$2:$AP$137,MATCH($W244,Calc!$A$2:$A$137,0)),0.5))),SQRT(Z244*Config!$B$5)))</f>
        <v>4.36071781318132</v>
      </c>
      <c r="AB244" s="10" t="n">
        <f aca="false">IF(OR(F244="",Z244="",N(AA244)&lt;=0),"",1-NORMDIST(FLOOR(F244,1)+0.5,Z244,AA244,TRUE()))</f>
        <v>0.408675385109374</v>
      </c>
      <c r="AC244" s="10" t="n">
        <f aca="false">IF(AB244="","",NORMDIST(CEILING(F244,1)-0.5,Z244,AA244,TRUE()))</f>
        <v>0.500651734981268</v>
      </c>
      <c r="AD244" s="0" t="str">
        <f aca="false">IF(AB244="","",IF(AB244&gt;=0.5+Config!$B$6,"OVER",IF(AC244&gt;=0.5+Config!$B$6,"UNDER","—")))</f>
        <v>—</v>
      </c>
      <c r="AE244" s="13" t="n">
        <f aca="false">IFERROR(Z244/G244,"")</f>
        <v>0.983128090330603</v>
      </c>
    </row>
    <row r="245" customFormat="false" ht="15" hidden="false" customHeight="false" outlineLevel="0" collapsed="false">
      <c r="A245" s="0" t="s">
        <v>1139</v>
      </c>
      <c r="B245" s="0" t="s">
        <v>1161</v>
      </c>
      <c r="C245" s="0" t="s">
        <v>1581</v>
      </c>
      <c r="D245" s="0" t="s">
        <v>1165</v>
      </c>
      <c r="E245" s="0" t="s">
        <v>1290</v>
      </c>
      <c r="F245" s="0" t="n">
        <v>26.5</v>
      </c>
      <c r="G245" s="11" t="n">
        <f aca="false">IFERROR(INDEX(CHOOSE(MATCH($X245,{"K1","K2","K3","K12","K13","H1","H2","H3","H12","H13"},0),Calc!$V$2:$V$137,Calc!$AC$2:$AC$137,Calc!$AJ$2:$AJ$137,Calc!$AL$2:$AL$137,Calc!$AM$2:$AM$137,Calc!$W$2:$W$137,Calc!$AD$2:$AD$137,Calc!$AK$2:$AK$137,Calc!$AN$2:$AN$137,Calc!$AO$2:$AO$137),MATCH($W245,Calc!$A$2:$A$137,0)),"")</f>
        <v>27.7206454545455</v>
      </c>
      <c r="H245" s="11" t="n">
        <f aca="false">IF(G245="","",IF(LEFT($X245,1)="H",SQRT(G245*(IFERROR(INDEX(Calc!$AP$2:$AP$137,MATCH($W245,Calc!$A$2:$A$137,0)),0.5)*Config!$B$5+1-IFERROR(INDEX(Calc!$AP$2:$AP$137,MATCH($W245,Calc!$A$2:$A$137,0)),0.5))),SQRT(G245*Config!$B$5)))</f>
        <v>6.22967925629913</v>
      </c>
      <c r="I245" s="10" t="n">
        <f aca="false">IF(OR(F245="",G245="",N(H245)&lt;=0),"",1-NORMDIST(FLOOR(F245,1)+0.5,G245,H245,TRUE()))</f>
        <v>0.577671567704124</v>
      </c>
      <c r="J245" s="10" t="n">
        <f aca="false">IF(I245="","",NORMDIST(CEILING(F245,1)-0.5,G245,H245,TRUE()))</f>
        <v>0.422328432295876</v>
      </c>
      <c r="K245" s="10" t="n">
        <f aca="false">IF(I245="","",MAX(0,1-I245-J245))</f>
        <v>0</v>
      </c>
      <c r="L245" s="0" t="str">
        <f aca="false">IF(I245="","",IF(I245&gt;=0.5+Config!$B$6,"OVER",IF(J245&gt;=0.5+Config!$B$6,"UNDER","—")))</f>
        <v>OVER</v>
      </c>
      <c r="M245" s="0" t="n">
        <v>28.58</v>
      </c>
      <c r="N245" s="0" t="n">
        <v>26.5</v>
      </c>
      <c r="O245" s="10" t="n">
        <v>0.2</v>
      </c>
      <c r="P245" s="10" t="n">
        <v>0.5</v>
      </c>
      <c r="Q245" s="10" t="n">
        <v>0.6</v>
      </c>
      <c r="R245" s="9" t="s">
        <v>1320</v>
      </c>
      <c r="S245" s="0" t="n">
        <v>1</v>
      </c>
      <c r="T245" s="0" t="str">
        <f aca="false">INDEX(Calc!$G$2:$G$137,MATCH($W245,Calc!$A$2:$A$137,0))&amp;" / "&amp;INDEX(Calc!$H$2:$H$137,MATCH($W245,Calc!$A$2:$A$137,0))</f>
        <v>Dust2 / Mirage</v>
      </c>
      <c r="U245" s="0" t="str">
        <f aca="false">TEXT(INDEX(Calc!$J$2:$J$137,MATCH($W245,Calc!$A$2:$A$137,0)),"0.0")&amp;" / "&amp;TEXT(INDEX(Calc!$K$2:$K$137,MATCH($W245,Calc!$A$2:$A$137,0)),"0.0")</f>
        <v>21.4 / 21.1</v>
      </c>
      <c r="V245" s="0" t="str">
        <f aca="false">IFERROR(INDEX(Calc!$AQ$2:$AQ$137,MATCH($W245,Calc!$A$2:$A$137,0)),"")</f>
        <v/>
      </c>
      <c r="W245" s="9" t="s">
        <v>1582</v>
      </c>
      <c r="X245" s="9" t="s">
        <v>1291</v>
      </c>
      <c r="Y245" s="0" t="str">
        <f aca="false">W245&amp;"|"&amp;X245</f>
        <v>frzabcozzj3obrl|CS2 · VIT vs NAVI|K12</v>
      </c>
      <c r="Z245" s="11" t="n">
        <f aca="false">IFERROR(INDEX(CHOOSE(MATCH($X245,{"K1","K2","K3","K12","K13","H1","H2","H3","H12","H13"},0),Calc!$BA$2:$BA$137,Calc!$BB$2:$BB$137,Calc!$BC$2:$BC$137,Calc!$BD$2:$BD$137,Calc!$BE$2:$BE$137,Calc!$BF$2:$BF$137,Calc!$BG$2:$BG$137,Calc!$BH$2:$BH$137,Calc!$BI$2:$BI$137,Calc!$BJ$2:$BJ$137),MATCH($W245,Calc!$A$2:$A$137,0)),"")</f>
        <v>27.2520370772891</v>
      </c>
      <c r="AA245" s="11" t="n">
        <f aca="false">IF(Z245="","",IF(LEFT($X245,1)="H",SQRT(Z245*(IFERROR(INDEX(Calc!$AP$2:$AP$137,MATCH($W245,Calc!$A$2:$A$137,0)),0.5)*Config!$B$5+1-IFERROR(INDEX(Calc!$AP$2:$AP$137,MATCH($W245,Calc!$A$2:$A$137,0)),0.5))),SQRT(Z245*Config!$B$5)))</f>
        <v>6.17679948745342</v>
      </c>
      <c r="AB245" s="10" t="n">
        <f aca="false">IF(OR(F245="",Z245="",N(AA245)&lt;=0),"",1-NORMDIST(FLOOR(F245,1)+0.5,Z245,AA245,TRUE()))</f>
        <v>0.548452245897854</v>
      </c>
      <c r="AC245" s="10" t="n">
        <f aca="false">IF(AB245="","",NORMDIST(CEILING(F245,1)-0.5,Z245,AA245,TRUE()))</f>
        <v>0.451547754102146</v>
      </c>
      <c r="AD245" s="0" t="str">
        <f aca="false">IF(AB245="","",IF(AB245&gt;=0.5+Config!$B$6,"OVER",IF(AC245&gt;=0.5+Config!$B$6,"UNDER","—")))</f>
        <v>OVER</v>
      </c>
      <c r="AE245" s="13" t="n">
        <f aca="false">IFERROR(Z245/G245,"")</f>
        <v>0.983095329507219</v>
      </c>
    </row>
    <row r="246" customFormat="false" ht="15" hidden="false" customHeight="false" outlineLevel="0" collapsed="false">
      <c r="A246" s="0" t="s">
        <v>1139</v>
      </c>
      <c r="B246" s="0" t="s">
        <v>1161</v>
      </c>
      <c r="C246" s="0" t="s">
        <v>1583</v>
      </c>
      <c r="D246" s="0" t="s">
        <v>1165</v>
      </c>
      <c r="E246" s="0" t="s">
        <v>1290</v>
      </c>
      <c r="F246" s="0" t="n">
        <v>26</v>
      </c>
      <c r="G246" s="11" t="n">
        <f aca="false">IFERROR(INDEX(CHOOSE(MATCH($X246,{"K1","K2","K3","K12","K13","H1","H2","H3","H12","H13"},0),Calc!$V$2:$V$137,Calc!$AC$2:$AC$137,Calc!$AJ$2:$AJ$137,Calc!$AL$2:$AL$137,Calc!$AM$2:$AM$137,Calc!$W$2:$W$137,Calc!$AD$2:$AD$137,Calc!$AK$2:$AK$137,Calc!$AN$2:$AN$137,Calc!$AO$2:$AO$137),MATCH($W246,Calc!$A$2:$A$137,0)),"")</f>
        <v>27.4944153846154</v>
      </c>
      <c r="H246" s="11" t="n">
        <f aca="false">IF(G246="","",IF(LEFT($X246,1)="H",SQRT(G246*(IFERROR(INDEX(Calc!$AP$2:$AP$137,MATCH($W246,Calc!$A$2:$A$137,0)),0.5)*Config!$B$5+1-IFERROR(INDEX(Calc!$AP$2:$AP$137,MATCH($W246,Calc!$A$2:$A$137,0)),0.5))),SQRT(G246*Config!$B$5)))</f>
        <v>6.20420676142096</v>
      </c>
      <c r="I246" s="10" t="n">
        <f aca="false">IF(OR(F246="",G246="",N(H246)&lt;=0),"",1-NORMDIST(FLOOR(F246,1)+0.5,G246,H246,TRUE()))</f>
        <v>0.563670068895552</v>
      </c>
      <c r="J246" s="10" t="n">
        <f aca="false">IF(I246="","",NORMDIST(CEILING(F246,1)-0.5,G246,H246,TRUE()))</f>
        <v>0.37393023362331</v>
      </c>
      <c r="K246" s="10" t="n">
        <f aca="false">IF(I246="","",MAX(0,1-I246-J246))</f>
        <v>0.0623996974811384</v>
      </c>
      <c r="L246" s="0" t="str">
        <f aca="false">IF(I246="","",IF(I246&gt;=0.5+Config!$B$6,"OVER",IF(J246&gt;=0.5+Config!$B$6,"UNDER","—")))</f>
        <v>OVER</v>
      </c>
      <c r="M246" s="0" t="n">
        <v>25.49</v>
      </c>
      <c r="N246" s="0" t="n">
        <v>23.7</v>
      </c>
      <c r="O246" s="10" t="n">
        <v>0.4</v>
      </c>
      <c r="P246" s="10" t="n">
        <v>0.3</v>
      </c>
      <c r="Q246" s="10" t="n">
        <v>0.33</v>
      </c>
      <c r="R246" s="9" t="s">
        <v>1523</v>
      </c>
      <c r="S246" s="0" t="n">
        <v>2</v>
      </c>
      <c r="T246" s="0" t="str">
        <f aca="false">INDEX(Calc!$G$2:$G$137,MATCH($W246,Calc!$A$2:$A$137,0))&amp;" / "&amp;INDEX(Calc!$H$2:$H$137,MATCH($W246,Calc!$A$2:$A$137,0))</f>
        <v>Dust2 / Mirage</v>
      </c>
      <c r="U246" s="0" t="str">
        <f aca="false">TEXT(INDEX(Calc!$J$2:$J$137,MATCH($W246,Calc!$A$2:$A$137,0)),"0.0")&amp;" / "&amp;TEXT(INDEX(Calc!$K$2:$K$137,MATCH($W246,Calc!$A$2:$A$137,0)),"0.0")</f>
        <v>21.4 / 21.1</v>
      </c>
      <c r="V246" s="0" t="str">
        <f aca="false">IFERROR(INDEX(Calc!$AQ$2:$AQ$137,MATCH($W246,Calc!$A$2:$A$137,0)),"")</f>
        <v/>
      </c>
      <c r="W246" s="9" t="s">
        <v>1584</v>
      </c>
      <c r="X246" s="9" t="s">
        <v>1291</v>
      </c>
      <c r="Y246" s="0" t="str">
        <f aca="false">W246&amp;"|"&amp;X246</f>
        <v>w4swyv4mqy1ob42|CS2 · VIT vs NAVI|K12</v>
      </c>
      <c r="Z246" s="11" t="n">
        <f aca="false">IFERROR(INDEX(CHOOSE(MATCH($X246,{"K1","K2","K3","K12","K13","H1","H2","H3","H12","H13"},0),Calc!$BA$2:$BA$137,Calc!$BB$2:$BB$137,Calc!$BC$2:$BC$137,Calc!$BD$2:$BD$137,Calc!$BE$2:$BE$137,Calc!$BF$2:$BF$137,Calc!$BG$2:$BG$137,Calc!$BH$2:$BH$137,Calc!$BI$2:$BI$137,Calc!$BJ$2:$BJ$137),MATCH($W246,Calc!$A$2:$A$137,0)),"")</f>
        <v>27.0283146986083</v>
      </c>
      <c r="AA246" s="11" t="n">
        <f aca="false">IF(Z246="","",IF(LEFT($X246,1)="H",SQRT(Z246*(IFERROR(INDEX(Calc!$AP$2:$AP$137,MATCH($W246,Calc!$A$2:$A$137,0)),0.5)*Config!$B$5+1-IFERROR(INDEX(Calc!$AP$2:$AP$137,MATCH($W246,Calc!$A$2:$A$137,0)),0.5))),SQRT(Z246*Config!$B$5)))</f>
        <v>6.15139338508371</v>
      </c>
      <c r="AB246" s="10" t="n">
        <f aca="false">IF(OR(F246="",Z246="",N(AA246)&lt;=0),"",1-NORMDIST(FLOOR(F246,1)+0.5,Z246,AA246,TRUE()))</f>
        <v>0.534221229319112</v>
      </c>
      <c r="AC246" s="10" t="n">
        <f aca="false">IF(AB246="","",NORMDIST(CEILING(F246,1)-0.5,Z246,AA246,TRUE()))</f>
        <v>0.401893062151534</v>
      </c>
      <c r="AD246" s="0" t="str">
        <f aca="false">IF(AB246="","",IF(AB246&gt;=0.5+Config!$B$6,"OVER",IF(AC246&gt;=0.5+Config!$B$6,"UNDER","—")))</f>
        <v>—</v>
      </c>
      <c r="AE246" s="13" t="n">
        <f aca="false">IFERROR(Z246/G246,"")</f>
        <v>0.983047441471774</v>
      </c>
    </row>
    <row r="247" customFormat="false" ht="15" hidden="false" customHeight="false" outlineLevel="0" collapsed="false">
      <c r="A247" s="0" t="s">
        <v>1139</v>
      </c>
      <c r="B247" s="0" t="s">
        <v>1161</v>
      </c>
      <c r="C247" s="0" t="s">
        <v>1585</v>
      </c>
      <c r="D247" s="0" t="s">
        <v>1165</v>
      </c>
      <c r="E247" s="0" t="s">
        <v>1286</v>
      </c>
      <c r="F247" s="0" t="n">
        <v>16</v>
      </c>
      <c r="G247" s="11" t="n">
        <f aca="false">IFERROR(INDEX(CHOOSE(MATCH($X247,{"K1","K2","K3","K12","K13","H1","H2","H3","H12","H13"},0),Calc!$V$2:$V$137,Calc!$AC$2:$AC$137,Calc!$AJ$2:$AJ$137,Calc!$AL$2:$AL$137,Calc!$AM$2:$AM$137,Calc!$W$2:$W$137,Calc!$AD$2:$AD$137,Calc!$AK$2:$AK$137,Calc!$AN$2:$AN$137,Calc!$AO$2:$AO$137),MATCH($W247,Calc!$A$2:$A$137,0)),"")</f>
        <v>17.3258270106509</v>
      </c>
      <c r="H247" s="11" t="n">
        <f aca="false">IF(G247="","",IF(LEFT($X247,1)="H",SQRT(G247*(IFERROR(INDEX(Calc!$AP$2:$AP$137,MATCH($W247,Calc!$A$2:$A$137,0)),0.5)*Config!$B$5+1-IFERROR(INDEX(Calc!$AP$2:$AP$137,MATCH($W247,Calc!$A$2:$A$137,0)),0.5))),SQRT(G247*Config!$B$5)))</f>
        <v>4.58513360228467</v>
      </c>
      <c r="I247" s="10" t="n">
        <f aca="false">IF(OR(F247="",G247="",N(H247)&lt;=0),"",1-NORMDIST(FLOOR(F247,1)+0.5,G247,H247,TRUE()))</f>
        <v>0.57146677387511</v>
      </c>
      <c r="J247" s="10" t="n">
        <f aca="false">IF(I247="","",NORMDIST(CEILING(F247,1)-0.5,G247,H247,TRUE()))</f>
        <v>0.345239228084025</v>
      </c>
      <c r="K247" s="10" t="n">
        <f aca="false">IF(I247="","",MAX(0,1-I247-J247))</f>
        <v>0.0832939980408652</v>
      </c>
      <c r="L247" s="0" t="str">
        <f aca="false">IF(I247="","",IF(I247&gt;=0.5+Config!$B$6,"OVER",IF(J247&gt;=0.5+Config!$B$6,"UNDER","—")))</f>
        <v>OVER</v>
      </c>
      <c r="N247" s="0" t="n">
        <v>14.5</v>
      </c>
      <c r="O247" s="10" t="n">
        <v>0.6</v>
      </c>
      <c r="P247" s="10" t="n">
        <v>0.6</v>
      </c>
      <c r="Q247" s="10" t="n">
        <v>0.67</v>
      </c>
      <c r="R247" s="9" t="s">
        <v>1518</v>
      </c>
      <c r="S247" s="0" t="n">
        <v>2</v>
      </c>
      <c r="T247" s="0" t="str">
        <f aca="false">INDEX(Calc!$G$2:$G$137,MATCH($W247,Calc!$A$2:$A$137,0))&amp;" / "&amp;INDEX(Calc!$H$2:$H$137,MATCH($W247,Calc!$A$2:$A$137,0))</f>
        <v>Dust2 / Mirage</v>
      </c>
      <c r="U247" s="0" t="str">
        <f aca="false">TEXT(INDEX(Calc!$J$2:$J$137,MATCH($W247,Calc!$A$2:$A$137,0)),"0.0")&amp;" / "&amp;TEXT(INDEX(Calc!$K$2:$K$137,MATCH($W247,Calc!$A$2:$A$137,0)),"0.0")</f>
        <v>21.4 / 21.1</v>
      </c>
      <c r="V247" s="0" t="str">
        <f aca="false">IFERROR(INDEX(Calc!$AQ$2:$AQ$137,MATCH($W247,Calc!$A$2:$A$137,0)),"")</f>
        <v/>
      </c>
      <c r="W247" s="9" t="s">
        <v>1586</v>
      </c>
      <c r="X247" s="9" t="s">
        <v>1289</v>
      </c>
      <c r="Y247" s="0" t="str">
        <f aca="false">W247&amp;"|"&amp;X247</f>
        <v>jbs33yc6r5ra8l4|CS2 · VIT vs NAVI|H12</v>
      </c>
      <c r="Z247" s="11" t="n">
        <f aca="false">IFERROR(INDEX(CHOOSE(MATCH($X247,{"K1","K2","K3","K12","K13","H1","H2","H3","H12","H13"},0),Calc!$BA$2:$BA$137,Calc!$BB$2:$BB$137,Calc!$BC$2:$BC$137,Calc!$BD$2:$BD$137,Calc!$BE$2:$BE$137,Calc!$BF$2:$BF$137,Calc!$BG$2:$BG$137,Calc!$BH$2:$BH$137,Calc!$BI$2:$BI$137,Calc!$BJ$2:$BJ$137),MATCH($W247,Calc!$A$2:$A$137,0)),"")</f>
        <v>17.032997350401</v>
      </c>
      <c r="AA247" s="11" t="n">
        <f aca="false">IF(Z247="","",IF(LEFT($X247,1)="H",SQRT(Z247*(IFERROR(INDEX(Calc!$AP$2:$AP$137,MATCH($W247,Calc!$A$2:$A$137,0)),0.5)*Config!$B$5+1-IFERROR(INDEX(Calc!$AP$2:$AP$137,MATCH($W247,Calc!$A$2:$A$137,0)),0.5))),SQRT(Z247*Config!$B$5)))</f>
        <v>4.54622103638559</v>
      </c>
      <c r="AB247" s="10" t="n">
        <f aca="false">IF(OR(F247="",Z247="",N(AA247)&lt;=0),"",1-NORMDIST(FLOOR(F247,1)+0.5,Z247,AA247,TRUE()))</f>
        <v>0.546664925190768</v>
      </c>
      <c r="AC247" s="10" t="n">
        <f aca="false">IF(AB247="","",NORMDIST(CEILING(F247,1)-0.5,Z247,AA247,TRUE()))</f>
        <v>0.367982105571105</v>
      </c>
      <c r="AD247" s="0" t="str">
        <f aca="false">IF(AB247="","",IF(AB247&gt;=0.5+Config!$B$6,"OVER",IF(AC247&gt;=0.5+Config!$B$6,"UNDER","—")))</f>
        <v>OVER</v>
      </c>
      <c r="AE247" s="13" t="n">
        <f aca="false">IFERROR(Z247/G247,"")</f>
        <v>0.98309866189534</v>
      </c>
    </row>
    <row r="248" customFormat="false" ht="15" hidden="false" customHeight="false" outlineLevel="0" collapsed="false">
      <c r="A248" s="0" t="s">
        <v>1139</v>
      </c>
      <c r="B248" s="0" t="s">
        <v>1161</v>
      </c>
      <c r="C248" s="0" t="s">
        <v>1585</v>
      </c>
      <c r="D248" s="0" t="s">
        <v>1165</v>
      </c>
      <c r="E248" s="0" t="s">
        <v>1290</v>
      </c>
      <c r="F248" s="0" t="n">
        <v>30.5</v>
      </c>
      <c r="G248" s="11" t="n">
        <f aca="false">IFERROR(INDEX(CHOOSE(MATCH($X248,{"K1","K2","K3","K12","K13","H1","H2","H3","H12","H13"},0),Calc!$V$2:$V$137,Calc!$AC$2:$AC$137,Calc!$AJ$2:$AJ$137,Calc!$AL$2:$AL$137,Calc!$AM$2:$AM$137,Calc!$W$2:$W$137,Calc!$AD$2:$AD$137,Calc!$AK$2:$AK$137,Calc!$AN$2:$AN$137,Calc!$AO$2:$AO$137),MATCH($W248,Calc!$A$2:$A$137,0)),"")</f>
        <v>32.4732153846154</v>
      </c>
      <c r="H248" s="11" t="n">
        <f aca="false">IF(G248="","",IF(LEFT($X248,1)="H",SQRT(G248*(IFERROR(INDEX(Calc!$AP$2:$AP$137,MATCH($W248,Calc!$A$2:$A$137,0)),0.5)*Config!$B$5+1-IFERROR(INDEX(Calc!$AP$2:$AP$137,MATCH($W248,Calc!$A$2:$A$137,0)),0.5))),SQRT(G248*Config!$B$5)))</f>
        <v>6.7425886377905</v>
      </c>
      <c r="I248" s="10" t="n">
        <f aca="false">IF(OR(F248="",G248="",N(H248)&lt;=0),"",1-NORMDIST(FLOOR(F248,1)+0.5,G248,H248,TRUE()))</f>
        <v>0.615104973945923</v>
      </c>
      <c r="J248" s="10" t="n">
        <f aca="false">IF(I248="","",NORMDIST(CEILING(F248,1)-0.5,G248,H248,TRUE()))</f>
        <v>0.384895026054077</v>
      </c>
      <c r="K248" s="10" t="n">
        <f aca="false">IF(I248="","",MAX(0,1-I248-J248))</f>
        <v>0</v>
      </c>
      <c r="L248" s="0" t="str">
        <f aca="false">IF(I248="","",IF(I248&gt;=0.5+Config!$B$6,"OVER",IF(J248&gt;=0.5+Config!$B$6,"UNDER","—")))</f>
        <v>OVER</v>
      </c>
      <c r="M248" s="0" t="n">
        <v>30</v>
      </c>
      <c r="N248" s="0" t="n">
        <v>28</v>
      </c>
      <c r="O248" s="10" t="n">
        <v>0.2</v>
      </c>
      <c r="P248" s="10" t="n">
        <v>0.1</v>
      </c>
      <c r="Q248" s="10" t="n">
        <v>0.27</v>
      </c>
      <c r="R248" s="9" t="s">
        <v>1587</v>
      </c>
      <c r="S248" s="0" t="n">
        <v>-1</v>
      </c>
      <c r="T248" s="0" t="str">
        <f aca="false">INDEX(Calc!$G$2:$G$137,MATCH($W248,Calc!$A$2:$A$137,0))&amp;" / "&amp;INDEX(Calc!$H$2:$H$137,MATCH($W248,Calc!$A$2:$A$137,0))</f>
        <v>Dust2 / Mirage</v>
      </c>
      <c r="U248" s="0" t="str">
        <f aca="false">TEXT(INDEX(Calc!$J$2:$J$137,MATCH($W248,Calc!$A$2:$A$137,0)),"0.0")&amp;" / "&amp;TEXT(INDEX(Calc!$K$2:$K$137,MATCH($W248,Calc!$A$2:$A$137,0)),"0.0")</f>
        <v>21.4 / 21.1</v>
      </c>
      <c r="V248" s="0" t="str">
        <f aca="false">IFERROR(INDEX(Calc!$AQ$2:$AQ$137,MATCH($W248,Calc!$A$2:$A$137,0)),"")</f>
        <v/>
      </c>
      <c r="W248" s="9" t="s">
        <v>1586</v>
      </c>
      <c r="X248" s="9" t="s">
        <v>1291</v>
      </c>
      <c r="Y248" s="0" t="str">
        <f aca="false">W248&amp;"|"&amp;X248</f>
        <v>jbs33yc6r5ra8l4|CS2 · VIT vs NAVI|K12</v>
      </c>
      <c r="Z248" s="11" t="n">
        <f aca="false">IFERROR(INDEX(CHOOSE(MATCH($X248,{"K1","K2","K3","K12","K13","H1","H2","H3","H12","H13"},0),Calc!$BA$2:$BA$137,Calc!$BB$2:$BB$137,Calc!$BC$2:$BC$137,Calc!$BD$2:$BD$137,Calc!$BE$2:$BE$137,Calc!$BF$2:$BF$137,Calc!$BG$2:$BG$137,Calc!$BH$2:$BH$137,Calc!$BI$2:$BI$137,Calc!$BJ$2:$BJ$137),MATCH($W248,Calc!$A$2:$A$137,0)),"")</f>
        <v>31.924351182811</v>
      </c>
      <c r="AA248" s="11" t="n">
        <f aca="false">IF(Z248="","",IF(LEFT($X248,1)="H",SQRT(Z248*(IFERROR(INDEX(Calc!$AP$2:$AP$137,MATCH($W248,Calc!$A$2:$A$137,0)),0.5)*Config!$B$5+1-IFERROR(INDEX(Calc!$AP$2:$AP$137,MATCH($W248,Calc!$A$2:$A$137,0)),0.5))),SQRT(Z248*Config!$B$5)))</f>
        <v>6.68536398829079</v>
      </c>
      <c r="AB248" s="10" t="n">
        <f aca="false">IF(OR(F248="",Z248="",N(AA248)&lt;=0),"",1-NORMDIST(FLOOR(F248,1)+0.5,Z248,AA248,TRUE()))</f>
        <v>0.584358024123681</v>
      </c>
      <c r="AC248" s="10" t="n">
        <f aca="false">IF(AB248="","",NORMDIST(CEILING(F248,1)-0.5,Z248,AA248,TRUE()))</f>
        <v>0.415641975876319</v>
      </c>
      <c r="AD248" s="0" t="str">
        <f aca="false">IF(AB248="","",IF(AB248&gt;=0.5+Config!$B$6,"OVER",IF(AC248&gt;=0.5+Config!$B$6,"UNDER","—")))</f>
        <v>OVER</v>
      </c>
      <c r="AE248" s="13" t="n">
        <f aca="false">IFERROR(Z248/G248,"")</f>
        <v>0.983097941016815</v>
      </c>
    </row>
    <row r="249" customFormat="false" ht="15" hidden="false" customHeight="false" outlineLevel="0" collapsed="false">
      <c r="A249" s="0" t="s">
        <v>1139</v>
      </c>
      <c r="B249" s="0" t="s">
        <v>1161</v>
      </c>
      <c r="C249" s="0" t="s">
        <v>1588</v>
      </c>
      <c r="D249" s="0" t="s">
        <v>1165</v>
      </c>
      <c r="E249" s="0" t="s">
        <v>1286</v>
      </c>
      <c r="F249" s="0" t="n">
        <v>15</v>
      </c>
      <c r="G249" s="11" t="n">
        <f aca="false">IFERROR(INDEX(CHOOSE(MATCH($X249,{"K1","K2","K3","K12","K13","H1","H2","H3","H12","H13"},0),Calc!$V$2:$V$137,Calc!$AC$2:$AC$137,Calc!$AJ$2:$AJ$137,Calc!$AL$2:$AL$137,Calc!$AM$2:$AM$137,Calc!$W$2:$W$137,Calc!$AD$2:$AD$137,Calc!$AK$2:$AK$137,Calc!$AN$2:$AN$137,Calc!$AO$2:$AO$137),MATCH($W249,Calc!$A$2:$A$137,0)),"")</f>
        <v>14.7987990325444</v>
      </c>
      <c r="H249" s="11" t="n">
        <f aca="false">IF(G249="","",IF(LEFT($X249,1)="H",SQRT(G249*(IFERROR(INDEX(Calc!$AP$2:$AP$137,MATCH($W249,Calc!$A$2:$A$137,0)),0.5)*Config!$B$5+1-IFERROR(INDEX(Calc!$AP$2:$AP$137,MATCH($W249,Calc!$A$2:$A$137,0)),0.5))),SQRT(G249*Config!$B$5)))</f>
        <v>4.13864097443796</v>
      </c>
      <c r="I249" s="10" t="n">
        <f aca="false">IF(OR(F249="",G249="",N(H249)&lt;=0),"",1-NORMDIST(FLOOR(F249,1)+0.5,G249,H249,TRUE()))</f>
        <v>0.432730066617934</v>
      </c>
      <c r="J249" s="10" t="n">
        <f aca="false">IF(I249="","",NORMDIST(CEILING(F249,1)-0.5,G249,H249,TRUE()))</f>
        <v>0.471222415342958</v>
      </c>
      <c r="K249" s="10" t="n">
        <f aca="false">IF(I249="","",MAX(0,1-I249-J249))</f>
        <v>0.0960475180391086</v>
      </c>
      <c r="L249" s="0" t="str">
        <f aca="false">IF(I249="","",IF(I249&gt;=0.5+Config!$B$6,"OVER",IF(J249&gt;=0.5+Config!$B$6,"UNDER","—")))</f>
        <v>—</v>
      </c>
      <c r="N249" s="0" t="n">
        <v>15</v>
      </c>
      <c r="O249" s="10" t="n">
        <v>0.8</v>
      </c>
      <c r="P249" s="10" t="n">
        <v>0.7</v>
      </c>
      <c r="Q249" s="10" t="n">
        <v>0.67</v>
      </c>
      <c r="R249" s="9" t="s">
        <v>1589</v>
      </c>
      <c r="S249" s="0" t="n">
        <v>3</v>
      </c>
      <c r="T249" s="0" t="str">
        <f aca="false">INDEX(Calc!$G$2:$G$137,MATCH($W249,Calc!$A$2:$A$137,0))&amp;" / "&amp;INDEX(Calc!$H$2:$H$137,MATCH($W249,Calc!$A$2:$A$137,0))</f>
        <v>Dust2 / Mirage</v>
      </c>
      <c r="U249" s="0" t="str">
        <f aca="false">TEXT(INDEX(Calc!$J$2:$J$137,MATCH($W249,Calc!$A$2:$A$137,0)),"0.0")&amp;" / "&amp;TEXT(INDEX(Calc!$K$2:$K$137,MATCH($W249,Calc!$A$2:$A$137,0)),"0.0")</f>
        <v>21.4 / 21.1</v>
      </c>
      <c r="V249" s="0" t="str">
        <f aca="false">IFERROR(INDEX(Calc!$AQ$2:$AQ$137,MATCH($W249,Calc!$A$2:$A$137,0)),"")</f>
        <v/>
      </c>
      <c r="W249" s="9" t="s">
        <v>1590</v>
      </c>
      <c r="X249" s="9" t="s">
        <v>1289</v>
      </c>
      <c r="Y249" s="0" t="str">
        <f aca="false">W249&amp;"|"&amp;X249</f>
        <v>6vanqemhsqez4mc|CS2 · VIT vs NAVI|H12</v>
      </c>
      <c r="Z249" s="11" t="n">
        <f aca="false">IFERROR(INDEX(CHOOSE(MATCH($X249,{"K1","K2","K3","K12","K13","H1","H2","H3","H12","H13"},0),Calc!$BA$2:$BA$137,Calc!$BB$2:$BB$137,Calc!$BC$2:$BC$137,Calc!$BD$2:$BD$137,Calc!$BE$2:$BE$137,Calc!$BF$2:$BF$137,Calc!$BG$2:$BG$137,Calc!$BH$2:$BH$137,Calc!$BI$2:$BI$137,Calc!$BJ$2:$BJ$137),MATCH($W249,Calc!$A$2:$A$137,0)),"")</f>
        <v>14.5495388985384</v>
      </c>
      <c r="AA249" s="11" t="n">
        <f aca="false">IF(Z249="","",IF(LEFT($X249,1)="H",SQRT(Z249*(IFERROR(INDEX(Calc!$AP$2:$AP$137,MATCH($W249,Calc!$A$2:$A$137,0)),0.5)*Config!$B$5+1-IFERROR(INDEX(Calc!$AP$2:$AP$137,MATCH($W249,Calc!$A$2:$A$137,0)),0.5))),SQRT(Z249*Config!$B$5)))</f>
        <v>4.10363884200171</v>
      </c>
      <c r="AB249" s="10" t="n">
        <f aca="false">IF(OR(F249="",Z249="",N(AA249)&lt;=0),"",1-NORMDIST(FLOOR(F249,1)+0.5,Z249,AA249,TRUE()))</f>
        <v>0.408418831693597</v>
      </c>
      <c r="AC249" s="10" t="n">
        <f aca="false">IF(AB249="","",NORMDIST(CEILING(F249,1)-0.5,Z249,AA249,TRUE()))</f>
        <v>0.495184108080025</v>
      </c>
      <c r="AD249" s="0" t="str">
        <f aca="false">IF(AB249="","",IF(AB249&gt;=0.5+Config!$B$6,"OVER",IF(AC249&gt;=0.5+Config!$B$6,"UNDER","—")))</f>
        <v>—</v>
      </c>
      <c r="AE249" s="13" t="n">
        <f aca="false">IFERROR(Z249/G249,"")</f>
        <v>0.983156732282273</v>
      </c>
    </row>
    <row r="250" customFormat="false" ht="15" hidden="false" customHeight="false" outlineLevel="0" collapsed="false">
      <c r="A250" s="0" t="s">
        <v>1139</v>
      </c>
      <c r="B250" s="0" t="s">
        <v>1161</v>
      </c>
      <c r="C250" s="0" t="s">
        <v>1588</v>
      </c>
      <c r="D250" s="0" t="s">
        <v>1165</v>
      </c>
      <c r="E250" s="0" t="s">
        <v>1290</v>
      </c>
      <c r="F250" s="0" t="n">
        <v>35</v>
      </c>
      <c r="G250" s="11" t="n">
        <f aca="false">IFERROR(INDEX(CHOOSE(MATCH($X250,{"K1","K2","K3","K12","K13","H1","H2","H3","H12","H13"},0),Calc!$V$2:$V$137,Calc!$AC$2:$AC$137,Calc!$AJ$2:$AJ$137,Calc!$AL$2:$AL$137,Calc!$AM$2:$AM$137,Calc!$W$2:$W$137,Calc!$AD$2:$AD$137,Calc!$AK$2:$AK$137,Calc!$AN$2:$AN$137,Calc!$AO$2:$AO$137),MATCH($W250,Calc!$A$2:$A$137,0)),"")</f>
        <v>37.6045923076923</v>
      </c>
      <c r="H250" s="11" t="n">
        <f aca="false">IF(G250="","",IF(LEFT($X250,1)="H",SQRT(G250*(IFERROR(INDEX(Calc!$AP$2:$AP$137,MATCH($W250,Calc!$A$2:$A$137,0)),0.5)*Config!$B$5+1-IFERROR(INDEX(Calc!$AP$2:$AP$137,MATCH($W250,Calc!$A$2:$A$137,0)),0.5))),SQRT(G250*Config!$B$5)))</f>
        <v>7.25578591406674</v>
      </c>
      <c r="I250" s="10" t="n">
        <f aca="false">IF(OR(F250="",G250="",N(H250)&lt;=0),"",1-NORMDIST(FLOOR(F250,1)+0.5,G250,H250,TRUE()))</f>
        <v>0.614113727198961</v>
      </c>
      <c r="J250" s="10" t="n">
        <f aca="false">IF(I250="","",NORMDIST(CEILING(F250,1)-0.5,G250,H250,TRUE()))</f>
        <v>0.334369915186059</v>
      </c>
      <c r="K250" s="10" t="n">
        <f aca="false">IF(I250="","",MAX(0,1-I250-J250))</f>
        <v>0.0515163576149803</v>
      </c>
      <c r="L250" s="0" t="str">
        <f aca="false">IF(I250="","",IF(I250&gt;=0.5+Config!$B$6,"OVER",IF(J250&gt;=0.5+Config!$B$6,"UNDER","—")))</f>
        <v>OVER</v>
      </c>
      <c r="M250" s="0" t="n">
        <v>36.82</v>
      </c>
      <c r="N250" s="0" t="n">
        <v>33.2</v>
      </c>
      <c r="O250" s="10" t="n">
        <v>0.6</v>
      </c>
      <c r="P250" s="10" t="n">
        <v>0.4</v>
      </c>
      <c r="Q250" s="10" t="n">
        <v>0.47</v>
      </c>
      <c r="R250" s="9" t="s">
        <v>1361</v>
      </c>
      <c r="S250" s="0" t="n">
        <v>-1</v>
      </c>
      <c r="T250" s="0" t="str">
        <f aca="false">INDEX(Calc!$G$2:$G$137,MATCH($W250,Calc!$A$2:$A$137,0))&amp;" / "&amp;INDEX(Calc!$H$2:$H$137,MATCH($W250,Calc!$A$2:$A$137,0))</f>
        <v>Dust2 / Mirage</v>
      </c>
      <c r="U250" s="0" t="str">
        <f aca="false">TEXT(INDEX(Calc!$J$2:$J$137,MATCH($W250,Calc!$A$2:$A$137,0)),"0.0")&amp;" / "&amp;TEXT(INDEX(Calc!$K$2:$K$137,MATCH($W250,Calc!$A$2:$A$137,0)),"0.0")</f>
        <v>21.4 / 21.1</v>
      </c>
      <c r="V250" s="0" t="str">
        <f aca="false">IFERROR(INDEX(Calc!$AQ$2:$AQ$137,MATCH($W250,Calc!$A$2:$A$137,0)),"")</f>
        <v/>
      </c>
      <c r="W250" s="9" t="s">
        <v>1590</v>
      </c>
      <c r="X250" s="9" t="s">
        <v>1291</v>
      </c>
      <c r="Y250" s="0" t="str">
        <f aca="false">W250&amp;"|"&amp;X250</f>
        <v>6vanqemhsqez4mc|CS2 · VIT vs NAVI|K12</v>
      </c>
      <c r="Z250" s="11" t="n">
        <f aca="false">IFERROR(INDEX(CHOOSE(MATCH($X250,{"K1","K2","K3","K12","K13","H1","H2","H3","H12","H13"},0),Calc!$BA$2:$BA$137,Calc!$BB$2:$BB$137,Calc!$BC$2:$BC$137,Calc!$BD$2:$BD$137,Calc!$BE$2:$BE$137,Calc!$BF$2:$BF$137,Calc!$BG$2:$BG$137,Calc!$BH$2:$BH$137,Calc!$BI$2:$BI$137,Calc!$BJ$2:$BJ$137),MATCH($W250,Calc!$A$2:$A$137,0)),"")</f>
        <v>36.9692422920223</v>
      </c>
      <c r="AA250" s="11" t="n">
        <f aca="false">IF(Z250="","",IF(LEFT($X250,1)="H",SQRT(Z250*(IFERROR(INDEX(Calc!$AP$2:$AP$137,MATCH($W250,Calc!$A$2:$A$137,0)),0.5)*Config!$B$5+1-IFERROR(INDEX(Calc!$AP$2:$AP$137,MATCH($W250,Calc!$A$2:$A$137,0)),0.5))),SQRT(Z250*Config!$B$5)))</f>
        <v>7.19422957715635</v>
      </c>
      <c r="AB250" s="10" t="n">
        <f aca="false">IF(OR(F250="",Z250="",N(AA250)&lt;=0),"",1-NORMDIST(FLOOR(F250,1)+0.5,Z250,AA250,TRUE()))</f>
        <v>0.580911203161286</v>
      </c>
      <c r="AC250" s="10" t="n">
        <f aca="false">IF(AB250="","",NORMDIST(CEILING(F250,1)-0.5,Z250,AA250,TRUE()))</f>
        <v>0.365714450473831</v>
      </c>
      <c r="AD250" s="0" t="str">
        <f aca="false">IF(AB250="","",IF(AB250&gt;=0.5+Config!$B$6,"OVER",IF(AC250&gt;=0.5+Config!$B$6,"UNDER","—")))</f>
        <v>OVER</v>
      </c>
      <c r="AE250" s="13" t="n">
        <f aca="false">IFERROR(Z250/G250,"")</f>
        <v>0.983104456751681</v>
      </c>
    </row>
    <row r="251" customFormat="false" ht="15" hidden="false" customHeight="false" outlineLevel="0" collapsed="false">
      <c r="A251" s="0" t="s">
        <v>1139</v>
      </c>
      <c r="B251" s="0" t="s">
        <v>1210</v>
      </c>
      <c r="C251" s="0" t="s">
        <v>1591</v>
      </c>
      <c r="D251" s="0" t="s">
        <v>1213</v>
      </c>
      <c r="E251" s="0" t="s">
        <v>1286</v>
      </c>
      <c r="F251" s="0" t="n">
        <v>16.5</v>
      </c>
      <c r="G251" s="11" t="n">
        <f aca="false">IFERROR(INDEX(CHOOSE(MATCH($X251,{"K1","K2","K3","K12","K13","H1","H2","H3","H12","H13"},0),Calc!$V$2:$V$137,Calc!$AC$2:$AC$137,Calc!$AJ$2:$AJ$137,Calc!$AL$2:$AL$137,Calc!$AM$2:$AM$137,Calc!$W$2:$W$137,Calc!$AD$2:$AD$137,Calc!$AK$2:$AK$137,Calc!$AN$2:$AN$137,Calc!$AO$2:$AO$137),MATCH($W251,Calc!$A$2:$A$137,0)),"")</f>
        <v>14.2753040259549</v>
      </c>
      <c r="H251" s="11" t="n">
        <f aca="false">IF(G251="","",IF(LEFT($X251,1)="H",SQRT(G251*(IFERROR(INDEX(Calc!$AP$2:$AP$137,MATCH($W251,Calc!$A$2:$A$137,0)),0.5)*Config!$B$5+1-IFERROR(INDEX(Calc!$AP$2:$AP$137,MATCH($W251,Calc!$A$2:$A$137,0)),0.5))),SQRT(G251*Config!$B$5)))</f>
        <v>4.18091261728941</v>
      </c>
      <c r="I251" s="10" t="n">
        <f aca="false">IF(OR(F251="",G251="",N(H251)&lt;=0),"",1-NORMDIST(FLOOR(F251,1)+0.5,G251,H251,TRUE()))</f>
        <v>0.297325687647365</v>
      </c>
      <c r="J251" s="10" t="n">
        <f aca="false">IF(I251="","",NORMDIST(CEILING(F251,1)-0.5,G251,H251,TRUE()))</f>
        <v>0.702674312352635</v>
      </c>
      <c r="K251" s="10" t="n">
        <f aca="false">IF(I251="","",MAX(0,1-I251-J251))</f>
        <v>0</v>
      </c>
      <c r="L251" s="0" t="str">
        <f aca="false">IF(I251="","",IF(I251&gt;=0.5+Config!$B$6,"OVER",IF(J251&gt;=0.5+Config!$B$6,"UNDER","—")))</f>
        <v>UNDER</v>
      </c>
      <c r="N251" s="0" t="n">
        <v>16.3</v>
      </c>
      <c r="O251" s="10" t="n">
        <v>0.6</v>
      </c>
      <c r="P251" s="10" t="n">
        <v>0.4</v>
      </c>
      <c r="Q251" s="10" t="n">
        <v>0.4</v>
      </c>
      <c r="R251" s="9" t="s">
        <v>1287</v>
      </c>
      <c r="S251" s="0" t="n">
        <v>-1</v>
      </c>
      <c r="T251" s="0" t="str">
        <f aca="false">INDEX(Calc!$G$2:$G$137,MATCH($W251,Calc!$A$2:$A$137,0))&amp;" / "&amp;INDEX(Calc!$H$2:$H$137,MATCH($W251,Calc!$A$2:$A$137,0))</f>
        <v>Mirage / Dust2</v>
      </c>
      <c r="U251" s="0" t="str">
        <f aca="false">TEXT(INDEX(Calc!$J$2:$J$137,MATCH($W251,Calc!$A$2:$A$137,0)),"0.0")&amp;" / "&amp;TEXT(INDEX(Calc!$K$2:$K$137,MATCH($W251,Calc!$A$2:$A$137,0)),"0.0")</f>
        <v>18.5 / 18.5</v>
      </c>
      <c r="V251" s="0" t="str">
        <f aca="false">IFERROR(INDEX(Calc!$AQ$2:$AQ$137,MATCH($W251,Calc!$A$2:$A$137,0)),"")</f>
        <v/>
      </c>
      <c r="W251" s="9" t="s">
        <v>1592</v>
      </c>
      <c r="X251" s="9" t="s">
        <v>1289</v>
      </c>
      <c r="Y251" s="0" t="str">
        <f aca="false">W251&amp;"|"&amp;X251</f>
        <v>3cunzce5pb15xlw|CS2 · paiN vs NCP|H12</v>
      </c>
      <c r="Z251" s="11" t="n">
        <f aca="false">IFERROR(INDEX(CHOOSE(MATCH($X251,{"K1","K2","K3","K12","K13","H1","H2","H3","H12","H13"},0),Calc!$BA$2:$BA$137,Calc!$BB$2:$BB$137,Calc!$BC$2:$BC$137,Calc!$BD$2:$BD$137,Calc!$BE$2:$BE$137,Calc!$BF$2:$BF$137,Calc!$BG$2:$BG$137,Calc!$BH$2:$BH$137,Calc!$BI$2:$BI$137,Calc!$BJ$2:$BJ$137),MATCH($W251,Calc!$A$2:$A$137,0)),"")</f>
        <v>15.4017510728017</v>
      </c>
      <c r="AA251" s="11" t="n">
        <f aca="false">IF(Z251="","",IF(LEFT($X251,1)="H",SQRT(Z251*(IFERROR(INDEX(Calc!$AP$2:$AP$137,MATCH($W251,Calc!$A$2:$A$137,0)),0.5)*Config!$B$5+1-IFERROR(INDEX(Calc!$AP$2:$AP$137,MATCH($W251,Calc!$A$2:$A$137,0)),0.5))),SQRT(Z251*Config!$B$5)))</f>
        <v>4.34273628622301</v>
      </c>
      <c r="AB251" s="10" t="n">
        <f aca="false">IF(OR(F251="",Z251="",N(AA251)&lt;=0),"",1-NORMDIST(FLOOR(F251,1)+0.5,Z251,AA251,TRUE()))</f>
        <v>0.400175332036093</v>
      </c>
      <c r="AC251" s="10" t="n">
        <f aca="false">IF(AB251="","",NORMDIST(CEILING(F251,1)-0.5,Z251,AA251,TRUE()))</f>
        <v>0.599824667963907</v>
      </c>
      <c r="AD251" s="0" t="str">
        <f aca="false">IF(AB251="","",IF(AB251&gt;=0.5+Config!$B$6,"OVER",IF(AC251&gt;=0.5+Config!$B$6,"UNDER","—")))</f>
        <v>UNDER</v>
      </c>
      <c r="AE251" s="13" t="n">
        <f aca="false">IFERROR(Z251/G251,"")</f>
        <v>1.07890879555341</v>
      </c>
    </row>
    <row r="252" customFormat="false" ht="15" hidden="false" customHeight="false" outlineLevel="0" collapsed="false">
      <c r="A252" s="0" t="s">
        <v>1139</v>
      </c>
      <c r="B252" s="0" t="s">
        <v>1210</v>
      </c>
      <c r="C252" s="0" t="s">
        <v>1591</v>
      </c>
      <c r="D252" s="0" t="s">
        <v>1213</v>
      </c>
      <c r="E252" s="0" t="s">
        <v>1290</v>
      </c>
      <c r="F252" s="0" t="n">
        <v>29.5</v>
      </c>
      <c r="G252" s="11" t="n">
        <f aca="false">IFERROR(INDEX(CHOOSE(MATCH($X252,{"K1","K2","K3","K12","K13","H1","H2","H3","H12","H13"},0),Calc!$V$2:$V$137,Calc!$AC$2:$AC$137,Calc!$AJ$2:$AJ$137,Calc!$AL$2:$AL$137,Calc!$AM$2:$AM$137,Calc!$W$2:$W$137,Calc!$AD$2:$AD$137,Calc!$AK$2:$AK$137,Calc!$AN$2:$AN$137,Calc!$AO$2:$AO$137),MATCH($W252,Calc!$A$2:$A$137,0)),"")</f>
        <v>25.4354708333333</v>
      </c>
      <c r="H252" s="11" t="n">
        <f aca="false">IF(G252="","",IF(LEFT($X252,1)="H",SQRT(G252*(IFERROR(INDEX(Calc!$AP$2:$AP$137,MATCH($W252,Calc!$A$2:$A$137,0)),0.5)*Config!$B$5+1-IFERROR(INDEX(Calc!$AP$2:$AP$137,MATCH($W252,Calc!$A$2:$A$137,0)),0.5))),SQRT(G252*Config!$B$5)))</f>
        <v>5.96738294117837</v>
      </c>
      <c r="I252" s="10" t="n">
        <f aca="false">IF(OR(F252="",G252="",N(H252)&lt;=0),"",1-NORMDIST(FLOOR(F252,1)+0.5,G252,H252,TRUE()))</f>
        <v>0.247896440341628</v>
      </c>
      <c r="J252" s="10" t="n">
        <f aca="false">IF(I252="","",NORMDIST(CEILING(F252,1)-0.5,G252,H252,TRUE()))</f>
        <v>0.752103559658372</v>
      </c>
      <c r="K252" s="10" t="n">
        <f aca="false">IF(I252="","",MAX(0,1-I252-J252))</f>
        <v>0</v>
      </c>
      <c r="L252" s="0" t="str">
        <f aca="false">IF(I252="","",IF(I252&gt;=0.5+Config!$B$6,"OVER",IF(J252&gt;=0.5+Config!$B$6,"UNDER","—")))</f>
        <v>UNDER</v>
      </c>
      <c r="N252" s="0" t="n">
        <v>28.9</v>
      </c>
      <c r="O252" s="10" t="n">
        <v>0.2</v>
      </c>
      <c r="P252" s="10" t="n">
        <v>0.2</v>
      </c>
      <c r="Q252" s="10" t="n">
        <v>0.27</v>
      </c>
      <c r="R252" s="9" t="s">
        <v>1287</v>
      </c>
      <c r="S252" s="0" t="n">
        <v>-2</v>
      </c>
      <c r="T252" s="0" t="str">
        <f aca="false">INDEX(Calc!$G$2:$G$137,MATCH($W252,Calc!$A$2:$A$137,0))&amp;" / "&amp;INDEX(Calc!$H$2:$H$137,MATCH($W252,Calc!$A$2:$A$137,0))</f>
        <v>Mirage / Dust2</v>
      </c>
      <c r="U252" s="0" t="str">
        <f aca="false">TEXT(INDEX(Calc!$J$2:$J$137,MATCH($W252,Calc!$A$2:$A$137,0)),"0.0")&amp;" / "&amp;TEXT(INDEX(Calc!$K$2:$K$137,MATCH($W252,Calc!$A$2:$A$137,0)),"0.0")</f>
        <v>18.5 / 18.5</v>
      </c>
      <c r="V252" s="0" t="str">
        <f aca="false">IFERROR(INDEX(Calc!$AQ$2:$AQ$137,MATCH($W252,Calc!$A$2:$A$137,0)),"")</f>
        <v/>
      </c>
      <c r="W252" s="9" t="s">
        <v>1592</v>
      </c>
      <c r="X252" s="9" t="s">
        <v>1291</v>
      </c>
      <c r="Y252" s="0" t="str">
        <f aca="false">W252&amp;"|"&amp;X252</f>
        <v>3cunzce5pb15xlw|CS2 · paiN vs NCP|K12</v>
      </c>
      <c r="Z252" s="11" t="n">
        <f aca="false">IFERROR(INDEX(CHOOSE(MATCH($X252,{"K1","K2","K3","K12","K13","H1","H2","H3","H12","H13"},0),Calc!$BA$2:$BA$137,Calc!$BB$2:$BB$137,Calc!$BC$2:$BC$137,Calc!$BD$2:$BD$137,Calc!$BE$2:$BE$137,Calc!$BF$2:$BF$137,Calc!$BG$2:$BG$137,Calc!$BH$2:$BH$137,Calc!$BI$2:$BI$137,Calc!$BJ$2:$BJ$137),MATCH($W252,Calc!$A$2:$A$137,0)),"")</f>
        <v>27.4382921350013</v>
      </c>
      <c r="AA252" s="11" t="n">
        <f aca="false">IF(Z252="","",IF(LEFT($X252,1)="H",SQRT(Z252*(IFERROR(INDEX(Calc!$AP$2:$AP$137,MATCH($W252,Calc!$A$2:$A$137,0)),0.5)*Config!$B$5+1-IFERROR(INDEX(Calc!$AP$2:$AP$137,MATCH($W252,Calc!$A$2:$A$137,0)),0.5))),SQRT(Z252*Config!$B$5)))</f>
        <v>6.19787132723823</v>
      </c>
      <c r="AB252" s="10" t="n">
        <f aca="false">IF(OR(F252="",Z252="",N(AA252)&lt;=0),"",1-NORMDIST(FLOOR(F252,1)+0.5,Z252,AA252,TRUE()))</f>
        <v>0.369700102664338</v>
      </c>
      <c r="AC252" s="10" t="n">
        <f aca="false">IF(AB252="","",NORMDIST(CEILING(F252,1)-0.5,Z252,AA252,TRUE()))</f>
        <v>0.630299897335662</v>
      </c>
      <c r="AD252" s="0" t="str">
        <f aca="false">IF(AB252="","",IF(AB252&gt;=0.5+Config!$B$6,"OVER",IF(AC252&gt;=0.5+Config!$B$6,"UNDER","—")))</f>
        <v>UNDER</v>
      </c>
      <c r="AE252" s="13" t="n">
        <f aca="false">IFERROR(Z252/G252,"")</f>
        <v>1.07874127099087</v>
      </c>
    </row>
    <row r="253" customFormat="false" ht="15" hidden="false" customHeight="false" outlineLevel="0" collapsed="false">
      <c r="A253" s="0" t="s">
        <v>1139</v>
      </c>
      <c r="B253" s="0" t="s">
        <v>1210</v>
      </c>
      <c r="C253" s="0" t="s">
        <v>1593</v>
      </c>
      <c r="D253" s="0" t="s">
        <v>1213</v>
      </c>
      <c r="E253" s="0" t="s">
        <v>1286</v>
      </c>
      <c r="F253" s="0" t="n">
        <v>17.5</v>
      </c>
      <c r="G253" s="11" t="n">
        <f aca="false">IFERROR(INDEX(CHOOSE(MATCH($X253,{"K1","K2","K3","K12","K13","H1","H2","H3","H12","H13"},0),Calc!$V$2:$V$137,Calc!$AC$2:$AC$137,Calc!$AJ$2:$AJ$137,Calc!$AL$2:$AL$137,Calc!$AM$2:$AM$137,Calc!$W$2:$W$137,Calc!$AD$2:$AD$137,Calc!$AK$2:$AK$137,Calc!$AN$2:$AN$137,Calc!$AO$2:$AO$137),MATCH($W253,Calc!$A$2:$A$137,0)),"")</f>
        <v>14.80681848125</v>
      </c>
      <c r="H253" s="11" t="n">
        <f aca="false">IF(G253="","",IF(LEFT($X253,1)="H",SQRT(G253*(IFERROR(INDEX(Calc!$AP$2:$AP$137,MATCH($W253,Calc!$A$2:$A$137,0)),0.5)*Config!$B$5+1-IFERROR(INDEX(Calc!$AP$2:$AP$137,MATCH($W253,Calc!$A$2:$A$137,0)),0.5))),SQRT(G253*Config!$B$5)))</f>
        <v>4.2782419796615</v>
      </c>
      <c r="I253" s="10" t="n">
        <f aca="false">IF(OR(F253="",G253="",N(H253)&lt;=0),"",1-NORMDIST(FLOOR(F253,1)+0.5,G253,H253,TRUE()))</f>
        <v>0.264508727962231</v>
      </c>
      <c r="J253" s="10" t="n">
        <f aca="false">IF(I253="","",NORMDIST(CEILING(F253,1)-0.5,G253,H253,TRUE()))</f>
        <v>0.735491272037769</v>
      </c>
      <c r="K253" s="10" t="n">
        <f aca="false">IF(I253="","",MAX(0,1-I253-J253))</f>
        <v>0</v>
      </c>
      <c r="L253" s="0" t="str">
        <f aca="false">IF(I253="","",IF(I253&gt;=0.5+Config!$B$6,"OVER",IF(J253&gt;=0.5+Config!$B$6,"UNDER","—")))</f>
        <v>UNDER</v>
      </c>
      <c r="N253" s="0" t="n">
        <v>17.4</v>
      </c>
      <c r="O253" s="10" t="n">
        <v>0.4</v>
      </c>
      <c r="P253" s="10" t="n">
        <v>0.5</v>
      </c>
      <c r="Q253" s="10" t="n">
        <v>0.53</v>
      </c>
      <c r="R253" s="9" t="s">
        <v>1287</v>
      </c>
      <c r="S253" s="0" t="n">
        <v>-1</v>
      </c>
      <c r="T253" s="0" t="str">
        <f aca="false">INDEX(Calc!$G$2:$G$137,MATCH($W253,Calc!$A$2:$A$137,0))&amp;" / "&amp;INDEX(Calc!$H$2:$H$137,MATCH($W253,Calc!$A$2:$A$137,0))</f>
        <v>Mirage / Dust2</v>
      </c>
      <c r="U253" s="0" t="str">
        <f aca="false">TEXT(INDEX(Calc!$J$2:$J$137,MATCH($W253,Calc!$A$2:$A$137,0)),"0.0")&amp;" / "&amp;TEXT(INDEX(Calc!$K$2:$K$137,MATCH($W253,Calc!$A$2:$A$137,0)),"0.0")</f>
        <v>18.5 / 18.5</v>
      </c>
      <c r="V253" s="0" t="str">
        <f aca="false">IFERROR(INDEX(Calc!$AQ$2:$AQ$137,MATCH($W253,Calc!$A$2:$A$137,0)),"")</f>
        <v/>
      </c>
      <c r="W253" s="9" t="s">
        <v>1594</v>
      </c>
      <c r="X253" s="9" t="s">
        <v>1289</v>
      </c>
      <c r="Y253" s="0" t="str">
        <f aca="false">W253&amp;"|"&amp;X253</f>
        <v>1p3p5e3dcd3rbvt|CS2 · paiN vs NCP|H12</v>
      </c>
      <c r="Z253" s="11" t="n">
        <f aca="false">IFERROR(INDEX(CHOOSE(MATCH($X253,{"K1","K2","K3","K12","K13","H1","H2","H3","H12","H13"},0),Calc!$BA$2:$BA$137,Calc!$BB$2:$BB$137,Calc!$BC$2:$BC$137,Calc!$BD$2:$BD$137,Calc!$BE$2:$BE$137,Calc!$BF$2:$BF$137,Calc!$BG$2:$BG$137,Calc!$BH$2:$BH$137,Calc!$BI$2:$BI$137,Calc!$BJ$2:$BJ$137),MATCH($W253,Calc!$A$2:$A$137,0)),"")</f>
        <v>16.0128501192832</v>
      </c>
      <c r="AA253" s="11" t="n">
        <f aca="false">IF(Z253="","",IF(LEFT($X253,1)="H",SQRT(Z253*(IFERROR(INDEX(Calc!$AP$2:$AP$137,MATCH($W253,Calc!$A$2:$A$137,0)),0.5)*Config!$B$5+1-IFERROR(INDEX(Calc!$AP$2:$AP$137,MATCH($W253,Calc!$A$2:$A$137,0)),0.5))),SQRT(Z253*Config!$B$5)))</f>
        <v>4.44906538172145</v>
      </c>
      <c r="AB253" s="10" t="n">
        <f aca="false">IF(OR(F253="",Z253="",N(AA253)&lt;=0),"",1-NORMDIST(FLOOR(F253,1)+0.5,Z253,AA253,TRUE()))</f>
        <v>0.369091237524426</v>
      </c>
      <c r="AC253" s="10" t="n">
        <f aca="false">IF(AB253="","",NORMDIST(CEILING(F253,1)-0.5,Z253,AA253,TRUE()))</f>
        <v>0.630908762475574</v>
      </c>
      <c r="AD253" s="0" t="str">
        <f aca="false">IF(AB253="","",IF(AB253&gt;=0.5+Config!$B$6,"OVER",IF(AC253&gt;=0.5+Config!$B$6,"UNDER","—")))</f>
        <v>UNDER</v>
      </c>
      <c r="AE253" s="13" t="n">
        <f aca="false">IFERROR(Z253/G253,"")</f>
        <v>1.08145109900283</v>
      </c>
    </row>
    <row r="254" customFormat="false" ht="15" hidden="false" customHeight="false" outlineLevel="0" collapsed="false">
      <c r="A254" s="0" t="s">
        <v>1139</v>
      </c>
      <c r="B254" s="0" t="s">
        <v>1210</v>
      </c>
      <c r="C254" s="0" t="s">
        <v>1593</v>
      </c>
      <c r="D254" s="0" t="s">
        <v>1213</v>
      </c>
      <c r="E254" s="0" t="s">
        <v>1290</v>
      </c>
      <c r="F254" s="0" t="n">
        <v>28.5</v>
      </c>
      <c r="G254" s="11" t="n">
        <f aca="false">IFERROR(INDEX(CHOOSE(MATCH($X254,{"K1","K2","K3","K12","K13","H1","H2","H3","H12","H13"},0),Calc!$V$2:$V$137,Calc!$AC$2:$AC$137,Calc!$AJ$2:$AJ$137,Calc!$AL$2:$AL$137,Calc!$AM$2:$AM$137,Calc!$W$2:$W$137,Calc!$AD$2:$AD$137,Calc!$AK$2:$AK$137,Calc!$AN$2:$AN$137,Calc!$AO$2:$AO$137),MATCH($W254,Calc!$A$2:$A$137,0)),"")</f>
        <v>25.0810375</v>
      </c>
      <c r="H254" s="11" t="n">
        <f aca="false">IF(G254="","",IF(LEFT($X254,1)="H",SQRT(G254*(IFERROR(INDEX(Calc!$AP$2:$AP$137,MATCH($W254,Calc!$A$2:$A$137,0)),0.5)*Config!$B$5+1-IFERROR(INDEX(Calc!$AP$2:$AP$137,MATCH($W254,Calc!$A$2:$A$137,0)),0.5))),SQRT(G254*Config!$B$5)))</f>
        <v>5.92566051170669</v>
      </c>
      <c r="I254" s="10" t="n">
        <f aca="false">IF(OR(F254="",G254="",N(H254)&lt;=0),"",1-NORMDIST(FLOOR(F254,1)+0.5,G254,H254,TRUE()))</f>
        <v>0.281977913959988</v>
      </c>
      <c r="J254" s="10" t="n">
        <f aca="false">IF(I254="","",NORMDIST(CEILING(F254,1)-0.5,G254,H254,TRUE()))</f>
        <v>0.718022086040012</v>
      </c>
      <c r="K254" s="10" t="n">
        <f aca="false">IF(I254="","",MAX(0,1-I254-J254))</f>
        <v>0</v>
      </c>
      <c r="L254" s="0" t="str">
        <f aca="false">IF(I254="","",IF(I254&gt;=0.5+Config!$B$6,"OVER",IF(J254&gt;=0.5+Config!$B$6,"UNDER","—")))</f>
        <v>UNDER</v>
      </c>
      <c r="N254" s="0" t="n">
        <v>27.9</v>
      </c>
      <c r="O254" s="10" t="n">
        <v>0.2</v>
      </c>
      <c r="P254" s="10" t="n">
        <v>0.4</v>
      </c>
      <c r="Q254" s="10" t="n">
        <v>0.53</v>
      </c>
      <c r="R254" s="9" t="s">
        <v>1287</v>
      </c>
      <c r="S254" s="0" t="n">
        <v>-2</v>
      </c>
      <c r="T254" s="0" t="str">
        <f aca="false">INDEX(Calc!$G$2:$G$137,MATCH($W254,Calc!$A$2:$A$137,0))&amp;" / "&amp;INDEX(Calc!$H$2:$H$137,MATCH($W254,Calc!$A$2:$A$137,0))</f>
        <v>Mirage / Dust2</v>
      </c>
      <c r="U254" s="0" t="str">
        <f aca="false">TEXT(INDEX(Calc!$J$2:$J$137,MATCH($W254,Calc!$A$2:$A$137,0)),"0.0")&amp;" / "&amp;TEXT(INDEX(Calc!$K$2:$K$137,MATCH($W254,Calc!$A$2:$A$137,0)),"0.0")</f>
        <v>18.5 / 18.5</v>
      </c>
      <c r="V254" s="0" t="str">
        <f aca="false">IFERROR(INDEX(Calc!$AQ$2:$AQ$137,MATCH($W254,Calc!$A$2:$A$137,0)),"")</f>
        <v/>
      </c>
      <c r="W254" s="9" t="s">
        <v>1594</v>
      </c>
      <c r="X254" s="9" t="s">
        <v>1291</v>
      </c>
      <c r="Y254" s="0" t="str">
        <f aca="false">W254&amp;"|"&amp;X254</f>
        <v>1p3p5e3dcd3rbvt|CS2 · paiN vs NCP|K12</v>
      </c>
      <c r="Z254" s="11" t="n">
        <f aca="false">IFERROR(INDEX(CHOOSE(MATCH($X254,{"K1","K2","K3","K12","K13","H1","H2","H3","H12","H13"},0),Calc!$BA$2:$BA$137,Calc!$BB$2:$BB$137,Calc!$BC$2:$BC$137,Calc!$BD$2:$BD$137,Calc!$BE$2:$BE$137,Calc!$BF$2:$BF$137,Calc!$BG$2:$BG$137,Calc!$BH$2:$BH$137,Calc!$BI$2:$BI$137,Calc!$BJ$2:$BJ$137),MATCH($W254,Calc!$A$2:$A$137,0)),"")</f>
        <v>27.1069460531785</v>
      </c>
      <c r="AA254" s="11" t="n">
        <f aca="false">IF(Z254="","",IF(LEFT($X254,1)="H",SQRT(Z254*(IFERROR(INDEX(Calc!$AP$2:$AP$137,MATCH($W254,Calc!$A$2:$A$137,0)),0.5)*Config!$B$5+1-IFERROR(INDEX(Calc!$AP$2:$AP$137,MATCH($W254,Calc!$A$2:$A$137,0)),0.5))),SQRT(Z254*Config!$B$5)))</f>
        <v>6.16033476967363</v>
      </c>
      <c r="AB254" s="10" t="n">
        <f aca="false">IF(OR(F254="",Z254="",N(AA254)&lt;=0),"",1-NORMDIST(FLOOR(F254,1)+0.5,Z254,AA254,TRUE()))</f>
        <v>0.410549054866535</v>
      </c>
      <c r="AC254" s="10" t="n">
        <f aca="false">IF(AB254="","",NORMDIST(CEILING(F254,1)-0.5,Z254,AA254,TRUE()))</f>
        <v>0.589450945133465</v>
      </c>
      <c r="AD254" s="0" t="str">
        <f aca="false">IF(AB254="","",IF(AB254&gt;=0.5+Config!$B$6,"OVER",IF(AC254&gt;=0.5+Config!$B$6,"UNDER","—")))</f>
        <v>UNDER</v>
      </c>
      <c r="AE254" s="13" t="n">
        <f aca="false">IFERROR(Z254/G254,"")</f>
        <v>1.08077451154796</v>
      </c>
    </row>
    <row r="255" customFormat="false" ht="15" hidden="false" customHeight="false" outlineLevel="0" collapsed="false">
      <c r="A255" s="0" t="s">
        <v>1139</v>
      </c>
      <c r="B255" s="0" t="s">
        <v>1210</v>
      </c>
      <c r="C255" s="0" t="s">
        <v>1595</v>
      </c>
      <c r="D255" s="0" t="s">
        <v>1213</v>
      </c>
      <c r="E255" s="0" t="s">
        <v>1290</v>
      </c>
      <c r="F255" s="0" t="n">
        <v>28.5</v>
      </c>
      <c r="G255" s="11" t="n">
        <f aca="false">IFERROR(INDEX(CHOOSE(MATCH($X255,{"K1","K2","K3","K12","K13","H1","H2","H3","H12","H13"},0),Calc!$V$2:$V$137,Calc!$AC$2:$AC$137,Calc!$AJ$2:$AJ$137,Calc!$AL$2:$AL$137,Calc!$AM$2:$AM$137,Calc!$W$2:$W$137,Calc!$AD$2:$AD$137,Calc!$AK$2:$AK$137,Calc!$AN$2:$AN$137,Calc!$AO$2:$AO$137),MATCH($W255,Calc!$A$2:$A$137,0)),"")</f>
        <v>23.9990958333333</v>
      </c>
      <c r="H255" s="11" t="n">
        <f aca="false">IF(G255="","",IF(LEFT($X255,1)="H",SQRT(G255*(IFERROR(INDEX(Calc!$AP$2:$AP$137,MATCH($W255,Calc!$A$2:$A$137,0)),0.5)*Config!$B$5+1-IFERROR(INDEX(Calc!$AP$2:$AP$137,MATCH($W255,Calc!$A$2:$A$137,0)),0.5))),SQRT(G255*Config!$B$5)))</f>
        <v>5.79644150894897</v>
      </c>
      <c r="I255" s="10" t="n">
        <f aca="false">IF(OR(F255="",G255="",N(H255)&lt;=0),"",1-NORMDIST(FLOOR(F255,1)+0.5,G255,H255,TRUE()))</f>
        <v>0.218728573447337</v>
      </c>
      <c r="J255" s="10" t="n">
        <f aca="false">IF(I255="","",NORMDIST(CEILING(F255,1)-0.5,G255,H255,TRUE()))</f>
        <v>0.781271426552663</v>
      </c>
      <c r="K255" s="10" t="n">
        <f aca="false">IF(I255="","",MAX(0,1-I255-J255))</f>
        <v>0</v>
      </c>
      <c r="L255" s="0" t="str">
        <f aca="false">IF(I255="","",IF(I255&gt;=0.5+Config!$B$6,"OVER",IF(J255&gt;=0.5+Config!$B$6,"UNDER","—")))</f>
        <v>UNDER</v>
      </c>
      <c r="N255" s="0" t="n">
        <v>27.5</v>
      </c>
      <c r="O255" s="10" t="n">
        <v>0.2</v>
      </c>
      <c r="P255" s="10" t="n">
        <v>0.4</v>
      </c>
      <c r="Q255" s="10" t="n">
        <v>0.4</v>
      </c>
      <c r="R255" s="9" t="s">
        <v>1287</v>
      </c>
      <c r="S255" s="0" t="n">
        <v>-2</v>
      </c>
      <c r="T255" s="0" t="str">
        <f aca="false">INDEX(Calc!$G$2:$G$137,MATCH($W255,Calc!$A$2:$A$137,0))&amp;" / "&amp;INDEX(Calc!$H$2:$H$137,MATCH($W255,Calc!$A$2:$A$137,0))</f>
        <v>Mirage / Dust2</v>
      </c>
      <c r="U255" s="0" t="str">
        <f aca="false">TEXT(INDEX(Calc!$J$2:$J$137,MATCH($W255,Calc!$A$2:$A$137,0)),"0.0")&amp;" / "&amp;TEXT(INDEX(Calc!$K$2:$K$137,MATCH($W255,Calc!$A$2:$A$137,0)),"0.0")</f>
        <v>18.5 / 18.5</v>
      </c>
      <c r="V255" s="0" t="str">
        <f aca="false">IFERROR(INDEX(Calc!$AQ$2:$AQ$137,MATCH($W255,Calc!$A$2:$A$137,0)),"")</f>
        <v/>
      </c>
      <c r="W255" s="9" t="s">
        <v>1596</v>
      </c>
      <c r="X255" s="9" t="s">
        <v>1291</v>
      </c>
      <c r="Y255" s="0" t="str">
        <f aca="false">W255&amp;"|"&amp;X255</f>
        <v>d1hn3as545n029p|CS2 · paiN vs NCP|K12</v>
      </c>
      <c r="Z255" s="11" t="n">
        <f aca="false">IFERROR(INDEX(CHOOSE(MATCH($X255,{"K1","K2","K3","K12","K13","H1","H2","H3","H12","H13"},0),Calc!$BA$2:$BA$137,Calc!$BB$2:$BB$137,Calc!$BC$2:$BC$137,Calc!$BD$2:$BD$137,Calc!$BE$2:$BE$137,Calc!$BF$2:$BF$137,Calc!$BG$2:$BG$137,Calc!$BH$2:$BH$137,Calc!$BI$2:$BI$137,Calc!$BJ$2:$BJ$137),MATCH($W255,Calc!$A$2:$A$137,0)),"")</f>
        <v>25.894404137162</v>
      </c>
      <c r="AA255" s="11" t="n">
        <f aca="false">IF(Z255="","",IF(LEFT($X255,1)="H",SQRT(Z255*(IFERROR(INDEX(Calc!$AP$2:$AP$137,MATCH($W255,Calc!$A$2:$A$137,0)),0.5)*Config!$B$5+1-IFERROR(INDEX(Calc!$AP$2:$AP$137,MATCH($W255,Calc!$A$2:$A$137,0)),0.5))),SQRT(Z255*Config!$B$5)))</f>
        <v>6.02097714594788</v>
      </c>
      <c r="AB255" s="10" t="n">
        <f aca="false">IF(OR(F255="",Z255="",N(AA255)&lt;=0),"",1-NORMDIST(FLOOR(F255,1)+0.5,Z255,AA255,TRUE()))</f>
        <v>0.332597114370388</v>
      </c>
      <c r="AC255" s="10" t="n">
        <f aca="false">IF(AB255="","",NORMDIST(CEILING(F255,1)-0.5,Z255,AA255,TRUE()))</f>
        <v>0.667402885629612</v>
      </c>
      <c r="AD255" s="0" t="str">
        <f aca="false">IF(AB255="","",IF(AB255&gt;=0.5+Config!$B$6,"OVER",IF(AC255&gt;=0.5+Config!$B$6,"UNDER","—")))</f>
        <v>UNDER</v>
      </c>
      <c r="AE255" s="13" t="n">
        <f aca="false">IFERROR(Z255/G255,"")</f>
        <v>1.07897415456778</v>
      </c>
    </row>
    <row r="256" customFormat="false" ht="15" hidden="false" customHeight="false" outlineLevel="0" collapsed="false">
      <c r="A256" s="0" t="s">
        <v>1139</v>
      </c>
      <c r="B256" s="0" t="s">
        <v>1210</v>
      </c>
      <c r="C256" s="0" t="s">
        <v>1597</v>
      </c>
      <c r="D256" s="0" t="s">
        <v>1213</v>
      </c>
      <c r="E256" s="0" t="s">
        <v>1286</v>
      </c>
      <c r="F256" s="0" t="n">
        <v>17.5</v>
      </c>
      <c r="G256" s="11" t="n">
        <f aca="false">IFERROR(INDEX(CHOOSE(MATCH($X256,{"K1","K2","K3","K12","K13","H1","H2","H3","H12","H13"},0),Calc!$V$2:$V$137,Calc!$AC$2:$AC$137,Calc!$AJ$2:$AJ$137,Calc!$AL$2:$AL$137,Calc!$AM$2:$AM$137,Calc!$W$2:$W$137,Calc!$AD$2:$AD$137,Calc!$AK$2:$AK$137,Calc!$AN$2:$AN$137,Calc!$AO$2:$AO$137),MATCH($W256,Calc!$A$2:$A$137,0)),"")</f>
        <v>15.5721829846154</v>
      </c>
      <c r="H256" s="11" t="n">
        <f aca="false">IF(G256="","",IF(LEFT($X256,1)="H",SQRT(G256*(IFERROR(INDEX(Calc!$AP$2:$AP$137,MATCH($W256,Calc!$A$2:$A$137,0)),0.5)*Config!$B$5+1-IFERROR(INDEX(Calc!$AP$2:$AP$137,MATCH($W256,Calc!$A$2:$A$137,0)),0.5))),SQRT(G256*Config!$B$5)))</f>
        <v>4.4388764693976</v>
      </c>
      <c r="I256" s="10" t="n">
        <f aca="false">IF(OR(F256="",G256="",N(H256)&lt;=0),"",1-NORMDIST(FLOOR(F256,1)+0.5,G256,H256,TRUE()))</f>
        <v>0.332034241591374</v>
      </c>
      <c r="J256" s="10" t="n">
        <f aca="false">IF(I256="","",NORMDIST(CEILING(F256,1)-0.5,G256,H256,TRUE()))</f>
        <v>0.667965758408626</v>
      </c>
      <c r="K256" s="10" t="n">
        <f aca="false">IF(I256="","",MAX(0,1-I256-J256))</f>
        <v>0</v>
      </c>
      <c r="L256" s="0" t="str">
        <f aca="false">IF(I256="","",IF(I256&gt;=0.5+Config!$B$6,"OVER",IF(J256&gt;=0.5+Config!$B$6,"UNDER","—")))</f>
        <v>UNDER</v>
      </c>
      <c r="N256" s="0" t="n">
        <v>15.6</v>
      </c>
      <c r="O256" s="10" t="n">
        <v>0.6</v>
      </c>
      <c r="P256" s="10" t="n">
        <v>0.5</v>
      </c>
      <c r="Q256" s="10" t="n">
        <v>0.47</v>
      </c>
      <c r="R256" s="9" t="s">
        <v>1287</v>
      </c>
      <c r="S256" s="0" t="n">
        <v>-1</v>
      </c>
      <c r="T256" s="0" t="str">
        <f aca="false">INDEX(Calc!$G$2:$G$137,MATCH($W256,Calc!$A$2:$A$137,0))&amp;" / "&amp;INDEX(Calc!$H$2:$H$137,MATCH($W256,Calc!$A$2:$A$137,0))</f>
        <v>Mirage / Dust2</v>
      </c>
      <c r="U256" s="0" t="str">
        <f aca="false">TEXT(INDEX(Calc!$J$2:$J$137,MATCH($W256,Calc!$A$2:$A$137,0)),"0.0")&amp;" / "&amp;TEXT(INDEX(Calc!$K$2:$K$137,MATCH($W256,Calc!$A$2:$A$137,0)),"0.0")</f>
        <v>18.5 / 18.5</v>
      </c>
      <c r="V256" s="0" t="str">
        <f aca="false">IFERROR(INDEX(Calc!$AQ$2:$AQ$137,MATCH($W256,Calc!$A$2:$A$137,0)),"")</f>
        <v/>
      </c>
      <c r="W256" s="9" t="s">
        <v>1598</v>
      </c>
      <c r="X256" s="9" t="s">
        <v>1289</v>
      </c>
      <c r="Y256" s="0" t="str">
        <f aca="false">W256&amp;"|"&amp;X256</f>
        <v>tkkenn22b7r5gfa|CS2 · paiN vs NCP|H12</v>
      </c>
      <c r="Z256" s="11" t="n">
        <f aca="false">IFERROR(INDEX(CHOOSE(MATCH($X256,{"K1","K2","K3","K12","K13","H1","H2","H3","H12","H13"},0),Calc!$BA$2:$BA$137,Calc!$BB$2:$BB$137,Calc!$BC$2:$BC$137,Calc!$BD$2:$BD$137,Calc!$BE$2:$BE$137,Calc!$BF$2:$BF$137,Calc!$BG$2:$BG$137,Calc!$BH$2:$BH$137,Calc!$BI$2:$BI$137,Calc!$BJ$2:$BJ$137),MATCH($W256,Calc!$A$2:$A$137,0)),"")</f>
        <v>16.824655716954</v>
      </c>
      <c r="AA256" s="11" t="n">
        <f aca="false">IF(Z256="","",IF(LEFT($X256,1)="H",SQRT(Z256*(IFERROR(INDEX(Calc!$AP$2:$AP$137,MATCH($W256,Calc!$A$2:$A$137,0)),0.5)*Config!$B$5+1-IFERROR(INDEX(Calc!$AP$2:$AP$137,MATCH($W256,Calc!$A$2:$A$137,0)),0.5))),SQRT(Z256*Config!$B$5)))</f>
        <v>4.61393426632163</v>
      </c>
      <c r="AB256" s="10" t="n">
        <f aca="false">IF(OR(F256="",Z256="",N(AA256)&lt;=0),"",1-NORMDIST(FLOOR(F256,1)+0.5,Z256,AA256,TRUE()))</f>
        <v>0.441814421315117</v>
      </c>
      <c r="AC256" s="10" t="n">
        <f aca="false">IF(AB256="","",NORMDIST(CEILING(F256,1)-0.5,Z256,AA256,TRUE()))</f>
        <v>0.558185578684883</v>
      </c>
      <c r="AD256" s="0" t="str">
        <f aca="false">IF(AB256="","",IF(AB256&gt;=0.5+Config!$B$6,"OVER",IF(AC256&gt;=0.5+Config!$B$6,"UNDER","—")))</f>
        <v>UNDER</v>
      </c>
      <c r="AE256" s="13" t="n">
        <f aca="false">IFERROR(Z256/G256,"")</f>
        <v>1.08043013195877</v>
      </c>
    </row>
    <row r="257" customFormat="false" ht="15" hidden="false" customHeight="false" outlineLevel="0" collapsed="false">
      <c r="A257" s="0" t="s">
        <v>1139</v>
      </c>
      <c r="B257" s="0" t="s">
        <v>1210</v>
      </c>
      <c r="C257" s="0" t="s">
        <v>1597</v>
      </c>
      <c r="D257" s="0" t="s">
        <v>1213</v>
      </c>
      <c r="E257" s="0" t="s">
        <v>1290</v>
      </c>
      <c r="F257" s="0" t="n">
        <v>27.5</v>
      </c>
      <c r="G257" s="11" t="n">
        <f aca="false">IFERROR(INDEX(CHOOSE(MATCH($X257,{"K1","K2","K3","K12","K13","H1","H2","H3","H12","H13"},0),Calc!$V$2:$V$137,Calc!$AC$2:$AC$137,Calc!$AJ$2:$AJ$137,Calc!$AL$2:$AL$137,Calc!$AM$2:$AM$137,Calc!$W$2:$W$137,Calc!$AD$2:$AD$137,Calc!$AK$2:$AK$137,Calc!$AN$2:$AN$137,Calc!$AO$2:$AO$137),MATCH($W257,Calc!$A$2:$A$137,0)),"")</f>
        <v>23.4778</v>
      </c>
      <c r="H257" s="11" t="n">
        <f aca="false">IF(G257="","",IF(LEFT($X257,1)="H",SQRT(G257*(IFERROR(INDEX(Calc!$AP$2:$AP$137,MATCH($W257,Calc!$A$2:$A$137,0)),0.5)*Config!$B$5+1-IFERROR(INDEX(Calc!$AP$2:$AP$137,MATCH($W257,Calc!$A$2:$A$137,0)),0.5))),SQRT(G257*Config!$B$5)))</f>
        <v>5.73314224487759</v>
      </c>
      <c r="I257" s="10" t="n">
        <f aca="false">IF(OR(F257="",G257="",N(H257)&lt;=0),"",1-NORMDIST(FLOOR(F257,1)+0.5,G257,H257,TRUE()))</f>
        <v>0.241473715937119</v>
      </c>
      <c r="J257" s="10" t="n">
        <f aca="false">IF(I257="","",NORMDIST(CEILING(F257,1)-0.5,G257,H257,TRUE()))</f>
        <v>0.758526284062882</v>
      </c>
      <c r="K257" s="10" t="n">
        <f aca="false">IF(I257="","",MAX(0,1-I257-J257))</f>
        <v>0</v>
      </c>
      <c r="L257" s="0" t="str">
        <f aca="false">IF(I257="","",IF(I257&gt;=0.5+Config!$B$6,"OVER",IF(J257&gt;=0.5+Config!$B$6,"UNDER","—")))</f>
        <v>UNDER</v>
      </c>
      <c r="N257" s="0" t="n">
        <v>23</v>
      </c>
      <c r="O257" s="10" t="n">
        <v>0.4</v>
      </c>
      <c r="P257" s="10" t="n">
        <v>0.3</v>
      </c>
      <c r="Q257" s="10" t="n">
        <v>0.4</v>
      </c>
      <c r="R257" s="9" t="s">
        <v>1287</v>
      </c>
      <c r="S257" s="0" t="n">
        <v>-1</v>
      </c>
      <c r="T257" s="0" t="str">
        <f aca="false">INDEX(Calc!$G$2:$G$137,MATCH($W257,Calc!$A$2:$A$137,0))&amp;" / "&amp;INDEX(Calc!$H$2:$H$137,MATCH($W257,Calc!$A$2:$A$137,0))</f>
        <v>Mirage / Dust2</v>
      </c>
      <c r="U257" s="0" t="str">
        <f aca="false">TEXT(INDEX(Calc!$J$2:$J$137,MATCH($W257,Calc!$A$2:$A$137,0)),"0.0")&amp;" / "&amp;TEXT(INDEX(Calc!$K$2:$K$137,MATCH($W257,Calc!$A$2:$A$137,0)),"0.0")</f>
        <v>18.5 / 18.5</v>
      </c>
      <c r="V257" s="0" t="str">
        <f aca="false">IFERROR(INDEX(Calc!$AQ$2:$AQ$137,MATCH($W257,Calc!$A$2:$A$137,0)),"")</f>
        <v/>
      </c>
      <c r="W257" s="9" t="s">
        <v>1598</v>
      </c>
      <c r="X257" s="9" t="s">
        <v>1291</v>
      </c>
      <c r="Y257" s="0" t="str">
        <f aca="false">W257&amp;"|"&amp;X257</f>
        <v>tkkenn22b7r5gfa|CS2 · paiN vs NCP|K12</v>
      </c>
      <c r="Z257" s="11" t="n">
        <f aca="false">IFERROR(INDEX(CHOOSE(MATCH($X257,{"K1","K2","K3","K12","K13","H1","H2","H3","H12","H13"},0),Calc!$BA$2:$BA$137,Calc!$BB$2:$BB$137,Calc!$BC$2:$BC$137,Calc!$BD$2:$BD$137,Calc!$BE$2:$BE$137,Calc!$BF$2:$BF$137,Calc!$BG$2:$BG$137,Calc!$BH$2:$BH$137,Calc!$BI$2:$BI$137,Calc!$BJ$2:$BJ$137),MATCH($W257,Calc!$A$2:$A$137,0)),"")</f>
        <v>25.3321824626156</v>
      </c>
      <c r="AA257" s="11" t="n">
        <f aca="false">IF(Z257="","",IF(LEFT($X257,1)="H",SQRT(Z257*(IFERROR(INDEX(Calc!$AP$2:$AP$137,MATCH($W257,Calc!$A$2:$A$137,0)),0.5)*Config!$B$5+1-IFERROR(INDEX(Calc!$AP$2:$AP$137,MATCH($W257,Calc!$A$2:$A$137,0)),0.5))),SQRT(Z257*Config!$B$5)))</f>
        <v>5.95525444021176</v>
      </c>
      <c r="AB257" s="10" t="n">
        <f aca="false">IF(OR(F257="",Z257="",N(AA257)&lt;=0),"",1-NORMDIST(FLOOR(F257,1)+0.5,Z257,AA257,TRUE()))</f>
        <v>0.357922426593896</v>
      </c>
      <c r="AC257" s="10" t="n">
        <f aca="false">IF(AB257="","",NORMDIST(CEILING(F257,1)-0.5,Z257,AA257,TRUE()))</f>
        <v>0.642077573406105</v>
      </c>
      <c r="AD257" s="0" t="str">
        <f aca="false">IF(AB257="","",IF(AB257&gt;=0.5+Config!$B$6,"OVER",IF(AC257&gt;=0.5+Config!$B$6,"UNDER","—")))</f>
        <v>UNDER</v>
      </c>
      <c r="AE257" s="13" t="n">
        <f aca="false">IFERROR(Z257/G257,"")</f>
        <v>1.07898450717766</v>
      </c>
    </row>
    <row r="258" customFormat="false" ht="15" hidden="false" customHeight="false" outlineLevel="0" collapsed="false">
      <c r="A258" s="0" t="s">
        <v>1247</v>
      </c>
      <c r="B258" s="0" t="s">
        <v>1246</v>
      </c>
      <c r="C258" s="0" t="s">
        <v>1599</v>
      </c>
      <c r="D258" s="0" t="s">
        <v>1253</v>
      </c>
      <c r="E258" s="0" t="s">
        <v>1290</v>
      </c>
      <c r="F258" s="0" t="n">
        <v>31</v>
      </c>
      <c r="G258" s="11" t="n">
        <f aca="false">IFERROR(INDEX(CHOOSE(MATCH($X258,{"K1","K2","K3","K12","K13","H1","H2","H3","H12","H13"},0),Calc!$V$2:$V$137,Calc!$AC$2:$AC$137,Calc!$AJ$2:$AJ$137,Calc!$AL$2:$AL$137,Calc!$AM$2:$AM$137,Calc!$W$2:$W$137,Calc!$AD$2:$AD$137,Calc!$AK$2:$AK$137,Calc!$AN$2:$AN$137,Calc!$AO$2:$AO$137),MATCH($W258,Calc!$A$2:$A$137,0)),"")</f>
        <v>29.5044</v>
      </c>
      <c r="H258" s="11" t="n">
        <f aca="false">IF(G258="","",IF(LEFT($X258,1)="H",SQRT(G258*(IFERROR(INDEX(Calc!$AP$2:$AP$137,MATCH($W258,Calc!$A$2:$A$137,0)),0.5)*Config!$B$5+1-IFERROR(INDEX(Calc!$AP$2:$AP$137,MATCH($W258,Calc!$A$2:$A$137,0)),0.5))),SQRT(G258*Config!$B$5)))</f>
        <v>6.42698685232824</v>
      </c>
      <c r="I258" s="10" t="n">
        <f aca="false">IF(OR(F258="",G258="",N(H258)&lt;=0),"",1-NORMDIST(FLOOR(F258,1)+0.5,G258,H258,TRUE()))</f>
        <v>0.378089162260453</v>
      </c>
      <c r="J258" s="10" t="n">
        <f aca="false">IF(I258="","",NORMDIST(CEILING(F258,1)-0.5,G258,H258,TRUE()))</f>
        <v>0.561553586981921</v>
      </c>
      <c r="K258" s="10" t="n">
        <f aca="false">IF(I258="","",MAX(0,1-I258-J258))</f>
        <v>0.0603572507576262</v>
      </c>
      <c r="L258" s="0" t="str">
        <f aca="false">IF(I258="","",IF(I258&gt;=0.5+Config!$B$6,"OVER",IF(J258&gt;=0.5+Config!$B$6,"UNDER","—")))</f>
        <v>UNDER</v>
      </c>
      <c r="N258" s="0" t="n">
        <v>34</v>
      </c>
      <c r="O258" s="10"/>
      <c r="P258" s="10"/>
      <c r="Q258" s="10"/>
      <c r="R258" s="9" t="s">
        <v>1287</v>
      </c>
      <c r="S258" s="0" t="n">
        <v>2</v>
      </c>
      <c r="T258" s="0" t="str">
        <f aca="false">INDEX(Calc!$G$2:$G$137,MATCH($W258,Calc!$A$2:$A$137,0))&amp;" / "&amp;INDEX(Calc!$H$2:$H$137,MATCH($W258,Calc!$A$2:$A$137,0))</f>
        <v>Haven / Pearl</v>
      </c>
      <c r="U258" s="0" t="str">
        <f aca="false">TEXT(INDEX(Calc!$J$2:$J$137,MATCH($W258,Calc!$A$2:$A$137,0)),"0.0")&amp;" / "&amp;TEXT(INDEX(Calc!$K$2:$K$137,MATCH($W258,Calc!$A$2:$A$137,0)),"0.0")</f>
        <v>21.4 / 21.4</v>
      </c>
      <c r="V258" s="0" t="str">
        <f aca="false">IFERROR(INDEX(Calc!$AQ$2:$AQ$137,MATCH($W258,Calc!$A$2:$A$137,0)),"")</f>
        <v>thin sample (4 maps) · M1 unplayed→overall KPR · M2 unplayed→overall KPR ·</v>
      </c>
      <c r="W258" s="9" t="s">
        <v>1600</v>
      </c>
      <c r="X258" s="9" t="s">
        <v>1291</v>
      </c>
      <c r="Y258" s="0" t="str">
        <f aca="false">W258&amp;"|"&amp;X258</f>
        <v>uuenaj2yjxssq46|VAL · KBG vs UR|K12</v>
      </c>
      <c r="Z258" s="11" t="n">
        <f aca="false">IFERROR(INDEX(CHOOSE(MATCH($X258,{"K1","K2","K3","K12","K13","H1","H2","H3","H12","H13"},0),Calc!$BA$2:$BA$137,Calc!$BB$2:$BB$137,Calc!$BC$2:$BC$137,Calc!$BD$2:$BD$137,Calc!$BE$2:$BE$137,Calc!$BF$2:$BF$137,Calc!$BG$2:$BG$137,Calc!$BH$2:$BH$137,Calc!$BI$2:$BI$137,Calc!$BJ$2:$BJ$137),MATCH($W258,Calc!$A$2:$A$137,0)),"")</f>
        <v>29.5044</v>
      </c>
      <c r="AA258" s="11" t="n">
        <f aca="false">IF(Z258="","",IF(LEFT($X258,1)="H",SQRT(Z258*(IFERROR(INDEX(Calc!$AP$2:$AP$137,MATCH($W258,Calc!$A$2:$A$137,0)),0.5)*Config!$B$5+1-IFERROR(INDEX(Calc!$AP$2:$AP$137,MATCH($W258,Calc!$A$2:$A$137,0)),0.5))),SQRT(Z258*Config!$B$5)))</f>
        <v>6.42698685232824</v>
      </c>
      <c r="AB258" s="10" t="n">
        <f aca="false">IF(OR(F258="",Z258="",N(AA258)&lt;=0),"",1-NORMDIST(FLOOR(F258,1)+0.5,Z258,AA258,TRUE()))</f>
        <v>0.378089162260453</v>
      </c>
      <c r="AC258" s="10" t="n">
        <f aca="false">IF(AB258="","",NORMDIST(CEILING(F258,1)-0.5,Z258,AA258,TRUE()))</f>
        <v>0.561553586981921</v>
      </c>
      <c r="AD258" s="0" t="str">
        <f aca="false">IF(AB258="","",IF(AB258&gt;=0.5+Config!$B$6,"OVER",IF(AC258&gt;=0.5+Config!$B$6,"UNDER","—")))</f>
        <v>UNDER</v>
      </c>
      <c r="AE258" s="13" t="n">
        <f aca="false">IFERROR(Z258/G258,"")</f>
        <v>1</v>
      </c>
    </row>
    <row r="259" customFormat="false" ht="15" hidden="false" customHeight="false" outlineLevel="0" collapsed="false">
      <c r="A259" s="0" t="s">
        <v>1247</v>
      </c>
      <c r="B259" s="0" t="s">
        <v>1246</v>
      </c>
      <c r="C259" s="0" t="s">
        <v>1601</v>
      </c>
      <c r="D259" s="0" t="s">
        <v>1253</v>
      </c>
      <c r="E259" s="0" t="s">
        <v>1290</v>
      </c>
      <c r="F259" s="0" t="n">
        <v>31.5</v>
      </c>
      <c r="G259" s="11" t="n">
        <f aca="false">IFERROR(INDEX(CHOOSE(MATCH($X259,{"K1","K2","K3","K12","K13","H1","H2","H3","H12","H13"},0),Calc!$V$2:$V$137,Calc!$AC$2:$AC$137,Calc!$AJ$2:$AJ$137,Calc!$AL$2:$AL$137,Calc!$AM$2:$AM$137,Calc!$W$2:$W$137,Calc!$AD$2:$AD$137,Calc!$AK$2:$AK$137,Calc!$AN$2:$AN$137,Calc!$AO$2:$AO$137),MATCH($W259,Calc!$A$2:$A$137,0)),"")</f>
        <v>35.7364918032787</v>
      </c>
      <c r="H259" s="11" t="n">
        <f aca="false">IF(G259="","",IF(LEFT($X259,1)="H",SQRT(G259*(IFERROR(INDEX(Calc!$AP$2:$AP$137,MATCH($W259,Calc!$A$2:$A$137,0)),0.5)*Config!$B$5+1-IFERROR(INDEX(Calc!$AP$2:$AP$137,MATCH($W259,Calc!$A$2:$A$137,0)),0.5))),SQRT(G259*Config!$B$5)))</f>
        <v>7.07326576091908</v>
      </c>
      <c r="I259" s="10" t="n">
        <f aca="false">IF(OR(F259="",G259="",N(H259)&lt;=0),"",1-NORMDIST(FLOOR(F259,1)+0.5,G259,H259,TRUE()))</f>
        <v>0.725394966496956</v>
      </c>
      <c r="J259" s="10" t="n">
        <f aca="false">IF(I259="","",NORMDIST(CEILING(F259,1)-0.5,G259,H259,TRUE()))</f>
        <v>0.274605033503044</v>
      </c>
      <c r="K259" s="10" t="n">
        <f aca="false">IF(I259="","",MAX(0,1-I259-J259))</f>
        <v>0</v>
      </c>
      <c r="L259" s="0" t="str">
        <f aca="false">IF(I259="","",IF(I259&gt;=0.5+Config!$B$6,"OVER",IF(J259&gt;=0.5+Config!$B$6,"UNDER","—")))</f>
        <v>OVER</v>
      </c>
      <c r="N259" s="0" t="n">
        <v>33.8</v>
      </c>
      <c r="O259" s="10" t="n">
        <v>0.4</v>
      </c>
      <c r="P259" s="10" t="n">
        <v>0.5</v>
      </c>
      <c r="Q259" s="10" t="n">
        <v>0.6</v>
      </c>
      <c r="R259" s="9" t="s">
        <v>1287</v>
      </c>
      <c r="S259" s="0" t="n">
        <v>-2</v>
      </c>
      <c r="T259" s="0" t="str">
        <f aca="false">INDEX(Calc!$G$2:$G$137,MATCH($W259,Calc!$A$2:$A$137,0))&amp;" / "&amp;INDEX(Calc!$H$2:$H$137,MATCH($W259,Calc!$A$2:$A$137,0))</f>
        <v>Haven / Pearl</v>
      </c>
      <c r="U259" s="0" t="str">
        <f aca="false">TEXT(INDEX(Calc!$J$2:$J$137,MATCH($W259,Calc!$A$2:$A$137,0)),"0.0")&amp;" / "&amp;TEXT(INDEX(Calc!$K$2:$K$137,MATCH($W259,Calc!$A$2:$A$137,0)),"0.0")</f>
        <v>21.4 / 21.4</v>
      </c>
      <c r="V259" s="0" t="str">
        <f aca="false">IFERROR(INDEX(Calc!$AQ$2:$AQ$137,MATCH($W259,Calc!$A$2:$A$137,0)),"")</f>
        <v/>
      </c>
      <c r="W259" s="9" t="s">
        <v>1602</v>
      </c>
      <c r="X259" s="9" t="s">
        <v>1291</v>
      </c>
      <c r="Y259" s="0" t="str">
        <f aca="false">W259&amp;"|"&amp;X259</f>
        <v>16vwmlbwgx0jdz4|VAL · KBG vs UR|K12</v>
      </c>
      <c r="Z259" s="11" t="n">
        <f aca="false">IFERROR(INDEX(CHOOSE(MATCH($X259,{"K1","K2","K3","K12","K13","H1","H2","H3","H12","H13"},0),Calc!$BA$2:$BA$137,Calc!$BB$2:$BB$137,Calc!$BC$2:$BC$137,Calc!$BD$2:$BD$137,Calc!$BE$2:$BE$137,Calc!$BF$2:$BF$137,Calc!$BG$2:$BG$137,Calc!$BH$2:$BH$137,Calc!$BI$2:$BI$137,Calc!$BJ$2:$BJ$137),MATCH($W259,Calc!$A$2:$A$137,0)),"")</f>
        <v>35.7364918032787</v>
      </c>
      <c r="AA259" s="11" t="n">
        <f aca="false">IF(Z259="","",IF(LEFT($X259,1)="H",SQRT(Z259*(IFERROR(INDEX(Calc!$AP$2:$AP$137,MATCH($W259,Calc!$A$2:$A$137,0)),0.5)*Config!$B$5+1-IFERROR(INDEX(Calc!$AP$2:$AP$137,MATCH($W259,Calc!$A$2:$A$137,0)),0.5))),SQRT(Z259*Config!$B$5)))</f>
        <v>7.07326576091908</v>
      </c>
      <c r="AB259" s="10" t="n">
        <f aca="false">IF(OR(F259="",Z259="",N(AA259)&lt;=0),"",1-NORMDIST(FLOOR(F259,1)+0.5,Z259,AA259,TRUE()))</f>
        <v>0.725394966496956</v>
      </c>
      <c r="AC259" s="10" t="n">
        <f aca="false">IF(AB259="","",NORMDIST(CEILING(F259,1)-0.5,Z259,AA259,TRUE()))</f>
        <v>0.274605033503044</v>
      </c>
      <c r="AD259" s="0" t="str">
        <f aca="false">IF(AB259="","",IF(AB259&gt;=0.5+Config!$B$6,"OVER",IF(AC259&gt;=0.5+Config!$B$6,"UNDER","—")))</f>
        <v>OVER</v>
      </c>
      <c r="AE259" s="13" t="n">
        <f aca="false">IFERROR(Z259/G259,"")</f>
        <v>1</v>
      </c>
    </row>
    <row r="260" customFormat="false" ht="15" hidden="false" customHeight="false" outlineLevel="0" collapsed="false">
      <c r="A260" s="0" t="s">
        <v>1247</v>
      </c>
      <c r="B260" s="0" t="s">
        <v>1246</v>
      </c>
      <c r="C260" s="0" t="s">
        <v>1603</v>
      </c>
      <c r="D260" s="0" t="s">
        <v>1254</v>
      </c>
      <c r="E260" s="0" t="s">
        <v>1290</v>
      </c>
      <c r="F260" s="0" t="n">
        <v>28.5</v>
      </c>
      <c r="G260" s="11" t="n">
        <f aca="false">IFERROR(INDEX(CHOOSE(MATCH($X260,{"K1","K2","K3","K12","K13","H1","H2","H3","H12","H13"},0),Calc!$V$2:$V$137,Calc!$AC$2:$AC$137,Calc!$AJ$2:$AJ$137,Calc!$AL$2:$AL$137,Calc!$AM$2:$AM$137,Calc!$W$2:$W$137,Calc!$AD$2:$AD$137,Calc!$AK$2:$AK$137,Calc!$AN$2:$AN$137,Calc!$AO$2:$AO$137),MATCH($W260,Calc!$A$2:$A$137,0)),"")</f>
        <v>30.9152250831456</v>
      </c>
      <c r="H260" s="11" t="n">
        <f aca="false">IF(G260="","",IF(LEFT($X260,1)="H",SQRT(G260*(IFERROR(INDEX(Calc!$AP$2:$AP$137,MATCH($W260,Calc!$A$2:$A$137,0)),0.5)*Config!$B$5+1-IFERROR(INDEX(Calc!$AP$2:$AP$137,MATCH($W260,Calc!$A$2:$A$137,0)),0.5))),SQRT(G260*Config!$B$5)))</f>
        <v>6.57885363238945</v>
      </c>
      <c r="I260" s="10" t="n">
        <f aca="false">IF(OR(F260="",G260="",N(H260)&lt;=0),"",1-NORMDIST(FLOOR(F260,1)+0.5,G260,H260,TRUE()))</f>
        <v>0.643235037646218</v>
      </c>
      <c r="J260" s="10" t="n">
        <f aca="false">IF(I260="","",NORMDIST(CEILING(F260,1)-0.5,G260,H260,TRUE()))</f>
        <v>0.356764962353782</v>
      </c>
      <c r="K260" s="10" t="n">
        <f aca="false">IF(I260="","",MAX(0,1-I260-J260))</f>
        <v>0</v>
      </c>
      <c r="L260" s="0" t="str">
        <f aca="false">IF(I260="","",IF(I260&gt;=0.5+Config!$B$6,"OVER",IF(J260&gt;=0.5+Config!$B$6,"UNDER","—")))</f>
        <v>OVER</v>
      </c>
      <c r="N260" s="0" t="n">
        <v>28.4</v>
      </c>
      <c r="O260" s="10" t="n">
        <v>0.6</v>
      </c>
      <c r="P260" s="10" t="n">
        <v>0.4</v>
      </c>
      <c r="Q260" s="10"/>
      <c r="R260" s="9" t="s">
        <v>1287</v>
      </c>
      <c r="S260" s="0" t="n">
        <v>1</v>
      </c>
      <c r="T260" s="0" t="str">
        <f aca="false">INDEX(Calc!$G$2:$G$137,MATCH($W260,Calc!$A$2:$A$137,0))&amp;" / "&amp;INDEX(Calc!$H$2:$H$137,MATCH($W260,Calc!$A$2:$A$137,0))</f>
        <v>Haven / Pearl</v>
      </c>
      <c r="U260" s="0" t="str">
        <f aca="false">TEXT(INDEX(Calc!$J$2:$J$137,MATCH($W260,Calc!$A$2:$A$137,0)),"0.0")&amp;" / "&amp;TEXT(INDEX(Calc!$K$2:$K$137,MATCH($W260,Calc!$A$2:$A$137,0)),"0.0")</f>
        <v>21.4 / 21.4</v>
      </c>
      <c r="V260" s="0" t="str">
        <f aca="false">IFERROR(INDEX(Calc!$AQ$2:$AQ$137,MATCH($W260,Calc!$A$2:$A$137,0)),"")</f>
        <v/>
      </c>
      <c r="W260" s="9" t="s">
        <v>1604</v>
      </c>
      <c r="X260" s="9" t="s">
        <v>1291</v>
      </c>
      <c r="Y260" s="0" t="str">
        <f aca="false">W260&amp;"|"&amp;X260</f>
        <v>fl4ta9g39ylnp3t|VAL · KBG vs UR|K12</v>
      </c>
      <c r="Z260" s="11" t="n">
        <f aca="false">IFERROR(INDEX(CHOOSE(MATCH($X260,{"K1","K2","K3","K12","K13","H1","H2","H3","H12","H13"},0),Calc!$BA$2:$BA$137,Calc!$BB$2:$BB$137,Calc!$BC$2:$BC$137,Calc!$BD$2:$BD$137,Calc!$BE$2:$BE$137,Calc!$BF$2:$BF$137,Calc!$BG$2:$BG$137,Calc!$BH$2:$BH$137,Calc!$BI$2:$BI$137,Calc!$BJ$2:$BJ$137),MATCH($W260,Calc!$A$2:$A$137,0)),"")</f>
        <v>30.9152250831456</v>
      </c>
      <c r="AA260" s="11" t="n">
        <f aca="false">IF(Z260="","",IF(LEFT($X260,1)="H",SQRT(Z260*(IFERROR(INDEX(Calc!$AP$2:$AP$137,MATCH($W260,Calc!$A$2:$A$137,0)),0.5)*Config!$B$5+1-IFERROR(INDEX(Calc!$AP$2:$AP$137,MATCH($W260,Calc!$A$2:$A$137,0)),0.5))),SQRT(Z260*Config!$B$5)))</f>
        <v>6.57885363238945</v>
      </c>
      <c r="AB260" s="10" t="n">
        <f aca="false">IF(OR(F260="",Z260="",N(AA260)&lt;=0),"",1-NORMDIST(FLOOR(F260,1)+0.5,Z260,AA260,TRUE()))</f>
        <v>0.643235037646218</v>
      </c>
      <c r="AC260" s="10" t="n">
        <f aca="false">IF(AB260="","",NORMDIST(CEILING(F260,1)-0.5,Z260,AA260,TRUE()))</f>
        <v>0.356764962353782</v>
      </c>
      <c r="AD260" s="0" t="str">
        <f aca="false">IF(AB260="","",IF(AB260&gt;=0.5+Config!$B$6,"OVER",IF(AC260&gt;=0.5+Config!$B$6,"UNDER","—")))</f>
        <v>OVER</v>
      </c>
      <c r="AE260" s="13" t="n">
        <f aca="false">IFERROR(Z260/G260,"")</f>
        <v>1</v>
      </c>
    </row>
    <row r="261" customFormat="false" ht="15" hidden="false" customHeight="false" outlineLevel="0" collapsed="false">
      <c r="A261" s="0" t="s">
        <v>1247</v>
      </c>
      <c r="B261" s="0" t="s">
        <v>1255</v>
      </c>
      <c r="C261" s="0" t="s">
        <v>1605</v>
      </c>
      <c r="D261" s="0" t="s">
        <v>1260</v>
      </c>
      <c r="E261" s="0" t="s">
        <v>1290</v>
      </c>
      <c r="F261" s="0" t="n">
        <v>27.5</v>
      </c>
      <c r="G261" s="11" t="n">
        <f aca="false">IFERROR(INDEX(CHOOSE(MATCH($X261,{"K1","K2","K3","K12","K13","H1","H2","H3","H12","H13"},0),Calc!$V$2:$V$137,Calc!$AC$2:$AC$137,Calc!$AJ$2:$AJ$137,Calc!$AL$2:$AL$137,Calc!$AM$2:$AM$137,Calc!$W$2:$W$137,Calc!$AD$2:$AD$137,Calc!$AK$2:$AK$137,Calc!$AN$2:$AN$137,Calc!$AO$2:$AO$137),MATCH($W261,Calc!$A$2:$A$137,0)),"")</f>
        <v>22.1233947750363</v>
      </c>
      <c r="H261" s="11" t="n">
        <f aca="false">IF(G261="","",IF(LEFT($X261,1)="H",SQRT(G261*(IFERROR(INDEX(Calc!$AP$2:$AP$137,MATCH($W261,Calc!$A$2:$A$137,0)),0.5)*Config!$B$5+1-IFERROR(INDEX(Calc!$AP$2:$AP$137,MATCH($W261,Calc!$A$2:$A$137,0)),0.5))),SQRT(G261*Config!$B$5)))</f>
        <v>5.56531694380929</v>
      </c>
      <c r="I261" s="10" t="n">
        <f aca="false">IF(OR(F261="",G261="",N(H261)&lt;=0),"",1-NORMDIST(FLOOR(F261,1)+0.5,G261,H261,TRUE()))</f>
        <v>0.166999206338045</v>
      </c>
      <c r="J261" s="10" t="n">
        <f aca="false">IF(I261="","",NORMDIST(CEILING(F261,1)-0.5,G261,H261,TRUE()))</f>
        <v>0.833000793661955</v>
      </c>
      <c r="K261" s="10" t="n">
        <f aca="false">IF(I261="","",MAX(0,1-I261-J261))</f>
        <v>0</v>
      </c>
      <c r="L261" s="0" t="str">
        <f aca="false">IF(I261="","",IF(I261&gt;=0.5+Config!$B$6,"OVER",IF(J261&gt;=0.5+Config!$B$6,"UNDER","—")))</f>
        <v>UNDER</v>
      </c>
      <c r="N261" s="0" t="n">
        <v>23.7</v>
      </c>
      <c r="O261" s="10" t="n">
        <v>0.2</v>
      </c>
      <c r="P261" s="10" t="n">
        <v>0.4</v>
      </c>
      <c r="Q261" s="10"/>
      <c r="R261" s="9" t="s">
        <v>1287</v>
      </c>
      <c r="S261" s="0" t="n">
        <v>1</v>
      </c>
      <c r="T261" s="0" t="str">
        <f aca="false">INDEX(Calc!$G$2:$G$137,MATCH($W261,Calc!$A$2:$A$137,0))&amp;" / "&amp;INDEX(Calc!$H$2:$H$137,MATCH($W261,Calc!$A$2:$A$137,0))</f>
        <v>Sunset / Split</v>
      </c>
      <c r="U261" s="0" t="str">
        <f aca="false">TEXT(INDEX(Calc!$J$2:$J$137,MATCH($W261,Calc!$A$2:$A$137,0)),"0.0")&amp;" / "&amp;TEXT(INDEX(Calc!$K$2:$K$137,MATCH($W261,Calc!$A$2:$A$137,0)),"0.0")</f>
        <v>21.3 / 21.2</v>
      </c>
      <c r="V261" s="0" t="str">
        <f aca="false">IFERROR(INDEX(Calc!$AQ$2:$AQ$137,MATCH($W261,Calc!$A$2:$A$137,0)),"")</f>
        <v/>
      </c>
      <c r="W261" s="9" t="s">
        <v>1606</v>
      </c>
      <c r="X261" s="9" t="s">
        <v>1291</v>
      </c>
      <c r="Y261" s="0" t="str">
        <f aca="false">W261&amp;"|"&amp;X261</f>
        <v>7bx7bre77fcpsbi|VAL · TEC vs WSIG|K12</v>
      </c>
      <c r="Z261" s="11" t="n">
        <f aca="false">IFERROR(INDEX(CHOOSE(MATCH($X261,{"K1","K2","K3","K12","K13","H1","H2","H3","H12","H13"},0),Calc!$BA$2:$BA$137,Calc!$BB$2:$BB$137,Calc!$BC$2:$BC$137,Calc!$BD$2:$BD$137,Calc!$BE$2:$BE$137,Calc!$BF$2:$BF$137,Calc!$BG$2:$BG$137,Calc!$BH$2:$BH$137,Calc!$BI$2:$BI$137,Calc!$BJ$2:$BJ$137),MATCH($W261,Calc!$A$2:$A$137,0)),"")</f>
        <v>22.1233947750363</v>
      </c>
      <c r="AA261" s="11" t="n">
        <f aca="false">IF(Z261="","",IF(LEFT($X261,1)="H",SQRT(Z261*(IFERROR(INDEX(Calc!$AP$2:$AP$137,MATCH($W261,Calc!$A$2:$A$137,0)),0.5)*Config!$B$5+1-IFERROR(INDEX(Calc!$AP$2:$AP$137,MATCH($W261,Calc!$A$2:$A$137,0)),0.5))),SQRT(Z261*Config!$B$5)))</f>
        <v>5.56531694380929</v>
      </c>
      <c r="AB261" s="10" t="n">
        <f aca="false">IF(OR(F261="",Z261="",N(AA261)&lt;=0),"",1-NORMDIST(FLOOR(F261,1)+0.5,Z261,AA261,TRUE()))</f>
        <v>0.166999206338045</v>
      </c>
      <c r="AC261" s="10" t="n">
        <f aca="false">IF(AB261="","",NORMDIST(CEILING(F261,1)-0.5,Z261,AA261,TRUE()))</f>
        <v>0.833000793661955</v>
      </c>
      <c r="AD261" s="0" t="str">
        <f aca="false">IF(AB261="","",IF(AB261&gt;=0.5+Config!$B$6,"OVER",IF(AC261&gt;=0.5+Config!$B$6,"UNDER","—")))</f>
        <v>UNDER</v>
      </c>
      <c r="AE261" s="13" t="n">
        <f aca="false">IFERROR(Z261/G261,"")</f>
        <v>1</v>
      </c>
    </row>
  </sheetData>
  <autoFilter ref="A1:AE261"/>
  <conditionalFormatting sqref="AB2:AB261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61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1607</v>
      </c>
      <c r="B1" s="12" t="s">
        <v>1102</v>
      </c>
      <c r="C1" s="12" t="s">
        <v>1101</v>
      </c>
      <c r="D1" s="12" t="s">
        <v>1076</v>
      </c>
      <c r="E1" s="12" t="s">
        <v>1077</v>
      </c>
      <c r="F1" s="12" t="s">
        <v>1608</v>
      </c>
      <c r="G1" s="12" t="s">
        <v>1109</v>
      </c>
      <c r="H1" s="12" t="s">
        <v>1110</v>
      </c>
      <c r="I1" s="12" t="s">
        <v>1111</v>
      </c>
      <c r="J1" s="12" t="s">
        <v>1609</v>
      </c>
      <c r="K1" s="12" t="s">
        <v>1610</v>
      </c>
      <c r="L1" s="12" t="s">
        <v>1611</v>
      </c>
      <c r="M1" s="12" t="s">
        <v>1612</v>
      </c>
      <c r="N1" s="12" t="s">
        <v>1613</v>
      </c>
      <c r="O1" s="12" t="s">
        <v>1614</v>
      </c>
      <c r="P1" s="12" t="s">
        <v>1615</v>
      </c>
      <c r="Q1" s="12" t="s">
        <v>1616</v>
      </c>
      <c r="R1" s="12" t="s">
        <v>1617</v>
      </c>
      <c r="S1" s="12" t="s">
        <v>1618</v>
      </c>
      <c r="T1" s="12" t="s">
        <v>1619</v>
      </c>
      <c r="U1" s="12" t="s">
        <v>1620</v>
      </c>
      <c r="V1" s="12" t="s">
        <v>1621</v>
      </c>
      <c r="W1" s="12" t="s">
        <v>1622</v>
      </c>
      <c r="X1" s="12" t="s">
        <v>1623</v>
      </c>
      <c r="Y1" s="12" t="s">
        <v>1624</v>
      </c>
      <c r="Z1" s="12" t="s">
        <v>1625</v>
      </c>
      <c r="AA1" s="12" t="s">
        <v>1626</v>
      </c>
      <c r="AB1" s="12" t="s">
        <v>1627</v>
      </c>
      <c r="AC1" s="12" t="s">
        <v>1628</v>
      </c>
      <c r="AD1" s="12" t="s">
        <v>1629</v>
      </c>
      <c r="AE1" s="12" t="s">
        <v>1630</v>
      </c>
      <c r="AF1" s="12" t="s">
        <v>1631</v>
      </c>
      <c r="AG1" s="12" t="s">
        <v>1632</v>
      </c>
      <c r="AH1" s="12" t="s">
        <v>1633</v>
      </c>
      <c r="AI1" s="12" t="s">
        <v>1634</v>
      </c>
      <c r="AJ1" s="12" t="s">
        <v>1635</v>
      </c>
      <c r="AK1" s="12" t="s">
        <v>1636</v>
      </c>
      <c r="AL1" s="12" t="s">
        <v>1082</v>
      </c>
      <c r="AM1" s="12" t="s">
        <v>1637</v>
      </c>
      <c r="AN1" s="12" t="s">
        <v>1091</v>
      </c>
      <c r="AO1" s="12" t="s">
        <v>1638</v>
      </c>
      <c r="AP1" s="12" t="s">
        <v>1090</v>
      </c>
      <c r="AQ1" s="12" t="s">
        <v>1095</v>
      </c>
      <c r="AR1" s="12" t="s">
        <v>1639</v>
      </c>
      <c r="AS1" s="12" t="s">
        <v>1640</v>
      </c>
      <c r="AT1" s="12" t="s">
        <v>1641</v>
      </c>
      <c r="AU1" s="12" t="s">
        <v>1642</v>
      </c>
      <c r="AV1" s="12" t="s">
        <v>1643</v>
      </c>
      <c r="AW1" s="12" t="s">
        <v>1644</v>
      </c>
      <c r="AX1" s="12" t="s">
        <v>1645</v>
      </c>
      <c r="AY1" s="12" t="s">
        <v>1646</v>
      </c>
      <c r="AZ1" s="12" t="s">
        <v>1647</v>
      </c>
      <c r="BA1" s="12" t="s">
        <v>1648</v>
      </c>
      <c r="BB1" s="12" t="s">
        <v>1649</v>
      </c>
      <c r="BC1" s="12" t="s">
        <v>1650</v>
      </c>
      <c r="BD1" s="12" t="s">
        <v>1651</v>
      </c>
      <c r="BE1" s="12" t="s">
        <v>1652</v>
      </c>
      <c r="BF1" s="12" t="s">
        <v>1653</v>
      </c>
      <c r="BG1" s="12" t="s">
        <v>1654</v>
      </c>
      <c r="BH1" s="12" t="s">
        <v>1655</v>
      </c>
      <c r="BI1" s="12" t="s">
        <v>1656</v>
      </c>
      <c r="BJ1" s="12" t="s">
        <v>1657</v>
      </c>
      <c r="BK1" s="12" t="s">
        <v>1658</v>
      </c>
    </row>
    <row r="2" customFormat="false" ht="15" hidden="false" customHeight="false" outlineLevel="0" collapsed="false">
      <c r="A2" s="0" t="s">
        <v>1288</v>
      </c>
      <c r="B2" s="0" t="s">
        <v>1139</v>
      </c>
      <c r="C2" s="0" t="s">
        <v>1186</v>
      </c>
      <c r="D2" s="0" t="s">
        <v>1190</v>
      </c>
      <c r="E2" s="0" t="s">
        <v>1285</v>
      </c>
      <c r="F2" s="0" t="s">
        <v>1659</v>
      </c>
      <c r="G2" s="0" t="str">
        <f aca="false">IFERROR(IF(INDEX(Matches!$W$5:$W$23,MATCH($C2,Matches!$A$5:$A$23,0))="","",INDEX(Matches!$W$5:$W$23,MATCH($C2,Matches!$A$5:$A$23,0))),"")</f>
        <v>Dust2</v>
      </c>
      <c r="H2" s="0" t="str">
        <f aca="false">IFERROR(IF(INDEX(Matches!$X$5:$X$23,MATCH($C2,Matches!$A$5:$A$23,0))="","",INDEX(Matches!$X$5:$X$23,MATCH($C2,Matches!$A$5:$A$23,0))),"")</f>
        <v>Ancient</v>
      </c>
      <c r="I2" s="0" t="str">
        <f aca="false">IFERROR(IF(INDEX(Matches!$Y$5:$Y$23,MATCH($C2,Matches!$A$5:$A$23,0))="","",INDEX(Matches!$Y$5:$Y$23,MATCH($C2,Matches!$A$5:$A$23,0))),"")</f>
        <v>Nuke</v>
      </c>
      <c r="J2" s="11" t="n">
        <f aca="false">IFERROR(IF(INDEX(Matches!$Z$5:$Z$23,MATCH($C2,Matches!$A$5:$A$23,0))="","",INDEX(Matches!$Z$5:$Z$23,MATCH($C2,Matches!$A$5:$A$23,0))),"")</f>
        <v>21.5</v>
      </c>
      <c r="K2" s="11" t="n">
        <f aca="false">IFERROR(IF(INDEX(Matches!$AA$5:$AA$23,MATCH($C2,Matches!$A$5:$A$23,0))="","",INDEX(Matches!$AA$5:$AA$23,MATCH($C2,Matches!$A$5:$A$23,0))),"")</f>
        <v>21.5</v>
      </c>
      <c r="L2" s="11" t="n">
        <f aca="false">IFERROR(IF(INDEX(Matches!$AB$5:$AB$23,MATCH($C2,Matches!$A$5:$A$23,0))="","",INDEX(Matches!$AB$5:$AB$23,MATCH($C2,Matches!$A$5:$A$23,0))),"")</f>
        <v>21.5</v>
      </c>
      <c r="M2" s="10" t="n">
        <f aca="false">IFERROR(IF(INDEX(Matches!$AC$5:$AC$23,MATCH($C2,Matches!$A$5:$A$23,0))="","",INDEX(Matches!$AC$5:$AC$23,MATCH($C2,Matches!$A$5:$A$23,0))),"")</f>
        <v>0</v>
      </c>
      <c r="N2" s="9" t="n">
        <f aca="false">IFERROR(INDEX(Players!$F$2:$F$137,MATCH($F2,Players!$A$2:$A$137,0)),0)</f>
        <v>30</v>
      </c>
      <c r="O2" s="13" t="n">
        <f aca="false">IFERROR(1/(1/INDEX(Players!$H$2:$H$137,MATCH($F2,Players!$A$2:$A$137,0))),"")</f>
        <v>0.75</v>
      </c>
      <c r="P2" s="10" t="n">
        <f aca="false">IFERROR(1/(1/INDEX(Players!$I$2:$I$137,MATCH($F2,Players!$A$2:$A$137,0))),"")</f>
        <v>0.332</v>
      </c>
      <c r="Q2" s="9" t="n">
        <f aca="false">IF($G2="",0,SUMIFS(Map_Stats!$F$2:$F$850,Map_Stats!$A$2:$A$850,$F2&amp;"|"&amp;$G2))</f>
        <v>7</v>
      </c>
      <c r="R2" s="13" t="n">
        <f aca="false">IF($G2="","",IFERROR(1/(1/INDEX(Map_Stats!$K$2:$K$850,MATCH($F2&amp;"|"&amp;$G2,Map_Stats!$A$2:$A$850,0))),$O2))</f>
        <v>0.86</v>
      </c>
      <c r="S2" s="10" t="n">
        <f aca="false">IF(OR($G2="",$P2=""),"",IFERROR(1/(1/INDEX(Map_Stats!$I$2:$I$850,MATCH($F2&amp;"|"&amp;$G2,Map_Stats!$A$2:$A$850,0))),$P2))</f>
        <v>0.351</v>
      </c>
      <c r="T2" s="13" t="n">
        <f aca="false">IF(OR($G2="",R2=""),"",IF($O2="",R2,(Q2*R2+Config!$B$4*$O2)/(Q2+Config!$B$4)))</f>
        <v>0.814166666666667</v>
      </c>
      <c r="U2" s="10" t="n">
        <f aca="false">IF(S2="","",(Q2*S2+Config!$B$4*$P2)/(Q2+Config!$B$4))</f>
        <v>0.343083333333333</v>
      </c>
      <c r="V2" s="17" t="n">
        <f aca="false">IF(OR(T2="",$J2=""),"",T2*$J2*($J2/Config!$B$10)^Config!$B$9)</f>
        <v>17.5045833333333</v>
      </c>
      <c r="W2" s="17" t="n">
        <f aca="false">IF(OR(V2="",U2=""),"",V2*U2)</f>
        <v>6.00553079861111</v>
      </c>
      <c r="X2" s="9" t="n">
        <f aca="false">IF($H2="",0,SUMIFS(Map_Stats!$F$2:$F$850,Map_Stats!$A$2:$A$850,$F2&amp;"|"&amp;$H2))</f>
        <v>6</v>
      </c>
      <c r="Y2" s="13" t="n">
        <f aca="false">IF($H2="","",IFERROR(1/(1/INDEX(Map_Stats!$K$2:$K$850,MATCH($F2&amp;"|"&amp;$H2,Map_Stats!$A$2:$A$850,0))),$O2))</f>
        <v>0.85</v>
      </c>
      <c r="Z2" s="10" t="n">
        <f aca="false">IF(OR($H2="",$P2=""),"",IFERROR(1/(1/INDEX(Map_Stats!$I$2:$I$850,MATCH($F2&amp;"|"&amp;$H2,Map_Stats!$A$2:$A$850,0))),$P2))</f>
        <v>0.298</v>
      </c>
      <c r="AA2" s="13" t="n">
        <f aca="false">IF(OR($H2="",Y2=""),"",IF($O2="",Y2,(X2*Y2+Config!$B$4*$O2)/(X2+Config!$B$4)))</f>
        <v>0.804545454545455</v>
      </c>
      <c r="AB2" s="10" t="n">
        <f aca="false">IF(Z2="","",(X2*Z2+Config!$B$4*$P2)/(X2+Config!$B$4))</f>
        <v>0.313454545454545</v>
      </c>
      <c r="AC2" s="17" t="n">
        <f aca="false">IF(OR(AA2="",$K2=""),"",AA2*$K2*($K2/Config!$B$10)^Config!$B$9)</f>
        <v>17.2977272727273</v>
      </c>
      <c r="AD2" s="17" t="n">
        <f aca="false">IF(OR(AC2="",AB2=""),"",AC2*AB2)</f>
        <v>5.42205123966942</v>
      </c>
      <c r="AE2" s="9" t="n">
        <f aca="false">IF($I2="",0,SUMIFS(Map_Stats!$F$2:$F$850,Map_Stats!$A$2:$A$850,$F2&amp;"|"&amp;$I2))</f>
        <v>3</v>
      </c>
      <c r="AF2" s="13" t="n">
        <f aca="false">IF($I2="","",IFERROR(1/(1/INDEX(Map_Stats!$K$2:$K$850,MATCH($F2&amp;"|"&amp;$I2,Map_Stats!$A$2:$A$850,0))),$O2))</f>
        <v>0.8</v>
      </c>
      <c r="AG2" s="10" t="n">
        <f aca="false">IF(OR($I2="",$P2=""),"",IFERROR(1/(1/INDEX(Map_Stats!$I$2:$I$850,MATCH($F2&amp;"|"&amp;$I2,Map_Stats!$A$2:$A$850,0))),$P2))</f>
        <v>0.356</v>
      </c>
      <c r="AH2" s="13" t="n">
        <f aca="false">IF(OR($I2="",AF2=""),"",IF($O2="",AF2,(AE2*AF2+Config!$B$4*$O2)/(AE2+Config!$B$4)))</f>
        <v>0.76875</v>
      </c>
      <c r="AI2" s="10" t="n">
        <f aca="false">IF(AG2="","",(AE2*AG2+Config!$B$4*$P2)/(AE2+Config!$B$4))</f>
        <v>0.341</v>
      </c>
      <c r="AJ2" s="17" t="n">
        <f aca="false">IF(OR(AH2="",$L2=""),"",AH2*$L2*($L2/Config!$B$10)^Config!$B$9)</f>
        <v>16.528125</v>
      </c>
      <c r="AK2" s="17" t="n">
        <f aca="false">IF(OR(AJ2="",AI2=""),"",AJ2*AI2)</f>
        <v>5.636090625</v>
      </c>
      <c r="AL2" s="17" t="n">
        <f aca="false">N(V2)+N(AC2)</f>
        <v>34.8023106060606</v>
      </c>
      <c r="AM2" s="17" t="n">
        <f aca="false">AL2+N($M2)*N(AJ2)</f>
        <v>34.8023106060606</v>
      </c>
      <c r="AN2" s="17" t="n">
        <f aca="false">IF(W2="","",N(W2)+N(AD2))</f>
        <v>11.4275820382805</v>
      </c>
      <c r="AO2" s="17" t="n">
        <f aca="false">IF(AN2="","",AN2+N($M2)*N(AK2))</f>
        <v>11.4275820382805</v>
      </c>
      <c r="AP2" s="10" t="n">
        <f aca="false">IFERROR(AN2/AL2,"")</f>
        <v>0.32835699237425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IF($C2=Board!$B$2,COUNTIFS($C$2:$C$137,Board!$B$2,$AL$2:$AL$137,"&gt;"&amp;$AL2)+COUNTIFS($C$1:$C1,Board!$B$2,$AL$1:$AL1,$AL2)+1,"")</f>
        <v/>
      </c>
      <c r="AS2" s="0" t="str">
        <f aca="false">IFERROR(IF($D2=INDEX(Matches!$AD$5:$AD$23,MATCH($C2,Matches!$A$5:$A$23,0)),"A",IF($D2=INDEX(Matches!$AE$5:$AE$23,MATCH($C2,Matches!$A$5:$A$23,0)),"B","")),"")</f>
        <v>A</v>
      </c>
      <c r="AT2" s="10" t="n">
        <f aca="false">IF($AS2="","",IFERROR(IF($AS2="A",INDEX(Matches!$AI$5:$AI$23,MATCH($C2,Matches!$A$5:$A$23,0)),INDEX(Matches!$AJ$5:$AJ$23,MATCH($C2,Matches!$A$5:$A$23,0))),""))</f>
        <v>0.542532661248843</v>
      </c>
      <c r="AU2" s="10" t="str">
        <f aca="false">IF($AS2="","",IFERROR(IF(INDEX(Matches!$AP$5:$AP$23,MATCH($C2,Matches!$A$5:$A$23,0))="","",IF($AS2="A",INDEX(Matches!$AP$5:$AP$23,MATCH($C2,Matches!$A$5:$A$23,0)),1-INDEX(Matches!$AP$5:$AP$23,MATCH($C2,Matches!$A$5:$A$23,0)))),""))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IF($AS2="","",IFERROR(IF(INDEX(Matches!$AV$5:$AV$23,MATCH($C2,Matches!$A$5:$A$23,0))="","",IF($AS2="A",INDEX(Matches!$AV$5:$AV$23,MATCH($C2,Matches!$A$5:$A$23,0)),1-INDEX(Matches!$AV$5:$AV$23,MATCH($C2,Matches!$A$5:$A$23,0)))),""))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IF($AS2="","",IFERROR(IF(INDEX(Matches!$BB$5:$BB$23,MATCH($C2,Matches!$A$5:$A$23,0))="","",IF($AS2="A",INDEX(Matches!$BB$5:$BB$23,MATCH($C2,Matches!$A$5:$A$23,0)),1-INDEX(Matches!$BB$5:$BB$23,MATCH($C2,Matches!$A$5:$A$23,0)))),""))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17.5045833333333</v>
      </c>
      <c r="BB2" s="17" t="n">
        <f aca="false">IF(AC2="","",AC2*$AX2)</f>
        <v>17.2977272727273</v>
      </c>
      <c r="BC2" s="17" t="n">
        <f aca="false">IF(AJ2="","",AJ2*$AZ2)</f>
        <v>16.528125</v>
      </c>
      <c r="BD2" s="17" t="n">
        <f aca="false">N(BA2)+N(BB2)</f>
        <v>34.8023106060606</v>
      </c>
      <c r="BE2" s="17" t="n">
        <f aca="false">BD2+N($M2)*N(BC2)</f>
        <v>34.8023106060606</v>
      </c>
      <c r="BF2" s="17" t="n">
        <f aca="false">IF(W2="","",W2*$AV2)</f>
        <v>6.00553079861111</v>
      </c>
      <c r="BG2" s="17" t="n">
        <f aca="false">IF(AD2="","",AD2*$AX2)</f>
        <v>5.42205123966942</v>
      </c>
      <c r="BH2" s="17" t="n">
        <f aca="false">IF(AK2="","",AK2*$AZ2)</f>
        <v>5.636090625</v>
      </c>
      <c r="BI2" s="17" t="n">
        <f aca="false">IF(BF2="","",N(BF2)+N(BG2))</f>
        <v>11.4275820382805</v>
      </c>
      <c r="BJ2" s="17" t="n">
        <f aca="false">IF(BI2="","",BI2+N($M2)*N(BH2))</f>
        <v>11.4275820382805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1293</v>
      </c>
      <c r="B3" s="0" t="s">
        <v>1139</v>
      </c>
      <c r="C3" s="0" t="s">
        <v>1186</v>
      </c>
      <c r="D3" s="0" t="s">
        <v>1190</v>
      </c>
      <c r="E3" s="0" t="s">
        <v>1292</v>
      </c>
      <c r="F3" s="0" t="s">
        <v>1660</v>
      </c>
      <c r="G3" s="0" t="str">
        <f aca="false">IFERROR(IF(INDEX(Matches!$W$5:$W$23,MATCH($C3,Matches!$A$5:$A$23,0))="","",INDEX(Matches!$W$5:$W$23,MATCH($C3,Matches!$A$5:$A$23,0))),"")</f>
        <v>Dust2</v>
      </c>
      <c r="H3" s="0" t="str">
        <f aca="false">IFERROR(IF(INDEX(Matches!$X$5:$X$23,MATCH($C3,Matches!$A$5:$A$23,0))="","",INDEX(Matches!$X$5:$X$23,MATCH($C3,Matches!$A$5:$A$23,0))),"")</f>
        <v>Ancient</v>
      </c>
      <c r="I3" s="0" t="str">
        <f aca="false">IFERROR(IF(INDEX(Matches!$Y$5:$Y$23,MATCH($C3,Matches!$A$5:$A$23,0))="","",INDEX(Matches!$Y$5:$Y$23,MATCH($C3,Matches!$A$5:$A$23,0))),"")</f>
        <v>Nuke</v>
      </c>
      <c r="J3" s="11" t="n">
        <f aca="false">IFERROR(IF(INDEX(Matches!$Z$5:$Z$23,MATCH($C3,Matches!$A$5:$A$23,0))="","",INDEX(Matches!$Z$5:$Z$23,MATCH($C3,Matches!$A$5:$A$23,0))),"")</f>
        <v>21.5</v>
      </c>
      <c r="K3" s="11" t="n">
        <f aca="false">IFERROR(IF(INDEX(Matches!$AA$5:$AA$23,MATCH($C3,Matches!$A$5:$A$23,0))="","",INDEX(Matches!$AA$5:$AA$23,MATCH($C3,Matches!$A$5:$A$23,0))),"")</f>
        <v>21.5</v>
      </c>
      <c r="L3" s="11" t="n">
        <f aca="false">IFERROR(IF(INDEX(Matches!$AB$5:$AB$23,MATCH($C3,Matches!$A$5:$A$23,0))="","",INDEX(Matches!$AB$5:$AB$23,MATCH($C3,Matches!$A$5:$A$23,0))),"")</f>
        <v>21.5</v>
      </c>
      <c r="M3" s="10" t="n">
        <f aca="false">IFERROR(IF(INDEX(Matches!$AC$5:$AC$23,MATCH($C3,Matches!$A$5:$A$23,0))="","",INDEX(Matches!$AC$5:$AC$23,MATCH($C3,Matches!$A$5:$A$23,0))),"")</f>
        <v>0</v>
      </c>
      <c r="N3" s="9" t="n">
        <f aca="false">IFERROR(INDEX(Players!$F$2:$F$137,MATCH($F3,Players!$A$2:$A$137,0)),0)</f>
        <v>30</v>
      </c>
      <c r="O3" s="13" t="n">
        <f aca="false">IFERROR(1/(1/INDEX(Players!$H$2:$H$137,MATCH($F3,Players!$A$2:$A$137,0))),"")</f>
        <v>0.59</v>
      </c>
      <c r="P3" s="10" t="n">
        <f aca="false">IFERROR(1/(1/INDEX(Players!$I$2:$I$137,MATCH($F3,Players!$A$2:$A$137,0))),"")</f>
        <v>0.493</v>
      </c>
      <c r="Q3" s="9" t="n">
        <f aca="false">IF($G3="",0,SUMIFS(Map_Stats!$F$2:$F$850,Map_Stats!$A$2:$A$850,$F3&amp;"|"&amp;$G3))</f>
        <v>7</v>
      </c>
      <c r="R3" s="13" t="n">
        <f aca="false">IF($G3="","",IFERROR(1/(1/INDEX(Map_Stats!$K$2:$K$850,MATCH($F3&amp;"|"&amp;$G3,Map_Stats!$A$2:$A$850,0))),$O3))</f>
        <v>0.61</v>
      </c>
      <c r="S3" s="10" t="n">
        <f aca="false">IF(OR($G3="",$P3=""),"",IFERROR(1/(1/INDEX(Map_Stats!$I$2:$I$850,MATCH($F3&amp;"|"&amp;$G3,Map_Stats!$A$2:$A$850,0))),$P3))</f>
        <v>0.444</v>
      </c>
      <c r="T3" s="13" t="n">
        <f aca="false">IF(OR($G3="",R3=""),"",IF($O3="",R3,(Q3*R3+Config!$B$4*$O3)/(Q3+Config!$B$4)))</f>
        <v>0.601666666666667</v>
      </c>
      <c r="U3" s="10" t="n">
        <f aca="false">IF(S3="","",(Q3*S3+Config!$B$4*$P3)/(Q3+Config!$B$4))</f>
        <v>0.464416666666667</v>
      </c>
      <c r="V3" s="17" t="n">
        <f aca="false">IF(OR(T3="",$J3=""),"",T3*$J3*($J3/Config!$B$10)^Config!$B$9)</f>
        <v>12.9358333333333</v>
      </c>
      <c r="W3" s="17" t="n">
        <f aca="false">IF(OR(V3="",U3=""),"",V3*U3)</f>
        <v>6.00761659722222</v>
      </c>
      <c r="X3" s="9" t="n">
        <f aca="false">IF($H3="",0,SUMIFS(Map_Stats!$F$2:$F$850,Map_Stats!$A$2:$A$850,$F3&amp;"|"&amp;$H3))</f>
        <v>6</v>
      </c>
      <c r="Y3" s="13" t="n">
        <f aca="false">IF($H3="","",IFERROR(1/(1/INDEX(Map_Stats!$K$2:$K$850,MATCH($F3&amp;"|"&amp;$H3,Map_Stats!$A$2:$A$850,0))),$O3))</f>
        <v>0.57</v>
      </c>
      <c r="Z3" s="10" t="n">
        <f aca="false">IF(OR($H3="",$P3=""),"",IFERROR(1/(1/INDEX(Map_Stats!$I$2:$I$850,MATCH($F3&amp;"|"&amp;$H3,Map_Stats!$A$2:$A$850,0))),$P3))</f>
        <v>0.486</v>
      </c>
      <c r="AA3" s="13" t="n">
        <f aca="false">IF(OR($H3="",Y3=""),"",IF($O3="",Y3,(X3*Y3+Config!$B$4*$O3)/(X3+Config!$B$4)))</f>
        <v>0.579090909090909</v>
      </c>
      <c r="AB3" s="10" t="n">
        <f aca="false">IF(Z3="","",(X3*Z3+Config!$B$4*$P3)/(X3+Config!$B$4))</f>
        <v>0.489181818181818</v>
      </c>
      <c r="AC3" s="17" t="n">
        <f aca="false">IF(OR(AA3="",$K3=""),"",AA3*$K3*($K3/Config!$B$10)^Config!$B$9)</f>
        <v>12.4504545454545</v>
      </c>
      <c r="AD3" s="17" t="n">
        <f aca="false">IF(OR(AC3="",AB3=""),"",AC3*AB3)</f>
        <v>6.09053599173554</v>
      </c>
      <c r="AE3" s="9" t="n">
        <f aca="false">IF($I3="",0,SUMIFS(Map_Stats!$F$2:$F$850,Map_Stats!$A$2:$A$850,$F3&amp;"|"&amp;$I3))</f>
        <v>3</v>
      </c>
      <c r="AF3" s="13" t="n">
        <f aca="false">IF($I3="","",IFERROR(1/(1/INDEX(Map_Stats!$K$2:$K$850,MATCH($F3&amp;"|"&amp;$I3,Map_Stats!$A$2:$A$850,0))),$O3))</f>
        <v>0.55</v>
      </c>
      <c r="AG3" s="10" t="n">
        <f aca="false">IF(OR($I3="",$P3=""),"",IFERROR(1/(1/INDEX(Map_Stats!$I$2:$I$850,MATCH($F3&amp;"|"&amp;$I3,Map_Stats!$A$2:$A$850,0))),$P3))</f>
        <v>0.677</v>
      </c>
      <c r="AH3" s="13" t="n">
        <f aca="false">IF(OR($I3="",AF3=""),"",IF($O3="",AF3,(AE3*AF3+Config!$B$4*$O3)/(AE3+Config!$B$4)))</f>
        <v>0.575</v>
      </c>
      <c r="AI3" s="10" t="n">
        <f aca="false">IF(AG3="","",(AE3*AG3+Config!$B$4*$P3)/(AE3+Config!$B$4))</f>
        <v>0.562</v>
      </c>
      <c r="AJ3" s="17" t="n">
        <f aca="false">IF(OR(AH3="",$L3=""),"",AH3*$L3*($L3/Config!$B$10)^Config!$B$9)</f>
        <v>12.3625</v>
      </c>
      <c r="AK3" s="17" t="n">
        <f aca="false">IF(OR(AJ3="",AI3=""),"",AJ3*AI3)</f>
        <v>6.947725</v>
      </c>
      <c r="AL3" s="17" t="n">
        <f aca="false">N(V3)+N(AC3)</f>
        <v>25.3862878787879</v>
      </c>
      <c r="AM3" s="17" t="n">
        <f aca="false">AL3+N($M3)*N(AJ3)</f>
        <v>25.3862878787879</v>
      </c>
      <c r="AN3" s="17" t="n">
        <f aca="false">IF(W3="","",N(W3)+N(AD3))</f>
        <v>12.0981525889578</v>
      </c>
      <c r="AO3" s="17" t="n">
        <f aca="false">IF(AN3="","",AN3+N($M3)*N(AK3))</f>
        <v>12.0981525889578</v>
      </c>
      <c r="AP3" s="10" t="n">
        <f aca="false">IFERROR(AN3/AL3,"")</f>
        <v>0.476562491007859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IF($C3=Board!$B$2,COUNTIFS($C$2:$C$137,Board!$B$2,$AL$2:$AL$137,"&gt;"&amp;$AL3)+COUNTIFS($C$1:$C2,Board!$B$2,$AL$1:$AL2,$AL3)+1,"")</f>
        <v/>
      </c>
      <c r="AS3" s="0" t="str">
        <f aca="false">IFERROR(IF($D3=INDEX(Matches!$AD$5:$AD$23,MATCH($C3,Matches!$A$5:$A$23,0)),"A",IF($D3=INDEX(Matches!$AE$5:$AE$23,MATCH($C3,Matches!$A$5:$A$23,0)),"B","")),"")</f>
        <v>A</v>
      </c>
      <c r="AT3" s="10" t="n">
        <f aca="false">IF($AS3="","",IFERROR(IF($AS3="A",INDEX(Matches!$AI$5:$AI$23,MATCH($C3,Matches!$A$5:$A$23,0)),INDEX(Matches!$AJ$5:$AJ$23,MATCH($C3,Matches!$A$5:$A$23,0))),""))</f>
        <v>0.542532661248843</v>
      </c>
      <c r="AU3" s="10" t="str">
        <f aca="false">IF($AS3="","",IFERROR(IF(INDEX(Matches!$AP$5:$AP$23,MATCH($C3,Matches!$A$5:$A$23,0))="","",IF($AS3="A",INDEX(Matches!$AP$5:$AP$23,MATCH($C3,Matches!$A$5:$A$23,0)),1-INDEX(Matches!$AP$5:$AP$23,MATCH($C3,Matches!$A$5:$A$23,0)))),""))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IF($AS3="","",IFERROR(IF(INDEX(Matches!$AV$5:$AV$23,MATCH($C3,Matches!$A$5:$A$23,0))="","",IF($AS3="A",INDEX(Matches!$AV$5:$AV$23,MATCH($C3,Matches!$A$5:$A$23,0)),1-INDEX(Matches!$AV$5:$AV$23,MATCH($C3,Matches!$A$5:$A$23,0)))),""))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IF($AS3="","",IFERROR(IF(INDEX(Matches!$BB$5:$BB$23,MATCH($C3,Matches!$A$5:$A$23,0))="","",IF($AS3="A",INDEX(Matches!$BB$5:$BB$23,MATCH($C3,Matches!$A$5:$A$23,0)),1-INDEX(Matches!$BB$5:$BB$23,MATCH($C3,Matches!$A$5:$A$23,0)))),""))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12.9358333333333</v>
      </c>
      <c r="BB3" s="17" t="n">
        <f aca="false">IF(AC3="","",AC3*$AX3)</f>
        <v>12.4504545454545</v>
      </c>
      <c r="BC3" s="17" t="n">
        <f aca="false">IF(AJ3="","",AJ3*$AZ3)</f>
        <v>12.3625</v>
      </c>
      <c r="BD3" s="17" t="n">
        <f aca="false">N(BA3)+N(BB3)</f>
        <v>25.3862878787879</v>
      </c>
      <c r="BE3" s="17" t="n">
        <f aca="false">BD3+N($M3)*N(BC3)</f>
        <v>25.3862878787879</v>
      </c>
      <c r="BF3" s="17" t="n">
        <f aca="false">IF(W3="","",W3*$AV3)</f>
        <v>6.00761659722222</v>
      </c>
      <c r="BG3" s="17" t="n">
        <f aca="false">IF(AD3="","",AD3*$AX3)</f>
        <v>6.09053599173554</v>
      </c>
      <c r="BH3" s="17" t="n">
        <f aca="false">IF(AK3="","",AK3*$AZ3)</f>
        <v>6.947725</v>
      </c>
      <c r="BI3" s="17" t="n">
        <f aca="false">IF(BF3="","",N(BF3)+N(BG3))</f>
        <v>12.0981525889578</v>
      </c>
      <c r="BJ3" s="17" t="n">
        <f aca="false">IF(BI3="","",BI3+N($M3)*N(BH3))</f>
        <v>12.0981525889578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1295</v>
      </c>
      <c r="B4" s="0" t="s">
        <v>1139</v>
      </c>
      <c r="C4" s="0" t="s">
        <v>1186</v>
      </c>
      <c r="D4" s="0" t="s">
        <v>1190</v>
      </c>
      <c r="E4" s="0" t="s">
        <v>1294</v>
      </c>
      <c r="F4" s="0" t="s">
        <v>1661</v>
      </c>
      <c r="G4" s="0" t="str">
        <f aca="false">IFERROR(IF(INDEX(Matches!$W$5:$W$23,MATCH($C4,Matches!$A$5:$A$23,0))="","",INDEX(Matches!$W$5:$W$23,MATCH($C4,Matches!$A$5:$A$23,0))),"")</f>
        <v>Dust2</v>
      </c>
      <c r="H4" s="0" t="str">
        <f aca="false">IFERROR(IF(INDEX(Matches!$X$5:$X$23,MATCH($C4,Matches!$A$5:$A$23,0))="","",INDEX(Matches!$X$5:$X$23,MATCH($C4,Matches!$A$5:$A$23,0))),"")</f>
        <v>Ancient</v>
      </c>
      <c r="I4" s="0" t="str">
        <f aca="false">IFERROR(IF(INDEX(Matches!$Y$5:$Y$23,MATCH($C4,Matches!$A$5:$A$23,0))="","",INDEX(Matches!$Y$5:$Y$23,MATCH($C4,Matches!$A$5:$A$23,0))),"")</f>
        <v>Nuke</v>
      </c>
      <c r="J4" s="11" t="n">
        <f aca="false">IFERROR(IF(INDEX(Matches!$Z$5:$Z$23,MATCH($C4,Matches!$A$5:$A$23,0))="","",INDEX(Matches!$Z$5:$Z$23,MATCH($C4,Matches!$A$5:$A$23,0))),"")</f>
        <v>21.5</v>
      </c>
      <c r="K4" s="11" t="n">
        <f aca="false">IFERROR(IF(INDEX(Matches!$AA$5:$AA$23,MATCH($C4,Matches!$A$5:$A$23,0))="","",INDEX(Matches!$AA$5:$AA$23,MATCH($C4,Matches!$A$5:$A$23,0))),"")</f>
        <v>21.5</v>
      </c>
      <c r="L4" s="11" t="n">
        <f aca="false">IFERROR(IF(INDEX(Matches!$AB$5:$AB$23,MATCH($C4,Matches!$A$5:$A$23,0))="","",INDEX(Matches!$AB$5:$AB$23,MATCH($C4,Matches!$A$5:$A$23,0))),"")</f>
        <v>21.5</v>
      </c>
      <c r="M4" s="10" t="n">
        <f aca="false">IFERROR(IF(INDEX(Matches!$AC$5:$AC$23,MATCH($C4,Matches!$A$5:$A$23,0))="","",INDEX(Matches!$AC$5:$AC$23,MATCH($C4,Matches!$A$5:$A$23,0))),"")</f>
        <v>0</v>
      </c>
      <c r="N4" s="9" t="n">
        <f aca="false">IFERROR(INDEX(Players!$F$2:$F$137,MATCH($F4,Players!$A$2:$A$137,0)),0)</f>
        <v>30</v>
      </c>
      <c r="O4" s="13" t="n">
        <f aca="false">IFERROR(1/(1/INDEX(Players!$H$2:$H$137,MATCH($F4,Players!$A$2:$A$137,0))),"")</f>
        <v>0.74</v>
      </c>
      <c r="P4" s="10" t="n">
        <f aca="false">IFERROR(1/(1/INDEX(Players!$I$2:$I$137,MATCH($F4,Players!$A$2:$A$137,0))),"")</f>
        <v>0.569</v>
      </c>
      <c r="Q4" s="9" t="n">
        <f aca="false">IF($G4="",0,SUMIFS(Map_Stats!$F$2:$F$850,Map_Stats!$A$2:$A$850,$F4&amp;"|"&amp;$G4))</f>
        <v>7</v>
      </c>
      <c r="R4" s="13" t="n">
        <f aca="false">IF($G4="","",IFERROR(1/(1/INDEX(Map_Stats!$K$2:$K$850,MATCH($F4&amp;"|"&amp;$G4,Map_Stats!$A$2:$A$850,0))),$O4))</f>
        <v>0.88</v>
      </c>
      <c r="S4" s="10" t="n">
        <f aca="false">IF(OR($G4="",$P4=""),"",IFERROR(1/(1/INDEX(Map_Stats!$I$2:$I$850,MATCH($F4&amp;"|"&amp;$G4,Map_Stats!$A$2:$A$850,0))),$P4))</f>
        <v>0.56</v>
      </c>
      <c r="T4" s="13" t="n">
        <f aca="false">IF(OR($G4="",R4=""),"",IF($O4="",R4,(Q4*R4+Config!$B$4*$O4)/(Q4+Config!$B$4)))</f>
        <v>0.821666666666667</v>
      </c>
      <c r="U4" s="10" t="n">
        <f aca="false">IF(S4="","",(Q4*S4+Config!$B$4*$P4)/(Q4+Config!$B$4))</f>
        <v>0.56375</v>
      </c>
      <c r="V4" s="17" t="n">
        <f aca="false">IF(OR(T4="",$J4=""),"",T4*$J4*($J4/Config!$B$10)^Config!$B$9)</f>
        <v>17.6658333333333</v>
      </c>
      <c r="W4" s="17" t="n">
        <f aca="false">IF(OR(V4="",U4=""),"",V4*U4)</f>
        <v>9.95911354166667</v>
      </c>
      <c r="X4" s="9" t="n">
        <f aca="false">IF($H4="",0,SUMIFS(Map_Stats!$F$2:$F$850,Map_Stats!$A$2:$A$850,$F4&amp;"|"&amp;$H4))</f>
        <v>6</v>
      </c>
      <c r="Y4" s="13" t="n">
        <f aca="false">IF($H4="","",IFERROR(1/(1/INDEX(Map_Stats!$K$2:$K$850,MATCH($F4&amp;"|"&amp;$H4,Map_Stats!$A$2:$A$850,0))),$O4))</f>
        <v>0.79</v>
      </c>
      <c r="Z4" s="10" t="n">
        <f aca="false">IF(OR($H4="",$P4=""),"",IFERROR(1/(1/INDEX(Map_Stats!$I$2:$I$850,MATCH($F4&amp;"|"&amp;$H4,Map_Stats!$A$2:$A$850,0))),$P4))</f>
        <v>0.505</v>
      </c>
      <c r="AA4" s="13" t="n">
        <f aca="false">IF(OR($H4="",Y4=""),"",IF($O4="",Y4,(X4*Y4+Config!$B$4*$O4)/(X4+Config!$B$4)))</f>
        <v>0.767272727272727</v>
      </c>
      <c r="AB4" s="10" t="n">
        <f aca="false">IF(Z4="","",(X4*Z4+Config!$B$4*$P4)/(X4+Config!$B$4))</f>
        <v>0.534090909090909</v>
      </c>
      <c r="AC4" s="17" t="n">
        <f aca="false">IF(OR(AA4="",$K4=""),"",AA4*$K4*($K4/Config!$B$10)^Config!$B$9)</f>
        <v>16.4963636363636</v>
      </c>
      <c r="AD4" s="17" t="n">
        <f aca="false">IF(OR(AC4="",AB4=""),"",AC4*AB4)</f>
        <v>8.81055785123967</v>
      </c>
      <c r="AE4" s="9" t="n">
        <f aca="false">IF($I4="",0,SUMIFS(Map_Stats!$F$2:$F$850,Map_Stats!$A$2:$A$850,$F4&amp;"|"&amp;$I4))</f>
        <v>3</v>
      </c>
      <c r="AF4" s="13" t="n">
        <f aca="false">IF($I4="","",IFERROR(1/(1/INDEX(Map_Stats!$K$2:$K$850,MATCH($F4&amp;"|"&amp;$I4,Map_Stats!$A$2:$A$850,0))),$O4))</f>
        <v>0.64</v>
      </c>
      <c r="AG4" s="10" t="n">
        <f aca="false">IF(OR($I4="",$P4=""),"",IFERROR(1/(1/INDEX(Map_Stats!$I$2:$I$850,MATCH($F4&amp;"|"&amp;$I4,Map_Stats!$A$2:$A$850,0))),$P4))</f>
        <v>0.556</v>
      </c>
      <c r="AH4" s="13" t="n">
        <f aca="false">IF(OR($I4="",AF4=""),"",IF($O4="",AF4,(AE4*AF4+Config!$B$4*$O4)/(AE4+Config!$B$4)))</f>
        <v>0.7025</v>
      </c>
      <c r="AI4" s="10" t="n">
        <f aca="false">IF(AG4="","",(AE4*AG4+Config!$B$4*$P4)/(AE4+Config!$B$4))</f>
        <v>0.564125</v>
      </c>
      <c r="AJ4" s="17" t="n">
        <f aca="false">IF(OR(AH4="",$L4=""),"",AH4*$L4*($L4/Config!$B$10)^Config!$B$9)</f>
        <v>15.10375</v>
      </c>
      <c r="AK4" s="17" t="n">
        <f aca="false">IF(OR(AJ4="",AI4=""),"",AJ4*AI4)</f>
        <v>8.52040296875</v>
      </c>
      <c r="AL4" s="17" t="n">
        <f aca="false">N(V4)+N(AC4)</f>
        <v>34.162196969697</v>
      </c>
      <c r="AM4" s="17" t="n">
        <f aca="false">AL4+N($M4)*N(AJ4)</f>
        <v>34.162196969697</v>
      </c>
      <c r="AN4" s="17" t="n">
        <f aca="false">IF(W4="","",N(W4)+N(AD4))</f>
        <v>18.7696713929063</v>
      </c>
      <c r="AO4" s="17" t="n">
        <f aca="false">IF(AN4="","",AN4+N($M4)*N(AK4))</f>
        <v>18.7696713929063</v>
      </c>
      <c r="AP4" s="10" t="n">
        <f aca="false">IFERROR(AN4/AL4,"")</f>
        <v>0.549428112294876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IF($C4=Board!$B$2,COUNTIFS($C$2:$C$137,Board!$B$2,$AL$2:$AL$137,"&gt;"&amp;$AL4)+COUNTIFS($C$1:$C3,Board!$B$2,$AL$1:$AL3,$AL4)+1,"")</f>
        <v/>
      </c>
      <c r="AS4" s="0" t="str">
        <f aca="false">IFERROR(IF($D4=INDEX(Matches!$AD$5:$AD$23,MATCH($C4,Matches!$A$5:$A$23,0)),"A",IF($D4=INDEX(Matches!$AE$5:$AE$23,MATCH($C4,Matches!$A$5:$A$23,0)),"B","")),"")</f>
        <v>A</v>
      </c>
      <c r="AT4" s="10" t="n">
        <f aca="false">IF($AS4="","",IFERROR(IF($AS4="A",INDEX(Matches!$AI$5:$AI$23,MATCH($C4,Matches!$A$5:$A$23,0)),INDEX(Matches!$AJ$5:$AJ$23,MATCH($C4,Matches!$A$5:$A$23,0))),""))</f>
        <v>0.542532661248843</v>
      </c>
      <c r="AU4" s="10" t="str">
        <f aca="false">IF($AS4="","",IFERROR(IF(INDEX(Matches!$AP$5:$AP$23,MATCH($C4,Matches!$A$5:$A$23,0))="","",IF($AS4="A",INDEX(Matches!$AP$5:$AP$23,MATCH($C4,Matches!$A$5:$A$23,0)),1-INDEX(Matches!$AP$5:$AP$23,MATCH($C4,Matches!$A$5:$A$23,0)))),""))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IF($AS4="","",IFERROR(IF(INDEX(Matches!$AV$5:$AV$23,MATCH($C4,Matches!$A$5:$A$23,0))="","",IF($AS4="A",INDEX(Matches!$AV$5:$AV$23,MATCH($C4,Matches!$A$5:$A$23,0)),1-INDEX(Matches!$AV$5:$AV$23,MATCH($C4,Matches!$A$5:$A$23,0)))),""))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IF($AS4="","",IFERROR(IF(INDEX(Matches!$BB$5:$BB$23,MATCH($C4,Matches!$A$5:$A$23,0))="","",IF($AS4="A",INDEX(Matches!$BB$5:$BB$23,MATCH($C4,Matches!$A$5:$A$23,0)),1-INDEX(Matches!$BB$5:$BB$23,MATCH($C4,Matches!$A$5:$A$23,0)))),""))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17.6658333333333</v>
      </c>
      <c r="BB4" s="17" t="n">
        <f aca="false">IF(AC4="","",AC4*$AX4)</f>
        <v>16.4963636363636</v>
      </c>
      <c r="BC4" s="17" t="n">
        <f aca="false">IF(AJ4="","",AJ4*$AZ4)</f>
        <v>15.10375</v>
      </c>
      <c r="BD4" s="17" t="n">
        <f aca="false">N(BA4)+N(BB4)</f>
        <v>34.162196969697</v>
      </c>
      <c r="BE4" s="17" t="n">
        <f aca="false">BD4+N($M4)*N(BC4)</f>
        <v>34.162196969697</v>
      </c>
      <c r="BF4" s="17" t="n">
        <f aca="false">IF(W4="","",W4*$AV4)</f>
        <v>9.95911354166667</v>
      </c>
      <c r="BG4" s="17" t="n">
        <f aca="false">IF(AD4="","",AD4*$AX4)</f>
        <v>8.81055785123967</v>
      </c>
      <c r="BH4" s="17" t="n">
        <f aca="false">IF(AK4="","",AK4*$AZ4)</f>
        <v>8.52040296875</v>
      </c>
      <c r="BI4" s="17" t="n">
        <f aca="false">IF(BF4="","",N(BF4)+N(BG4))</f>
        <v>18.7696713929063</v>
      </c>
      <c r="BJ4" s="17" t="n">
        <f aca="false">IF(BI4="","",BI4+N($M4)*N(BH4))</f>
        <v>18.7696713929063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1297</v>
      </c>
      <c r="B5" s="0" t="s">
        <v>1139</v>
      </c>
      <c r="C5" s="0" t="s">
        <v>1186</v>
      </c>
      <c r="D5" s="0" t="s">
        <v>1190</v>
      </c>
      <c r="E5" s="0" t="s">
        <v>1296</v>
      </c>
      <c r="F5" s="0" t="s">
        <v>1662</v>
      </c>
      <c r="G5" s="0" t="str">
        <f aca="false">IFERROR(IF(INDEX(Matches!$W$5:$W$23,MATCH($C5,Matches!$A$5:$A$23,0))="","",INDEX(Matches!$W$5:$W$23,MATCH($C5,Matches!$A$5:$A$23,0))),"")</f>
        <v>Dust2</v>
      </c>
      <c r="H5" s="0" t="str">
        <f aca="false">IFERROR(IF(INDEX(Matches!$X$5:$X$23,MATCH($C5,Matches!$A$5:$A$23,0))="","",INDEX(Matches!$X$5:$X$23,MATCH($C5,Matches!$A$5:$A$23,0))),"")</f>
        <v>Ancient</v>
      </c>
      <c r="I5" s="0" t="str">
        <f aca="false">IFERROR(IF(INDEX(Matches!$Y$5:$Y$23,MATCH($C5,Matches!$A$5:$A$23,0))="","",INDEX(Matches!$Y$5:$Y$23,MATCH($C5,Matches!$A$5:$A$23,0))),"")</f>
        <v>Nuke</v>
      </c>
      <c r="J5" s="11" t="n">
        <f aca="false">IFERROR(IF(INDEX(Matches!$Z$5:$Z$23,MATCH($C5,Matches!$A$5:$A$23,0))="","",INDEX(Matches!$Z$5:$Z$23,MATCH($C5,Matches!$A$5:$A$23,0))),"")</f>
        <v>21.5</v>
      </c>
      <c r="K5" s="11" t="n">
        <f aca="false">IFERROR(IF(INDEX(Matches!$AA$5:$AA$23,MATCH($C5,Matches!$A$5:$A$23,0))="","",INDEX(Matches!$AA$5:$AA$23,MATCH($C5,Matches!$A$5:$A$23,0))),"")</f>
        <v>21.5</v>
      </c>
      <c r="L5" s="11" t="n">
        <f aca="false">IFERROR(IF(INDEX(Matches!$AB$5:$AB$23,MATCH($C5,Matches!$A$5:$A$23,0))="","",INDEX(Matches!$AB$5:$AB$23,MATCH($C5,Matches!$A$5:$A$23,0))),"")</f>
        <v>21.5</v>
      </c>
      <c r="M5" s="10" t="n">
        <f aca="false">IFERROR(IF(INDEX(Matches!$AC$5:$AC$23,MATCH($C5,Matches!$A$5:$A$23,0))="","",INDEX(Matches!$AC$5:$AC$23,MATCH($C5,Matches!$A$5:$A$23,0))),"")</f>
        <v>0</v>
      </c>
      <c r="N5" s="9" t="n">
        <f aca="false">IFERROR(INDEX(Players!$F$2:$F$137,MATCH($F5,Players!$A$2:$A$137,0)),0)</f>
        <v>30</v>
      </c>
      <c r="O5" s="13" t="n">
        <f aca="false">IFERROR(1/(1/INDEX(Players!$H$2:$H$137,MATCH($F5,Players!$A$2:$A$137,0))),"")</f>
        <v>0.68</v>
      </c>
      <c r="P5" s="10" t="n">
        <f aca="false">IFERROR(1/(1/INDEX(Players!$I$2:$I$137,MATCH($F5,Players!$A$2:$A$137,0))),"")</f>
        <v>0.563</v>
      </c>
      <c r="Q5" s="9" t="n">
        <f aca="false">IF($G5="",0,SUMIFS(Map_Stats!$F$2:$F$850,Map_Stats!$A$2:$A$850,$F5&amp;"|"&amp;$G5))</f>
        <v>7</v>
      </c>
      <c r="R5" s="13" t="n">
        <f aca="false">IF($G5="","",IFERROR(1/(1/INDEX(Map_Stats!$K$2:$K$850,MATCH($F5&amp;"|"&amp;$G5,Map_Stats!$A$2:$A$850,0))),$O5))</f>
        <v>0.73</v>
      </c>
      <c r="S5" s="10" t="n">
        <f aca="false">IF(OR($G5="",$P5=""),"",IFERROR(1/(1/INDEX(Map_Stats!$I$2:$I$850,MATCH($F5&amp;"|"&amp;$G5,Map_Stats!$A$2:$A$850,0))),$P5))</f>
        <v>0.542</v>
      </c>
      <c r="T5" s="13" t="n">
        <f aca="false">IF(OR($G5="",R5=""),"",IF($O5="",R5,(Q5*R5+Config!$B$4*$O5)/(Q5+Config!$B$4)))</f>
        <v>0.709166666666667</v>
      </c>
      <c r="U5" s="10" t="n">
        <f aca="false">IF(S5="","",(Q5*S5+Config!$B$4*$P5)/(Q5+Config!$B$4))</f>
        <v>0.55075</v>
      </c>
      <c r="V5" s="17" t="n">
        <f aca="false">IF(OR(T5="",$J5=""),"",T5*$J5*($J5/Config!$B$10)^Config!$B$9)</f>
        <v>15.2470833333333</v>
      </c>
      <c r="W5" s="17" t="n">
        <f aca="false">IF(OR(V5="",U5=""),"",V5*U5)</f>
        <v>8.39733114583334</v>
      </c>
      <c r="X5" s="9" t="n">
        <f aca="false">IF($H5="",0,SUMIFS(Map_Stats!$F$2:$F$850,Map_Stats!$A$2:$A$850,$F5&amp;"|"&amp;$H5))</f>
        <v>6</v>
      </c>
      <c r="Y5" s="13" t="n">
        <f aca="false">IF($H5="","",IFERROR(1/(1/INDEX(Map_Stats!$K$2:$K$850,MATCH($F5&amp;"|"&amp;$H5,Map_Stats!$A$2:$A$850,0))),$O5))</f>
        <v>0.58</v>
      </c>
      <c r="Z5" s="10" t="n">
        <f aca="false">IF(OR($H5="",$P5=""),"",IFERROR(1/(1/INDEX(Map_Stats!$I$2:$I$850,MATCH($F5&amp;"|"&amp;$H5,Map_Stats!$A$2:$A$850,0))),$P5))</f>
        <v>0.606</v>
      </c>
      <c r="AA5" s="13" t="n">
        <f aca="false">IF(OR($H5="",Y5=""),"",IF($O5="",Y5,(X5*Y5+Config!$B$4*$O5)/(X5+Config!$B$4)))</f>
        <v>0.625454545454546</v>
      </c>
      <c r="AB5" s="10" t="n">
        <f aca="false">IF(Z5="","",(X5*Z5+Config!$B$4*$P5)/(X5+Config!$B$4))</f>
        <v>0.586454545454546</v>
      </c>
      <c r="AC5" s="17" t="n">
        <f aca="false">IF(OR(AA5="",$K5=""),"",AA5*$K5*($K5/Config!$B$10)^Config!$B$9)</f>
        <v>13.4472727272727</v>
      </c>
      <c r="AD5" s="17" t="n">
        <f aca="false">IF(OR(AC5="",AB5=""),"",AC5*AB5)</f>
        <v>7.88621421487603</v>
      </c>
      <c r="AE5" s="9" t="n">
        <f aca="false">IF($I5="",0,SUMIFS(Map_Stats!$F$2:$F$850,Map_Stats!$A$2:$A$850,$F5&amp;"|"&amp;$I5))</f>
        <v>3</v>
      </c>
      <c r="AF5" s="13" t="n">
        <f aca="false">IF($I5="","",IFERROR(1/(1/INDEX(Map_Stats!$K$2:$K$850,MATCH($F5&amp;"|"&amp;$I5,Map_Stats!$A$2:$A$850,0))),$O5))</f>
        <v>0.66</v>
      </c>
      <c r="AG5" s="10" t="n">
        <f aca="false">IF(OR($I5="",$P5=""),"",IFERROR(1/(1/INDEX(Map_Stats!$I$2:$I$850,MATCH($F5&amp;"|"&amp;$I5,Map_Stats!$A$2:$A$850,0))),$P5))</f>
        <v>0.595</v>
      </c>
      <c r="AH5" s="13" t="n">
        <f aca="false">IF(OR($I5="",AF5=""),"",IF($O5="",AF5,(AE5*AF5+Config!$B$4*$O5)/(AE5+Config!$B$4)))</f>
        <v>0.6725</v>
      </c>
      <c r="AI5" s="10" t="n">
        <f aca="false">IF(AG5="","",(AE5*AG5+Config!$B$4*$P5)/(AE5+Config!$B$4))</f>
        <v>0.575</v>
      </c>
      <c r="AJ5" s="17" t="n">
        <f aca="false">IF(OR(AH5="",$L5=""),"",AH5*$L5*($L5/Config!$B$10)^Config!$B$9)</f>
        <v>14.45875</v>
      </c>
      <c r="AK5" s="17" t="n">
        <f aca="false">IF(OR(AJ5="",AI5=""),"",AJ5*AI5)</f>
        <v>8.31378125</v>
      </c>
      <c r="AL5" s="17" t="n">
        <f aca="false">N(V5)+N(AC5)</f>
        <v>28.6943560606061</v>
      </c>
      <c r="AM5" s="17" t="n">
        <f aca="false">AL5+N($M5)*N(AJ5)</f>
        <v>28.6943560606061</v>
      </c>
      <c r="AN5" s="17" t="n">
        <f aca="false">IF(W5="","",N(W5)+N(AD5))</f>
        <v>16.2835453607094</v>
      </c>
      <c r="AO5" s="17" t="n">
        <f aca="false">IF(AN5="","",AN5+N($M5)*N(AK5))</f>
        <v>16.2835453607094</v>
      </c>
      <c r="AP5" s="10" t="n">
        <f aca="false">IFERROR(AN5/AL5,"")</f>
        <v>0.567482515597022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IF($C5=Board!$B$2,COUNTIFS($C$2:$C$137,Board!$B$2,$AL$2:$AL$137,"&gt;"&amp;$AL5)+COUNTIFS($C$1:$C4,Board!$B$2,$AL$1:$AL4,$AL5)+1,"")</f>
        <v/>
      </c>
      <c r="AS5" s="0" t="str">
        <f aca="false">IFERROR(IF($D5=INDEX(Matches!$AD$5:$AD$23,MATCH($C5,Matches!$A$5:$A$23,0)),"A",IF($D5=INDEX(Matches!$AE$5:$AE$23,MATCH($C5,Matches!$A$5:$A$23,0)),"B","")),"")</f>
        <v>A</v>
      </c>
      <c r="AT5" s="10" t="n">
        <f aca="false">IF($AS5="","",IFERROR(IF($AS5="A",INDEX(Matches!$AI$5:$AI$23,MATCH($C5,Matches!$A$5:$A$23,0)),INDEX(Matches!$AJ$5:$AJ$23,MATCH($C5,Matches!$A$5:$A$23,0))),""))</f>
        <v>0.542532661248843</v>
      </c>
      <c r="AU5" s="10" t="str">
        <f aca="false">IF($AS5="","",IFERROR(IF(INDEX(Matches!$AP$5:$AP$23,MATCH($C5,Matches!$A$5:$A$23,0))="","",IF($AS5="A",INDEX(Matches!$AP$5:$AP$23,MATCH($C5,Matches!$A$5:$A$23,0)),1-INDEX(Matches!$AP$5:$AP$23,MATCH($C5,Matches!$A$5:$A$23,0)))),""))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IF($AS5="","",IFERROR(IF(INDEX(Matches!$AV$5:$AV$23,MATCH($C5,Matches!$A$5:$A$23,0))="","",IF($AS5="A",INDEX(Matches!$AV$5:$AV$23,MATCH($C5,Matches!$A$5:$A$23,0)),1-INDEX(Matches!$AV$5:$AV$23,MATCH($C5,Matches!$A$5:$A$23,0)))),""))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IF($AS5="","",IFERROR(IF(INDEX(Matches!$BB$5:$BB$23,MATCH($C5,Matches!$A$5:$A$23,0))="","",IF($AS5="A",INDEX(Matches!$BB$5:$BB$23,MATCH($C5,Matches!$A$5:$A$23,0)),1-INDEX(Matches!$BB$5:$BB$23,MATCH($C5,Matches!$A$5:$A$23,0)))),""))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15.2470833333333</v>
      </c>
      <c r="BB5" s="17" t="n">
        <f aca="false">IF(AC5="","",AC5*$AX5)</f>
        <v>13.4472727272727</v>
      </c>
      <c r="BC5" s="17" t="n">
        <f aca="false">IF(AJ5="","",AJ5*$AZ5)</f>
        <v>14.45875</v>
      </c>
      <c r="BD5" s="17" t="n">
        <f aca="false">N(BA5)+N(BB5)</f>
        <v>28.6943560606061</v>
      </c>
      <c r="BE5" s="17" t="n">
        <f aca="false">BD5+N($M5)*N(BC5)</f>
        <v>28.6943560606061</v>
      </c>
      <c r="BF5" s="17" t="n">
        <f aca="false">IF(W5="","",W5*$AV5)</f>
        <v>8.39733114583334</v>
      </c>
      <c r="BG5" s="17" t="n">
        <f aca="false">IF(AD5="","",AD5*$AX5)</f>
        <v>7.88621421487603</v>
      </c>
      <c r="BH5" s="17" t="n">
        <f aca="false">IF(AK5="","",AK5*$AZ5)</f>
        <v>8.31378125</v>
      </c>
      <c r="BI5" s="17" t="n">
        <f aca="false">IF(BF5="","",N(BF5)+N(BG5))</f>
        <v>16.2835453607094</v>
      </c>
      <c r="BJ5" s="17" t="n">
        <f aca="false">IF(BI5="","",BI5+N($M5)*N(BH5))</f>
        <v>16.2835453607094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1299</v>
      </c>
      <c r="B6" s="0" t="s">
        <v>1139</v>
      </c>
      <c r="C6" s="0" t="s">
        <v>1186</v>
      </c>
      <c r="D6" s="0" t="s">
        <v>1190</v>
      </c>
      <c r="E6" s="0" t="s">
        <v>1298</v>
      </c>
      <c r="F6" s="0" t="s">
        <v>1663</v>
      </c>
      <c r="G6" s="0" t="str">
        <f aca="false">IFERROR(IF(INDEX(Matches!$W$5:$W$23,MATCH($C6,Matches!$A$5:$A$23,0))="","",INDEX(Matches!$W$5:$W$23,MATCH($C6,Matches!$A$5:$A$23,0))),"")</f>
        <v>Dust2</v>
      </c>
      <c r="H6" s="0" t="str">
        <f aca="false">IFERROR(IF(INDEX(Matches!$X$5:$X$23,MATCH($C6,Matches!$A$5:$A$23,0))="","",INDEX(Matches!$X$5:$X$23,MATCH($C6,Matches!$A$5:$A$23,0))),"")</f>
        <v>Ancient</v>
      </c>
      <c r="I6" s="0" t="str">
        <f aca="false">IFERROR(IF(INDEX(Matches!$Y$5:$Y$23,MATCH($C6,Matches!$A$5:$A$23,0))="","",INDEX(Matches!$Y$5:$Y$23,MATCH($C6,Matches!$A$5:$A$23,0))),"")</f>
        <v>Nuke</v>
      </c>
      <c r="J6" s="11" t="n">
        <f aca="false">IFERROR(IF(INDEX(Matches!$Z$5:$Z$23,MATCH($C6,Matches!$A$5:$A$23,0))="","",INDEX(Matches!$Z$5:$Z$23,MATCH($C6,Matches!$A$5:$A$23,0))),"")</f>
        <v>21.5</v>
      </c>
      <c r="K6" s="11" t="n">
        <f aca="false">IFERROR(IF(INDEX(Matches!$AA$5:$AA$23,MATCH($C6,Matches!$A$5:$A$23,0))="","",INDEX(Matches!$AA$5:$AA$23,MATCH($C6,Matches!$A$5:$A$23,0))),"")</f>
        <v>21.5</v>
      </c>
      <c r="L6" s="11" t="n">
        <f aca="false">IFERROR(IF(INDEX(Matches!$AB$5:$AB$23,MATCH($C6,Matches!$A$5:$A$23,0))="","",INDEX(Matches!$AB$5:$AB$23,MATCH($C6,Matches!$A$5:$A$23,0))),"")</f>
        <v>21.5</v>
      </c>
      <c r="M6" s="10" t="n">
        <f aca="false">IFERROR(IF(INDEX(Matches!$AC$5:$AC$23,MATCH($C6,Matches!$A$5:$A$23,0))="","",INDEX(Matches!$AC$5:$AC$23,MATCH($C6,Matches!$A$5:$A$23,0))),"")</f>
        <v>0</v>
      </c>
      <c r="N6" s="9" t="n">
        <f aca="false">IFERROR(INDEX(Players!$F$2:$F$137,MATCH($F6,Players!$A$2:$A$137,0)),0)</f>
        <v>30</v>
      </c>
      <c r="O6" s="13" t="n">
        <f aca="false">IFERROR(1/(1/INDEX(Players!$H$2:$H$137,MATCH($F6,Players!$A$2:$A$137,0))),"")</f>
        <v>0.65</v>
      </c>
      <c r="P6" s="10" t="n">
        <f aca="false">IFERROR(1/(1/INDEX(Players!$I$2:$I$137,MATCH($F6,Players!$A$2:$A$137,0))),"")</f>
        <v>0.609</v>
      </c>
      <c r="Q6" s="9" t="n">
        <f aca="false">IF($G6="",0,SUMIFS(Map_Stats!$F$2:$F$850,Map_Stats!$A$2:$A$850,$F6&amp;"|"&amp;$G6))</f>
        <v>7</v>
      </c>
      <c r="R6" s="13" t="n">
        <f aca="false">IF($G6="","",IFERROR(1/(1/INDEX(Map_Stats!$K$2:$K$850,MATCH($F6&amp;"|"&amp;$G6,Map_Stats!$A$2:$A$850,0))),$O6))</f>
        <v>0.59</v>
      </c>
      <c r="S6" s="10" t="n">
        <f aca="false">IF(OR($G6="",$P6=""),"",IFERROR(1/(1/INDEX(Map_Stats!$I$2:$I$850,MATCH($F6&amp;"|"&amp;$G6,Map_Stats!$A$2:$A$850,0))),$P6))</f>
        <v>0.679</v>
      </c>
      <c r="T6" s="13" t="n">
        <f aca="false">IF(OR($G6="",R6=""),"",IF($O6="",R6,(Q6*R6+Config!$B$4*$O6)/(Q6+Config!$B$4)))</f>
        <v>0.615</v>
      </c>
      <c r="U6" s="10" t="n">
        <f aca="false">IF(S6="","",(Q6*S6+Config!$B$4*$P6)/(Q6+Config!$B$4))</f>
        <v>0.649833333333333</v>
      </c>
      <c r="V6" s="17" t="n">
        <f aca="false">IF(OR(T6="",$J6=""),"",T6*$J6*($J6/Config!$B$10)^Config!$B$9)</f>
        <v>13.2225</v>
      </c>
      <c r="W6" s="17" t="n">
        <f aca="false">IF(OR(V6="",U6=""),"",V6*U6)</f>
        <v>8.59242125</v>
      </c>
      <c r="X6" s="9" t="n">
        <f aca="false">IF($H6="",0,SUMIFS(Map_Stats!$F$2:$F$850,Map_Stats!$A$2:$A$850,$F6&amp;"|"&amp;$H6))</f>
        <v>6</v>
      </c>
      <c r="Y6" s="13" t="n">
        <f aca="false">IF($H6="","",IFERROR(1/(1/INDEX(Map_Stats!$K$2:$K$850,MATCH($F6&amp;"|"&amp;$H6,Map_Stats!$A$2:$A$850,0))),$O6))</f>
        <v>0.65</v>
      </c>
      <c r="Z6" s="10" t="n">
        <f aca="false">IF(OR($H6="",$P6=""),"",IFERROR(1/(1/INDEX(Map_Stats!$I$2:$I$850,MATCH($F6&amp;"|"&amp;$H6,Map_Stats!$A$2:$A$850,0))),$P6))</f>
        <v>0.613</v>
      </c>
      <c r="AA6" s="13" t="n">
        <f aca="false">IF(OR($H6="",Y6=""),"",IF($O6="",Y6,(X6*Y6+Config!$B$4*$O6)/(X6+Config!$B$4)))</f>
        <v>0.65</v>
      </c>
      <c r="AB6" s="10" t="n">
        <f aca="false">IF(Z6="","",(X6*Z6+Config!$B$4*$P6)/(X6+Config!$B$4))</f>
        <v>0.611181818181818</v>
      </c>
      <c r="AC6" s="17" t="n">
        <f aca="false">IF(OR(AA6="",$K6=""),"",AA6*$K6*($K6/Config!$B$10)^Config!$B$9)</f>
        <v>13.975</v>
      </c>
      <c r="AD6" s="17" t="n">
        <f aca="false">IF(OR(AC6="",AB6=""),"",AC6*AB6)</f>
        <v>8.54126590909091</v>
      </c>
      <c r="AE6" s="9" t="n">
        <f aca="false">IF($I6="",0,SUMIFS(Map_Stats!$F$2:$F$850,Map_Stats!$A$2:$A$850,$F6&amp;"|"&amp;$I6))</f>
        <v>3</v>
      </c>
      <c r="AF6" s="13" t="n">
        <f aca="false">IF($I6="","",IFERROR(1/(1/INDEX(Map_Stats!$K$2:$K$850,MATCH($F6&amp;"|"&amp;$I6,Map_Stats!$A$2:$A$850,0))),$O6))</f>
        <v>0.7</v>
      </c>
      <c r="AG6" s="10" t="n">
        <f aca="false">IF(OR($I6="",$P6=""),"",IFERROR(1/(1/INDEX(Map_Stats!$I$2:$I$850,MATCH($F6&amp;"|"&amp;$I6,Map_Stats!$A$2:$A$850,0))),$P6))</f>
        <v>0.462</v>
      </c>
      <c r="AH6" s="13" t="n">
        <f aca="false">IF(OR($I6="",AF6=""),"",IF($O6="",AF6,(AE6*AF6+Config!$B$4*$O6)/(AE6+Config!$B$4)))</f>
        <v>0.66875</v>
      </c>
      <c r="AI6" s="10" t="n">
        <f aca="false">IF(AG6="","",(AE6*AG6+Config!$B$4*$P6)/(AE6+Config!$B$4))</f>
        <v>0.553875</v>
      </c>
      <c r="AJ6" s="17" t="n">
        <f aca="false">IF(OR(AH6="",$L6=""),"",AH6*$L6*($L6/Config!$B$10)^Config!$B$9)</f>
        <v>14.378125</v>
      </c>
      <c r="AK6" s="17" t="n">
        <f aca="false">IF(OR(AJ6="",AI6=""),"",AJ6*AI6)</f>
        <v>7.963683984375</v>
      </c>
      <c r="AL6" s="17" t="n">
        <f aca="false">N(V6)+N(AC6)</f>
        <v>27.1975</v>
      </c>
      <c r="AM6" s="17" t="n">
        <f aca="false">AL6+N($M6)*N(AJ6)</f>
        <v>27.1975</v>
      </c>
      <c r="AN6" s="17" t="n">
        <f aca="false">IF(W6="","",N(W6)+N(AD6))</f>
        <v>17.1336871590909</v>
      </c>
      <c r="AO6" s="17" t="n">
        <f aca="false">IF(AN6="","",AN6+N($M6)*N(AK6))</f>
        <v>17.1336871590909</v>
      </c>
      <c r="AP6" s="10" t="n">
        <f aca="false">IFERROR(AN6/AL6,"")</f>
        <v>0.629972871002515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IF($C6=Board!$B$2,COUNTIFS($C$2:$C$137,Board!$B$2,$AL$2:$AL$137,"&gt;"&amp;$AL6)+COUNTIFS($C$1:$C5,Board!$B$2,$AL$1:$AL5,$AL6)+1,"")</f>
        <v/>
      </c>
      <c r="AS6" s="0" t="str">
        <f aca="false">IFERROR(IF($D6=INDEX(Matches!$AD$5:$AD$23,MATCH($C6,Matches!$A$5:$A$23,0)),"A",IF($D6=INDEX(Matches!$AE$5:$AE$23,MATCH($C6,Matches!$A$5:$A$23,0)),"B","")),"")</f>
        <v>A</v>
      </c>
      <c r="AT6" s="10" t="n">
        <f aca="false">IF($AS6="","",IFERROR(IF($AS6="A",INDEX(Matches!$AI$5:$AI$23,MATCH($C6,Matches!$A$5:$A$23,0)),INDEX(Matches!$AJ$5:$AJ$23,MATCH($C6,Matches!$A$5:$A$23,0))),""))</f>
        <v>0.542532661248843</v>
      </c>
      <c r="AU6" s="10" t="str">
        <f aca="false">IF($AS6="","",IFERROR(IF(INDEX(Matches!$AP$5:$AP$23,MATCH($C6,Matches!$A$5:$A$23,0))="","",IF($AS6="A",INDEX(Matches!$AP$5:$AP$23,MATCH($C6,Matches!$A$5:$A$23,0)),1-INDEX(Matches!$AP$5:$AP$23,MATCH($C6,Matches!$A$5:$A$23,0)))),""))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IF($AS6="","",IFERROR(IF(INDEX(Matches!$AV$5:$AV$23,MATCH($C6,Matches!$A$5:$A$23,0))="","",IF($AS6="A",INDEX(Matches!$AV$5:$AV$23,MATCH($C6,Matches!$A$5:$A$23,0)),1-INDEX(Matches!$AV$5:$AV$23,MATCH($C6,Matches!$A$5:$A$23,0)))),""))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IF($AS6="","",IFERROR(IF(INDEX(Matches!$BB$5:$BB$23,MATCH($C6,Matches!$A$5:$A$23,0))="","",IF($AS6="A",INDEX(Matches!$BB$5:$BB$23,MATCH($C6,Matches!$A$5:$A$23,0)),1-INDEX(Matches!$BB$5:$BB$23,MATCH($C6,Matches!$A$5:$A$23,0)))),""))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13.2225</v>
      </c>
      <c r="BB6" s="17" t="n">
        <f aca="false">IF(AC6="","",AC6*$AX6)</f>
        <v>13.975</v>
      </c>
      <c r="BC6" s="17" t="n">
        <f aca="false">IF(AJ6="","",AJ6*$AZ6)</f>
        <v>14.378125</v>
      </c>
      <c r="BD6" s="17" t="n">
        <f aca="false">N(BA6)+N(BB6)</f>
        <v>27.1975</v>
      </c>
      <c r="BE6" s="17" t="n">
        <f aca="false">BD6+N($M6)*N(BC6)</f>
        <v>27.1975</v>
      </c>
      <c r="BF6" s="17" t="n">
        <f aca="false">IF(W6="","",W6*$AV6)</f>
        <v>8.59242125</v>
      </c>
      <c r="BG6" s="17" t="n">
        <f aca="false">IF(AD6="","",AD6*$AX6)</f>
        <v>8.54126590909091</v>
      </c>
      <c r="BH6" s="17" t="n">
        <f aca="false">IF(AK6="","",AK6*$AZ6)</f>
        <v>7.963683984375</v>
      </c>
      <c r="BI6" s="17" t="n">
        <f aca="false">IF(BF6="","",N(BF6)+N(BG6))</f>
        <v>17.1336871590909</v>
      </c>
      <c r="BJ6" s="17" t="n">
        <f aca="false">IF(BI6="","",BI6+N($M6)*N(BH6))</f>
        <v>17.1336871590909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1302</v>
      </c>
      <c r="B7" s="0" t="s">
        <v>1139</v>
      </c>
      <c r="C7" s="0" t="s">
        <v>1204</v>
      </c>
      <c r="D7" s="0" t="s">
        <v>1208</v>
      </c>
      <c r="E7" s="0" t="s">
        <v>1300</v>
      </c>
      <c r="F7" s="0" t="s">
        <v>1664</v>
      </c>
      <c r="G7" s="0" t="str">
        <f aca="false">IFERROR(IF(INDEX(Matches!$W$5:$W$23,MATCH($C7,Matches!$A$5:$A$23,0))="","",INDEX(Matches!$W$5:$W$23,MATCH($C7,Matches!$A$5:$A$23,0))),"")</f>
        <v>Ancient</v>
      </c>
      <c r="H7" s="0" t="str">
        <f aca="false">IFERROR(IF(INDEX(Matches!$X$5:$X$23,MATCH($C7,Matches!$A$5:$A$23,0))="","",INDEX(Matches!$X$5:$X$23,MATCH($C7,Matches!$A$5:$A$23,0))),"")</f>
        <v>Inferno</v>
      </c>
      <c r="I7" s="0" t="str">
        <f aca="false">IFERROR(IF(INDEX(Matches!$Y$5:$Y$23,MATCH($C7,Matches!$A$5:$A$23,0))="","",INDEX(Matches!$Y$5:$Y$23,MATCH($C7,Matches!$A$5:$A$23,0))),"")</f>
        <v/>
      </c>
      <c r="J7" s="11" t="n">
        <f aca="false">IFERROR(IF(INDEX(Matches!$Z$5:$Z$23,MATCH($C7,Matches!$A$5:$A$23,0))="","",INDEX(Matches!$Z$5:$Z$23,MATCH($C7,Matches!$A$5:$A$23,0))),"")</f>
        <v>21.5</v>
      </c>
      <c r="K7" s="11" t="n">
        <f aca="false">IFERROR(IF(INDEX(Matches!$AA$5:$AA$23,MATCH($C7,Matches!$A$5:$A$23,0))="","",INDEX(Matches!$AA$5:$AA$23,MATCH($C7,Matches!$A$5:$A$23,0))),"")</f>
        <v>21.5</v>
      </c>
      <c r="L7" s="0" t="str">
        <f aca="false">IFERROR(IF(INDEX(Matches!$AB$5:$AB$23,MATCH($C7,Matches!$A$5:$A$23,0))="","",INDEX(Matches!$AB$5:$AB$23,MATCH($C7,Matches!$A$5:$A$23,0))),"")</f>
        <v/>
      </c>
      <c r="M7" s="10" t="n">
        <f aca="false">IFERROR(IF(INDEX(Matches!$AC$5:$AC$23,MATCH($C7,Matches!$A$5:$A$23,0))="","",INDEX(Matches!$AC$5:$AC$23,MATCH($C7,Matches!$A$5:$A$23,0))),"")</f>
        <v>0</v>
      </c>
      <c r="N7" s="9" t="n">
        <f aca="false">IFERROR(INDEX(Players!$F$2:$F$137,MATCH($F7,Players!$A$2:$A$137,0)),0)</f>
        <v>32</v>
      </c>
      <c r="O7" s="13" t="n">
        <f aca="false">IFERROR(1/(1/INDEX(Players!$H$2:$H$137,MATCH($F7,Players!$A$2:$A$137,0))),"")</f>
        <v>0.65</v>
      </c>
      <c r="P7" s="10" t="n">
        <f aca="false">IFERROR(1/(1/INDEX(Players!$I$2:$I$137,MATCH($F7,Players!$A$2:$A$137,0))),"")</f>
        <v>0.55</v>
      </c>
      <c r="Q7" s="9" t="n">
        <f aca="false">IF($G7="",0,SUMIFS(Map_Stats!$F$2:$F$850,Map_Stats!$A$2:$A$850,$F7&amp;"|"&amp;$G7))</f>
        <v>4</v>
      </c>
      <c r="R7" s="13" t="n">
        <f aca="false">IF($G7="","",IFERROR(1/(1/INDEX(Map_Stats!$K$2:$K$850,MATCH($F7&amp;"|"&amp;$G7,Map_Stats!$A$2:$A$850,0))),$O7))</f>
        <v>0.68</v>
      </c>
      <c r="S7" s="10" t="n">
        <f aca="false">IF(OR($G7="",$P7=""),"",IFERROR(1/(1/INDEX(Map_Stats!$I$2:$I$850,MATCH($F7&amp;"|"&amp;$G7,Map_Stats!$A$2:$A$850,0))),$P7))</f>
        <v>0.673</v>
      </c>
      <c r="T7" s="13" t="n">
        <f aca="false">IF(OR($G7="",R7=""),"",IF($O7="",R7,(Q7*R7+Config!$B$4*$O7)/(Q7+Config!$B$4)))</f>
        <v>0.663333333333333</v>
      </c>
      <c r="U7" s="10" t="n">
        <f aca="false">IF(S7="","",(Q7*S7+Config!$B$4*$P7)/(Q7+Config!$B$4))</f>
        <v>0.604666666666667</v>
      </c>
      <c r="V7" s="17" t="n">
        <f aca="false">IF(OR(T7="",$J7=""),"",T7*$J7*($J7/Config!$B$10)^Config!$B$9)</f>
        <v>14.2616666666667</v>
      </c>
      <c r="W7" s="17" t="n">
        <f aca="false">IF(OR(V7="",U7=""),"",V7*U7)</f>
        <v>8.62355444444445</v>
      </c>
      <c r="X7" s="9" t="n">
        <f aca="false">IF($H7="",0,SUMIFS(Map_Stats!$F$2:$F$850,Map_Stats!$A$2:$A$850,$F7&amp;"|"&amp;$H7))</f>
        <v>6</v>
      </c>
      <c r="Y7" s="13" t="n">
        <f aca="false">IF($H7="","",IFERROR(1/(1/INDEX(Map_Stats!$K$2:$K$850,MATCH($F7&amp;"|"&amp;$H7,Map_Stats!$A$2:$A$850,0))),$O7))</f>
        <v>0.7</v>
      </c>
      <c r="Z7" s="10" t="n">
        <f aca="false">IF(OR($H7="",$P7=""),"",IFERROR(1/(1/INDEX(Map_Stats!$I$2:$I$850,MATCH($F7&amp;"|"&amp;$H7,Map_Stats!$A$2:$A$850,0))),$P7))</f>
        <v>0.612</v>
      </c>
      <c r="AA7" s="13" t="n">
        <f aca="false">IF(OR($H7="",Y7=""),"",IF($O7="",Y7,(X7*Y7+Config!$B$4*$O7)/(X7+Config!$B$4)))</f>
        <v>0.677272727272727</v>
      </c>
      <c r="AB7" s="10" t="n">
        <f aca="false">IF(Z7="","",(X7*Z7+Config!$B$4*$P7)/(X7+Config!$B$4))</f>
        <v>0.583818181818182</v>
      </c>
      <c r="AC7" s="17" t="n">
        <f aca="false">IF(OR(AA7="",$K7=""),"",AA7*$K7*($K7/Config!$B$10)^Config!$B$9)</f>
        <v>14.5613636363636</v>
      </c>
      <c r="AD7" s="17" t="n">
        <f aca="false">IF(OR(AC7="",AB7=""),"",AC7*AB7)</f>
        <v>8.50118884297521</v>
      </c>
      <c r="AE7" s="9" t="n">
        <f aca="false">IF($I7="",0,SUMIFS(Map_Stats!$F$2:$F$850,Map_Stats!$A$2:$A$850,$F7&amp;"|"&amp;$I7))</f>
        <v>0</v>
      </c>
      <c r="AF7" s="13" t="str">
        <f aca="false">IF($I7="","",IFERROR(1/(1/INDEX(Map_Stats!$K$2:$K$850,MATCH($F7&amp;"|"&amp;$I7,Map_Stats!$A$2:$A$850,0))),$O7))</f>
        <v/>
      </c>
      <c r="AG7" s="10" t="str">
        <f aca="false">IF(OR($I7="",$P7=""),"",IFERROR(1/(1/INDEX(Map_Stats!$I$2:$I$850,MATCH($F7&amp;"|"&amp;$I7,Map_Stats!$A$2:$A$850,0))),$P7))</f>
        <v/>
      </c>
      <c r="AH7" s="13" t="str">
        <f aca="false">IF(OR($I7="",AF7=""),"",IF($O7="",AF7,(AE7*AF7+Config!$B$4*$O7)/(AE7+Config!$B$4)))</f>
        <v/>
      </c>
      <c r="AI7" s="10" t="str">
        <f aca="false">IF(AG7="","",(AE7*AG7+Config!$B$4*$P7)/(AE7+Config!$B$4))</f>
        <v/>
      </c>
      <c r="AJ7" s="17" t="str">
        <f aca="false">IF(OR(AH7="",$L7=""),"",AH7*$L7*($L7/Config!$B$10)^Config!$B$9)</f>
        <v/>
      </c>
      <c r="AK7" s="17" t="str">
        <f aca="false">IF(OR(AJ7="",AI7=""),"",AJ7*AI7)</f>
        <v/>
      </c>
      <c r="AL7" s="17" t="n">
        <f aca="false">N(V7)+N(AC7)</f>
        <v>28.8230303030303</v>
      </c>
      <c r="AM7" s="17" t="n">
        <f aca="false">AL7+N($M7)*N(AJ7)</f>
        <v>28.8230303030303</v>
      </c>
      <c r="AN7" s="17" t="n">
        <f aca="false">IF(W7="","",N(W7)+N(AD7))</f>
        <v>17.1247432874197</v>
      </c>
      <c r="AO7" s="17" t="n">
        <f aca="false">IF(AN7="","",AN7+N($M7)*N(AK7))</f>
        <v>17.1247432874197</v>
      </c>
      <c r="AP7" s="10" t="n">
        <f aca="false">IFERROR(AN7/AL7,"")</f>
        <v>0.59413403474163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IF($C7=Board!$B$2,COUNTIFS($C$2:$C$137,Board!$B$2,$AL$2:$AL$137,"&gt;"&amp;$AL7)+COUNTIFS($C$1:$C6,Board!$B$2,$AL$1:$AL6,$AL7)+1,"")</f>
        <v/>
      </c>
      <c r="AS7" s="0" t="str">
        <f aca="false">IFERROR(IF($D7=INDEX(Matches!$AD$5:$AD$23,MATCH($C7,Matches!$A$5:$A$23,0)),"A",IF($D7=INDEX(Matches!$AE$5:$AE$23,MATCH($C7,Matches!$A$5:$A$23,0)),"B","")),"")</f>
        <v>A</v>
      </c>
      <c r="AT7" s="10" t="n">
        <f aca="false">IF($AS7="","",IFERROR(IF($AS7="A",INDEX(Matches!$AI$5:$AI$23,MATCH($C7,Matches!$A$5:$A$23,0)),INDEX(Matches!$AJ$5:$AJ$23,MATCH($C7,Matches!$A$5:$A$23,0))),""))</f>
        <v>0.511015173639769</v>
      </c>
      <c r="AU7" s="10" t="str">
        <f aca="false">IF($AS7="","",IFERROR(IF(INDEX(Matches!$AP$5:$AP$23,MATCH($C7,Matches!$A$5:$A$23,0))="","",IF($AS7="A",INDEX(Matches!$AP$5:$AP$23,MATCH($C7,Matches!$A$5:$A$23,0)),1-INDEX(Matches!$AP$5:$AP$23,MATCH($C7,Matches!$A$5:$A$23,0)))),""))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IF($AS7="","",IFERROR(IF(INDEX(Matches!$AV$5:$AV$23,MATCH($C7,Matches!$A$5:$A$23,0))="","",IF($AS7="A",INDEX(Matches!$AV$5:$AV$23,MATCH($C7,Matches!$A$5:$A$23,0)),1-INDEX(Matches!$AV$5:$AV$23,MATCH($C7,Matches!$A$5:$A$23,0)))),""))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IF($AS7="","",IFERROR(IF(INDEX(Matches!$BB$5:$BB$23,MATCH($C7,Matches!$A$5:$A$23,0))="","",IF($AS7="A",INDEX(Matches!$BB$5:$BB$23,MATCH($C7,Matches!$A$5:$A$23,0)),1-INDEX(Matches!$BB$5:$BB$23,MATCH($C7,Matches!$A$5:$A$23,0)))),""))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14.2616666666667</v>
      </c>
      <c r="BB7" s="17" t="n">
        <f aca="false">IF(AC7="","",AC7*$AX7)</f>
        <v>14.5613636363636</v>
      </c>
      <c r="BC7" s="17" t="str">
        <f aca="false">IF(AJ7="","",AJ7*$AZ7)</f>
        <v/>
      </c>
      <c r="BD7" s="17" t="n">
        <f aca="false">N(BA7)+N(BB7)</f>
        <v>28.8230303030303</v>
      </c>
      <c r="BE7" s="17" t="n">
        <f aca="false">BD7+N($M7)*N(BC7)</f>
        <v>28.8230303030303</v>
      </c>
      <c r="BF7" s="17" t="n">
        <f aca="false">IF(W7="","",W7*$AV7)</f>
        <v>8.62355444444445</v>
      </c>
      <c r="BG7" s="17" t="n">
        <f aca="false">IF(AD7="","",AD7*$AX7)</f>
        <v>8.50118884297521</v>
      </c>
      <c r="BH7" s="17" t="str">
        <f aca="false">IF(AK7="","",AK7*$AZ7)</f>
        <v/>
      </c>
      <c r="BI7" s="17" t="n">
        <f aca="false">IF(BF7="","",N(BF7)+N(BG7))</f>
        <v>17.1247432874197</v>
      </c>
      <c r="BJ7" s="17" t="n">
        <f aca="false">IF(BI7="","",BI7+N($M7)*N(BH7))</f>
        <v>17.1247432874197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1307</v>
      </c>
      <c r="B8" s="0" t="s">
        <v>1139</v>
      </c>
      <c r="C8" s="0" t="s">
        <v>1204</v>
      </c>
      <c r="D8" s="0" t="s">
        <v>1208</v>
      </c>
      <c r="E8" s="0" t="s">
        <v>1306</v>
      </c>
      <c r="F8" s="0" t="s">
        <v>1665</v>
      </c>
      <c r="G8" s="0" t="str">
        <f aca="false">IFERROR(IF(INDEX(Matches!$W$5:$W$23,MATCH($C8,Matches!$A$5:$A$23,0))="","",INDEX(Matches!$W$5:$W$23,MATCH($C8,Matches!$A$5:$A$23,0))),"")</f>
        <v>Ancient</v>
      </c>
      <c r="H8" s="0" t="str">
        <f aca="false">IFERROR(IF(INDEX(Matches!$X$5:$X$23,MATCH($C8,Matches!$A$5:$A$23,0))="","",INDEX(Matches!$X$5:$X$23,MATCH($C8,Matches!$A$5:$A$23,0))),"")</f>
        <v>Inferno</v>
      </c>
      <c r="I8" s="0" t="str">
        <f aca="false">IFERROR(IF(INDEX(Matches!$Y$5:$Y$23,MATCH($C8,Matches!$A$5:$A$23,0))="","",INDEX(Matches!$Y$5:$Y$23,MATCH($C8,Matches!$A$5:$A$23,0))),"")</f>
        <v/>
      </c>
      <c r="J8" s="11" t="n">
        <f aca="false">IFERROR(IF(INDEX(Matches!$Z$5:$Z$23,MATCH($C8,Matches!$A$5:$A$23,0))="","",INDEX(Matches!$Z$5:$Z$23,MATCH($C8,Matches!$A$5:$A$23,0))),"")</f>
        <v>21.5</v>
      </c>
      <c r="K8" s="11" t="n">
        <f aca="false">IFERROR(IF(INDEX(Matches!$AA$5:$AA$23,MATCH($C8,Matches!$A$5:$A$23,0))="","",INDEX(Matches!$AA$5:$AA$23,MATCH($C8,Matches!$A$5:$A$23,0))),"")</f>
        <v>21.5</v>
      </c>
      <c r="L8" s="0" t="str">
        <f aca="false">IFERROR(IF(INDEX(Matches!$AB$5:$AB$23,MATCH($C8,Matches!$A$5:$A$23,0))="","",INDEX(Matches!$AB$5:$AB$23,MATCH($C8,Matches!$A$5:$A$23,0))),"")</f>
        <v/>
      </c>
      <c r="M8" s="10" t="n">
        <f aca="false">IFERROR(IF(INDEX(Matches!$AC$5:$AC$23,MATCH($C8,Matches!$A$5:$A$23,0))="","",INDEX(Matches!$AC$5:$AC$23,MATCH($C8,Matches!$A$5:$A$23,0))),"")</f>
        <v>0</v>
      </c>
      <c r="N8" s="9" t="n">
        <f aca="false">IFERROR(INDEX(Players!$F$2:$F$137,MATCH($F8,Players!$A$2:$A$137,0)),0)</f>
        <v>32</v>
      </c>
      <c r="O8" s="13" t="n">
        <f aca="false">IFERROR(1/(1/INDEX(Players!$H$2:$H$137,MATCH($F8,Players!$A$2:$A$137,0))),"")</f>
        <v>0.67</v>
      </c>
      <c r="P8" s="10" t="n">
        <f aca="false">IFERROR(1/(1/INDEX(Players!$I$2:$I$137,MATCH($F8,Players!$A$2:$A$137,0))),"")</f>
        <v>0.511</v>
      </c>
      <c r="Q8" s="9" t="n">
        <f aca="false">IF($G8="",0,SUMIFS(Map_Stats!$F$2:$F$850,Map_Stats!$A$2:$A$850,$F8&amp;"|"&amp;$G8))</f>
        <v>4</v>
      </c>
      <c r="R8" s="13" t="n">
        <f aca="false">IF($G8="","",IFERROR(1/(1/INDEX(Map_Stats!$K$2:$K$850,MATCH($F8&amp;"|"&amp;$G8,Map_Stats!$A$2:$A$850,0))),$O8))</f>
        <v>0.53</v>
      </c>
      <c r="S8" s="10" t="n">
        <f aca="false">IF(OR($G8="",$P8=""),"",IFERROR(1/(1/INDEX(Map_Stats!$I$2:$I$850,MATCH($F8&amp;"|"&amp;$G8,Map_Stats!$A$2:$A$850,0))),$P8))</f>
        <v>0.421</v>
      </c>
      <c r="T8" s="13" t="n">
        <f aca="false">IF(OR($G8="",R8=""),"",IF($O8="",R8,(Q8*R8+Config!$B$4*$O8)/(Q8+Config!$B$4)))</f>
        <v>0.607777777777778</v>
      </c>
      <c r="U8" s="10" t="n">
        <f aca="false">IF(S8="","",(Q8*S8+Config!$B$4*$P8)/(Q8+Config!$B$4))</f>
        <v>0.471</v>
      </c>
      <c r="V8" s="17" t="n">
        <f aca="false">IF(OR(T8="",$J8=""),"",T8*$J8*($J8/Config!$B$10)^Config!$B$9)</f>
        <v>13.0672222222222</v>
      </c>
      <c r="W8" s="17" t="n">
        <f aca="false">IF(OR(V8="",U8=""),"",V8*U8)</f>
        <v>6.15466166666667</v>
      </c>
      <c r="X8" s="9" t="n">
        <f aca="false">IF($H8="",0,SUMIFS(Map_Stats!$F$2:$F$850,Map_Stats!$A$2:$A$850,$F8&amp;"|"&amp;$H8))</f>
        <v>6</v>
      </c>
      <c r="Y8" s="13" t="n">
        <f aca="false">IF($H8="","",IFERROR(1/(1/INDEX(Map_Stats!$K$2:$K$850,MATCH($F8&amp;"|"&amp;$H8,Map_Stats!$A$2:$A$850,0))),$O8))</f>
        <v>0.62</v>
      </c>
      <c r="Z8" s="10" t="n">
        <f aca="false">IF(OR($H8="",$P8=""),"",IFERROR(1/(1/INDEX(Map_Stats!$I$2:$I$850,MATCH($F8&amp;"|"&amp;$H8,Map_Stats!$A$2:$A$850,0))),$P8))</f>
        <v>0.6</v>
      </c>
      <c r="AA8" s="13" t="n">
        <f aca="false">IF(OR($H8="",Y8=""),"",IF($O8="",Y8,(X8*Y8+Config!$B$4*$O8)/(X8+Config!$B$4)))</f>
        <v>0.642727272727273</v>
      </c>
      <c r="AB8" s="10" t="n">
        <f aca="false">IF(Z8="","",(X8*Z8+Config!$B$4*$P8)/(X8+Config!$B$4))</f>
        <v>0.559545454545455</v>
      </c>
      <c r="AC8" s="17" t="n">
        <f aca="false">IF(OR(AA8="",$K8=""),"",AA8*$K8*($K8/Config!$B$10)^Config!$B$9)</f>
        <v>13.8186363636364</v>
      </c>
      <c r="AD8" s="17" t="n">
        <f aca="false">IF(OR(AC8="",AB8=""),"",AC8*AB8)</f>
        <v>7.73215516528926</v>
      </c>
      <c r="AE8" s="9" t="n">
        <f aca="false">IF($I8="",0,SUMIFS(Map_Stats!$F$2:$F$850,Map_Stats!$A$2:$A$850,$F8&amp;"|"&amp;$I8))</f>
        <v>0</v>
      </c>
      <c r="AF8" s="13" t="str">
        <f aca="false">IF($I8="","",IFERROR(1/(1/INDEX(Map_Stats!$K$2:$K$850,MATCH($F8&amp;"|"&amp;$I8,Map_Stats!$A$2:$A$850,0))),$O8))</f>
        <v/>
      </c>
      <c r="AG8" s="10" t="str">
        <f aca="false">IF(OR($I8="",$P8=""),"",IFERROR(1/(1/INDEX(Map_Stats!$I$2:$I$850,MATCH($F8&amp;"|"&amp;$I8,Map_Stats!$A$2:$A$850,0))),$P8))</f>
        <v/>
      </c>
      <c r="AH8" s="13" t="str">
        <f aca="false">IF(OR($I8="",AF8=""),"",IF($O8="",AF8,(AE8*AF8+Config!$B$4*$O8)/(AE8+Config!$B$4)))</f>
        <v/>
      </c>
      <c r="AI8" s="10" t="str">
        <f aca="false">IF(AG8="","",(AE8*AG8+Config!$B$4*$P8)/(AE8+Config!$B$4))</f>
        <v/>
      </c>
      <c r="AJ8" s="17" t="str">
        <f aca="false">IF(OR(AH8="",$L8=""),"",AH8*$L8*($L8/Config!$B$10)^Config!$B$9)</f>
        <v/>
      </c>
      <c r="AK8" s="17" t="str">
        <f aca="false">IF(OR(AJ8="",AI8=""),"",AJ8*AI8)</f>
        <v/>
      </c>
      <c r="AL8" s="17" t="n">
        <f aca="false">N(V8)+N(AC8)</f>
        <v>26.8858585858586</v>
      </c>
      <c r="AM8" s="17" t="n">
        <f aca="false">AL8+N($M8)*N(AJ8)</f>
        <v>26.8858585858586</v>
      </c>
      <c r="AN8" s="17" t="n">
        <f aca="false">IF(W8="","",N(W8)+N(AD8))</f>
        <v>13.8868168319559</v>
      </c>
      <c r="AO8" s="17" t="n">
        <f aca="false">IF(AN8="","",AN8+N($M8)*N(AK8))</f>
        <v>13.8868168319559</v>
      </c>
      <c r="AP8" s="10" t="n">
        <f aca="false">IFERROR(AN8/AL8,"")</f>
        <v>0.516510074900867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IF($C8=Board!$B$2,COUNTIFS($C$2:$C$137,Board!$B$2,$AL$2:$AL$137,"&gt;"&amp;$AL8)+COUNTIFS($C$1:$C7,Board!$B$2,$AL$1:$AL7,$AL8)+1,"")</f>
        <v/>
      </c>
      <c r="AS8" s="0" t="str">
        <f aca="false">IFERROR(IF($D8=INDEX(Matches!$AD$5:$AD$23,MATCH($C8,Matches!$A$5:$A$23,0)),"A",IF($D8=INDEX(Matches!$AE$5:$AE$23,MATCH($C8,Matches!$A$5:$A$23,0)),"B","")),"")</f>
        <v>A</v>
      </c>
      <c r="AT8" s="10" t="n">
        <f aca="false">IF($AS8="","",IFERROR(IF($AS8="A",INDEX(Matches!$AI$5:$AI$23,MATCH($C8,Matches!$A$5:$A$23,0)),INDEX(Matches!$AJ$5:$AJ$23,MATCH($C8,Matches!$A$5:$A$23,0))),""))</f>
        <v>0.511015173639769</v>
      </c>
      <c r="AU8" s="10" t="str">
        <f aca="false">IF($AS8="","",IFERROR(IF(INDEX(Matches!$AP$5:$AP$23,MATCH($C8,Matches!$A$5:$A$23,0))="","",IF($AS8="A",INDEX(Matches!$AP$5:$AP$23,MATCH($C8,Matches!$A$5:$A$23,0)),1-INDEX(Matches!$AP$5:$AP$23,MATCH($C8,Matches!$A$5:$A$23,0)))),""))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IF($AS8="","",IFERROR(IF(INDEX(Matches!$AV$5:$AV$23,MATCH($C8,Matches!$A$5:$A$23,0))="","",IF($AS8="A",INDEX(Matches!$AV$5:$AV$23,MATCH($C8,Matches!$A$5:$A$23,0)),1-INDEX(Matches!$AV$5:$AV$23,MATCH($C8,Matches!$A$5:$A$23,0)))),""))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IF($AS8="","",IFERROR(IF(INDEX(Matches!$BB$5:$BB$23,MATCH($C8,Matches!$A$5:$A$23,0))="","",IF($AS8="A",INDEX(Matches!$BB$5:$BB$23,MATCH($C8,Matches!$A$5:$A$23,0)),1-INDEX(Matches!$BB$5:$BB$23,MATCH($C8,Matches!$A$5:$A$23,0)))),""))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13.0672222222222</v>
      </c>
      <c r="BB8" s="17" t="n">
        <f aca="false">IF(AC8="","",AC8*$AX8)</f>
        <v>13.8186363636364</v>
      </c>
      <c r="BC8" s="17" t="str">
        <f aca="false">IF(AJ8="","",AJ8*$AZ8)</f>
        <v/>
      </c>
      <c r="BD8" s="17" t="n">
        <f aca="false">N(BA8)+N(BB8)</f>
        <v>26.8858585858586</v>
      </c>
      <c r="BE8" s="17" t="n">
        <f aca="false">BD8+N($M8)*N(BC8)</f>
        <v>26.8858585858586</v>
      </c>
      <c r="BF8" s="17" t="n">
        <f aca="false">IF(W8="","",W8*$AV8)</f>
        <v>6.15466166666667</v>
      </c>
      <c r="BG8" s="17" t="n">
        <f aca="false">IF(AD8="","",AD8*$AX8)</f>
        <v>7.73215516528926</v>
      </c>
      <c r="BH8" s="17" t="str">
        <f aca="false">IF(AK8="","",AK8*$AZ8)</f>
        <v/>
      </c>
      <c r="BI8" s="17" t="n">
        <f aca="false">IF(BF8="","",N(BF8)+N(BG8))</f>
        <v>13.8868168319559</v>
      </c>
      <c r="BJ8" s="17" t="n">
        <f aca="false">IF(BI8="","",BI8+N($M8)*N(BH8))</f>
        <v>13.8868168319559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1309</v>
      </c>
      <c r="B9" s="0" t="s">
        <v>1139</v>
      </c>
      <c r="C9" s="0" t="s">
        <v>1204</v>
      </c>
      <c r="D9" s="0" t="s">
        <v>1208</v>
      </c>
      <c r="E9" s="0" t="s">
        <v>1308</v>
      </c>
      <c r="F9" s="0" t="s">
        <v>1666</v>
      </c>
      <c r="G9" s="0" t="str">
        <f aca="false">IFERROR(IF(INDEX(Matches!$W$5:$W$23,MATCH($C9,Matches!$A$5:$A$23,0))="","",INDEX(Matches!$W$5:$W$23,MATCH($C9,Matches!$A$5:$A$23,0))),"")</f>
        <v>Ancient</v>
      </c>
      <c r="H9" s="0" t="str">
        <f aca="false">IFERROR(IF(INDEX(Matches!$X$5:$X$23,MATCH($C9,Matches!$A$5:$A$23,0))="","",INDEX(Matches!$X$5:$X$23,MATCH($C9,Matches!$A$5:$A$23,0))),"")</f>
        <v>Inferno</v>
      </c>
      <c r="I9" s="0" t="str">
        <f aca="false">IFERROR(IF(INDEX(Matches!$Y$5:$Y$23,MATCH($C9,Matches!$A$5:$A$23,0))="","",INDEX(Matches!$Y$5:$Y$23,MATCH($C9,Matches!$A$5:$A$23,0))),"")</f>
        <v/>
      </c>
      <c r="J9" s="11" t="n">
        <f aca="false">IFERROR(IF(INDEX(Matches!$Z$5:$Z$23,MATCH($C9,Matches!$A$5:$A$23,0))="","",INDEX(Matches!$Z$5:$Z$23,MATCH($C9,Matches!$A$5:$A$23,0))),"")</f>
        <v>21.5</v>
      </c>
      <c r="K9" s="11" t="n">
        <f aca="false">IFERROR(IF(INDEX(Matches!$AA$5:$AA$23,MATCH($C9,Matches!$A$5:$A$23,0))="","",INDEX(Matches!$AA$5:$AA$23,MATCH($C9,Matches!$A$5:$A$23,0))),"")</f>
        <v>21.5</v>
      </c>
      <c r="L9" s="0" t="str">
        <f aca="false">IFERROR(IF(INDEX(Matches!$AB$5:$AB$23,MATCH($C9,Matches!$A$5:$A$23,0))="","",INDEX(Matches!$AB$5:$AB$23,MATCH($C9,Matches!$A$5:$A$23,0))),"")</f>
        <v/>
      </c>
      <c r="M9" s="10" t="n">
        <f aca="false">IFERROR(IF(INDEX(Matches!$AC$5:$AC$23,MATCH($C9,Matches!$A$5:$A$23,0))="","",INDEX(Matches!$AC$5:$AC$23,MATCH($C9,Matches!$A$5:$A$23,0))),"")</f>
        <v>0</v>
      </c>
      <c r="N9" s="9" t="n">
        <f aca="false">IFERROR(INDEX(Players!$F$2:$F$137,MATCH($F9,Players!$A$2:$A$137,0)),0)</f>
        <v>32</v>
      </c>
      <c r="O9" s="13" t="n">
        <f aca="false">IFERROR(1/(1/INDEX(Players!$H$2:$H$137,MATCH($F9,Players!$A$2:$A$137,0))),"")</f>
        <v>0.68</v>
      </c>
      <c r="P9" s="10" t="n">
        <f aca="false">IFERROR(1/(1/INDEX(Players!$I$2:$I$137,MATCH($F9,Players!$A$2:$A$137,0))),"")</f>
        <v>0.332</v>
      </c>
      <c r="Q9" s="9" t="n">
        <f aca="false">IF($G9="",0,SUMIFS(Map_Stats!$F$2:$F$850,Map_Stats!$A$2:$A$850,$F9&amp;"|"&amp;$G9))</f>
        <v>4</v>
      </c>
      <c r="R9" s="13" t="n">
        <f aca="false">IF($G9="","",IFERROR(1/(1/INDEX(Map_Stats!$K$2:$K$850,MATCH($F9&amp;"|"&amp;$G9,Map_Stats!$A$2:$A$850,0))),$O9))</f>
        <v>0.54</v>
      </c>
      <c r="S9" s="10" t="n">
        <f aca="false">IF(OR($G9="",$P9=""),"",IFERROR(1/(1/INDEX(Map_Stats!$I$2:$I$850,MATCH($F9&amp;"|"&amp;$G9,Map_Stats!$A$2:$A$850,0))),$P9))</f>
        <v>0.385</v>
      </c>
      <c r="T9" s="13" t="n">
        <f aca="false">IF(OR($G9="",R9=""),"",IF($O9="",R9,(Q9*R9+Config!$B$4*$O9)/(Q9+Config!$B$4)))</f>
        <v>0.617777777777778</v>
      </c>
      <c r="U9" s="10" t="n">
        <f aca="false">IF(S9="","",(Q9*S9+Config!$B$4*$P9)/(Q9+Config!$B$4))</f>
        <v>0.355555555555556</v>
      </c>
      <c r="V9" s="17" t="n">
        <f aca="false">IF(OR(T9="",$J9=""),"",T9*$J9*($J9/Config!$B$10)^Config!$B$9)</f>
        <v>13.2822222222222</v>
      </c>
      <c r="W9" s="17" t="n">
        <f aca="false">IF(OR(V9="",U9=""),"",V9*U9)</f>
        <v>4.72256790123457</v>
      </c>
      <c r="X9" s="9" t="n">
        <f aca="false">IF($H9="",0,SUMIFS(Map_Stats!$F$2:$F$850,Map_Stats!$A$2:$A$850,$F9&amp;"|"&amp;$H9))</f>
        <v>6</v>
      </c>
      <c r="Y9" s="13" t="n">
        <f aca="false">IF($H9="","",IFERROR(1/(1/INDEX(Map_Stats!$K$2:$K$850,MATCH($F9&amp;"|"&amp;$H9,Map_Stats!$A$2:$A$850,0))),$O9))</f>
        <v>0.74</v>
      </c>
      <c r="Z9" s="10" t="n">
        <f aca="false">IF(OR($H9="",$P9=""),"",IFERROR(1/(1/INDEX(Map_Stats!$I$2:$I$850,MATCH($F9&amp;"|"&amp;$H9,Map_Stats!$A$2:$A$850,0))),$P9))</f>
        <v>0.303</v>
      </c>
      <c r="AA9" s="13" t="n">
        <f aca="false">IF(OR($H9="",Y9=""),"",IF($O9="",Y9,(X9*Y9+Config!$B$4*$O9)/(X9+Config!$B$4)))</f>
        <v>0.712727272727273</v>
      </c>
      <c r="AB9" s="10" t="n">
        <f aca="false">IF(Z9="","",(X9*Z9+Config!$B$4*$P9)/(X9+Config!$B$4))</f>
        <v>0.316181818181818</v>
      </c>
      <c r="AC9" s="17" t="n">
        <f aca="false">IF(OR(AA9="",$K9=""),"",AA9*$K9*($K9/Config!$B$10)^Config!$B$9)</f>
        <v>15.3236363636364</v>
      </c>
      <c r="AD9" s="17" t="n">
        <f aca="false">IF(OR(AC9="",AB9=""),"",AC9*AB9)</f>
        <v>4.84505520661157</v>
      </c>
      <c r="AE9" s="9" t="n">
        <f aca="false">IF($I9="",0,SUMIFS(Map_Stats!$F$2:$F$850,Map_Stats!$A$2:$A$850,$F9&amp;"|"&amp;$I9))</f>
        <v>0</v>
      </c>
      <c r="AF9" s="13" t="str">
        <f aca="false">IF($I9="","",IFERROR(1/(1/INDEX(Map_Stats!$K$2:$K$850,MATCH($F9&amp;"|"&amp;$I9,Map_Stats!$A$2:$A$850,0))),$O9))</f>
        <v/>
      </c>
      <c r="AG9" s="10" t="str">
        <f aca="false">IF(OR($I9="",$P9=""),"",IFERROR(1/(1/INDEX(Map_Stats!$I$2:$I$850,MATCH($F9&amp;"|"&amp;$I9,Map_Stats!$A$2:$A$850,0))),$P9))</f>
        <v/>
      </c>
      <c r="AH9" s="13" t="str">
        <f aca="false">IF(OR($I9="",AF9=""),"",IF($O9="",AF9,(AE9*AF9+Config!$B$4*$O9)/(AE9+Config!$B$4)))</f>
        <v/>
      </c>
      <c r="AI9" s="10" t="str">
        <f aca="false">IF(AG9="","",(AE9*AG9+Config!$B$4*$P9)/(AE9+Config!$B$4))</f>
        <v/>
      </c>
      <c r="AJ9" s="17" t="str">
        <f aca="false">IF(OR(AH9="",$L9=""),"",AH9*$L9*($L9/Config!$B$10)^Config!$B$9)</f>
        <v/>
      </c>
      <c r="AK9" s="17" t="str">
        <f aca="false">IF(OR(AJ9="",AI9=""),"",AJ9*AI9)</f>
        <v/>
      </c>
      <c r="AL9" s="17" t="n">
        <f aca="false">N(V9)+N(AC9)</f>
        <v>28.6058585858586</v>
      </c>
      <c r="AM9" s="17" t="n">
        <f aca="false">AL9+N($M9)*N(AJ9)</f>
        <v>28.6058585858586</v>
      </c>
      <c r="AN9" s="17" t="n">
        <f aca="false">IF(W9="","",N(W9)+N(AD9))</f>
        <v>9.56762310784614</v>
      </c>
      <c r="AO9" s="17" t="n">
        <f aca="false">IF(AN9="","",AN9+N($M9)*N(AK9))</f>
        <v>9.56762310784614</v>
      </c>
      <c r="AP9" s="10" t="n">
        <f aca="false">IFERROR(AN9/AL9,"")</f>
        <v>0.334463763048033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IF($C9=Board!$B$2,COUNTIFS($C$2:$C$137,Board!$B$2,$AL$2:$AL$137,"&gt;"&amp;$AL9)+COUNTIFS($C$1:$C8,Board!$B$2,$AL$1:$AL8,$AL9)+1,"")</f>
        <v/>
      </c>
      <c r="AS9" s="0" t="str">
        <f aca="false">IFERROR(IF($D9=INDEX(Matches!$AD$5:$AD$23,MATCH($C9,Matches!$A$5:$A$23,0)),"A",IF($D9=INDEX(Matches!$AE$5:$AE$23,MATCH($C9,Matches!$A$5:$A$23,0)),"B","")),"")</f>
        <v>A</v>
      </c>
      <c r="AT9" s="10" t="n">
        <f aca="false">IF($AS9="","",IFERROR(IF($AS9="A",INDEX(Matches!$AI$5:$AI$23,MATCH($C9,Matches!$A$5:$A$23,0)),INDEX(Matches!$AJ$5:$AJ$23,MATCH($C9,Matches!$A$5:$A$23,0))),""))</f>
        <v>0.511015173639769</v>
      </c>
      <c r="AU9" s="10" t="str">
        <f aca="false">IF($AS9="","",IFERROR(IF(INDEX(Matches!$AP$5:$AP$23,MATCH($C9,Matches!$A$5:$A$23,0))="","",IF($AS9="A",INDEX(Matches!$AP$5:$AP$23,MATCH($C9,Matches!$A$5:$A$23,0)),1-INDEX(Matches!$AP$5:$AP$23,MATCH($C9,Matches!$A$5:$A$23,0)))),""))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IF($AS9="","",IFERROR(IF(INDEX(Matches!$AV$5:$AV$23,MATCH($C9,Matches!$A$5:$A$23,0))="","",IF($AS9="A",INDEX(Matches!$AV$5:$AV$23,MATCH($C9,Matches!$A$5:$A$23,0)),1-INDEX(Matches!$AV$5:$AV$23,MATCH($C9,Matches!$A$5:$A$23,0)))),""))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IF($AS9="","",IFERROR(IF(INDEX(Matches!$BB$5:$BB$23,MATCH($C9,Matches!$A$5:$A$23,0))="","",IF($AS9="A",INDEX(Matches!$BB$5:$BB$23,MATCH($C9,Matches!$A$5:$A$23,0)),1-INDEX(Matches!$BB$5:$BB$23,MATCH($C9,Matches!$A$5:$A$23,0)))),""))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13.2822222222222</v>
      </c>
      <c r="BB9" s="17" t="n">
        <f aca="false">IF(AC9="","",AC9*$AX9)</f>
        <v>15.3236363636364</v>
      </c>
      <c r="BC9" s="17" t="str">
        <f aca="false">IF(AJ9="","",AJ9*$AZ9)</f>
        <v/>
      </c>
      <c r="BD9" s="17" t="n">
        <f aca="false">N(BA9)+N(BB9)</f>
        <v>28.6058585858586</v>
      </c>
      <c r="BE9" s="17" t="n">
        <f aca="false">BD9+N($M9)*N(BC9)</f>
        <v>28.6058585858586</v>
      </c>
      <c r="BF9" s="17" t="n">
        <f aca="false">IF(W9="","",W9*$AV9)</f>
        <v>4.72256790123457</v>
      </c>
      <c r="BG9" s="17" t="n">
        <f aca="false">IF(AD9="","",AD9*$AX9)</f>
        <v>4.84505520661157</v>
      </c>
      <c r="BH9" s="17" t="str">
        <f aca="false">IF(AK9="","",AK9*$AZ9)</f>
        <v/>
      </c>
      <c r="BI9" s="17" t="n">
        <f aca="false">IF(BF9="","",N(BF9)+N(BG9))</f>
        <v>9.56762310784614</v>
      </c>
      <c r="BJ9" s="17" t="n">
        <f aca="false">IF(BI9="","",BI9+N($M9)*N(BH9))</f>
        <v>9.56762310784614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1311</v>
      </c>
      <c r="B10" s="0" t="s">
        <v>1139</v>
      </c>
      <c r="C10" s="0" t="s">
        <v>1204</v>
      </c>
      <c r="D10" s="0" t="s">
        <v>1208</v>
      </c>
      <c r="E10" s="0" t="s">
        <v>1310</v>
      </c>
      <c r="F10" s="0" t="s">
        <v>1667</v>
      </c>
      <c r="G10" s="0" t="str">
        <f aca="false">IFERROR(IF(INDEX(Matches!$W$5:$W$23,MATCH($C10,Matches!$A$5:$A$23,0))="","",INDEX(Matches!$W$5:$W$23,MATCH($C10,Matches!$A$5:$A$23,0))),"")</f>
        <v>Ancient</v>
      </c>
      <c r="H10" s="0" t="str">
        <f aca="false">IFERROR(IF(INDEX(Matches!$X$5:$X$23,MATCH($C10,Matches!$A$5:$A$23,0))="","",INDEX(Matches!$X$5:$X$23,MATCH($C10,Matches!$A$5:$A$23,0))),"")</f>
        <v>Inferno</v>
      </c>
      <c r="I10" s="0" t="str">
        <f aca="false">IFERROR(IF(INDEX(Matches!$Y$5:$Y$23,MATCH($C10,Matches!$A$5:$A$23,0))="","",INDEX(Matches!$Y$5:$Y$23,MATCH($C10,Matches!$A$5:$A$23,0))),"")</f>
        <v/>
      </c>
      <c r="J10" s="11" t="n">
        <f aca="false">IFERROR(IF(INDEX(Matches!$Z$5:$Z$23,MATCH($C10,Matches!$A$5:$A$23,0))="","",INDEX(Matches!$Z$5:$Z$23,MATCH($C10,Matches!$A$5:$A$23,0))),"")</f>
        <v>21.5</v>
      </c>
      <c r="K10" s="11" t="n">
        <f aca="false">IFERROR(IF(INDEX(Matches!$AA$5:$AA$23,MATCH($C10,Matches!$A$5:$A$23,0))="","",INDEX(Matches!$AA$5:$AA$23,MATCH($C10,Matches!$A$5:$A$23,0))),"")</f>
        <v>21.5</v>
      </c>
      <c r="L10" s="0" t="str">
        <f aca="false">IFERROR(IF(INDEX(Matches!$AB$5:$AB$23,MATCH($C10,Matches!$A$5:$A$23,0))="","",INDEX(Matches!$AB$5:$AB$23,MATCH($C10,Matches!$A$5:$A$23,0))),"")</f>
        <v/>
      </c>
      <c r="M10" s="10" t="n">
        <f aca="false">IFERROR(IF(INDEX(Matches!$AC$5:$AC$23,MATCH($C10,Matches!$A$5:$A$23,0))="","",INDEX(Matches!$AC$5:$AC$23,MATCH($C10,Matches!$A$5:$A$23,0))),"")</f>
        <v>0</v>
      </c>
      <c r="N10" s="9" t="n">
        <f aca="false">IFERROR(INDEX(Players!$F$2:$F$137,MATCH($F10,Players!$A$2:$A$137,0)),0)</f>
        <v>32</v>
      </c>
      <c r="O10" s="13" t="n">
        <f aca="false">IFERROR(1/(1/INDEX(Players!$H$2:$H$137,MATCH($F10,Players!$A$2:$A$137,0))),"")</f>
        <v>0.7</v>
      </c>
      <c r="P10" s="10" t="n">
        <f aca="false">IFERROR(1/(1/INDEX(Players!$I$2:$I$137,MATCH($F10,Players!$A$2:$A$137,0))),"")</f>
        <v>0.562</v>
      </c>
      <c r="Q10" s="9" t="n">
        <f aca="false">IF($G10="",0,SUMIFS(Map_Stats!$F$2:$F$850,Map_Stats!$A$2:$A$850,$F10&amp;"|"&amp;$G10))</f>
        <v>4</v>
      </c>
      <c r="R10" s="13" t="n">
        <f aca="false">IF($G10="","",IFERROR(1/(1/INDEX(Map_Stats!$K$2:$K$850,MATCH($F10&amp;"|"&amp;$G10,Map_Stats!$A$2:$A$850,0))),$O10))</f>
        <v>0.79</v>
      </c>
      <c r="S10" s="10" t="n">
        <f aca="false">IF(OR($G10="",$P10=""),"",IFERROR(1/(1/INDEX(Map_Stats!$I$2:$I$850,MATCH($F10&amp;"|"&amp;$G10,Map_Stats!$A$2:$A$850,0))),$P10))</f>
        <v>0.614</v>
      </c>
      <c r="T10" s="13" t="n">
        <f aca="false">IF(OR($G10="",R10=""),"",IF($O10="",R10,(Q10*R10+Config!$B$4*$O10)/(Q10+Config!$B$4)))</f>
        <v>0.74</v>
      </c>
      <c r="U10" s="10" t="n">
        <f aca="false">IF(S10="","",(Q10*S10+Config!$B$4*$P10)/(Q10+Config!$B$4))</f>
        <v>0.585111111111111</v>
      </c>
      <c r="V10" s="17" t="n">
        <f aca="false">IF(OR(T10="",$J10=""),"",T10*$J10*($J10/Config!$B$10)^Config!$B$9)</f>
        <v>15.91</v>
      </c>
      <c r="W10" s="17" t="n">
        <f aca="false">IF(OR(V10="",U10=""),"",V10*U10)</f>
        <v>9.30911777777778</v>
      </c>
      <c r="X10" s="9" t="n">
        <f aca="false">IF($H10="",0,SUMIFS(Map_Stats!$F$2:$F$850,Map_Stats!$A$2:$A$850,$F10&amp;"|"&amp;$H10))</f>
        <v>6</v>
      </c>
      <c r="Y10" s="13" t="n">
        <f aca="false">IF($H10="","",IFERROR(1/(1/INDEX(Map_Stats!$K$2:$K$850,MATCH($F10&amp;"|"&amp;$H10,Map_Stats!$A$2:$A$850,0))),$O10))</f>
        <v>0.61</v>
      </c>
      <c r="Z10" s="10" t="n">
        <f aca="false">IF(OR($H10="",$P10=""),"",IFERROR(1/(1/INDEX(Map_Stats!$I$2:$I$850,MATCH($F10&amp;"|"&amp;$H10,Map_Stats!$A$2:$A$850,0))),$P10))</f>
        <v>0.541</v>
      </c>
      <c r="AA10" s="13" t="n">
        <f aca="false">IF(OR($H10="",Y10=""),"",IF($O10="",Y10,(X10*Y10+Config!$B$4*$O10)/(X10+Config!$B$4)))</f>
        <v>0.650909090909091</v>
      </c>
      <c r="AB10" s="10" t="n">
        <f aca="false">IF(Z10="","",(X10*Z10+Config!$B$4*$P10)/(X10+Config!$B$4))</f>
        <v>0.550545454545455</v>
      </c>
      <c r="AC10" s="17" t="n">
        <f aca="false">IF(OR(AA10="",$K10=""),"",AA10*$K10*($K10/Config!$B$10)^Config!$B$9)</f>
        <v>13.9945454545455</v>
      </c>
      <c r="AD10" s="17" t="n">
        <f aca="false">IF(OR(AC10="",AB10=""),"",AC10*AB10)</f>
        <v>7.70463338842975</v>
      </c>
      <c r="AE10" s="9" t="n">
        <f aca="false">IF($I10="",0,SUMIFS(Map_Stats!$F$2:$F$850,Map_Stats!$A$2:$A$850,$F10&amp;"|"&amp;$I10))</f>
        <v>0</v>
      </c>
      <c r="AF10" s="13" t="str">
        <f aca="false">IF($I10="","",IFERROR(1/(1/INDEX(Map_Stats!$K$2:$K$850,MATCH($F10&amp;"|"&amp;$I10,Map_Stats!$A$2:$A$850,0))),$O10))</f>
        <v/>
      </c>
      <c r="AG10" s="10" t="str">
        <f aca="false">IF(OR($I10="",$P10=""),"",IFERROR(1/(1/INDEX(Map_Stats!$I$2:$I$850,MATCH($F10&amp;"|"&amp;$I10,Map_Stats!$A$2:$A$850,0))),$P10))</f>
        <v/>
      </c>
      <c r="AH10" s="13" t="str">
        <f aca="false">IF(OR($I10="",AF10=""),"",IF($O10="",AF10,(AE10*AF10+Config!$B$4*$O10)/(AE10+Config!$B$4)))</f>
        <v/>
      </c>
      <c r="AI10" s="10" t="str">
        <f aca="false">IF(AG10="","",(AE10*AG10+Config!$B$4*$P10)/(AE10+Config!$B$4))</f>
        <v/>
      </c>
      <c r="AJ10" s="17" t="str">
        <f aca="false">IF(OR(AH10="",$L10=""),"",AH10*$L10*($L10/Config!$B$10)^Config!$B$9)</f>
        <v/>
      </c>
      <c r="AK10" s="17" t="str">
        <f aca="false">IF(OR(AJ10="",AI10=""),"",AJ10*AI10)</f>
        <v/>
      </c>
      <c r="AL10" s="17" t="n">
        <f aca="false">N(V10)+N(AC10)</f>
        <v>29.9045454545455</v>
      </c>
      <c r="AM10" s="17" t="n">
        <f aca="false">AL10+N($M10)*N(AJ10)</f>
        <v>29.9045454545455</v>
      </c>
      <c r="AN10" s="17" t="n">
        <f aca="false">IF(W10="","",N(W10)+N(AD10))</f>
        <v>17.0137511662075</v>
      </c>
      <c r="AO10" s="17" t="n">
        <f aca="false">IF(AN10="","",AN10+N($M10)*N(AK10))</f>
        <v>17.0137511662075</v>
      </c>
      <c r="AP10" s="10" t="n">
        <f aca="false">IFERROR(AN10/AL10,"")</f>
        <v>0.56893528751568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IF($C10=Board!$B$2,COUNTIFS($C$2:$C$137,Board!$B$2,$AL$2:$AL$137,"&gt;"&amp;$AL10)+COUNTIFS($C$1:$C9,Board!$B$2,$AL$1:$AL9,$AL10)+1,"")</f>
        <v/>
      </c>
      <c r="AS10" s="0" t="str">
        <f aca="false">IFERROR(IF($D10=INDEX(Matches!$AD$5:$AD$23,MATCH($C10,Matches!$A$5:$A$23,0)),"A",IF($D10=INDEX(Matches!$AE$5:$AE$23,MATCH($C10,Matches!$A$5:$A$23,0)),"B","")),"")</f>
        <v>A</v>
      </c>
      <c r="AT10" s="10" t="n">
        <f aca="false">IF($AS10="","",IFERROR(IF($AS10="A",INDEX(Matches!$AI$5:$AI$23,MATCH($C10,Matches!$A$5:$A$23,0)),INDEX(Matches!$AJ$5:$AJ$23,MATCH($C10,Matches!$A$5:$A$23,0))),""))</f>
        <v>0.511015173639769</v>
      </c>
      <c r="AU10" s="10" t="str">
        <f aca="false">IF($AS10="","",IFERROR(IF(INDEX(Matches!$AP$5:$AP$23,MATCH($C10,Matches!$A$5:$A$23,0))="","",IF($AS10="A",INDEX(Matches!$AP$5:$AP$23,MATCH($C10,Matches!$A$5:$A$23,0)),1-INDEX(Matches!$AP$5:$AP$23,MATCH($C10,Matches!$A$5:$A$23,0)))),""))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IF($AS10="","",IFERROR(IF(INDEX(Matches!$AV$5:$AV$23,MATCH($C10,Matches!$A$5:$A$23,0))="","",IF($AS10="A",INDEX(Matches!$AV$5:$AV$23,MATCH($C10,Matches!$A$5:$A$23,0)),1-INDEX(Matches!$AV$5:$AV$23,MATCH($C10,Matches!$A$5:$A$23,0)))),""))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IF($AS10="","",IFERROR(IF(INDEX(Matches!$BB$5:$BB$23,MATCH($C10,Matches!$A$5:$A$23,0))="","",IF($AS10="A",INDEX(Matches!$BB$5:$BB$23,MATCH($C10,Matches!$A$5:$A$23,0)),1-INDEX(Matches!$BB$5:$BB$23,MATCH($C10,Matches!$A$5:$A$23,0)))),""))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15.91</v>
      </c>
      <c r="BB10" s="17" t="n">
        <f aca="false">IF(AC10="","",AC10*$AX10)</f>
        <v>13.9945454545455</v>
      </c>
      <c r="BC10" s="17" t="str">
        <f aca="false">IF(AJ10="","",AJ10*$AZ10)</f>
        <v/>
      </c>
      <c r="BD10" s="17" t="n">
        <f aca="false">N(BA10)+N(BB10)</f>
        <v>29.9045454545455</v>
      </c>
      <c r="BE10" s="17" t="n">
        <f aca="false">BD10+N($M10)*N(BC10)</f>
        <v>29.9045454545455</v>
      </c>
      <c r="BF10" s="17" t="n">
        <f aca="false">IF(W10="","",W10*$AV10)</f>
        <v>9.30911777777778</v>
      </c>
      <c r="BG10" s="17" t="n">
        <f aca="false">IF(AD10="","",AD10*$AX10)</f>
        <v>7.70463338842975</v>
      </c>
      <c r="BH10" s="17" t="str">
        <f aca="false">IF(AK10="","",AK10*$AZ10)</f>
        <v/>
      </c>
      <c r="BI10" s="17" t="n">
        <f aca="false">IF(BF10="","",N(BF10)+N(BG10))</f>
        <v>17.0137511662075</v>
      </c>
      <c r="BJ10" s="17" t="n">
        <f aca="false">IF(BI10="","",BI10+N($M10)*N(BH10))</f>
        <v>17.0137511662075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1313</v>
      </c>
      <c r="B11" s="0" t="s">
        <v>1139</v>
      </c>
      <c r="C11" s="0" t="s">
        <v>1204</v>
      </c>
      <c r="D11" s="0" t="s">
        <v>1208</v>
      </c>
      <c r="E11" s="0" t="s">
        <v>1312</v>
      </c>
      <c r="F11" s="0" t="s">
        <v>1668</v>
      </c>
      <c r="G11" s="0" t="str">
        <f aca="false">IFERROR(IF(INDEX(Matches!$W$5:$W$23,MATCH($C11,Matches!$A$5:$A$23,0))="","",INDEX(Matches!$W$5:$W$23,MATCH($C11,Matches!$A$5:$A$23,0))),"")</f>
        <v>Ancient</v>
      </c>
      <c r="H11" s="0" t="str">
        <f aca="false">IFERROR(IF(INDEX(Matches!$X$5:$X$23,MATCH($C11,Matches!$A$5:$A$23,0))="","",INDEX(Matches!$X$5:$X$23,MATCH($C11,Matches!$A$5:$A$23,0))),"")</f>
        <v>Inferno</v>
      </c>
      <c r="I11" s="0" t="str">
        <f aca="false">IFERROR(IF(INDEX(Matches!$Y$5:$Y$23,MATCH($C11,Matches!$A$5:$A$23,0))="","",INDEX(Matches!$Y$5:$Y$23,MATCH($C11,Matches!$A$5:$A$23,0))),"")</f>
        <v/>
      </c>
      <c r="J11" s="11" t="n">
        <f aca="false">IFERROR(IF(INDEX(Matches!$Z$5:$Z$23,MATCH($C11,Matches!$A$5:$A$23,0))="","",INDEX(Matches!$Z$5:$Z$23,MATCH($C11,Matches!$A$5:$A$23,0))),"")</f>
        <v>21.5</v>
      </c>
      <c r="K11" s="11" t="n">
        <f aca="false">IFERROR(IF(INDEX(Matches!$AA$5:$AA$23,MATCH($C11,Matches!$A$5:$A$23,0))="","",INDEX(Matches!$AA$5:$AA$23,MATCH($C11,Matches!$A$5:$A$23,0))),"")</f>
        <v>21.5</v>
      </c>
      <c r="L11" s="0" t="str">
        <f aca="false">IFERROR(IF(INDEX(Matches!$AB$5:$AB$23,MATCH($C11,Matches!$A$5:$A$23,0))="","",INDEX(Matches!$AB$5:$AB$23,MATCH($C11,Matches!$A$5:$A$23,0))),"")</f>
        <v/>
      </c>
      <c r="M11" s="10" t="n">
        <f aca="false">IFERROR(IF(INDEX(Matches!$AC$5:$AC$23,MATCH($C11,Matches!$A$5:$A$23,0))="","",INDEX(Matches!$AC$5:$AC$23,MATCH($C11,Matches!$A$5:$A$23,0))),"")</f>
        <v>0</v>
      </c>
      <c r="N11" s="9" t="n">
        <f aca="false">IFERROR(INDEX(Players!$F$2:$F$137,MATCH($F11,Players!$A$2:$A$137,0)),0)</f>
        <v>32</v>
      </c>
      <c r="O11" s="13" t="n">
        <f aca="false">IFERROR(1/(1/INDEX(Players!$H$2:$H$137,MATCH($F11,Players!$A$2:$A$137,0))),"")</f>
        <v>0.68</v>
      </c>
      <c r="P11" s="10" t="n">
        <f aca="false">IFERROR(1/(1/INDEX(Players!$I$2:$I$137,MATCH($F11,Players!$A$2:$A$137,0))),"")</f>
        <v>0.527</v>
      </c>
      <c r="Q11" s="9" t="n">
        <f aca="false">IF($G11="",0,SUMIFS(Map_Stats!$F$2:$F$850,Map_Stats!$A$2:$A$850,$F11&amp;"|"&amp;$G11))</f>
        <v>4</v>
      </c>
      <c r="R11" s="13" t="n">
        <f aca="false">IF($G11="","",IFERROR(1/(1/INDEX(Map_Stats!$K$2:$K$850,MATCH($F11&amp;"|"&amp;$G11,Map_Stats!$A$2:$A$850,0))),$O11))</f>
        <v>0.57</v>
      </c>
      <c r="S11" s="10" t="n">
        <f aca="false">IF(OR($G11="",$P11=""),"",IFERROR(1/(1/INDEX(Map_Stats!$I$2:$I$850,MATCH($F11&amp;"|"&amp;$G11,Map_Stats!$A$2:$A$850,0))),$P11))</f>
        <v>0.585</v>
      </c>
      <c r="T11" s="13" t="n">
        <f aca="false">IF(OR($G11="",R11=""),"",IF($O11="",R11,(Q11*R11+Config!$B$4*$O11)/(Q11+Config!$B$4)))</f>
        <v>0.631111111111111</v>
      </c>
      <c r="U11" s="10" t="n">
        <f aca="false">IF(S11="","",(Q11*S11+Config!$B$4*$P11)/(Q11+Config!$B$4))</f>
        <v>0.552777777777778</v>
      </c>
      <c r="V11" s="17" t="n">
        <f aca="false">IF(OR(T11="",$J11=""),"",T11*$J11*($J11/Config!$B$10)^Config!$B$9)</f>
        <v>13.5688888888889</v>
      </c>
      <c r="W11" s="17" t="n">
        <f aca="false">IF(OR(V11="",U11=""),"",V11*U11)</f>
        <v>7.50058024691358</v>
      </c>
      <c r="X11" s="9" t="n">
        <f aca="false">IF($H11="",0,SUMIFS(Map_Stats!$F$2:$F$850,Map_Stats!$A$2:$A$850,$F11&amp;"|"&amp;$H11))</f>
        <v>6</v>
      </c>
      <c r="Y11" s="13" t="n">
        <f aca="false">IF($H11="","",IFERROR(1/(1/INDEX(Map_Stats!$K$2:$K$850,MATCH($F11&amp;"|"&amp;$H11,Map_Stats!$A$2:$A$850,0))),$O11))</f>
        <v>0.73</v>
      </c>
      <c r="Z11" s="10" t="n">
        <f aca="false">IF(OR($H11="",$P11=""),"",IFERROR(1/(1/INDEX(Map_Stats!$I$2:$I$850,MATCH($F11&amp;"|"&amp;$H11,Map_Stats!$A$2:$A$850,0))),$P11))</f>
        <v>0.591</v>
      </c>
      <c r="AA11" s="13" t="n">
        <f aca="false">IF(OR($H11="",Y11=""),"",IF($O11="",Y11,(X11*Y11+Config!$B$4*$O11)/(X11+Config!$B$4)))</f>
        <v>0.707272727272727</v>
      </c>
      <c r="AB11" s="10" t="n">
        <f aca="false">IF(Z11="","",(X11*Z11+Config!$B$4*$P11)/(X11+Config!$B$4))</f>
        <v>0.561909090909091</v>
      </c>
      <c r="AC11" s="17" t="n">
        <f aca="false">IF(OR(AA11="",$K11=""),"",AA11*$K11*($K11/Config!$B$10)^Config!$B$9)</f>
        <v>15.2063636363636</v>
      </c>
      <c r="AD11" s="17" t="n">
        <f aca="false">IF(OR(AC11="",AB11=""),"",AC11*AB11)</f>
        <v>8.54459396694215</v>
      </c>
      <c r="AE11" s="9" t="n">
        <f aca="false">IF($I11="",0,SUMIFS(Map_Stats!$F$2:$F$850,Map_Stats!$A$2:$A$850,$F11&amp;"|"&amp;$I11))</f>
        <v>0</v>
      </c>
      <c r="AF11" s="13" t="str">
        <f aca="false">IF($I11="","",IFERROR(1/(1/INDEX(Map_Stats!$K$2:$K$850,MATCH($F11&amp;"|"&amp;$I11,Map_Stats!$A$2:$A$850,0))),$O11))</f>
        <v/>
      </c>
      <c r="AG11" s="10" t="str">
        <f aca="false">IF(OR($I11="",$P11=""),"",IFERROR(1/(1/INDEX(Map_Stats!$I$2:$I$850,MATCH($F11&amp;"|"&amp;$I11,Map_Stats!$A$2:$A$850,0))),$P11))</f>
        <v/>
      </c>
      <c r="AH11" s="13" t="str">
        <f aca="false">IF(OR($I11="",AF11=""),"",IF($O11="",AF11,(AE11*AF11+Config!$B$4*$O11)/(AE11+Config!$B$4)))</f>
        <v/>
      </c>
      <c r="AI11" s="10" t="str">
        <f aca="false">IF(AG11="","",(AE11*AG11+Config!$B$4*$P11)/(AE11+Config!$B$4))</f>
        <v/>
      </c>
      <c r="AJ11" s="17" t="str">
        <f aca="false">IF(OR(AH11="",$L11=""),"",AH11*$L11*($L11/Config!$B$10)^Config!$B$9)</f>
        <v/>
      </c>
      <c r="AK11" s="17" t="str">
        <f aca="false">IF(OR(AJ11="",AI11=""),"",AJ11*AI11)</f>
        <v/>
      </c>
      <c r="AL11" s="17" t="n">
        <f aca="false">N(V11)+N(AC11)</f>
        <v>28.7752525252525</v>
      </c>
      <c r="AM11" s="17" t="n">
        <f aca="false">AL11+N($M11)*N(AJ11)</f>
        <v>28.7752525252525</v>
      </c>
      <c r="AN11" s="17" t="n">
        <f aca="false">IF(W11="","",N(W11)+N(AD11))</f>
        <v>16.0451742138557</v>
      </c>
      <c r="AO11" s="17" t="n">
        <f aca="false">IF(AN11="","",AN11+N($M11)*N(AK11))</f>
        <v>16.0451742138557</v>
      </c>
      <c r="AP11" s="10" t="n">
        <f aca="false">IFERROR(AN11/AL11,"")</f>
        <v>0.557603246045359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IF($C11=Board!$B$2,COUNTIFS($C$2:$C$137,Board!$B$2,$AL$2:$AL$137,"&gt;"&amp;$AL11)+COUNTIFS($C$1:$C10,Board!$B$2,$AL$1:$AL10,$AL11)+1,"")</f>
        <v/>
      </c>
      <c r="AS11" s="0" t="str">
        <f aca="false">IFERROR(IF($D11=INDEX(Matches!$AD$5:$AD$23,MATCH($C11,Matches!$A$5:$A$23,0)),"A",IF($D11=INDEX(Matches!$AE$5:$AE$23,MATCH($C11,Matches!$A$5:$A$23,0)),"B","")),"")</f>
        <v>A</v>
      </c>
      <c r="AT11" s="10" t="n">
        <f aca="false">IF($AS11="","",IFERROR(IF($AS11="A",INDEX(Matches!$AI$5:$AI$23,MATCH($C11,Matches!$A$5:$A$23,0)),INDEX(Matches!$AJ$5:$AJ$23,MATCH($C11,Matches!$A$5:$A$23,0))),""))</f>
        <v>0.511015173639769</v>
      </c>
      <c r="AU11" s="10" t="str">
        <f aca="false">IF($AS11="","",IFERROR(IF(INDEX(Matches!$AP$5:$AP$23,MATCH($C11,Matches!$A$5:$A$23,0))="","",IF($AS11="A",INDEX(Matches!$AP$5:$AP$23,MATCH($C11,Matches!$A$5:$A$23,0)),1-INDEX(Matches!$AP$5:$AP$23,MATCH($C11,Matches!$A$5:$A$23,0)))),""))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IF($AS11="","",IFERROR(IF(INDEX(Matches!$AV$5:$AV$23,MATCH($C11,Matches!$A$5:$A$23,0))="","",IF($AS11="A",INDEX(Matches!$AV$5:$AV$23,MATCH($C11,Matches!$A$5:$A$23,0)),1-INDEX(Matches!$AV$5:$AV$23,MATCH($C11,Matches!$A$5:$A$23,0)))),""))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IF($AS11="","",IFERROR(IF(INDEX(Matches!$BB$5:$BB$23,MATCH($C11,Matches!$A$5:$A$23,0))="","",IF($AS11="A",INDEX(Matches!$BB$5:$BB$23,MATCH($C11,Matches!$A$5:$A$23,0)),1-INDEX(Matches!$BB$5:$BB$23,MATCH($C11,Matches!$A$5:$A$23,0)))),""))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13.5688888888889</v>
      </c>
      <c r="BB11" s="17" t="n">
        <f aca="false">IF(AC11="","",AC11*$AX11)</f>
        <v>15.2063636363636</v>
      </c>
      <c r="BC11" s="17" t="str">
        <f aca="false">IF(AJ11="","",AJ11*$AZ11)</f>
        <v/>
      </c>
      <c r="BD11" s="17" t="n">
        <f aca="false">N(BA11)+N(BB11)</f>
        <v>28.7752525252525</v>
      </c>
      <c r="BE11" s="17" t="n">
        <f aca="false">BD11+N($M11)*N(BC11)</f>
        <v>28.7752525252525</v>
      </c>
      <c r="BF11" s="17" t="n">
        <f aca="false">IF(W11="","",W11*$AV11)</f>
        <v>7.50058024691358</v>
      </c>
      <c r="BG11" s="17" t="n">
        <f aca="false">IF(AD11="","",AD11*$AX11)</f>
        <v>8.54459396694215</v>
      </c>
      <c r="BH11" s="17" t="str">
        <f aca="false">IF(AK11="","",AK11*$AZ11)</f>
        <v/>
      </c>
      <c r="BI11" s="17" t="n">
        <f aca="false">IF(BF11="","",N(BF11)+N(BG11))</f>
        <v>16.0451742138557</v>
      </c>
      <c r="BJ11" s="17" t="n">
        <f aca="false">IF(BI11="","",BI11+N($M11)*N(BH11))</f>
        <v>16.0451742138557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1315</v>
      </c>
      <c r="B12" s="0" t="s">
        <v>1139</v>
      </c>
      <c r="C12" s="0" t="s">
        <v>1192</v>
      </c>
      <c r="D12" s="0" t="s">
        <v>1197</v>
      </c>
      <c r="E12" s="0" t="s">
        <v>1314</v>
      </c>
      <c r="F12" s="0" t="s">
        <v>1669</v>
      </c>
      <c r="G12" s="0" t="str">
        <f aca="false">IFERROR(IF(INDEX(Matches!$W$5:$W$23,MATCH($C12,Matches!$A$5:$A$23,0))="","",INDEX(Matches!$W$5:$W$23,MATCH($C12,Matches!$A$5:$A$23,0))),"")</f>
        <v>Ancient</v>
      </c>
      <c r="H12" s="0" t="str">
        <f aca="false">IFERROR(IF(INDEX(Matches!$X$5:$X$23,MATCH($C12,Matches!$A$5:$A$23,0))="","",INDEX(Matches!$X$5:$X$23,MATCH($C12,Matches!$A$5:$A$23,0))),"")</f>
        <v>Cache</v>
      </c>
      <c r="I12" s="0" t="str">
        <f aca="false">IFERROR(IF(INDEX(Matches!$Y$5:$Y$23,MATCH($C12,Matches!$A$5:$A$23,0))="","",INDEX(Matches!$Y$5:$Y$23,MATCH($C12,Matches!$A$5:$A$23,0))),"")</f>
        <v>Nuke</v>
      </c>
      <c r="J12" s="11" t="n">
        <f aca="false">IFERROR(IF(INDEX(Matches!$Z$5:$Z$23,MATCH($C12,Matches!$A$5:$A$23,0))="","",INDEX(Matches!$Z$5:$Z$23,MATCH($C12,Matches!$A$5:$A$23,0))),"")</f>
        <v>21.5</v>
      </c>
      <c r="K12" s="11" t="n">
        <f aca="false">IFERROR(IF(INDEX(Matches!$AA$5:$AA$23,MATCH($C12,Matches!$A$5:$A$23,0))="","",INDEX(Matches!$AA$5:$AA$23,MATCH($C12,Matches!$A$5:$A$23,0))),"")</f>
        <v>21.5</v>
      </c>
      <c r="L12" s="11" t="n">
        <f aca="false">IFERROR(IF(INDEX(Matches!$AB$5:$AB$23,MATCH($C12,Matches!$A$5:$A$23,0))="","",INDEX(Matches!$AB$5:$AB$23,MATCH($C12,Matches!$A$5:$A$23,0))),"")</f>
        <v>21.5</v>
      </c>
      <c r="M12" s="10" t="n">
        <f aca="false">IFERROR(IF(INDEX(Matches!$AC$5:$AC$23,MATCH($C12,Matches!$A$5:$A$23,0))="","",INDEX(Matches!$AC$5:$AC$23,MATCH($C12,Matches!$A$5:$A$23,0))),"")</f>
        <v>0.5092</v>
      </c>
      <c r="N12" s="9" t="n">
        <f aca="false">IFERROR(INDEX(Players!$F$2:$F$137,MATCH($F12,Players!$A$2:$A$137,0)),0)</f>
        <v>42</v>
      </c>
      <c r="O12" s="13" t="n">
        <f aca="false">IFERROR(1/(1/INDEX(Players!$H$2:$H$137,MATCH($F12,Players!$A$2:$A$137,0))),"")</f>
        <v>0.71</v>
      </c>
      <c r="P12" s="10" t="n">
        <f aca="false">IFERROR(1/(1/INDEX(Players!$I$2:$I$137,MATCH($F12,Players!$A$2:$A$137,0))),"")</f>
        <v>0.28</v>
      </c>
      <c r="Q12" s="9" t="n">
        <f aca="false">IF($G12="",0,SUMIFS(Map_Stats!$F$2:$F$850,Map_Stats!$A$2:$A$850,$F12&amp;"|"&amp;$G12))</f>
        <v>10</v>
      </c>
      <c r="R12" s="13" t="n">
        <f aca="false">IF($G12="","",IFERROR(1/(1/INDEX(Map_Stats!$K$2:$K$850,MATCH($F12&amp;"|"&amp;$G12,Map_Stats!$A$2:$A$850,0))),$O12))</f>
        <v>0.63</v>
      </c>
      <c r="S12" s="10" t="n">
        <f aca="false">IF(OR($G12="",$P12=""),"",IFERROR(1/(1/INDEX(Map_Stats!$I$2:$I$850,MATCH($F12&amp;"|"&amp;$G12,Map_Stats!$A$2:$A$850,0))),$P12))</f>
        <v>0.294</v>
      </c>
      <c r="T12" s="13" t="n">
        <f aca="false">IF(OR($G12="",R12=""),"",IF($O12="",R12,(Q12*R12+Config!$B$4*$O12)/(Q12+Config!$B$4)))</f>
        <v>0.656666666666667</v>
      </c>
      <c r="U12" s="10" t="n">
        <f aca="false">IF(S12="","",(Q12*S12+Config!$B$4*$P12)/(Q12+Config!$B$4))</f>
        <v>0.289333333333333</v>
      </c>
      <c r="V12" s="17" t="n">
        <f aca="false">IF(OR(T12="",$J12=""),"",T12*$J12*($J12/Config!$B$10)^Config!$B$9)</f>
        <v>14.1183333333333</v>
      </c>
      <c r="W12" s="17" t="n">
        <f aca="false">IF(OR(V12="",U12=""),"",V12*U12)</f>
        <v>4.08490444444444</v>
      </c>
      <c r="X12" s="9" t="n">
        <f aca="false">IF($H12="",0,SUMIFS(Map_Stats!$F$2:$F$850,Map_Stats!$A$2:$A$850,$F12&amp;"|"&amp;$H12))</f>
        <v>11</v>
      </c>
      <c r="Y12" s="13" t="n">
        <f aca="false">IF($H12="","",IFERROR(1/(1/INDEX(Map_Stats!$K$2:$K$850,MATCH($F12&amp;"|"&amp;$H12,Map_Stats!$A$2:$A$850,0))),$O12))</f>
        <v>0.7</v>
      </c>
      <c r="Z12" s="10" t="n">
        <f aca="false">IF(OR($H12="",$P12=""),"",IFERROR(1/(1/INDEX(Map_Stats!$I$2:$I$850,MATCH($F12&amp;"|"&amp;$H12,Map_Stats!$A$2:$A$850,0))),$P12))</f>
        <v>0.238</v>
      </c>
      <c r="AA12" s="13" t="n">
        <f aca="false">IF(OR($H12="",Y12=""),"",IF($O12="",Y12,(X12*Y12+Config!$B$4*$O12)/(X12+Config!$B$4)))</f>
        <v>0.703125</v>
      </c>
      <c r="AB12" s="10" t="n">
        <f aca="false">IF(Z12="","",(X12*Z12+Config!$B$4*$P12)/(X12+Config!$B$4))</f>
        <v>0.251125</v>
      </c>
      <c r="AC12" s="17" t="n">
        <f aca="false">IF(OR(AA12="",$K12=""),"",AA12*$K12*($K12/Config!$B$10)^Config!$B$9)</f>
        <v>15.1171875</v>
      </c>
      <c r="AD12" s="17" t="n">
        <f aca="false">IF(OR(AC12="",AB12=""),"",AC12*AB12)</f>
        <v>3.7963037109375</v>
      </c>
      <c r="AE12" s="9" t="n">
        <f aca="false">IF($I12="",0,SUMIFS(Map_Stats!$F$2:$F$850,Map_Stats!$A$2:$A$850,$F12&amp;"|"&amp;$I12))</f>
        <v>8</v>
      </c>
      <c r="AF12" s="13" t="n">
        <f aca="false">IF($I12="","",IFERROR(1/(1/INDEX(Map_Stats!$K$2:$K$850,MATCH($F12&amp;"|"&amp;$I12,Map_Stats!$A$2:$A$850,0))),$O12))</f>
        <v>0.75</v>
      </c>
      <c r="AG12" s="10" t="n">
        <f aca="false">IF(OR($I12="",$P12=""),"",IFERROR(1/(1/INDEX(Map_Stats!$I$2:$I$850,MATCH($F12&amp;"|"&amp;$I12,Map_Stats!$A$2:$A$850,0))),$P12))</f>
        <v>0.28</v>
      </c>
      <c r="AH12" s="13" t="n">
        <f aca="false">IF(OR($I12="",AF12=""),"",IF($O12="",AF12,(AE12*AF12+Config!$B$4*$O12)/(AE12+Config!$B$4)))</f>
        <v>0.734615384615385</v>
      </c>
      <c r="AI12" s="10" t="n">
        <f aca="false">IF(AG12="","",(AE12*AG12+Config!$B$4*$P12)/(AE12+Config!$B$4))</f>
        <v>0.28</v>
      </c>
      <c r="AJ12" s="17" t="n">
        <f aca="false">IF(OR(AH12="",$L12=""),"",AH12*$L12*($L12/Config!$B$10)^Config!$B$9)</f>
        <v>15.7942307692308</v>
      </c>
      <c r="AK12" s="17" t="n">
        <f aca="false">IF(OR(AJ12="",AI12=""),"",AJ12*AI12)</f>
        <v>4.42238461538462</v>
      </c>
      <c r="AL12" s="17" t="n">
        <f aca="false">N(V12)+N(AC12)</f>
        <v>29.2355208333333</v>
      </c>
      <c r="AM12" s="17" t="n">
        <f aca="false">AL12+N($M12)*N(AJ12)</f>
        <v>37.2779431410256</v>
      </c>
      <c r="AN12" s="17" t="n">
        <f aca="false">IF(W12="","",N(W12)+N(AD12))</f>
        <v>7.88120815538194</v>
      </c>
      <c r="AO12" s="17" t="n">
        <f aca="false">IF(AN12="","",AN12+N($M12)*N(AK12))</f>
        <v>10.1330864015358</v>
      </c>
      <c r="AP12" s="10" t="n">
        <f aca="false">IFERROR(AN12/AL12,"")</f>
        <v>0.269576458046065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IF($C12=Board!$B$2,COUNTIFS($C$2:$C$137,Board!$B$2,$AL$2:$AL$137,"&gt;"&amp;$AL12)+COUNTIFS($C$1:$C11,Board!$B$2,$AL$1:$AL11,$AL12)+1,"")</f>
        <v/>
      </c>
      <c r="AS12" s="0" t="str">
        <f aca="false">IFERROR(IF($D12=INDEX(Matches!$AD$5:$AD$23,MATCH($C12,Matches!$A$5:$A$23,0)),"A",IF($D12=INDEX(Matches!$AE$5:$AE$23,MATCH($C12,Matches!$A$5:$A$23,0)),"B","")),"")</f>
        <v>A</v>
      </c>
      <c r="AT12" s="10" t="n">
        <f aca="false">IF($AS12="","",IFERROR(IF($AS12="A",INDEX(Matches!$AI$5:$AI$23,MATCH($C12,Matches!$A$5:$A$23,0)),INDEX(Matches!$AJ$5:$AJ$23,MATCH($C12,Matches!$A$5:$A$23,0))),""))</f>
        <v>0.537876844466004</v>
      </c>
      <c r="AU12" s="10" t="n">
        <f aca="false">IF($AS12="","",IFERROR(IF(INDEX(Matches!$AP$5:$AP$23,MATCH($C12,Matches!$A$5:$A$23,0))="","",IF($AS12="A",INDEX(Matches!$AP$5:$AP$23,MATCH($C12,Matches!$A$5:$A$23,0)),1-INDEX(Matches!$AP$5:$AP$23,MATCH($C12,Matches!$A$5:$A$23,0)))),""))</f>
        <v>0.522179305764264</v>
      </c>
      <c r="AV12" s="13" t="n">
        <f aca="false">IF(OR($AU12="",$AT12=""),1,((Config!$B$14*$AU12+Config!$B$15*(1-$AU12))/(Config!$B$14*$AT12+Config!$B$15*(1-$AT12)))^Config!$B$13)</f>
        <v>0.986431664990413</v>
      </c>
      <c r="AW12" s="10" t="n">
        <f aca="false">IF($AS12="","",IFERROR(IF(INDEX(Matches!$AV$5:$AV$23,MATCH($C12,Matches!$A$5:$A$23,0))="","",IF($AS12="A",INDEX(Matches!$AV$5:$AV$23,MATCH($C12,Matches!$A$5:$A$23,0)),1-INDEX(Matches!$AV$5:$AV$23,MATCH($C12,Matches!$A$5:$A$23,0)))),""))</f>
        <v>0.537348395461563</v>
      </c>
      <c r="AX12" s="13" t="n">
        <f aca="false">IF(OR($AW12="",$AT12=""),1,((Config!$B$14*$AW12+Config!$B$15*(1-$AW12))/(Config!$B$14*$AT12+Config!$B$15*(1-$AT12)))^Config!$B$13)</f>
        <v>0.999543229466481</v>
      </c>
      <c r="AY12" s="10" t="n">
        <f aca="false">IF($AS12="","",IFERROR(IF(INDEX(Matches!$BB$5:$BB$23,MATCH($C12,Matches!$A$5:$A$23,0))="","",IF($AS12="A",INDEX(Matches!$BB$5:$BB$23,MATCH($C12,Matches!$A$5:$A$23,0)),1-INDEX(Matches!$BB$5:$BB$23,MATCH($C12,Matches!$A$5:$A$23,0)))),""))</f>
        <v>0.513526252570013</v>
      </c>
      <c r="AZ12" s="13" t="n">
        <f aca="false">IF(OR($AY12="",$AT12=""),1,((Config!$B$14*$AY12+Config!$B$15*(1-$AY12))/(Config!$B$14*$AT12+Config!$B$15*(1-$AT12)))^Config!$B$13)</f>
        <v>0.978952306166959</v>
      </c>
      <c r="BA12" s="17" t="n">
        <f aca="false">IF(V12="","",V12*$AV12)</f>
        <v>13.9267710568896</v>
      </c>
      <c r="BB12" s="17" t="n">
        <f aca="false">IF(AC12="","",AC12*$AX12)</f>
        <v>15.1102824142003</v>
      </c>
      <c r="BC12" s="17" t="n">
        <f aca="false">IF(AJ12="","",AJ12*$AZ12)</f>
        <v>15.4617986356716</v>
      </c>
      <c r="BD12" s="17" t="n">
        <f aca="false">N(BA12)+N(BB12)</f>
        <v>29.03705347109</v>
      </c>
      <c r="BE12" s="17" t="n">
        <f aca="false">BD12+N($M12)*N(BC12)</f>
        <v>36.9102013363739</v>
      </c>
      <c r="BF12" s="17" t="n">
        <f aca="false">IF(W12="","",W12*$AV12)</f>
        <v>4.02947909246007</v>
      </c>
      <c r="BG12" s="17" t="n">
        <f aca="false">IF(AD12="","",AD12*$AX12)</f>
        <v>3.79456967126606</v>
      </c>
      <c r="BH12" s="17" t="n">
        <f aca="false">IF(AK12="","",AK12*$AZ12)</f>
        <v>4.32930361798805</v>
      </c>
      <c r="BI12" s="17" t="n">
        <f aca="false">IF(BF12="","",N(BF12)+N(BG12))</f>
        <v>7.82404876372613</v>
      </c>
      <c r="BJ12" s="17" t="n">
        <f aca="false">IF(BI12="","",BI12+N($M12)*N(BH12))</f>
        <v>10.0285301660056</v>
      </c>
      <c r="BK12" s="13" t="n">
        <f aca="false">IFERROR(BD12/AL12,1)</f>
        <v>0.993211430595857</v>
      </c>
    </row>
    <row r="13" customFormat="false" ht="15" hidden="false" customHeight="false" outlineLevel="0" collapsed="false">
      <c r="A13" s="0" t="s">
        <v>1318</v>
      </c>
      <c r="B13" s="0" t="s">
        <v>1139</v>
      </c>
      <c r="C13" s="0" t="s">
        <v>1192</v>
      </c>
      <c r="D13" s="0" t="s">
        <v>1197</v>
      </c>
      <c r="E13" s="0" t="s">
        <v>1316</v>
      </c>
      <c r="F13" s="0" t="s">
        <v>1670</v>
      </c>
      <c r="G13" s="0" t="str">
        <f aca="false">IFERROR(IF(INDEX(Matches!$W$5:$W$23,MATCH($C13,Matches!$A$5:$A$23,0))="","",INDEX(Matches!$W$5:$W$23,MATCH($C13,Matches!$A$5:$A$23,0))),"")</f>
        <v>Ancient</v>
      </c>
      <c r="H13" s="0" t="str">
        <f aca="false">IFERROR(IF(INDEX(Matches!$X$5:$X$23,MATCH($C13,Matches!$A$5:$A$23,0))="","",INDEX(Matches!$X$5:$X$23,MATCH($C13,Matches!$A$5:$A$23,0))),"")</f>
        <v>Cache</v>
      </c>
      <c r="I13" s="0" t="str">
        <f aca="false">IFERROR(IF(INDEX(Matches!$Y$5:$Y$23,MATCH($C13,Matches!$A$5:$A$23,0))="","",INDEX(Matches!$Y$5:$Y$23,MATCH($C13,Matches!$A$5:$A$23,0))),"")</f>
        <v>Nuke</v>
      </c>
      <c r="J13" s="11" t="n">
        <f aca="false">IFERROR(IF(INDEX(Matches!$Z$5:$Z$23,MATCH($C13,Matches!$A$5:$A$23,0))="","",INDEX(Matches!$Z$5:$Z$23,MATCH($C13,Matches!$A$5:$A$23,0))),"")</f>
        <v>21.5</v>
      </c>
      <c r="K13" s="11" t="n">
        <f aca="false">IFERROR(IF(INDEX(Matches!$AA$5:$AA$23,MATCH($C13,Matches!$A$5:$A$23,0))="","",INDEX(Matches!$AA$5:$AA$23,MATCH($C13,Matches!$A$5:$A$23,0))),"")</f>
        <v>21.5</v>
      </c>
      <c r="L13" s="11" t="n">
        <f aca="false">IFERROR(IF(INDEX(Matches!$AB$5:$AB$23,MATCH($C13,Matches!$A$5:$A$23,0))="","",INDEX(Matches!$AB$5:$AB$23,MATCH($C13,Matches!$A$5:$A$23,0))),"")</f>
        <v>21.5</v>
      </c>
      <c r="M13" s="10" t="n">
        <f aca="false">IFERROR(IF(INDEX(Matches!$AC$5:$AC$23,MATCH($C13,Matches!$A$5:$A$23,0))="","",INDEX(Matches!$AC$5:$AC$23,MATCH($C13,Matches!$A$5:$A$23,0))),"")</f>
        <v>0.5092</v>
      </c>
      <c r="N13" s="9" t="n">
        <f aca="false">IFERROR(INDEX(Players!$F$2:$F$137,MATCH($F13,Players!$A$2:$A$137,0)),0)</f>
        <v>42</v>
      </c>
      <c r="O13" s="13" t="n">
        <f aca="false">IFERROR(1/(1/INDEX(Players!$H$2:$H$137,MATCH($F13,Players!$A$2:$A$137,0))),"")</f>
        <v>0.76</v>
      </c>
      <c r="P13" s="10" t="n">
        <f aca="false">IFERROR(1/(1/INDEX(Players!$I$2:$I$137,MATCH($F13,Players!$A$2:$A$137,0))),"")</f>
        <v>0.514</v>
      </c>
      <c r="Q13" s="9" t="n">
        <f aca="false">IF($G13="",0,SUMIFS(Map_Stats!$F$2:$F$850,Map_Stats!$A$2:$A$850,$F13&amp;"|"&amp;$G13))</f>
        <v>10</v>
      </c>
      <c r="R13" s="13" t="n">
        <f aca="false">IF($G13="","",IFERROR(1/(1/INDEX(Map_Stats!$K$2:$K$850,MATCH($F13&amp;"|"&amp;$G13,Map_Stats!$A$2:$A$850,0))),$O13))</f>
        <v>0.85</v>
      </c>
      <c r="S13" s="10" t="n">
        <f aca="false">IF(OR($G13="",$P13=""),"",IFERROR(1/(1/INDEX(Map_Stats!$I$2:$I$850,MATCH($F13&amp;"|"&amp;$G13,Map_Stats!$A$2:$A$850,0))),$P13))</f>
        <v>0.464</v>
      </c>
      <c r="T13" s="13" t="n">
        <f aca="false">IF(OR($G13="",R13=""),"",IF($O13="",R13,(Q13*R13+Config!$B$4*$O13)/(Q13+Config!$B$4)))</f>
        <v>0.82</v>
      </c>
      <c r="U13" s="10" t="n">
        <f aca="false">IF(S13="","",(Q13*S13+Config!$B$4*$P13)/(Q13+Config!$B$4))</f>
        <v>0.480666666666667</v>
      </c>
      <c r="V13" s="17" t="n">
        <f aca="false">IF(OR(T13="",$J13=""),"",T13*$J13*($J13/Config!$B$10)^Config!$B$9)</f>
        <v>17.63</v>
      </c>
      <c r="W13" s="17" t="n">
        <f aca="false">IF(OR(V13="",U13=""),"",V13*U13)</f>
        <v>8.47415333333333</v>
      </c>
      <c r="X13" s="9" t="n">
        <f aca="false">IF($H13="",0,SUMIFS(Map_Stats!$F$2:$F$850,Map_Stats!$A$2:$A$850,$F13&amp;"|"&amp;$H13))</f>
        <v>11</v>
      </c>
      <c r="Y13" s="13" t="n">
        <f aca="false">IF($H13="","",IFERROR(1/(1/INDEX(Map_Stats!$K$2:$K$850,MATCH($F13&amp;"|"&amp;$H13,Map_Stats!$A$2:$A$850,0))),$O13))</f>
        <v>0.71</v>
      </c>
      <c r="Z13" s="10" t="n">
        <f aca="false">IF(OR($H13="",$P13=""),"",IFERROR(1/(1/INDEX(Map_Stats!$I$2:$I$850,MATCH($F13&amp;"|"&amp;$H13,Map_Stats!$A$2:$A$850,0))),$P13))</f>
        <v>0.564</v>
      </c>
      <c r="AA13" s="13" t="n">
        <f aca="false">IF(OR($H13="",Y13=""),"",IF($O13="",Y13,(X13*Y13+Config!$B$4*$O13)/(X13+Config!$B$4)))</f>
        <v>0.725625</v>
      </c>
      <c r="AB13" s="10" t="n">
        <f aca="false">IF(Z13="","",(X13*Z13+Config!$B$4*$P13)/(X13+Config!$B$4))</f>
        <v>0.548375</v>
      </c>
      <c r="AC13" s="17" t="n">
        <f aca="false">IF(OR(AA13="",$K13=""),"",AA13*$K13*($K13/Config!$B$10)^Config!$B$9)</f>
        <v>15.6009375</v>
      </c>
      <c r="AD13" s="17" t="n">
        <f aca="false">IF(OR(AC13="",AB13=""),"",AC13*AB13)</f>
        <v>8.5551641015625</v>
      </c>
      <c r="AE13" s="9" t="n">
        <f aca="false">IF($I13="",0,SUMIFS(Map_Stats!$F$2:$F$850,Map_Stats!$A$2:$A$850,$F13&amp;"|"&amp;$I13))</f>
        <v>8</v>
      </c>
      <c r="AF13" s="13" t="n">
        <f aca="false">IF($I13="","",IFERROR(1/(1/INDEX(Map_Stats!$K$2:$K$850,MATCH($F13&amp;"|"&amp;$I13,Map_Stats!$A$2:$A$850,0))),$O13))</f>
        <v>0.85</v>
      </c>
      <c r="AG13" s="10" t="n">
        <f aca="false">IF(OR($I13="",$P13=""),"",IFERROR(1/(1/INDEX(Map_Stats!$I$2:$I$850,MATCH($F13&amp;"|"&amp;$I13,Map_Stats!$A$2:$A$850,0))),$P13))</f>
        <v>0.473</v>
      </c>
      <c r="AH13" s="13" t="n">
        <f aca="false">IF(OR($I13="",AF13=""),"",IF($O13="",AF13,(AE13*AF13+Config!$B$4*$O13)/(AE13+Config!$B$4)))</f>
        <v>0.815384615384615</v>
      </c>
      <c r="AI13" s="10" t="n">
        <f aca="false">IF(AG13="","",(AE13*AG13+Config!$B$4*$P13)/(AE13+Config!$B$4))</f>
        <v>0.488769230769231</v>
      </c>
      <c r="AJ13" s="17" t="n">
        <f aca="false">IF(OR(AH13="",$L13=""),"",AH13*$L13*($L13/Config!$B$10)^Config!$B$9)</f>
        <v>17.5307692307692</v>
      </c>
      <c r="AK13" s="17" t="n">
        <f aca="false">IF(OR(AJ13="",AI13=""),"",AJ13*AI13)</f>
        <v>8.56850059171598</v>
      </c>
      <c r="AL13" s="17" t="n">
        <f aca="false">N(V13)+N(AC13)</f>
        <v>33.2309375</v>
      </c>
      <c r="AM13" s="17" t="n">
        <f aca="false">AL13+N($M13)*N(AJ13)</f>
        <v>42.1576051923077</v>
      </c>
      <c r="AN13" s="17" t="n">
        <f aca="false">IF(W13="","",N(W13)+N(AD13))</f>
        <v>17.0293174348958</v>
      </c>
      <c r="AO13" s="17" t="n">
        <f aca="false">IF(AN13="","",AN13+N($M13)*N(AK13))</f>
        <v>21.3923979361976</v>
      </c>
      <c r="AP13" s="10" t="n">
        <f aca="false">IFERROR(AN13/AL13,"")</f>
        <v>0.512453716808195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IF($C13=Board!$B$2,COUNTIFS($C$2:$C$137,Board!$B$2,$AL$2:$AL$137,"&gt;"&amp;$AL13)+COUNTIFS($C$1:$C12,Board!$B$2,$AL$1:$AL12,$AL13)+1,"")</f>
        <v/>
      </c>
      <c r="AS13" s="0" t="str">
        <f aca="false">IFERROR(IF($D13=INDEX(Matches!$AD$5:$AD$23,MATCH($C13,Matches!$A$5:$A$23,0)),"A",IF($D13=INDEX(Matches!$AE$5:$AE$23,MATCH($C13,Matches!$A$5:$A$23,0)),"B","")),"")</f>
        <v>A</v>
      </c>
      <c r="AT13" s="10" t="n">
        <f aca="false">IF($AS13="","",IFERROR(IF($AS13="A",INDEX(Matches!$AI$5:$AI$23,MATCH($C13,Matches!$A$5:$A$23,0)),INDEX(Matches!$AJ$5:$AJ$23,MATCH($C13,Matches!$A$5:$A$23,0))),""))</f>
        <v>0.537876844466004</v>
      </c>
      <c r="AU13" s="10" t="n">
        <f aca="false">IF($AS13="","",IFERROR(IF(INDEX(Matches!$AP$5:$AP$23,MATCH($C13,Matches!$A$5:$A$23,0))="","",IF($AS13="A",INDEX(Matches!$AP$5:$AP$23,MATCH($C13,Matches!$A$5:$A$23,0)),1-INDEX(Matches!$AP$5:$AP$23,MATCH($C13,Matches!$A$5:$A$23,0)))),""))</f>
        <v>0.522179305764264</v>
      </c>
      <c r="AV13" s="13" t="n">
        <f aca="false">IF(OR($AU13="",$AT13=""),1,((Config!$B$14*$AU13+Config!$B$15*(1-$AU13))/(Config!$B$14*$AT13+Config!$B$15*(1-$AT13)))^Config!$B$13)</f>
        <v>0.986431664990413</v>
      </c>
      <c r="AW13" s="10" t="n">
        <f aca="false">IF($AS13="","",IFERROR(IF(INDEX(Matches!$AV$5:$AV$23,MATCH($C13,Matches!$A$5:$A$23,0))="","",IF($AS13="A",INDEX(Matches!$AV$5:$AV$23,MATCH($C13,Matches!$A$5:$A$23,0)),1-INDEX(Matches!$AV$5:$AV$23,MATCH($C13,Matches!$A$5:$A$23,0)))),""))</f>
        <v>0.537348395461563</v>
      </c>
      <c r="AX13" s="13" t="n">
        <f aca="false">IF(OR($AW13="",$AT13=""),1,((Config!$B$14*$AW13+Config!$B$15*(1-$AW13))/(Config!$B$14*$AT13+Config!$B$15*(1-$AT13)))^Config!$B$13)</f>
        <v>0.999543229466481</v>
      </c>
      <c r="AY13" s="10" t="n">
        <f aca="false">IF($AS13="","",IFERROR(IF(INDEX(Matches!$BB$5:$BB$23,MATCH($C13,Matches!$A$5:$A$23,0))="","",IF($AS13="A",INDEX(Matches!$BB$5:$BB$23,MATCH($C13,Matches!$A$5:$A$23,0)),1-INDEX(Matches!$BB$5:$BB$23,MATCH($C13,Matches!$A$5:$A$23,0)))),""))</f>
        <v>0.513526252570013</v>
      </c>
      <c r="AZ13" s="13" t="n">
        <f aca="false">IF(OR($AY13="",$AT13=""),1,((Config!$B$14*$AY13+Config!$B$15*(1-$AY13))/(Config!$B$14*$AT13+Config!$B$15*(1-$AT13)))^Config!$B$13)</f>
        <v>0.978952306166959</v>
      </c>
      <c r="BA13" s="17" t="n">
        <f aca="false">IF(V13="","",V13*$AV13)</f>
        <v>17.390790253781</v>
      </c>
      <c r="BB13" s="17" t="n">
        <f aca="false">IF(AC13="","",AC13*$AX13)</f>
        <v>15.5938114514547</v>
      </c>
      <c r="BC13" s="17" t="n">
        <f aca="false">IF(AJ13="","",AJ13*$AZ13)</f>
        <v>17.1617869673423</v>
      </c>
      <c r="BD13" s="17" t="n">
        <f aca="false">N(BA13)+N(BB13)</f>
        <v>32.9846017052357</v>
      </c>
      <c r="BE13" s="17" t="n">
        <f aca="false">BD13+N($M13)*N(BC13)</f>
        <v>41.7233836290064</v>
      </c>
      <c r="BF13" s="17" t="n">
        <f aca="false">IF(W13="","",W13*$AV13)</f>
        <v>8.35917318198406</v>
      </c>
      <c r="BG13" s="17" t="n">
        <f aca="false">IF(AD13="","",AD13*$AX13)</f>
        <v>8.55125635469149</v>
      </c>
      <c r="BH13" s="17" t="n">
        <f aca="false">IF(AK13="","",AK13*$AZ13)</f>
        <v>8.38815341465331</v>
      </c>
      <c r="BI13" s="17" t="n">
        <f aca="false">IF(BF13="","",N(BF13)+N(BG13))</f>
        <v>16.9104295366755</v>
      </c>
      <c r="BJ13" s="17" t="n">
        <f aca="false">IF(BI13="","",BI13+N($M13)*N(BH13))</f>
        <v>21.181677255417</v>
      </c>
      <c r="BK13" s="13" t="n">
        <f aca="false">IFERROR(BD13/AL13,1)</f>
        <v>0.992587154823294</v>
      </c>
    </row>
    <row r="14" customFormat="false" ht="15" hidden="false" customHeight="false" outlineLevel="0" collapsed="false">
      <c r="A14" s="0" t="s">
        <v>1321</v>
      </c>
      <c r="B14" s="0" t="s">
        <v>1139</v>
      </c>
      <c r="C14" s="0" t="s">
        <v>1192</v>
      </c>
      <c r="D14" s="0" t="s">
        <v>1197</v>
      </c>
      <c r="E14" s="0" t="s">
        <v>1319</v>
      </c>
      <c r="F14" s="0" t="s">
        <v>1671</v>
      </c>
      <c r="G14" s="0" t="str">
        <f aca="false">IFERROR(IF(INDEX(Matches!$W$5:$W$23,MATCH($C14,Matches!$A$5:$A$23,0))="","",INDEX(Matches!$W$5:$W$23,MATCH($C14,Matches!$A$5:$A$23,0))),"")</f>
        <v>Ancient</v>
      </c>
      <c r="H14" s="0" t="str">
        <f aca="false">IFERROR(IF(INDEX(Matches!$X$5:$X$23,MATCH($C14,Matches!$A$5:$A$23,0))="","",INDEX(Matches!$X$5:$X$23,MATCH($C14,Matches!$A$5:$A$23,0))),"")</f>
        <v>Cache</v>
      </c>
      <c r="I14" s="0" t="str">
        <f aca="false">IFERROR(IF(INDEX(Matches!$Y$5:$Y$23,MATCH($C14,Matches!$A$5:$A$23,0))="","",INDEX(Matches!$Y$5:$Y$23,MATCH($C14,Matches!$A$5:$A$23,0))),"")</f>
        <v>Nuke</v>
      </c>
      <c r="J14" s="11" t="n">
        <f aca="false">IFERROR(IF(INDEX(Matches!$Z$5:$Z$23,MATCH($C14,Matches!$A$5:$A$23,0))="","",INDEX(Matches!$Z$5:$Z$23,MATCH($C14,Matches!$A$5:$A$23,0))),"")</f>
        <v>21.5</v>
      </c>
      <c r="K14" s="11" t="n">
        <f aca="false">IFERROR(IF(INDEX(Matches!$AA$5:$AA$23,MATCH($C14,Matches!$A$5:$A$23,0))="","",INDEX(Matches!$AA$5:$AA$23,MATCH($C14,Matches!$A$5:$A$23,0))),"")</f>
        <v>21.5</v>
      </c>
      <c r="L14" s="11" t="n">
        <f aca="false">IFERROR(IF(INDEX(Matches!$AB$5:$AB$23,MATCH($C14,Matches!$A$5:$A$23,0))="","",INDEX(Matches!$AB$5:$AB$23,MATCH($C14,Matches!$A$5:$A$23,0))),"")</f>
        <v>21.5</v>
      </c>
      <c r="M14" s="10" t="n">
        <f aca="false">IFERROR(IF(INDEX(Matches!$AC$5:$AC$23,MATCH($C14,Matches!$A$5:$A$23,0))="","",INDEX(Matches!$AC$5:$AC$23,MATCH($C14,Matches!$A$5:$A$23,0))),"")</f>
        <v>0.5092</v>
      </c>
      <c r="N14" s="9" t="n">
        <f aca="false">IFERROR(INDEX(Players!$F$2:$F$137,MATCH($F14,Players!$A$2:$A$137,0)),0)</f>
        <v>32</v>
      </c>
      <c r="O14" s="13" t="n">
        <f aca="false">IFERROR(1/(1/INDEX(Players!$H$2:$H$137,MATCH($F14,Players!$A$2:$A$137,0))),"")</f>
        <v>0.56</v>
      </c>
      <c r="P14" s="10" t="n">
        <f aca="false">IFERROR(1/(1/INDEX(Players!$I$2:$I$137,MATCH($F14,Players!$A$2:$A$137,0))),"")</f>
        <v>0.549</v>
      </c>
      <c r="Q14" s="9" t="n">
        <f aca="false">IF($G14="",0,SUMIFS(Map_Stats!$F$2:$F$850,Map_Stats!$A$2:$A$850,$F14&amp;"|"&amp;$G14))</f>
        <v>4</v>
      </c>
      <c r="R14" s="13" t="n">
        <f aca="false">IF($G14="","",IFERROR(1/(1/INDEX(Map_Stats!$K$2:$K$850,MATCH($F14&amp;"|"&amp;$G14,Map_Stats!$A$2:$A$850,0))),$O14))</f>
        <v>0.6</v>
      </c>
      <c r="S14" s="10" t="n">
        <f aca="false">IF(OR($G14="",$P14=""),"",IFERROR(1/(1/INDEX(Map_Stats!$I$2:$I$850,MATCH($F14&amp;"|"&amp;$G14,Map_Stats!$A$2:$A$850,0))),$P14))</f>
        <v>0.491</v>
      </c>
      <c r="T14" s="13" t="n">
        <f aca="false">IF(OR($G14="",R14=""),"",IF($O14="",R14,(Q14*R14+Config!$B$4*$O14)/(Q14+Config!$B$4)))</f>
        <v>0.577777777777778</v>
      </c>
      <c r="U14" s="10" t="n">
        <f aca="false">IF(S14="","",(Q14*S14+Config!$B$4*$P14)/(Q14+Config!$B$4))</f>
        <v>0.523222222222222</v>
      </c>
      <c r="V14" s="17" t="n">
        <f aca="false">IF(OR(T14="",$J14=""),"",T14*$J14*($J14/Config!$B$10)^Config!$B$9)</f>
        <v>12.4222222222222</v>
      </c>
      <c r="W14" s="17" t="n">
        <f aca="false">IF(OR(V14="",U14=""),"",V14*U14)</f>
        <v>6.49958271604938</v>
      </c>
      <c r="X14" s="9" t="n">
        <f aca="false">IF($H14="",0,SUMIFS(Map_Stats!$F$2:$F$850,Map_Stats!$A$2:$A$850,$F14&amp;"|"&amp;$H14))</f>
        <v>3</v>
      </c>
      <c r="Y14" s="13" t="n">
        <f aca="false">IF($H14="","",IFERROR(1/(1/INDEX(Map_Stats!$K$2:$K$850,MATCH($F14&amp;"|"&amp;$H14,Map_Stats!$A$2:$A$850,0))),$O14))</f>
        <v>0.55</v>
      </c>
      <c r="Z14" s="10" t="n">
        <f aca="false">IF(OR($H14="",$P14=""),"",IFERROR(1/(1/INDEX(Map_Stats!$I$2:$I$850,MATCH($F14&amp;"|"&amp;$H14,Map_Stats!$A$2:$A$850,0))),$P14))</f>
        <v>0.55</v>
      </c>
      <c r="AA14" s="13" t="n">
        <f aca="false">IF(OR($H14="",Y14=""),"",IF($O14="",Y14,(X14*Y14+Config!$B$4*$O14)/(X14+Config!$B$4)))</f>
        <v>0.55625</v>
      </c>
      <c r="AB14" s="10" t="n">
        <f aca="false">IF(Z14="","",(X14*Z14+Config!$B$4*$P14)/(X14+Config!$B$4))</f>
        <v>0.549375</v>
      </c>
      <c r="AC14" s="17" t="n">
        <f aca="false">IF(OR(AA14="",$K14=""),"",AA14*$K14*($K14/Config!$B$10)^Config!$B$9)</f>
        <v>11.959375</v>
      </c>
      <c r="AD14" s="17" t="n">
        <f aca="false">IF(OR(AC14="",AB14=""),"",AC14*AB14)</f>
        <v>6.570181640625</v>
      </c>
      <c r="AE14" s="9" t="n">
        <f aca="false">IF($I14="",0,SUMIFS(Map_Stats!$F$2:$F$850,Map_Stats!$A$2:$A$850,$F14&amp;"|"&amp;$I14))</f>
        <v>7</v>
      </c>
      <c r="AF14" s="13" t="n">
        <f aca="false">IF($I14="","",IFERROR(1/(1/INDEX(Map_Stats!$K$2:$K$850,MATCH($F14&amp;"|"&amp;$I14,Map_Stats!$A$2:$A$850,0))),$O14))</f>
        <v>0.68</v>
      </c>
      <c r="AG14" s="10" t="n">
        <f aca="false">IF(OR($I14="",$P14=""),"",IFERROR(1/(1/INDEX(Map_Stats!$I$2:$I$850,MATCH($F14&amp;"|"&amp;$I14,Map_Stats!$A$2:$A$850,0))),$P14))</f>
        <v>0.51</v>
      </c>
      <c r="AH14" s="13" t="n">
        <f aca="false">IF(OR($I14="",AF14=""),"",IF($O14="",AF14,(AE14*AF14+Config!$B$4*$O14)/(AE14+Config!$B$4)))</f>
        <v>0.63</v>
      </c>
      <c r="AI14" s="10" t="n">
        <f aca="false">IF(AG14="","",(AE14*AG14+Config!$B$4*$P14)/(AE14+Config!$B$4))</f>
        <v>0.52625</v>
      </c>
      <c r="AJ14" s="17" t="n">
        <f aca="false">IF(OR(AH14="",$L14=""),"",AH14*$L14*($L14/Config!$B$10)^Config!$B$9)</f>
        <v>13.545</v>
      </c>
      <c r="AK14" s="17" t="n">
        <f aca="false">IF(OR(AJ14="",AI14=""),"",AJ14*AI14)</f>
        <v>7.12805625</v>
      </c>
      <c r="AL14" s="17" t="n">
        <f aca="false">N(V14)+N(AC14)</f>
        <v>24.3815972222222</v>
      </c>
      <c r="AM14" s="17" t="n">
        <f aca="false">AL14+N($M14)*N(AJ14)</f>
        <v>31.2787112222222</v>
      </c>
      <c r="AN14" s="17" t="n">
        <f aca="false">IF(W14="","",N(W14)+N(AD14))</f>
        <v>13.0697643566744</v>
      </c>
      <c r="AO14" s="17" t="n">
        <f aca="false">IF(AN14="","",AN14+N($M14)*N(AK14))</f>
        <v>16.6993705991744</v>
      </c>
      <c r="AP14" s="10" t="n">
        <f aca="false">IFERROR(AN14/AL14,"")</f>
        <v>0.53605037592706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IF($C14=Board!$B$2,COUNTIFS($C$2:$C$137,Board!$B$2,$AL$2:$AL$137,"&gt;"&amp;$AL14)+COUNTIFS($C$1:$C13,Board!$B$2,$AL$1:$AL13,$AL14)+1,"")</f>
        <v/>
      </c>
      <c r="AS14" s="0" t="str">
        <f aca="false">IFERROR(IF($D14=INDEX(Matches!$AD$5:$AD$23,MATCH($C14,Matches!$A$5:$A$23,0)),"A",IF($D14=INDEX(Matches!$AE$5:$AE$23,MATCH($C14,Matches!$A$5:$A$23,0)),"B","")),"")</f>
        <v>A</v>
      </c>
      <c r="AT14" s="10" t="n">
        <f aca="false">IF($AS14="","",IFERROR(IF($AS14="A",INDEX(Matches!$AI$5:$AI$23,MATCH($C14,Matches!$A$5:$A$23,0)),INDEX(Matches!$AJ$5:$AJ$23,MATCH($C14,Matches!$A$5:$A$23,0))),""))</f>
        <v>0.537876844466004</v>
      </c>
      <c r="AU14" s="10" t="n">
        <f aca="false">IF($AS14="","",IFERROR(IF(INDEX(Matches!$AP$5:$AP$23,MATCH($C14,Matches!$A$5:$A$23,0))="","",IF($AS14="A",INDEX(Matches!$AP$5:$AP$23,MATCH($C14,Matches!$A$5:$A$23,0)),1-INDEX(Matches!$AP$5:$AP$23,MATCH($C14,Matches!$A$5:$A$23,0)))),""))</f>
        <v>0.522179305764264</v>
      </c>
      <c r="AV14" s="13" t="n">
        <f aca="false">IF(OR($AU14="",$AT14=""),1,((Config!$B$14*$AU14+Config!$B$15*(1-$AU14))/(Config!$B$14*$AT14+Config!$B$15*(1-$AT14)))^Config!$B$13)</f>
        <v>0.986431664990413</v>
      </c>
      <c r="AW14" s="10" t="n">
        <f aca="false">IF($AS14="","",IFERROR(IF(INDEX(Matches!$AV$5:$AV$23,MATCH($C14,Matches!$A$5:$A$23,0))="","",IF($AS14="A",INDEX(Matches!$AV$5:$AV$23,MATCH($C14,Matches!$A$5:$A$23,0)),1-INDEX(Matches!$AV$5:$AV$23,MATCH($C14,Matches!$A$5:$A$23,0)))),""))</f>
        <v>0.537348395461563</v>
      </c>
      <c r="AX14" s="13" t="n">
        <f aca="false">IF(OR($AW14="",$AT14=""),1,((Config!$B$14*$AW14+Config!$B$15*(1-$AW14))/(Config!$B$14*$AT14+Config!$B$15*(1-$AT14)))^Config!$B$13)</f>
        <v>0.999543229466481</v>
      </c>
      <c r="AY14" s="10" t="n">
        <f aca="false">IF($AS14="","",IFERROR(IF(INDEX(Matches!$BB$5:$BB$23,MATCH($C14,Matches!$A$5:$A$23,0))="","",IF($AS14="A",INDEX(Matches!$BB$5:$BB$23,MATCH($C14,Matches!$A$5:$A$23,0)),1-INDEX(Matches!$BB$5:$BB$23,MATCH($C14,Matches!$A$5:$A$23,0)))),""))</f>
        <v>0.513526252570013</v>
      </c>
      <c r="AZ14" s="13" t="n">
        <f aca="false">IF(OR($AY14="",$AT14=""),1,((Config!$B$14*$AY14+Config!$B$15*(1-$AY14))/(Config!$B$14*$AT14+Config!$B$15*(1-$AT14)))^Config!$B$13)</f>
        <v>0.978952306166959</v>
      </c>
      <c r="BA14" s="17" t="n">
        <f aca="false">IF(V14="","",V14*$AV14)</f>
        <v>12.2536733495476</v>
      </c>
      <c r="BB14" s="17" t="n">
        <f aca="false">IF(AC14="","",AC14*$AX14)</f>
        <v>11.9539123099007</v>
      </c>
      <c r="BC14" s="17" t="n">
        <f aca="false">IF(AJ14="","",AJ14*$AZ14)</f>
        <v>13.2599089870315</v>
      </c>
      <c r="BD14" s="17" t="n">
        <f aca="false">N(BA14)+N(BB14)</f>
        <v>24.2075856594483</v>
      </c>
      <c r="BE14" s="17" t="n">
        <f aca="false">BD14+N($M14)*N(BC14)</f>
        <v>30.9595313156447</v>
      </c>
      <c r="BF14" s="17" t="n">
        <f aca="false">IF(W14="","",W14*$AV14)</f>
        <v>6.4113942003355</v>
      </c>
      <c r="BG14" s="17" t="n">
        <f aca="false">IF(AD14="","",AD14*$AX14)</f>
        <v>6.56718057525169</v>
      </c>
      <c r="BH14" s="17" t="n">
        <f aca="false">IF(AK14="","",AK14*$AZ14)</f>
        <v>6.9780271044253</v>
      </c>
      <c r="BI14" s="17" t="n">
        <f aca="false">IF(BF14="","",N(BF14)+N(BG14))</f>
        <v>12.9785747755872</v>
      </c>
      <c r="BJ14" s="17" t="n">
        <f aca="false">IF(BI14="","",BI14+N($M14)*N(BH14))</f>
        <v>16.5317861771606</v>
      </c>
      <c r="BK14" s="13" t="n">
        <f aca="false">IFERROR(BD14/AL14,1)</f>
        <v>0.99286299575914</v>
      </c>
    </row>
    <row r="15" customFormat="false" ht="15" hidden="false" customHeight="false" outlineLevel="0" collapsed="false">
      <c r="A15" s="0" t="s">
        <v>1323</v>
      </c>
      <c r="B15" s="0" t="s">
        <v>1139</v>
      </c>
      <c r="C15" s="0" t="s">
        <v>1192</v>
      </c>
      <c r="D15" s="0" t="s">
        <v>1197</v>
      </c>
      <c r="E15" s="0" t="s">
        <v>1322</v>
      </c>
      <c r="F15" s="0" t="s">
        <v>1672</v>
      </c>
      <c r="G15" s="0" t="str">
        <f aca="false">IFERROR(IF(INDEX(Matches!$W$5:$W$23,MATCH($C15,Matches!$A$5:$A$23,0))="","",INDEX(Matches!$W$5:$W$23,MATCH($C15,Matches!$A$5:$A$23,0))),"")</f>
        <v>Ancient</v>
      </c>
      <c r="H15" s="0" t="str">
        <f aca="false">IFERROR(IF(INDEX(Matches!$X$5:$X$23,MATCH($C15,Matches!$A$5:$A$23,0))="","",INDEX(Matches!$X$5:$X$23,MATCH($C15,Matches!$A$5:$A$23,0))),"")</f>
        <v>Cache</v>
      </c>
      <c r="I15" s="0" t="str">
        <f aca="false">IFERROR(IF(INDEX(Matches!$Y$5:$Y$23,MATCH($C15,Matches!$A$5:$A$23,0))="","",INDEX(Matches!$Y$5:$Y$23,MATCH($C15,Matches!$A$5:$A$23,0))),"")</f>
        <v>Nuke</v>
      </c>
      <c r="J15" s="11" t="n">
        <f aca="false">IFERROR(IF(INDEX(Matches!$Z$5:$Z$23,MATCH($C15,Matches!$A$5:$A$23,0))="","",INDEX(Matches!$Z$5:$Z$23,MATCH($C15,Matches!$A$5:$A$23,0))),"")</f>
        <v>21.5</v>
      </c>
      <c r="K15" s="11" t="n">
        <f aca="false">IFERROR(IF(INDEX(Matches!$AA$5:$AA$23,MATCH($C15,Matches!$A$5:$A$23,0))="","",INDEX(Matches!$AA$5:$AA$23,MATCH($C15,Matches!$A$5:$A$23,0))),"")</f>
        <v>21.5</v>
      </c>
      <c r="L15" s="11" t="n">
        <f aca="false">IFERROR(IF(INDEX(Matches!$AB$5:$AB$23,MATCH($C15,Matches!$A$5:$A$23,0))="","",INDEX(Matches!$AB$5:$AB$23,MATCH($C15,Matches!$A$5:$A$23,0))),"")</f>
        <v>21.5</v>
      </c>
      <c r="M15" s="10" t="n">
        <f aca="false">IFERROR(IF(INDEX(Matches!$AC$5:$AC$23,MATCH($C15,Matches!$A$5:$A$23,0))="","",INDEX(Matches!$AC$5:$AC$23,MATCH($C15,Matches!$A$5:$A$23,0))),"")</f>
        <v>0.5092</v>
      </c>
      <c r="N15" s="9" t="n">
        <f aca="false">IFERROR(INDEX(Players!$F$2:$F$137,MATCH($F15,Players!$A$2:$A$137,0)),0)</f>
        <v>42</v>
      </c>
      <c r="O15" s="13" t="n">
        <f aca="false">IFERROR(1/(1/INDEX(Players!$H$2:$H$137,MATCH($F15,Players!$A$2:$A$137,0))),"")</f>
        <v>0.75</v>
      </c>
      <c r="P15" s="10" t="n">
        <f aca="false">IFERROR(1/(1/INDEX(Players!$I$2:$I$137,MATCH($F15,Players!$A$2:$A$137,0))),"")</f>
        <v>0.55</v>
      </c>
      <c r="Q15" s="9" t="n">
        <f aca="false">IF($G15="",0,SUMIFS(Map_Stats!$F$2:$F$850,Map_Stats!$A$2:$A$850,$F15&amp;"|"&amp;$G15))</f>
        <v>10</v>
      </c>
      <c r="R15" s="13" t="n">
        <f aca="false">IF($G15="","",IFERROR(1/(1/INDEX(Map_Stats!$K$2:$K$850,MATCH($F15&amp;"|"&amp;$G15,Map_Stats!$A$2:$A$850,0))),$O15))</f>
        <v>0.75</v>
      </c>
      <c r="S15" s="10" t="n">
        <f aca="false">IF(OR($G15="",$P15=""),"",IFERROR(1/(1/INDEX(Map_Stats!$I$2:$I$850,MATCH($F15&amp;"|"&amp;$G15,Map_Stats!$A$2:$A$850,0))),$P15))</f>
        <v>0.553</v>
      </c>
      <c r="T15" s="13" t="n">
        <f aca="false">IF(OR($G15="",R15=""),"",IF($O15="",R15,(Q15*R15+Config!$B$4*$O15)/(Q15+Config!$B$4)))</f>
        <v>0.75</v>
      </c>
      <c r="U15" s="10" t="n">
        <f aca="false">IF(S15="","",(Q15*S15+Config!$B$4*$P15)/(Q15+Config!$B$4))</f>
        <v>0.552</v>
      </c>
      <c r="V15" s="17" t="n">
        <f aca="false">IF(OR(T15="",$J15=""),"",T15*$J15*($J15/Config!$B$10)^Config!$B$9)</f>
        <v>16.125</v>
      </c>
      <c r="W15" s="17" t="n">
        <f aca="false">IF(OR(V15="",U15=""),"",V15*U15)</f>
        <v>8.901</v>
      </c>
      <c r="X15" s="9" t="n">
        <f aca="false">IF($H15="",0,SUMIFS(Map_Stats!$F$2:$F$850,Map_Stats!$A$2:$A$850,$F15&amp;"|"&amp;$H15))</f>
        <v>11</v>
      </c>
      <c r="Y15" s="13" t="n">
        <f aca="false">IF($H15="","",IFERROR(1/(1/INDEX(Map_Stats!$K$2:$K$850,MATCH($F15&amp;"|"&amp;$H15,Map_Stats!$A$2:$A$850,0))),$O15))</f>
        <v>0.76</v>
      </c>
      <c r="Z15" s="10" t="n">
        <f aca="false">IF(OR($H15="",$P15=""),"",IFERROR(1/(1/INDEX(Map_Stats!$I$2:$I$850,MATCH($F15&amp;"|"&amp;$H15,Map_Stats!$A$2:$A$850,0))),$P15))</f>
        <v>0.54</v>
      </c>
      <c r="AA15" s="13" t="n">
        <f aca="false">IF(OR($H15="",Y15=""),"",IF($O15="",Y15,(X15*Y15+Config!$B$4*$O15)/(X15+Config!$B$4)))</f>
        <v>0.756875</v>
      </c>
      <c r="AB15" s="10" t="n">
        <f aca="false">IF(Z15="","",(X15*Z15+Config!$B$4*$P15)/(X15+Config!$B$4))</f>
        <v>0.543125</v>
      </c>
      <c r="AC15" s="17" t="n">
        <f aca="false">IF(OR(AA15="",$K15=""),"",AA15*$K15*($K15/Config!$B$10)^Config!$B$9)</f>
        <v>16.2728125</v>
      </c>
      <c r="AD15" s="17" t="n">
        <f aca="false">IF(OR(AC15="",AB15=""),"",AC15*AB15)</f>
        <v>8.8381712890625</v>
      </c>
      <c r="AE15" s="9" t="n">
        <f aca="false">IF($I15="",0,SUMIFS(Map_Stats!$F$2:$F$850,Map_Stats!$A$2:$A$850,$F15&amp;"|"&amp;$I15))</f>
        <v>8</v>
      </c>
      <c r="AF15" s="13" t="n">
        <f aca="false">IF($I15="","",IFERROR(1/(1/INDEX(Map_Stats!$K$2:$K$850,MATCH($F15&amp;"|"&amp;$I15,Map_Stats!$A$2:$A$850,0))),$O15))</f>
        <v>0.72</v>
      </c>
      <c r="AG15" s="10" t="n">
        <f aca="false">IF(OR($I15="",$P15=""),"",IFERROR(1/(1/INDEX(Map_Stats!$I$2:$I$850,MATCH($F15&amp;"|"&amp;$I15,Map_Stats!$A$2:$A$850,0))),$P15))</f>
        <v>0.576</v>
      </c>
      <c r="AH15" s="13" t="n">
        <f aca="false">IF(OR($I15="",AF15=""),"",IF($O15="",AF15,(AE15*AF15+Config!$B$4*$O15)/(AE15+Config!$B$4)))</f>
        <v>0.731538461538462</v>
      </c>
      <c r="AI15" s="10" t="n">
        <f aca="false">IF(AG15="","",(AE15*AG15+Config!$B$4*$P15)/(AE15+Config!$B$4))</f>
        <v>0.566</v>
      </c>
      <c r="AJ15" s="17" t="n">
        <f aca="false">IF(OR(AH15="",$L15=""),"",AH15*$L15*($L15/Config!$B$10)^Config!$B$9)</f>
        <v>15.7280769230769</v>
      </c>
      <c r="AK15" s="17" t="n">
        <f aca="false">IF(OR(AJ15="",AI15=""),"",AJ15*AI15)</f>
        <v>8.90209153846154</v>
      </c>
      <c r="AL15" s="17" t="n">
        <f aca="false">N(V15)+N(AC15)</f>
        <v>32.3978125</v>
      </c>
      <c r="AM15" s="17" t="n">
        <f aca="false">AL15+N($M15)*N(AJ15)</f>
        <v>40.4065492692308</v>
      </c>
      <c r="AN15" s="17" t="n">
        <f aca="false">IF(W15="","",N(W15)+N(AD15))</f>
        <v>17.7391712890625</v>
      </c>
      <c r="AO15" s="17" t="n">
        <f aca="false">IF(AN15="","",AN15+N($M15)*N(AK15))</f>
        <v>22.2721163004471</v>
      </c>
      <c r="AP15" s="10" t="n">
        <f aca="false">IFERROR(AN15/AL15,"")</f>
        <v>0.547542254251348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IF($C15=Board!$B$2,COUNTIFS($C$2:$C$137,Board!$B$2,$AL$2:$AL$137,"&gt;"&amp;$AL15)+COUNTIFS($C$1:$C14,Board!$B$2,$AL$1:$AL14,$AL15)+1,"")</f>
        <v/>
      </c>
      <c r="AS15" s="0" t="str">
        <f aca="false">IFERROR(IF($D15=INDEX(Matches!$AD$5:$AD$23,MATCH($C15,Matches!$A$5:$A$23,0)),"A",IF($D15=INDEX(Matches!$AE$5:$AE$23,MATCH($C15,Matches!$A$5:$A$23,0)),"B","")),"")</f>
        <v>A</v>
      </c>
      <c r="AT15" s="10" t="n">
        <f aca="false">IF($AS15="","",IFERROR(IF($AS15="A",INDEX(Matches!$AI$5:$AI$23,MATCH($C15,Matches!$A$5:$A$23,0)),INDEX(Matches!$AJ$5:$AJ$23,MATCH($C15,Matches!$A$5:$A$23,0))),""))</f>
        <v>0.537876844466004</v>
      </c>
      <c r="AU15" s="10" t="n">
        <f aca="false">IF($AS15="","",IFERROR(IF(INDEX(Matches!$AP$5:$AP$23,MATCH($C15,Matches!$A$5:$A$23,0))="","",IF($AS15="A",INDEX(Matches!$AP$5:$AP$23,MATCH($C15,Matches!$A$5:$A$23,0)),1-INDEX(Matches!$AP$5:$AP$23,MATCH($C15,Matches!$A$5:$A$23,0)))),""))</f>
        <v>0.522179305764264</v>
      </c>
      <c r="AV15" s="13" t="n">
        <f aca="false">IF(OR($AU15="",$AT15=""),1,((Config!$B$14*$AU15+Config!$B$15*(1-$AU15))/(Config!$B$14*$AT15+Config!$B$15*(1-$AT15)))^Config!$B$13)</f>
        <v>0.986431664990413</v>
      </c>
      <c r="AW15" s="10" t="n">
        <f aca="false">IF($AS15="","",IFERROR(IF(INDEX(Matches!$AV$5:$AV$23,MATCH($C15,Matches!$A$5:$A$23,0))="","",IF($AS15="A",INDEX(Matches!$AV$5:$AV$23,MATCH($C15,Matches!$A$5:$A$23,0)),1-INDEX(Matches!$AV$5:$AV$23,MATCH($C15,Matches!$A$5:$A$23,0)))),""))</f>
        <v>0.537348395461563</v>
      </c>
      <c r="AX15" s="13" t="n">
        <f aca="false">IF(OR($AW15="",$AT15=""),1,((Config!$B$14*$AW15+Config!$B$15*(1-$AW15))/(Config!$B$14*$AT15+Config!$B$15*(1-$AT15)))^Config!$B$13)</f>
        <v>0.999543229466481</v>
      </c>
      <c r="AY15" s="10" t="n">
        <f aca="false">IF($AS15="","",IFERROR(IF(INDEX(Matches!$BB$5:$BB$23,MATCH($C15,Matches!$A$5:$A$23,0))="","",IF($AS15="A",INDEX(Matches!$BB$5:$BB$23,MATCH($C15,Matches!$A$5:$A$23,0)),1-INDEX(Matches!$BB$5:$BB$23,MATCH($C15,Matches!$A$5:$A$23,0)))),""))</f>
        <v>0.513526252570013</v>
      </c>
      <c r="AZ15" s="13" t="n">
        <f aca="false">IF(OR($AY15="",$AT15=""),1,((Config!$B$14*$AY15+Config!$B$15*(1-$AY15))/(Config!$B$14*$AT15+Config!$B$15*(1-$AT15)))^Config!$B$13)</f>
        <v>0.978952306166959</v>
      </c>
      <c r="BA15" s="17" t="n">
        <f aca="false">IF(V15="","",V15*$AV15)</f>
        <v>15.9062105979704</v>
      </c>
      <c r="BB15" s="17" t="n">
        <f aca="false">IF(AC15="","",AC15*$AX15)</f>
        <v>16.2653795587525</v>
      </c>
      <c r="BC15" s="17" t="n">
        <f aca="false">IF(AJ15="","",AJ15*$AZ15)</f>
        <v>15.3970371754175</v>
      </c>
      <c r="BD15" s="17" t="n">
        <f aca="false">N(BA15)+N(BB15)</f>
        <v>32.1715901567229</v>
      </c>
      <c r="BE15" s="17" t="n">
        <f aca="false">BD15+N($M15)*N(BC15)</f>
        <v>40.0117614864455</v>
      </c>
      <c r="BF15" s="17" t="n">
        <f aca="false">IF(W15="","",W15*$AV15)</f>
        <v>8.78022825007967</v>
      </c>
      <c r="BG15" s="17" t="n">
        <f aca="false">IF(AD15="","",AD15*$AX15)</f>
        <v>8.83413427284746</v>
      </c>
      <c r="BH15" s="17" t="n">
        <f aca="false">IF(AK15="","",AK15*$AZ15)</f>
        <v>8.71472304128629</v>
      </c>
      <c r="BI15" s="17" t="n">
        <f aca="false">IF(BF15="","",N(BF15)+N(BG15))</f>
        <v>17.6143625229271</v>
      </c>
      <c r="BJ15" s="17" t="n">
        <f aca="false">IF(BI15="","",BI15+N($M15)*N(BH15))</f>
        <v>22.0518994955501</v>
      </c>
      <c r="BK15" s="13" t="n">
        <f aca="false">IFERROR(BD15/AL15,1)</f>
        <v>0.993017357475075</v>
      </c>
    </row>
    <row r="16" customFormat="false" ht="15" hidden="false" customHeight="false" outlineLevel="0" collapsed="false">
      <c r="A16" s="0" t="s">
        <v>1325</v>
      </c>
      <c r="B16" s="0" t="s">
        <v>1139</v>
      </c>
      <c r="C16" s="0" t="s">
        <v>1192</v>
      </c>
      <c r="D16" s="0" t="s">
        <v>1198</v>
      </c>
      <c r="E16" s="0" t="s">
        <v>1324</v>
      </c>
      <c r="F16" s="0" t="s">
        <v>1673</v>
      </c>
      <c r="G16" s="0" t="str">
        <f aca="false">IFERROR(IF(INDEX(Matches!$W$5:$W$23,MATCH($C16,Matches!$A$5:$A$23,0))="","",INDEX(Matches!$W$5:$W$23,MATCH($C16,Matches!$A$5:$A$23,0))),"")</f>
        <v>Ancient</v>
      </c>
      <c r="H16" s="0" t="str">
        <f aca="false">IFERROR(IF(INDEX(Matches!$X$5:$X$23,MATCH($C16,Matches!$A$5:$A$23,0))="","",INDEX(Matches!$X$5:$X$23,MATCH($C16,Matches!$A$5:$A$23,0))),"")</f>
        <v>Cache</v>
      </c>
      <c r="I16" s="0" t="str">
        <f aca="false">IFERROR(IF(INDEX(Matches!$Y$5:$Y$23,MATCH($C16,Matches!$A$5:$A$23,0))="","",INDEX(Matches!$Y$5:$Y$23,MATCH($C16,Matches!$A$5:$A$23,0))),"")</f>
        <v>Nuke</v>
      </c>
      <c r="J16" s="11" t="n">
        <f aca="false">IFERROR(IF(INDEX(Matches!$Z$5:$Z$23,MATCH($C16,Matches!$A$5:$A$23,0))="","",INDEX(Matches!$Z$5:$Z$23,MATCH($C16,Matches!$A$5:$A$23,0))),"")</f>
        <v>21.5</v>
      </c>
      <c r="K16" s="11" t="n">
        <f aca="false">IFERROR(IF(INDEX(Matches!$AA$5:$AA$23,MATCH($C16,Matches!$A$5:$A$23,0))="","",INDEX(Matches!$AA$5:$AA$23,MATCH($C16,Matches!$A$5:$A$23,0))),"")</f>
        <v>21.5</v>
      </c>
      <c r="L16" s="11" t="n">
        <f aca="false">IFERROR(IF(INDEX(Matches!$AB$5:$AB$23,MATCH($C16,Matches!$A$5:$A$23,0))="","",INDEX(Matches!$AB$5:$AB$23,MATCH($C16,Matches!$A$5:$A$23,0))),"")</f>
        <v>21.5</v>
      </c>
      <c r="M16" s="10" t="n">
        <f aca="false">IFERROR(IF(INDEX(Matches!$AC$5:$AC$23,MATCH($C16,Matches!$A$5:$A$23,0))="","",INDEX(Matches!$AC$5:$AC$23,MATCH($C16,Matches!$A$5:$A$23,0))),"")</f>
        <v>0.5092</v>
      </c>
      <c r="N16" s="9" t="n">
        <f aca="false">IFERROR(INDEX(Players!$F$2:$F$137,MATCH($F16,Players!$A$2:$A$137,0)),0)</f>
        <v>27</v>
      </c>
      <c r="O16" s="13" t="n">
        <f aca="false">IFERROR(1/(1/INDEX(Players!$H$2:$H$137,MATCH($F16,Players!$A$2:$A$137,0))),"")</f>
        <v>0.67</v>
      </c>
      <c r="P16" s="10" t="n">
        <f aca="false">IFERROR(1/(1/INDEX(Players!$I$2:$I$137,MATCH($F16,Players!$A$2:$A$137,0))),"")</f>
        <v>0.612</v>
      </c>
      <c r="Q16" s="9" t="n">
        <f aca="false">IF($G16="",0,SUMIFS(Map_Stats!$F$2:$F$850,Map_Stats!$A$2:$A$850,$F16&amp;"|"&amp;$G16))</f>
        <v>3</v>
      </c>
      <c r="R16" s="13" t="n">
        <f aca="false">IF($G16="","",IFERROR(1/(1/INDEX(Map_Stats!$K$2:$K$850,MATCH($F16&amp;"|"&amp;$G16,Map_Stats!$A$2:$A$850,0))),$O16))</f>
        <v>0.7</v>
      </c>
      <c r="S16" s="10" t="n">
        <f aca="false">IF(OR($G16="",$P16=""),"",IFERROR(1/(1/INDEX(Map_Stats!$I$2:$I$850,MATCH($F16&amp;"|"&amp;$G16,Map_Stats!$A$2:$A$850,0))),$P16))</f>
        <v>0.6</v>
      </c>
      <c r="T16" s="13" t="n">
        <f aca="false">IF(OR($G16="",R16=""),"",IF($O16="",R16,(Q16*R16+Config!$B$4*$O16)/(Q16+Config!$B$4)))</f>
        <v>0.68125</v>
      </c>
      <c r="U16" s="10" t="n">
        <f aca="false">IF(S16="","",(Q16*S16+Config!$B$4*$P16)/(Q16+Config!$B$4))</f>
        <v>0.6075</v>
      </c>
      <c r="V16" s="17" t="n">
        <f aca="false">IF(OR(T16="",$J16=""),"",T16*$J16*($J16/Config!$B$10)^Config!$B$9)</f>
        <v>14.646875</v>
      </c>
      <c r="W16" s="17" t="n">
        <f aca="false">IF(OR(V16="",U16=""),"",V16*U16)</f>
        <v>8.8979765625</v>
      </c>
      <c r="X16" s="9" t="n">
        <f aca="false">IF($H16="",0,SUMIFS(Map_Stats!$F$2:$F$850,Map_Stats!$A$2:$A$850,$F16&amp;"|"&amp;$H16))</f>
        <v>4</v>
      </c>
      <c r="Y16" s="13" t="n">
        <f aca="false">IF($H16="","",IFERROR(1/(1/INDEX(Map_Stats!$K$2:$K$850,MATCH($F16&amp;"|"&amp;$H16,Map_Stats!$A$2:$A$850,0))),$O16))</f>
        <v>0.73</v>
      </c>
      <c r="Z16" s="10" t="n">
        <f aca="false">IF(OR($H16="",$P16=""),"",IFERROR(1/(1/INDEX(Map_Stats!$I$2:$I$850,MATCH($F16&amp;"|"&amp;$H16,Map_Stats!$A$2:$A$850,0))),$P16))</f>
        <v>0.569</v>
      </c>
      <c r="AA16" s="13" t="n">
        <f aca="false">IF(OR($H16="",Y16=""),"",IF($O16="",Y16,(X16*Y16+Config!$B$4*$O16)/(X16+Config!$B$4)))</f>
        <v>0.696666666666667</v>
      </c>
      <c r="AB16" s="10" t="n">
        <f aca="false">IF(Z16="","",(X16*Z16+Config!$B$4*$P16)/(X16+Config!$B$4))</f>
        <v>0.592888888888889</v>
      </c>
      <c r="AC16" s="17" t="n">
        <f aca="false">IF(OR(AA16="",$K16=""),"",AA16*$K16*($K16/Config!$B$10)^Config!$B$9)</f>
        <v>14.9783333333333</v>
      </c>
      <c r="AD16" s="17" t="n">
        <f aca="false">IF(OR(AC16="",AB16=""),"",AC16*AB16)</f>
        <v>8.88048740740741</v>
      </c>
      <c r="AE16" s="9" t="n">
        <f aca="false">IF($I16="",0,SUMIFS(Map_Stats!$F$2:$F$850,Map_Stats!$A$2:$A$850,$F16&amp;"|"&amp;$I16))</f>
        <v>6</v>
      </c>
      <c r="AF16" s="13" t="n">
        <f aca="false">IF($I16="","",IFERROR(1/(1/INDEX(Map_Stats!$K$2:$K$850,MATCH($F16&amp;"|"&amp;$I16,Map_Stats!$A$2:$A$850,0))),$O16))</f>
        <v>0.66</v>
      </c>
      <c r="AG16" s="10" t="n">
        <f aca="false">IF(OR($I16="",$P16=""),"",IFERROR(1/(1/INDEX(Map_Stats!$I$2:$I$850,MATCH($F16&amp;"|"&amp;$I16,Map_Stats!$A$2:$A$850,0))),$P16))</f>
        <v>0.588</v>
      </c>
      <c r="AH16" s="13" t="n">
        <f aca="false">IF(OR($I16="",AF16=""),"",IF($O16="",AF16,(AE16*AF16+Config!$B$4*$O16)/(AE16+Config!$B$4)))</f>
        <v>0.664545454545455</v>
      </c>
      <c r="AI16" s="10" t="n">
        <f aca="false">IF(AG16="","",(AE16*AG16+Config!$B$4*$P16)/(AE16+Config!$B$4))</f>
        <v>0.598909090909091</v>
      </c>
      <c r="AJ16" s="17" t="n">
        <f aca="false">IF(OR(AH16="",$L16=""),"",AH16*$L16*($L16/Config!$B$10)^Config!$B$9)</f>
        <v>14.2877272727273</v>
      </c>
      <c r="AK16" s="17" t="n">
        <f aca="false">IF(OR(AJ16="",AI16=""),"",AJ16*AI16)</f>
        <v>8.55704975206611</v>
      </c>
      <c r="AL16" s="17" t="n">
        <f aca="false">N(V16)+N(AC16)</f>
        <v>29.6252083333333</v>
      </c>
      <c r="AM16" s="17" t="n">
        <f aca="false">AL16+N($M16)*N(AJ16)</f>
        <v>36.9005190606061</v>
      </c>
      <c r="AN16" s="17" t="n">
        <f aca="false">IF(W16="","",N(W16)+N(AD16))</f>
        <v>17.7784639699074</v>
      </c>
      <c r="AO16" s="17" t="n">
        <f aca="false">IF(AN16="","",AN16+N($M16)*N(AK16))</f>
        <v>22.1357137036595</v>
      </c>
      <c r="AP16" s="10" t="n">
        <f aca="false">IFERROR(AN16/AL16,"")</f>
        <v>0.60011270705238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IF($C16=Board!$B$2,COUNTIFS($C$2:$C$137,Board!$B$2,$AL$2:$AL$137,"&gt;"&amp;$AL16)+COUNTIFS($C$1:$C15,Board!$B$2,$AL$1:$AL15,$AL16)+1,"")</f>
        <v/>
      </c>
      <c r="AS16" s="0" t="str">
        <f aca="false">IFERROR(IF($D16=INDEX(Matches!$AD$5:$AD$23,MATCH($C16,Matches!$A$5:$A$23,0)),"A",IF($D16=INDEX(Matches!$AE$5:$AE$23,MATCH($C16,Matches!$A$5:$A$23,0)),"B","")),"")</f>
        <v>B</v>
      </c>
      <c r="AT16" s="10" t="n">
        <f aca="false">IF($AS16="","",IFERROR(IF($AS16="A",INDEX(Matches!$AI$5:$AI$23,MATCH($C16,Matches!$A$5:$A$23,0)),INDEX(Matches!$AJ$5:$AJ$23,MATCH($C16,Matches!$A$5:$A$23,0))),""))</f>
        <v>0.506801307155743</v>
      </c>
      <c r="AU16" s="10" t="n">
        <f aca="false">IF($AS16="","",IFERROR(IF(INDEX(Matches!$AP$5:$AP$23,MATCH($C16,Matches!$A$5:$A$23,0))="","",IF($AS16="A",INDEX(Matches!$AP$5:$AP$23,MATCH($C16,Matches!$A$5:$A$23,0)),1-INDEX(Matches!$AP$5:$AP$23,MATCH($C16,Matches!$A$5:$A$23,0)))),""))</f>
        <v>0.477820694235736</v>
      </c>
      <c r="AV16" s="13" t="n">
        <f aca="false">IF(OR($AU16="",$AT16=""),1,((Config!$B$14*$AU16+Config!$B$15*(1-$AU16))/(Config!$B$14*$AT16+Config!$B$15*(1-$AT16)))^Config!$B$13)</f>
        <v>0.97425887945931</v>
      </c>
      <c r="AW16" s="10" t="n">
        <f aca="false">IF($AS16="","",IFERROR(IF(INDEX(Matches!$AV$5:$AV$23,MATCH($C16,Matches!$A$5:$A$23,0))="","",IF($AS16="A",INDEX(Matches!$AV$5:$AV$23,MATCH($C16,Matches!$A$5:$A$23,0)),1-INDEX(Matches!$AV$5:$AV$23,MATCH($C16,Matches!$A$5:$A$23,0)))),""))</f>
        <v>0.462651604538437</v>
      </c>
      <c r="AX16" s="13" t="n">
        <f aca="false">IF(OR($AW16="",$AT16=""),1,((Config!$B$14*$AW16+Config!$B$15*(1-$AW16))/(Config!$B$14*$AT16+Config!$B$15*(1-$AT16)))^Config!$B$13)</f>
        <v>0.960785411266332</v>
      </c>
      <c r="AY16" s="10" t="n">
        <f aca="false">IF($AS16="","",IFERROR(IF(INDEX(Matches!$BB$5:$BB$23,MATCH($C16,Matches!$A$5:$A$23,0))="","",IF($AS16="A",INDEX(Matches!$BB$5:$BB$23,MATCH($C16,Matches!$A$5:$A$23,0)),1-INDEX(Matches!$BB$5:$BB$23,MATCH($C16,Matches!$A$5:$A$23,0)))),""))</f>
        <v>0.486473747429987</v>
      </c>
      <c r="AZ16" s="13" t="n">
        <f aca="false">IF(OR($AY16="",$AT16=""),1,((Config!$B$14*$AY16+Config!$B$15*(1-$AY16))/(Config!$B$14*$AT16+Config!$B$15*(1-$AT16)))^Config!$B$13)</f>
        <v>0.981944682583386</v>
      </c>
      <c r="BA16" s="17" t="n">
        <f aca="false">IF(V16="","",V16*$AV16)</f>
        <v>14.2698480250806</v>
      </c>
      <c r="BB16" s="17" t="n">
        <f aca="false">IF(AC16="","",AC16*$AX16)</f>
        <v>14.3909641517509</v>
      </c>
      <c r="BC16" s="17" t="n">
        <f aca="false">IF(AJ16="","",AJ16*$AZ16)</f>
        <v>14.0297578216562</v>
      </c>
      <c r="BD16" s="17" t="n">
        <f aca="false">N(BA16)+N(BB16)</f>
        <v>28.6608121768315</v>
      </c>
      <c r="BE16" s="17" t="n">
        <f aca="false">BD16+N($M16)*N(BC16)</f>
        <v>35.8047648596188</v>
      </c>
      <c r="BF16" s="17" t="n">
        <f aca="false">IF(W16="","",W16*$AV16)</f>
        <v>8.66893267523645</v>
      </c>
      <c r="BG16" s="17" t="n">
        <f aca="false">IF(AD16="","",AD16*$AX16)</f>
        <v>8.53224274597141</v>
      </c>
      <c r="BH16" s="17" t="n">
        <f aca="false">IF(AK16="","",AK16*$AZ16)</f>
        <v>8.4025495026428</v>
      </c>
      <c r="BI16" s="17" t="n">
        <f aca="false">IF(BF16="","",N(BF16)+N(BG16))</f>
        <v>17.2011754212079</v>
      </c>
      <c r="BJ16" s="17" t="n">
        <f aca="false">IF(BI16="","",BI16+N($M16)*N(BH16))</f>
        <v>21.4797536279536</v>
      </c>
      <c r="BK16" s="13" t="n">
        <f aca="false">IFERROR(BD16/AL16,1)</f>
        <v>0.967446772166096</v>
      </c>
    </row>
    <row r="17" customFormat="false" ht="15" hidden="false" customHeight="false" outlineLevel="0" collapsed="false">
      <c r="A17" s="0" t="s">
        <v>1327</v>
      </c>
      <c r="B17" s="0" t="s">
        <v>1139</v>
      </c>
      <c r="C17" s="0" t="s">
        <v>1192</v>
      </c>
      <c r="D17" s="0" t="s">
        <v>1198</v>
      </c>
      <c r="E17" s="0" t="s">
        <v>1326</v>
      </c>
      <c r="F17" s="0" t="s">
        <v>1674</v>
      </c>
      <c r="G17" s="0" t="str">
        <f aca="false">IFERROR(IF(INDEX(Matches!$W$5:$W$23,MATCH($C17,Matches!$A$5:$A$23,0))="","",INDEX(Matches!$W$5:$W$23,MATCH($C17,Matches!$A$5:$A$23,0))),"")</f>
        <v>Ancient</v>
      </c>
      <c r="H17" s="0" t="str">
        <f aca="false">IFERROR(IF(INDEX(Matches!$X$5:$X$23,MATCH($C17,Matches!$A$5:$A$23,0))="","",INDEX(Matches!$X$5:$X$23,MATCH($C17,Matches!$A$5:$A$23,0))),"")</f>
        <v>Cache</v>
      </c>
      <c r="I17" s="0" t="str">
        <f aca="false">IFERROR(IF(INDEX(Matches!$Y$5:$Y$23,MATCH($C17,Matches!$A$5:$A$23,0))="","",INDEX(Matches!$Y$5:$Y$23,MATCH($C17,Matches!$A$5:$A$23,0))),"")</f>
        <v>Nuke</v>
      </c>
      <c r="J17" s="11" t="n">
        <f aca="false">IFERROR(IF(INDEX(Matches!$Z$5:$Z$23,MATCH($C17,Matches!$A$5:$A$23,0))="","",INDEX(Matches!$Z$5:$Z$23,MATCH($C17,Matches!$A$5:$A$23,0))),"")</f>
        <v>21.5</v>
      </c>
      <c r="K17" s="11" t="n">
        <f aca="false">IFERROR(IF(INDEX(Matches!$AA$5:$AA$23,MATCH($C17,Matches!$A$5:$A$23,0))="","",INDEX(Matches!$AA$5:$AA$23,MATCH($C17,Matches!$A$5:$A$23,0))),"")</f>
        <v>21.5</v>
      </c>
      <c r="L17" s="11" t="n">
        <f aca="false">IFERROR(IF(INDEX(Matches!$AB$5:$AB$23,MATCH($C17,Matches!$A$5:$A$23,0))="","",INDEX(Matches!$AB$5:$AB$23,MATCH($C17,Matches!$A$5:$A$23,0))),"")</f>
        <v>21.5</v>
      </c>
      <c r="M17" s="10" t="n">
        <f aca="false">IFERROR(IF(INDEX(Matches!$AC$5:$AC$23,MATCH($C17,Matches!$A$5:$A$23,0))="","",INDEX(Matches!$AC$5:$AC$23,MATCH($C17,Matches!$A$5:$A$23,0))),"")</f>
        <v>0.5092</v>
      </c>
      <c r="N17" s="9" t="n">
        <f aca="false">IFERROR(INDEX(Players!$F$2:$F$137,MATCH($F17,Players!$A$2:$A$137,0)),0)</f>
        <v>27</v>
      </c>
      <c r="O17" s="13" t="n">
        <f aca="false">IFERROR(1/(1/INDEX(Players!$H$2:$H$137,MATCH($F17,Players!$A$2:$A$137,0))),"")</f>
        <v>0.69</v>
      </c>
      <c r="P17" s="10" t="n">
        <f aca="false">IFERROR(1/(1/INDEX(Players!$I$2:$I$137,MATCH($F17,Players!$A$2:$A$137,0))),"")</f>
        <v>0.584</v>
      </c>
      <c r="Q17" s="9" t="n">
        <f aca="false">IF($G17="",0,SUMIFS(Map_Stats!$F$2:$F$850,Map_Stats!$A$2:$A$850,$F17&amp;"|"&amp;$G17))</f>
        <v>3</v>
      </c>
      <c r="R17" s="13" t="n">
        <f aca="false">IF($G17="","",IFERROR(1/(1/INDEX(Map_Stats!$K$2:$K$850,MATCH($F17&amp;"|"&amp;$G17,Map_Stats!$A$2:$A$850,0))),$O17))</f>
        <v>0.68</v>
      </c>
      <c r="S17" s="10" t="n">
        <f aca="false">IF(OR($G17="",$P17=""),"",IFERROR(1/(1/INDEX(Map_Stats!$I$2:$I$850,MATCH($F17&amp;"|"&amp;$G17,Map_Stats!$A$2:$A$850,0))),$P17))</f>
        <v>0.513</v>
      </c>
      <c r="T17" s="13" t="n">
        <f aca="false">IF(OR($G17="",R17=""),"",IF($O17="",R17,(Q17*R17+Config!$B$4*$O17)/(Q17+Config!$B$4)))</f>
        <v>0.68625</v>
      </c>
      <c r="U17" s="10" t="n">
        <f aca="false">IF(S17="","",(Q17*S17+Config!$B$4*$P17)/(Q17+Config!$B$4))</f>
        <v>0.557375</v>
      </c>
      <c r="V17" s="17" t="n">
        <f aca="false">IF(OR(T17="",$J17=""),"",T17*$J17*($J17/Config!$B$10)^Config!$B$9)</f>
        <v>14.754375</v>
      </c>
      <c r="W17" s="17" t="n">
        <f aca="false">IF(OR(V17="",U17=""),"",V17*U17)</f>
        <v>8.223719765625</v>
      </c>
      <c r="X17" s="9" t="n">
        <f aca="false">IF($H17="",0,SUMIFS(Map_Stats!$F$2:$F$850,Map_Stats!$A$2:$A$850,$F17&amp;"|"&amp;$H17))</f>
        <v>4</v>
      </c>
      <c r="Y17" s="13" t="n">
        <f aca="false">IF($H17="","",IFERROR(1/(1/INDEX(Map_Stats!$K$2:$K$850,MATCH($F17&amp;"|"&amp;$H17,Map_Stats!$A$2:$A$850,0))),$O17))</f>
        <v>0.54</v>
      </c>
      <c r="Z17" s="10" t="n">
        <f aca="false">IF(OR($H17="",$P17=""),"",IFERROR(1/(1/INDEX(Map_Stats!$I$2:$I$850,MATCH($F17&amp;"|"&amp;$H17,Map_Stats!$A$2:$A$850,0))),$P17))</f>
        <v>0.581</v>
      </c>
      <c r="AA17" s="13" t="n">
        <f aca="false">IF(OR($H17="",Y17=""),"",IF($O17="",Y17,(X17*Y17+Config!$B$4*$O17)/(X17+Config!$B$4)))</f>
        <v>0.623333333333333</v>
      </c>
      <c r="AB17" s="10" t="n">
        <f aca="false">IF(Z17="","",(X17*Z17+Config!$B$4*$P17)/(X17+Config!$B$4))</f>
        <v>0.582666666666667</v>
      </c>
      <c r="AC17" s="17" t="n">
        <f aca="false">IF(OR(AA17="",$K17=""),"",AA17*$K17*($K17/Config!$B$10)^Config!$B$9)</f>
        <v>13.4016666666667</v>
      </c>
      <c r="AD17" s="17" t="n">
        <f aca="false">IF(OR(AC17="",AB17=""),"",AC17*AB17)</f>
        <v>7.80870444444444</v>
      </c>
      <c r="AE17" s="9" t="n">
        <f aca="false">IF($I17="",0,SUMIFS(Map_Stats!$F$2:$F$850,Map_Stats!$A$2:$A$850,$F17&amp;"|"&amp;$I17))</f>
        <v>6</v>
      </c>
      <c r="AF17" s="13" t="n">
        <f aca="false">IF($I17="","",IFERROR(1/(1/INDEX(Map_Stats!$K$2:$K$850,MATCH($F17&amp;"|"&amp;$I17,Map_Stats!$A$2:$A$850,0))),$O17))</f>
        <v>0.73</v>
      </c>
      <c r="AG17" s="10" t="n">
        <f aca="false">IF(OR($I17="",$P17=""),"",IFERROR(1/(1/INDEX(Map_Stats!$I$2:$I$850,MATCH($F17&amp;"|"&amp;$I17,Map_Stats!$A$2:$A$850,0))),$P17))</f>
        <v>0.648</v>
      </c>
      <c r="AH17" s="13" t="n">
        <f aca="false">IF(OR($I17="",AF17=""),"",IF($O17="",AF17,(AE17*AF17+Config!$B$4*$O17)/(AE17+Config!$B$4)))</f>
        <v>0.711818181818182</v>
      </c>
      <c r="AI17" s="10" t="n">
        <f aca="false">IF(AG17="","",(AE17*AG17+Config!$B$4*$P17)/(AE17+Config!$B$4))</f>
        <v>0.618909090909091</v>
      </c>
      <c r="AJ17" s="17" t="n">
        <f aca="false">IF(OR(AH17="",$L17=""),"",AH17*$L17*($L17/Config!$B$10)^Config!$B$9)</f>
        <v>15.3040909090909</v>
      </c>
      <c r="AK17" s="17" t="n">
        <f aca="false">IF(OR(AJ17="",AI17=""),"",AJ17*AI17)</f>
        <v>9.47184099173554</v>
      </c>
      <c r="AL17" s="17" t="n">
        <f aca="false">N(V17)+N(AC17)</f>
        <v>28.1560416666667</v>
      </c>
      <c r="AM17" s="17" t="n">
        <f aca="false">AL17+N($M17)*N(AJ17)</f>
        <v>35.9488847575758</v>
      </c>
      <c r="AN17" s="17" t="n">
        <f aca="false">IF(W17="","",N(W17)+N(AD17))</f>
        <v>16.0324242100694</v>
      </c>
      <c r="AO17" s="17" t="n">
        <f aca="false">IF(AN17="","",AN17+N($M17)*N(AK17))</f>
        <v>20.8554856430612</v>
      </c>
      <c r="AP17" s="10" t="n">
        <f aca="false">IFERROR(AN17/AL17,"")</f>
        <v>0.569413286138509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IF($C17=Board!$B$2,COUNTIFS($C$2:$C$137,Board!$B$2,$AL$2:$AL$137,"&gt;"&amp;$AL17)+COUNTIFS($C$1:$C16,Board!$B$2,$AL$1:$AL16,$AL17)+1,"")</f>
        <v/>
      </c>
      <c r="AS17" s="0" t="str">
        <f aca="false">IFERROR(IF($D17=INDEX(Matches!$AD$5:$AD$23,MATCH($C17,Matches!$A$5:$A$23,0)),"A",IF($D17=INDEX(Matches!$AE$5:$AE$23,MATCH($C17,Matches!$A$5:$A$23,0)),"B","")),"")</f>
        <v>B</v>
      </c>
      <c r="AT17" s="10" t="n">
        <f aca="false">IF($AS17="","",IFERROR(IF($AS17="A",INDEX(Matches!$AI$5:$AI$23,MATCH($C17,Matches!$A$5:$A$23,0)),INDEX(Matches!$AJ$5:$AJ$23,MATCH($C17,Matches!$A$5:$A$23,0))),""))</f>
        <v>0.506801307155743</v>
      </c>
      <c r="AU17" s="10" t="n">
        <f aca="false">IF($AS17="","",IFERROR(IF(INDEX(Matches!$AP$5:$AP$23,MATCH($C17,Matches!$A$5:$A$23,0))="","",IF($AS17="A",INDEX(Matches!$AP$5:$AP$23,MATCH($C17,Matches!$A$5:$A$23,0)),1-INDEX(Matches!$AP$5:$AP$23,MATCH($C17,Matches!$A$5:$A$23,0)))),""))</f>
        <v>0.477820694235736</v>
      </c>
      <c r="AV17" s="13" t="n">
        <f aca="false">IF(OR($AU17="",$AT17=""),1,((Config!$B$14*$AU17+Config!$B$15*(1-$AU17))/(Config!$B$14*$AT17+Config!$B$15*(1-$AT17)))^Config!$B$13)</f>
        <v>0.97425887945931</v>
      </c>
      <c r="AW17" s="10" t="n">
        <f aca="false">IF($AS17="","",IFERROR(IF(INDEX(Matches!$AV$5:$AV$23,MATCH($C17,Matches!$A$5:$A$23,0))="","",IF($AS17="A",INDEX(Matches!$AV$5:$AV$23,MATCH($C17,Matches!$A$5:$A$23,0)),1-INDEX(Matches!$AV$5:$AV$23,MATCH($C17,Matches!$A$5:$A$23,0)))),""))</f>
        <v>0.462651604538437</v>
      </c>
      <c r="AX17" s="13" t="n">
        <f aca="false">IF(OR($AW17="",$AT17=""),1,((Config!$B$14*$AW17+Config!$B$15*(1-$AW17))/(Config!$B$14*$AT17+Config!$B$15*(1-$AT17)))^Config!$B$13)</f>
        <v>0.960785411266332</v>
      </c>
      <c r="AY17" s="10" t="n">
        <f aca="false">IF($AS17="","",IFERROR(IF(INDEX(Matches!$BB$5:$BB$23,MATCH($C17,Matches!$A$5:$A$23,0))="","",IF($AS17="A",INDEX(Matches!$BB$5:$BB$23,MATCH($C17,Matches!$A$5:$A$23,0)),1-INDEX(Matches!$BB$5:$BB$23,MATCH($C17,Matches!$A$5:$A$23,0)))),""))</f>
        <v>0.486473747429987</v>
      </c>
      <c r="AZ17" s="13" t="n">
        <f aca="false">IF(OR($AY17="",$AT17=""),1,((Config!$B$14*$AY17+Config!$B$15*(1-$AY17))/(Config!$B$14*$AT17+Config!$B$15*(1-$AT17)))^Config!$B$13)</f>
        <v>0.981944682583386</v>
      </c>
      <c r="BA17" s="17" t="n">
        <f aca="false">IF(V17="","",V17*$AV17)</f>
        <v>14.3745808546225</v>
      </c>
      <c r="BB17" s="17" t="n">
        <f aca="false">IF(AC17="","",AC17*$AX17)</f>
        <v>12.8761258199876</v>
      </c>
      <c r="BC17" s="17" t="n">
        <f aca="false">IF(AJ17="","",AJ17*$AZ17)</f>
        <v>15.0277706899545</v>
      </c>
      <c r="BD17" s="17" t="n">
        <f aca="false">N(BA17)+N(BB17)</f>
        <v>27.2507066746101</v>
      </c>
      <c r="BE17" s="17" t="n">
        <f aca="false">BD17+N($M17)*N(BC17)</f>
        <v>34.9028475099349</v>
      </c>
      <c r="BF17" s="17" t="n">
        <f aca="false">IF(W17="","",W17*$AV17)</f>
        <v>8.01203200384519</v>
      </c>
      <c r="BG17" s="17" t="n">
        <f aca="false">IF(AD17="","",AD17*$AX17)</f>
        <v>7.50248931111279</v>
      </c>
      <c r="BH17" s="17" t="n">
        <f aca="false">IF(AK17="","",AK17*$AZ17)</f>
        <v>9.30082389611005</v>
      </c>
      <c r="BI17" s="17" t="n">
        <f aca="false">IF(BF17="","",N(BF17)+N(BG17))</f>
        <v>15.514521314958</v>
      </c>
      <c r="BJ17" s="17" t="n">
        <f aca="false">IF(BI17="","",BI17+N($M17)*N(BH17))</f>
        <v>20.2505008428572</v>
      </c>
      <c r="BK17" s="13" t="n">
        <f aca="false">IFERROR(BD17/AL17,1)</f>
        <v>0.96784580010306</v>
      </c>
    </row>
    <row r="18" customFormat="false" ht="15" hidden="false" customHeight="false" outlineLevel="0" collapsed="false">
      <c r="A18" s="0" t="s">
        <v>1330</v>
      </c>
      <c r="B18" s="0" t="s">
        <v>1139</v>
      </c>
      <c r="C18" s="0" t="s">
        <v>1192</v>
      </c>
      <c r="D18" s="0" t="s">
        <v>1198</v>
      </c>
      <c r="E18" s="0" t="s">
        <v>1328</v>
      </c>
      <c r="F18" s="0" t="s">
        <v>1675</v>
      </c>
      <c r="G18" s="0" t="str">
        <f aca="false">IFERROR(IF(INDEX(Matches!$W$5:$W$23,MATCH($C18,Matches!$A$5:$A$23,0))="","",INDEX(Matches!$W$5:$W$23,MATCH($C18,Matches!$A$5:$A$23,0))),"")</f>
        <v>Ancient</v>
      </c>
      <c r="H18" s="0" t="str">
        <f aca="false">IFERROR(IF(INDEX(Matches!$X$5:$X$23,MATCH($C18,Matches!$A$5:$A$23,0))="","",INDEX(Matches!$X$5:$X$23,MATCH($C18,Matches!$A$5:$A$23,0))),"")</f>
        <v>Cache</v>
      </c>
      <c r="I18" s="0" t="str">
        <f aca="false">IFERROR(IF(INDEX(Matches!$Y$5:$Y$23,MATCH($C18,Matches!$A$5:$A$23,0))="","",INDEX(Matches!$Y$5:$Y$23,MATCH($C18,Matches!$A$5:$A$23,0))),"")</f>
        <v>Nuke</v>
      </c>
      <c r="J18" s="11" t="n">
        <f aca="false">IFERROR(IF(INDEX(Matches!$Z$5:$Z$23,MATCH($C18,Matches!$A$5:$A$23,0))="","",INDEX(Matches!$Z$5:$Z$23,MATCH($C18,Matches!$A$5:$A$23,0))),"")</f>
        <v>21.5</v>
      </c>
      <c r="K18" s="11" t="n">
        <f aca="false">IFERROR(IF(INDEX(Matches!$AA$5:$AA$23,MATCH($C18,Matches!$A$5:$A$23,0))="","",INDEX(Matches!$AA$5:$AA$23,MATCH($C18,Matches!$A$5:$A$23,0))),"")</f>
        <v>21.5</v>
      </c>
      <c r="L18" s="11" t="n">
        <f aca="false">IFERROR(IF(INDEX(Matches!$AB$5:$AB$23,MATCH($C18,Matches!$A$5:$A$23,0))="","",INDEX(Matches!$AB$5:$AB$23,MATCH($C18,Matches!$A$5:$A$23,0))),"")</f>
        <v>21.5</v>
      </c>
      <c r="M18" s="10" t="n">
        <f aca="false">IFERROR(IF(INDEX(Matches!$AC$5:$AC$23,MATCH($C18,Matches!$A$5:$A$23,0))="","",INDEX(Matches!$AC$5:$AC$23,MATCH($C18,Matches!$A$5:$A$23,0))),"")</f>
        <v>0.5092</v>
      </c>
      <c r="N18" s="9" t="n">
        <f aca="false">IFERROR(INDEX(Players!$F$2:$F$137,MATCH($F18,Players!$A$2:$A$137,0)),0)</f>
        <v>27</v>
      </c>
      <c r="O18" s="13" t="n">
        <f aca="false">IFERROR(1/(1/INDEX(Players!$H$2:$H$137,MATCH($F18,Players!$A$2:$A$137,0))),"")</f>
        <v>0.71</v>
      </c>
      <c r="P18" s="10" t="n">
        <f aca="false">IFERROR(1/(1/INDEX(Players!$I$2:$I$137,MATCH($F18,Players!$A$2:$A$137,0))),"")</f>
        <v>0.29</v>
      </c>
      <c r="Q18" s="9" t="n">
        <f aca="false">IF($G18="",0,SUMIFS(Map_Stats!$F$2:$F$850,Map_Stats!$A$2:$A$850,$F18&amp;"|"&amp;$G18))</f>
        <v>3</v>
      </c>
      <c r="R18" s="13" t="n">
        <f aca="false">IF($G18="","",IFERROR(1/(1/INDEX(Map_Stats!$K$2:$K$850,MATCH($F18&amp;"|"&amp;$G18,Map_Stats!$A$2:$A$850,0))),$O18))</f>
        <v>0.67</v>
      </c>
      <c r="S18" s="10" t="n">
        <f aca="false">IF(OR($G18="",$P18=""),"",IFERROR(1/(1/INDEX(Map_Stats!$I$2:$I$850,MATCH($F18&amp;"|"&amp;$G18,Map_Stats!$A$2:$A$850,0))),$P18))</f>
        <v>0.289</v>
      </c>
      <c r="T18" s="13" t="n">
        <f aca="false">IF(OR($G18="",R18=""),"",IF($O18="",R18,(Q18*R18+Config!$B$4*$O18)/(Q18+Config!$B$4)))</f>
        <v>0.695</v>
      </c>
      <c r="U18" s="10" t="n">
        <f aca="false">IF(S18="","",(Q18*S18+Config!$B$4*$P18)/(Q18+Config!$B$4))</f>
        <v>0.289625</v>
      </c>
      <c r="V18" s="17" t="n">
        <f aca="false">IF(OR(T18="",$J18=""),"",T18*$J18*($J18/Config!$B$10)^Config!$B$9)</f>
        <v>14.9425</v>
      </c>
      <c r="W18" s="17" t="n">
        <f aca="false">IF(OR(V18="",U18=""),"",V18*U18)</f>
        <v>4.3277215625</v>
      </c>
      <c r="X18" s="9" t="n">
        <f aca="false">IF($H18="",0,SUMIFS(Map_Stats!$F$2:$F$850,Map_Stats!$A$2:$A$850,$F18&amp;"|"&amp;$H18))</f>
        <v>4</v>
      </c>
      <c r="Y18" s="13" t="n">
        <f aca="false">IF($H18="","",IFERROR(1/(1/INDEX(Map_Stats!$K$2:$K$850,MATCH($F18&amp;"|"&amp;$H18,Map_Stats!$A$2:$A$850,0))),$O18))</f>
        <v>0.66</v>
      </c>
      <c r="Z18" s="10" t="n">
        <f aca="false">IF(OR($H18="",$P18=""),"",IFERROR(1/(1/INDEX(Map_Stats!$I$2:$I$850,MATCH($F18&amp;"|"&amp;$H18,Map_Stats!$A$2:$A$850,0))),$P18))</f>
        <v>0.269</v>
      </c>
      <c r="AA18" s="13" t="n">
        <f aca="false">IF(OR($H18="",Y18=""),"",IF($O18="",Y18,(X18*Y18+Config!$B$4*$O18)/(X18+Config!$B$4)))</f>
        <v>0.687777777777778</v>
      </c>
      <c r="AB18" s="10" t="n">
        <f aca="false">IF(Z18="","",(X18*Z18+Config!$B$4*$P18)/(X18+Config!$B$4))</f>
        <v>0.280666666666667</v>
      </c>
      <c r="AC18" s="17" t="n">
        <f aca="false">IF(OR(AA18="",$K18=""),"",AA18*$K18*($K18/Config!$B$10)^Config!$B$9)</f>
        <v>14.7872222222222</v>
      </c>
      <c r="AD18" s="17" t="n">
        <f aca="false">IF(OR(AC18="",AB18=""),"",AC18*AB18)</f>
        <v>4.15028037037037</v>
      </c>
      <c r="AE18" s="9" t="n">
        <f aca="false">IF($I18="",0,SUMIFS(Map_Stats!$F$2:$F$850,Map_Stats!$A$2:$A$850,$F18&amp;"|"&amp;$I18))</f>
        <v>6</v>
      </c>
      <c r="AF18" s="13" t="n">
        <f aca="false">IF($I18="","",IFERROR(1/(1/INDEX(Map_Stats!$K$2:$K$850,MATCH($F18&amp;"|"&amp;$I18,Map_Stats!$A$2:$A$850,0))),$O18))</f>
        <v>0.72</v>
      </c>
      <c r="AG18" s="10" t="n">
        <f aca="false">IF(OR($I18="",$P18=""),"",IFERROR(1/(1/INDEX(Map_Stats!$I$2:$I$850,MATCH($F18&amp;"|"&amp;$I18,Map_Stats!$A$2:$A$850,0))),$P18))</f>
        <v>0.264</v>
      </c>
      <c r="AH18" s="13" t="n">
        <f aca="false">IF(OR($I18="",AF18=""),"",IF($O18="",AF18,(AE18*AF18+Config!$B$4*$O18)/(AE18+Config!$B$4)))</f>
        <v>0.715454545454546</v>
      </c>
      <c r="AI18" s="10" t="n">
        <f aca="false">IF(AG18="","",(AE18*AG18+Config!$B$4*$P18)/(AE18+Config!$B$4))</f>
        <v>0.275818181818182</v>
      </c>
      <c r="AJ18" s="17" t="n">
        <f aca="false">IF(OR(AH18="",$L18=""),"",AH18*$L18*($L18/Config!$B$10)^Config!$B$9)</f>
        <v>15.3822727272727</v>
      </c>
      <c r="AK18" s="17" t="n">
        <f aca="false">IF(OR(AJ18="",AI18=""),"",AJ18*AI18)</f>
        <v>4.24271049586777</v>
      </c>
      <c r="AL18" s="17" t="n">
        <f aca="false">N(V18)+N(AC18)</f>
        <v>29.7297222222222</v>
      </c>
      <c r="AM18" s="17" t="n">
        <f aca="false">AL18+N($M18)*N(AJ18)</f>
        <v>37.5623754949495</v>
      </c>
      <c r="AN18" s="17" t="n">
        <f aca="false">IF(W18="","",N(W18)+N(AD18))</f>
        <v>8.47800193287037</v>
      </c>
      <c r="AO18" s="17" t="n">
        <f aca="false">IF(AN18="","",AN18+N($M18)*N(AK18))</f>
        <v>10.6383901173662</v>
      </c>
      <c r="AP18" s="10" t="n">
        <f aca="false">IFERROR(AN18/AL18,"")</f>
        <v>0.285169227936253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IF($C18=Board!$B$2,COUNTIFS($C$2:$C$137,Board!$B$2,$AL$2:$AL$137,"&gt;"&amp;$AL18)+COUNTIFS($C$1:$C17,Board!$B$2,$AL$1:$AL17,$AL18)+1,"")</f>
        <v/>
      </c>
      <c r="AS18" s="0" t="str">
        <f aca="false">IFERROR(IF($D18=INDEX(Matches!$AD$5:$AD$23,MATCH($C18,Matches!$A$5:$A$23,0)),"A",IF($D18=INDEX(Matches!$AE$5:$AE$23,MATCH($C18,Matches!$A$5:$A$23,0)),"B","")),"")</f>
        <v>B</v>
      </c>
      <c r="AT18" s="10" t="n">
        <f aca="false">IF($AS18="","",IFERROR(IF($AS18="A",INDEX(Matches!$AI$5:$AI$23,MATCH($C18,Matches!$A$5:$A$23,0)),INDEX(Matches!$AJ$5:$AJ$23,MATCH($C18,Matches!$A$5:$A$23,0))),""))</f>
        <v>0.506801307155743</v>
      </c>
      <c r="AU18" s="10" t="n">
        <f aca="false">IF($AS18="","",IFERROR(IF(INDEX(Matches!$AP$5:$AP$23,MATCH($C18,Matches!$A$5:$A$23,0))="","",IF($AS18="A",INDEX(Matches!$AP$5:$AP$23,MATCH($C18,Matches!$A$5:$A$23,0)),1-INDEX(Matches!$AP$5:$AP$23,MATCH($C18,Matches!$A$5:$A$23,0)))),""))</f>
        <v>0.477820694235736</v>
      </c>
      <c r="AV18" s="13" t="n">
        <f aca="false">IF(OR($AU18="",$AT18=""),1,((Config!$B$14*$AU18+Config!$B$15*(1-$AU18))/(Config!$B$14*$AT18+Config!$B$15*(1-$AT18)))^Config!$B$13)</f>
        <v>0.97425887945931</v>
      </c>
      <c r="AW18" s="10" t="n">
        <f aca="false">IF($AS18="","",IFERROR(IF(INDEX(Matches!$AV$5:$AV$23,MATCH($C18,Matches!$A$5:$A$23,0))="","",IF($AS18="A",INDEX(Matches!$AV$5:$AV$23,MATCH($C18,Matches!$A$5:$A$23,0)),1-INDEX(Matches!$AV$5:$AV$23,MATCH($C18,Matches!$A$5:$A$23,0)))),""))</f>
        <v>0.462651604538437</v>
      </c>
      <c r="AX18" s="13" t="n">
        <f aca="false">IF(OR($AW18="",$AT18=""),1,((Config!$B$14*$AW18+Config!$B$15*(1-$AW18))/(Config!$B$14*$AT18+Config!$B$15*(1-$AT18)))^Config!$B$13)</f>
        <v>0.960785411266332</v>
      </c>
      <c r="AY18" s="10" t="n">
        <f aca="false">IF($AS18="","",IFERROR(IF(INDEX(Matches!$BB$5:$BB$23,MATCH($C18,Matches!$A$5:$A$23,0))="","",IF($AS18="A",INDEX(Matches!$BB$5:$BB$23,MATCH($C18,Matches!$A$5:$A$23,0)),1-INDEX(Matches!$BB$5:$BB$23,MATCH($C18,Matches!$A$5:$A$23,0)))),""))</f>
        <v>0.486473747429987</v>
      </c>
      <c r="AZ18" s="13" t="n">
        <f aca="false">IF(OR($AY18="",$AT18=""),1,((Config!$B$14*$AY18+Config!$B$15*(1-$AY18))/(Config!$B$14*$AT18+Config!$B$15*(1-$AT18)))^Config!$B$13)</f>
        <v>0.981944682583386</v>
      </c>
      <c r="BA18" s="17" t="n">
        <f aca="false">IF(V18="","",V18*$AV18)</f>
        <v>14.5578633063207</v>
      </c>
      <c r="BB18" s="17" t="n">
        <f aca="false">IF(AC18="","",AC18*$AX18)</f>
        <v>14.2073473842644</v>
      </c>
      <c r="BC18" s="17" t="n">
        <f aca="false">IF(AJ18="","",AJ18*$AZ18)</f>
        <v>15.1045409105929</v>
      </c>
      <c r="BD18" s="17" t="n">
        <f aca="false">N(BA18)+N(BB18)</f>
        <v>28.7652106905852</v>
      </c>
      <c r="BE18" s="17" t="n">
        <f aca="false">BD18+N($M18)*N(BC18)</f>
        <v>36.4564429222591</v>
      </c>
      <c r="BF18" s="17" t="n">
        <f aca="false">IF(W18="","",W18*$AV18)</f>
        <v>4.21632116009315</v>
      </c>
      <c r="BG18" s="17" t="n">
        <f aca="false">IF(AD18="","",AD18*$AX18)</f>
        <v>3.98752883251688</v>
      </c>
      <c r="BH18" s="17" t="n">
        <f aca="false">IF(AK18="","",AK18*$AZ18)</f>
        <v>4.16610701115808</v>
      </c>
      <c r="BI18" s="17" t="n">
        <f aca="false">IF(BF18="","",N(BF18)+N(BG18))</f>
        <v>8.20384999261003</v>
      </c>
      <c r="BJ18" s="17" t="n">
        <f aca="false">IF(BI18="","",BI18+N($M18)*N(BH18))</f>
        <v>10.3252316826917</v>
      </c>
      <c r="BK18" s="13" t="n">
        <f aca="false">IFERROR(BD18/AL18,1)</f>
        <v>0.967557331197797</v>
      </c>
    </row>
    <row r="19" customFormat="false" ht="15" hidden="false" customHeight="false" outlineLevel="0" collapsed="false">
      <c r="A19" s="0" t="s">
        <v>1332</v>
      </c>
      <c r="B19" s="0" t="s">
        <v>1139</v>
      </c>
      <c r="C19" s="0" t="s">
        <v>1192</v>
      </c>
      <c r="D19" s="0" t="s">
        <v>1198</v>
      </c>
      <c r="E19" s="0" t="s">
        <v>1331</v>
      </c>
      <c r="F19" s="0" t="s">
        <v>1676</v>
      </c>
      <c r="G19" s="0" t="str">
        <f aca="false">IFERROR(IF(INDEX(Matches!$W$5:$W$23,MATCH($C19,Matches!$A$5:$A$23,0))="","",INDEX(Matches!$W$5:$W$23,MATCH($C19,Matches!$A$5:$A$23,0))),"")</f>
        <v>Ancient</v>
      </c>
      <c r="H19" s="0" t="str">
        <f aca="false">IFERROR(IF(INDEX(Matches!$X$5:$X$23,MATCH($C19,Matches!$A$5:$A$23,0))="","",INDEX(Matches!$X$5:$X$23,MATCH($C19,Matches!$A$5:$A$23,0))),"")</f>
        <v>Cache</v>
      </c>
      <c r="I19" s="0" t="str">
        <f aca="false">IFERROR(IF(INDEX(Matches!$Y$5:$Y$23,MATCH($C19,Matches!$A$5:$A$23,0))="","",INDEX(Matches!$Y$5:$Y$23,MATCH($C19,Matches!$A$5:$A$23,0))),"")</f>
        <v>Nuke</v>
      </c>
      <c r="J19" s="11" t="n">
        <f aca="false">IFERROR(IF(INDEX(Matches!$Z$5:$Z$23,MATCH($C19,Matches!$A$5:$A$23,0))="","",INDEX(Matches!$Z$5:$Z$23,MATCH($C19,Matches!$A$5:$A$23,0))),"")</f>
        <v>21.5</v>
      </c>
      <c r="K19" s="11" t="n">
        <f aca="false">IFERROR(IF(INDEX(Matches!$AA$5:$AA$23,MATCH($C19,Matches!$A$5:$A$23,0))="","",INDEX(Matches!$AA$5:$AA$23,MATCH($C19,Matches!$A$5:$A$23,0))),"")</f>
        <v>21.5</v>
      </c>
      <c r="L19" s="11" t="n">
        <f aca="false">IFERROR(IF(INDEX(Matches!$AB$5:$AB$23,MATCH($C19,Matches!$A$5:$A$23,0))="","",INDEX(Matches!$AB$5:$AB$23,MATCH($C19,Matches!$A$5:$A$23,0))),"")</f>
        <v>21.5</v>
      </c>
      <c r="M19" s="10" t="n">
        <f aca="false">IFERROR(IF(INDEX(Matches!$AC$5:$AC$23,MATCH($C19,Matches!$A$5:$A$23,0))="","",INDEX(Matches!$AC$5:$AC$23,MATCH($C19,Matches!$A$5:$A$23,0))),"")</f>
        <v>0.5092</v>
      </c>
      <c r="N19" s="9" t="n">
        <f aca="false">IFERROR(INDEX(Players!$F$2:$F$137,MATCH($F19,Players!$A$2:$A$137,0)),0)</f>
        <v>27</v>
      </c>
      <c r="O19" s="13" t="n">
        <f aca="false">IFERROR(1/(1/INDEX(Players!$H$2:$H$137,MATCH($F19,Players!$A$2:$A$137,0))),"")</f>
        <v>0.58</v>
      </c>
      <c r="P19" s="10" t="n">
        <f aca="false">IFERROR(1/(1/INDEX(Players!$I$2:$I$137,MATCH($F19,Players!$A$2:$A$137,0))),"")</f>
        <v>0.526</v>
      </c>
      <c r="Q19" s="9" t="n">
        <f aca="false">IF($G19="",0,SUMIFS(Map_Stats!$F$2:$F$850,Map_Stats!$A$2:$A$850,$F19&amp;"|"&amp;$G19))</f>
        <v>3</v>
      </c>
      <c r="R19" s="13" t="n">
        <f aca="false">IF($G19="","",IFERROR(1/(1/INDEX(Map_Stats!$K$2:$K$850,MATCH($F19&amp;"|"&amp;$G19,Map_Stats!$A$2:$A$850,0))),$O19))</f>
        <v>0.53</v>
      </c>
      <c r="S19" s="10" t="n">
        <f aca="false">IF(OR($G19="",$P19=""),"",IFERROR(1/(1/INDEX(Map_Stats!$I$2:$I$850,MATCH($F19&amp;"|"&amp;$G19,Map_Stats!$A$2:$A$850,0))),$P19))</f>
        <v>0.567</v>
      </c>
      <c r="T19" s="13" t="n">
        <f aca="false">IF(OR($G19="",R19=""),"",IF($O19="",R19,(Q19*R19+Config!$B$4*$O19)/(Q19+Config!$B$4)))</f>
        <v>0.56125</v>
      </c>
      <c r="U19" s="10" t="n">
        <f aca="false">IF(S19="","",(Q19*S19+Config!$B$4*$P19)/(Q19+Config!$B$4))</f>
        <v>0.541375</v>
      </c>
      <c r="V19" s="17" t="n">
        <f aca="false">IF(OR(T19="",$J19=""),"",T19*$J19*($J19/Config!$B$10)^Config!$B$9)</f>
        <v>12.066875</v>
      </c>
      <c r="W19" s="17" t="n">
        <f aca="false">IF(OR(V19="",U19=""),"",V19*U19)</f>
        <v>6.532704453125</v>
      </c>
      <c r="X19" s="9" t="n">
        <f aca="false">IF($H19="",0,SUMIFS(Map_Stats!$F$2:$F$850,Map_Stats!$A$2:$A$850,$F19&amp;"|"&amp;$H19))</f>
        <v>4</v>
      </c>
      <c r="Y19" s="13" t="n">
        <f aca="false">IF($H19="","",IFERROR(1/(1/INDEX(Map_Stats!$K$2:$K$850,MATCH($F19&amp;"|"&amp;$H19,Map_Stats!$A$2:$A$850,0))),$O19))</f>
        <v>0.59</v>
      </c>
      <c r="Z19" s="10" t="n">
        <f aca="false">IF(OR($H19="",$P19=""),"",IFERROR(1/(1/INDEX(Map_Stats!$I$2:$I$850,MATCH($F19&amp;"|"&amp;$H19,Map_Stats!$A$2:$A$850,0))),$P19))</f>
        <v>0.553</v>
      </c>
      <c r="AA19" s="13" t="n">
        <f aca="false">IF(OR($H19="",Y19=""),"",IF($O19="",Y19,(X19*Y19+Config!$B$4*$O19)/(X19+Config!$B$4)))</f>
        <v>0.584444444444444</v>
      </c>
      <c r="AB19" s="10" t="n">
        <f aca="false">IF(Z19="","",(X19*Z19+Config!$B$4*$P19)/(X19+Config!$B$4))</f>
        <v>0.538</v>
      </c>
      <c r="AC19" s="17" t="n">
        <f aca="false">IF(OR(AA19="",$K19=""),"",AA19*$K19*($K19/Config!$B$10)^Config!$B$9)</f>
        <v>12.5655555555556</v>
      </c>
      <c r="AD19" s="17" t="n">
        <f aca="false">IF(OR(AC19="",AB19=""),"",AC19*AB19)</f>
        <v>6.76026888888889</v>
      </c>
      <c r="AE19" s="9" t="n">
        <f aca="false">IF($I19="",0,SUMIFS(Map_Stats!$F$2:$F$850,Map_Stats!$A$2:$A$850,$F19&amp;"|"&amp;$I19))</f>
        <v>6</v>
      </c>
      <c r="AF19" s="13" t="n">
        <f aca="false">IF($I19="","",IFERROR(1/(1/INDEX(Map_Stats!$K$2:$K$850,MATCH($F19&amp;"|"&amp;$I19,Map_Stats!$A$2:$A$850,0))),$O19))</f>
        <v>0.54</v>
      </c>
      <c r="AG19" s="10" t="n">
        <f aca="false">IF(OR($I19="",$P19=""),"",IFERROR(1/(1/INDEX(Map_Stats!$I$2:$I$850,MATCH($F19&amp;"|"&amp;$I19,Map_Stats!$A$2:$A$850,0))),$P19))</f>
        <v>0.538</v>
      </c>
      <c r="AH19" s="13" t="n">
        <f aca="false">IF(OR($I19="",AF19=""),"",IF($O19="",AF19,(AE19*AF19+Config!$B$4*$O19)/(AE19+Config!$B$4)))</f>
        <v>0.558181818181818</v>
      </c>
      <c r="AI19" s="10" t="n">
        <f aca="false">IF(AG19="","",(AE19*AG19+Config!$B$4*$P19)/(AE19+Config!$B$4))</f>
        <v>0.532545454545455</v>
      </c>
      <c r="AJ19" s="17" t="n">
        <f aca="false">IF(OR(AH19="",$L19=""),"",AH19*$L19*($L19/Config!$B$10)^Config!$B$9)</f>
        <v>12.0009090909091</v>
      </c>
      <c r="AK19" s="17" t="n">
        <f aca="false">IF(OR(AJ19="",AI19=""),"",AJ19*AI19)</f>
        <v>6.39102958677686</v>
      </c>
      <c r="AL19" s="17" t="n">
        <f aca="false">N(V19)+N(AC19)</f>
        <v>24.6324305555556</v>
      </c>
      <c r="AM19" s="17" t="n">
        <f aca="false">AL19+N($M19)*N(AJ19)</f>
        <v>30.7432934646465</v>
      </c>
      <c r="AN19" s="17" t="n">
        <f aca="false">IF(W19="","",N(W19)+N(AD19))</f>
        <v>13.2929733420139</v>
      </c>
      <c r="AO19" s="17" t="n">
        <f aca="false">IF(AN19="","",AN19+N($M19)*N(AK19))</f>
        <v>16.5472856076007</v>
      </c>
      <c r="AP19" s="10" t="n">
        <f aca="false">IFERROR(AN19/AL19,"")</f>
        <v>0.539653336768093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IF($C19=Board!$B$2,COUNTIFS($C$2:$C$137,Board!$B$2,$AL$2:$AL$137,"&gt;"&amp;$AL19)+COUNTIFS($C$1:$C18,Board!$B$2,$AL$1:$AL18,$AL19)+1,"")</f>
        <v/>
      </c>
      <c r="AS19" s="0" t="str">
        <f aca="false">IFERROR(IF($D19=INDEX(Matches!$AD$5:$AD$23,MATCH($C19,Matches!$A$5:$A$23,0)),"A",IF($D19=INDEX(Matches!$AE$5:$AE$23,MATCH($C19,Matches!$A$5:$A$23,0)),"B","")),"")</f>
        <v>B</v>
      </c>
      <c r="AT19" s="10" t="n">
        <f aca="false">IF($AS19="","",IFERROR(IF($AS19="A",INDEX(Matches!$AI$5:$AI$23,MATCH($C19,Matches!$A$5:$A$23,0)),INDEX(Matches!$AJ$5:$AJ$23,MATCH($C19,Matches!$A$5:$A$23,0))),""))</f>
        <v>0.506801307155743</v>
      </c>
      <c r="AU19" s="10" t="n">
        <f aca="false">IF($AS19="","",IFERROR(IF(INDEX(Matches!$AP$5:$AP$23,MATCH($C19,Matches!$A$5:$A$23,0))="","",IF($AS19="A",INDEX(Matches!$AP$5:$AP$23,MATCH($C19,Matches!$A$5:$A$23,0)),1-INDEX(Matches!$AP$5:$AP$23,MATCH($C19,Matches!$A$5:$A$23,0)))),""))</f>
        <v>0.477820694235736</v>
      </c>
      <c r="AV19" s="13" t="n">
        <f aca="false">IF(OR($AU19="",$AT19=""),1,((Config!$B$14*$AU19+Config!$B$15*(1-$AU19))/(Config!$B$14*$AT19+Config!$B$15*(1-$AT19)))^Config!$B$13)</f>
        <v>0.97425887945931</v>
      </c>
      <c r="AW19" s="10" t="n">
        <f aca="false">IF($AS19="","",IFERROR(IF(INDEX(Matches!$AV$5:$AV$23,MATCH($C19,Matches!$A$5:$A$23,0))="","",IF($AS19="A",INDEX(Matches!$AV$5:$AV$23,MATCH($C19,Matches!$A$5:$A$23,0)),1-INDEX(Matches!$AV$5:$AV$23,MATCH($C19,Matches!$A$5:$A$23,0)))),""))</f>
        <v>0.462651604538437</v>
      </c>
      <c r="AX19" s="13" t="n">
        <f aca="false">IF(OR($AW19="",$AT19=""),1,((Config!$B$14*$AW19+Config!$B$15*(1-$AW19))/(Config!$B$14*$AT19+Config!$B$15*(1-$AT19)))^Config!$B$13)</f>
        <v>0.960785411266332</v>
      </c>
      <c r="AY19" s="10" t="n">
        <f aca="false">IF($AS19="","",IFERROR(IF(INDEX(Matches!$BB$5:$BB$23,MATCH($C19,Matches!$A$5:$A$23,0))="","",IF($AS19="A",INDEX(Matches!$BB$5:$BB$23,MATCH($C19,Matches!$A$5:$A$23,0)),1-INDEX(Matches!$BB$5:$BB$23,MATCH($C19,Matches!$A$5:$A$23,0)))),""))</f>
        <v>0.486473747429987</v>
      </c>
      <c r="AZ19" s="13" t="n">
        <f aca="false">IF(OR($AY19="",$AT19=""),1,((Config!$B$14*$AY19+Config!$B$15*(1-$AY19))/(Config!$B$14*$AT19+Config!$B$15*(1-$AT19)))^Config!$B$13)</f>
        <v>0.981944682583386</v>
      </c>
      <c r="BA19" s="17" t="n">
        <f aca="false">IF(V19="","",V19*$AV19)</f>
        <v>11.7562601160756</v>
      </c>
      <c r="BB19" s="17" t="n">
        <f aca="false">IF(AC19="","",AC19*$AX19)</f>
        <v>12.0728024622344</v>
      </c>
      <c r="BC19" s="17" t="n">
        <f aca="false">IF(AJ19="","",AJ19*$AZ19)</f>
        <v>11.7842288679848</v>
      </c>
      <c r="BD19" s="17" t="n">
        <f aca="false">N(BA19)+N(BB19)</f>
        <v>23.82906257831</v>
      </c>
      <c r="BE19" s="17" t="n">
        <f aca="false">BD19+N($M19)*N(BC19)</f>
        <v>29.8295919178878</v>
      </c>
      <c r="BF19" s="17" t="n">
        <f aca="false">IF(W19="","",W19*$AV19)</f>
        <v>6.36454532034041</v>
      </c>
      <c r="BG19" s="17" t="n">
        <f aca="false">IF(AD19="","",AD19*$AX19)</f>
        <v>6.4951677246821</v>
      </c>
      <c r="BH19" s="17" t="n">
        <f aca="false">IF(AK19="","",AK19*$AZ19)</f>
        <v>6.27563751896863</v>
      </c>
      <c r="BI19" s="17" t="n">
        <f aca="false">IF(BF19="","",N(BF19)+N(BG19))</f>
        <v>12.8597130450225</v>
      </c>
      <c r="BJ19" s="17" t="n">
        <f aca="false">IF(BI19="","",BI19+N($M19)*N(BH19))</f>
        <v>16.0552676696813</v>
      </c>
      <c r="BK19" s="13" t="n">
        <f aca="false">IFERROR(BD19/AL19,1)</f>
        <v>0.967385761001794</v>
      </c>
    </row>
    <row r="20" customFormat="false" ht="15" hidden="false" customHeight="false" outlineLevel="0" collapsed="false">
      <c r="A20" s="0" t="s">
        <v>1334</v>
      </c>
      <c r="B20" s="0" t="s">
        <v>1139</v>
      </c>
      <c r="C20" s="0" t="s">
        <v>1192</v>
      </c>
      <c r="D20" s="0" t="s">
        <v>1198</v>
      </c>
      <c r="E20" s="0" t="s">
        <v>1333</v>
      </c>
      <c r="F20" s="0" t="s">
        <v>1677</v>
      </c>
      <c r="G20" s="0" t="str">
        <f aca="false">IFERROR(IF(INDEX(Matches!$W$5:$W$23,MATCH($C20,Matches!$A$5:$A$23,0))="","",INDEX(Matches!$W$5:$W$23,MATCH($C20,Matches!$A$5:$A$23,0))),"")</f>
        <v>Ancient</v>
      </c>
      <c r="H20" s="0" t="str">
        <f aca="false">IFERROR(IF(INDEX(Matches!$X$5:$X$23,MATCH($C20,Matches!$A$5:$A$23,0))="","",INDEX(Matches!$X$5:$X$23,MATCH($C20,Matches!$A$5:$A$23,0))),"")</f>
        <v>Cache</v>
      </c>
      <c r="I20" s="0" t="str">
        <f aca="false">IFERROR(IF(INDEX(Matches!$Y$5:$Y$23,MATCH($C20,Matches!$A$5:$A$23,0))="","",INDEX(Matches!$Y$5:$Y$23,MATCH($C20,Matches!$A$5:$A$23,0))),"")</f>
        <v>Nuke</v>
      </c>
      <c r="J20" s="11" t="n">
        <f aca="false">IFERROR(IF(INDEX(Matches!$Z$5:$Z$23,MATCH($C20,Matches!$A$5:$A$23,0))="","",INDEX(Matches!$Z$5:$Z$23,MATCH($C20,Matches!$A$5:$A$23,0))),"")</f>
        <v>21.5</v>
      </c>
      <c r="K20" s="11" t="n">
        <f aca="false">IFERROR(IF(INDEX(Matches!$AA$5:$AA$23,MATCH($C20,Matches!$A$5:$A$23,0))="","",INDEX(Matches!$AA$5:$AA$23,MATCH($C20,Matches!$A$5:$A$23,0))),"")</f>
        <v>21.5</v>
      </c>
      <c r="L20" s="11" t="n">
        <f aca="false">IFERROR(IF(INDEX(Matches!$AB$5:$AB$23,MATCH($C20,Matches!$A$5:$A$23,0))="","",INDEX(Matches!$AB$5:$AB$23,MATCH($C20,Matches!$A$5:$A$23,0))),"")</f>
        <v>21.5</v>
      </c>
      <c r="M20" s="10" t="n">
        <f aca="false">IFERROR(IF(INDEX(Matches!$AC$5:$AC$23,MATCH($C20,Matches!$A$5:$A$23,0))="","",INDEX(Matches!$AC$5:$AC$23,MATCH($C20,Matches!$A$5:$A$23,0))),"")</f>
        <v>0.5092</v>
      </c>
      <c r="N20" s="9" t="n">
        <f aca="false">IFERROR(INDEX(Players!$F$2:$F$137,MATCH($F20,Players!$A$2:$A$137,0)),0)</f>
        <v>27</v>
      </c>
      <c r="O20" s="13" t="n">
        <f aca="false">IFERROR(1/(1/INDEX(Players!$H$2:$H$137,MATCH($F20,Players!$A$2:$A$137,0))),"")</f>
        <v>0.68</v>
      </c>
      <c r="P20" s="10" t="n">
        <f aca="false">IFERROR(1/(1/INDEX(Players!$I$2:$I$137,MATCH($F20,Players!$A$2:$A$137,0))),"")</f>
        <v>0.589</v>
      </c>
      <c r="Q20" s="9" t="n">
        <f aca="false">IF($G20="",0,SUMIFS(Map_Stats!$F$2:$F$850,Map_Stats!$A$2:$A$850,$F20&amp;"|"&amp;$G20))</f>
        <v>3</v>
      </c>
      <c r="R20" s="13" t="n">
        <f aca="false">IF($G20="","",IFERROR(1/(1/INDEX(Map_Stats!$K$2:$K$850,MATCH($F20&amp;"|"&amp;$G20,Map_Stats!$A$2:$A$850,0))),$O20))</f>
        <v>0.53</v>
      </c>
      <c r="S20" s="10" t="n">
        <f aca="false">IF(OR($G20="",$P20=""),"",IFERROR(1/(1/INDEX(Map_Stats!$I$2:$I$850,MATCH($F20&amp;"|"&amp;$G20,Map_Stats!$A$2:$A$850,0))),$P20))</f>
        <v>0.6</v>
      </c>
      <c r="T20" s="13" t="n">
        <f aca="false">IF(OR($G20="",R20=""),"",IF($O20="",R20,(Q20*R20+Config!$B$4*$O20)/(Q20+Config!$B$4)))</f>
        <v>0.62375</v>
      </c>
      <c r="U20" s="10" t="n">
        <f aca="false">IF(S20="","",(Q20*S20+Config!$B$4*$P20)/(Q20+Config!$B$4))</f>
        <v>0.593125</v>
      </c>
      <c r="V20" s="17" t="n">
        <f aca="false">IF(OR(T20="",$J20=""),"",T20*$J20*($J20/Config!$B$10)^Config!$B$9)</f>
        <v>13.410625</v>
      </c>
      <c r="W20" s="17" t="n">
        <f aca="false">IF(OR(V20="",U20=""),"",V20*U20)</f>
        <v>7.954176953125</v>
      </c>
      <c r="X20" s="9" t="n">
        <f aca="false">IF($H20="",0,SUMIFS(Map_Stats!$F$2:$F$850,Map_Stats!$A$2:$A$850,$F20&amp;"|"&amp;$H20))</f>
        <v>4</v>
      </c>
      <c r="Y20" s="13" t="n">
        <f aca="false">IF($H20="","",IFERROR(1/(1/INDEX(Map_Stats!$K$2:$K$850,MATCH($F20&amp;"|"&amp;$H20,Map_Stats!$A$2:$A$850,0))),$O20))</f>
        <v>0.7</v>
      </c>
      <c r="Z20" s="10" t="n">
        <f aca="false">IF(OR($H20="",$P20=""),"",IFERROR(1/(1/INDEX(Map_Stats!$I$2:$I$850,MATCH($F20&amp;"|"&amp;$H20,Map_Stats!$A$2:$A$850,0))),$P20))</f>
        <v>0.618</v>
      </c>
      <c r="AA20" s="13" t="n">
        <f aca="false">IF(OR($H20="",Y20=""),"",IF($O20="",Y20,(X20*Y20+Config!$B$4*$O20)/(X20+Config!$B$4)))</f>
        <v>0.688888888888889</v>
      </c>
      <c r="AB20" s="10" t="n">
        <f aca="false">IF(Z20="","",(X20*Z20+Config!$B$4*$P20)/(X20+Config!$B$4))</f>
        <v>0.601888888888889</v>
      </c>
      <c r="AC20" s="17" t="n">
        <f aca="false">IF(OR(AA20="",$K20=""),"",AA20*$K20*($K20/Config!$B$10)^Config!$B$9)</f>
        <v>14.8111111111111</v>
      </c>
      <c r="AD20" s="17" t="n">
        <f aca="false">IF(OR(AC20="",AB20=""),"",AC20*AB20)</f>
        <v>8.91464320987654</v>
      </c>
      <c r="AE20" s="9" t="n">
        <f aca="false">IF($I20="",0,SUMIFS(Map_Stats!$F$2:$F$850,Map_Stats!$A$2:$A$850,$F20&amp;"|"&amp;$I20))</f>
        <v>6</v>
      </c>
      <c r="AF20" s="13" t="n">
        <f aca="false">IF($I20="","",IFERROR(1/(1/INDEX(Map_Stats!$K$2:$K$850,MATCH($F20&amp;"|"&amp;$I20,Map_Stats!$A$2:$A$850,0))),$O20))</f>
        <v>0.6</v>
      </c>
      <c r="AG20" s="10" t="n">
        <f aca="false">IF(OR($I20="",$P20=""),"",IFERROR(1/(1/INDEX(Map_Stats!$I$2:$I$850,MATCH($F20&amp;"|"&amp;$I20,Map_Stats!$A$2:$A$850,0))),$P20))</f>
        <v>0.611</v>
      </c>
      <c r="AH20" s="13" t="n">
        <f aca="false">IF(OR($I20="",AF20=""),"",IF($O20="",AF20,(AE20*AF20+Config!$B$4*$O20)/(AE20+Config!$B$4)))</f>
        <v>0.636363636363636</v>
      </c>
      <c r="AI20" s="10" t="n">
        <f aca="false">IF(AG20="","",(AE20*AG20+Config!$B$4*$P20)/(AE20+Config!$B$4))</f>
        <v>0.601</v>
      </c>
      <c r="AJ20" s="17" t="n">
        <f aca="false">IF(OR(AH20="",$L20=""),"",AH20*$L20*($L20/Config!$B$10)^Config!$B$9)</f>
        <v>13.6818181818182</v>
      </c>
      <c r="AK20" s="17" t="n">
        <f aca="false">IF(OR(AJ20="",AI20=""),"",AJ20*AI20)</f>
        <v>8.22277272727273</v>
      </c>
      <c r="AL20" s="17" t="n">
        <f aca="false">N(V20)+N(AC20)</f>
        <v>28.2217361111111</v>
      </c>
      <c r="AM20" s="17" t="n">
        <f aca="false">AL20+N($M20)*N(AJ20)</f>
        <v>35.1885179292929</v>
      </c>
      <c r="AN20" s="17" t="n">
        <f aca="false">IF(W20="","",N(W20)+N(AD20))</f>
        <v>16.8688201630015</v>
      </c>
      <c r="AO20" s="17" t="n">
        <f aca="false">IF(AN20="","",AN20+N($M20)*N(AK20))</f>
        <v>21.0558560357288</v>
      </c>
      <c r="AP20" s="10" t="n">
        <f aca="false">IFERROR(AN20/AL20,"")</f>
        <v>0.597724395713564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IF($C20=Board!$B$2,COUNTIFS($C$2:$C$137,Board!$B$2,$AL$2:$AL$137,"&gt;"&amp;$AL20)+COUNTIFS($C$1:$C19,Board!$B$2,$AL$1:$AL19,$AL20)+1,"")</f>
        <v/>
      </c>
      <c r="AS20" s="0" t="str">
        <f aca="false">IFERROR(IF($D20=INDEX(Matches!$AD$5:$AD$23,MATCH($C20,Matches!$A$5:$A$23,0)),"A",IF($D20=INDEX(Matches!$AE$5:$AE$23,MATCH($C20,Matches!$A$5:$A$23,0)),"B","")),"")</f>
        <v>B</v>
      </c>
      <c r="AT20" s="10" t="n">
        <f aca="false">IF($AS20="","",IFERROR(IF($AS20="A",INDEX(Matches!$AI$5:$AI$23,MATCH($C20,Matches!$A$5:$A$23,0)),INDEX(Matches!$AJ$5:$AJ$23,MATCH($C20,Matches!$A$5:$A$23,0))),""))</f>
        <v>0.506801307155743</v>
      </c>
      <c r="AU20" s="10" t="n">
        <f aca="false">IF($AS20="","",IFERROR(IF(INDEX(Matches!$AP$5:$AP$23,MATCH($C20,Matches!$A$5:$A$23,0))="","",IF($AS20="A",INDEX(Matches!$AP$5:$AP$23,MATCH($C20,Matches!$A$5:$A$23,0)),1-INDEX(Matches!$AP$5:$AP$23,MATCH($C20,Matches!$A$5:$A$23,0)))),""))</f>
        <v>0.477820694235736</v>
      </c>
      <c r="AV20" s="13" t="n">
        <f aca="false">IF(OR($AU20="",$AT20=""),1,((Config!$B$14*$AU20+Config!$B$15*(1-$AU20))/(Config!$B$14*$AT20+Config!$B$15*(1-$AT20)))^Config!$B$13)</f>
        <v>0.97425887945931</v>
      </c>
      <c r="AW20" s="10" t="n">
        <f aca="false">IF($AS20="","",IFERROR(IF(INDEX(Matches!$AV$5:$AV$23,MATCH($C20,Matches!$A$5:$A$23,0))="","",IF($AS20="A",INDEX(Matches!$AV$5:$AV$23,MATCH($C20,Matches!$A$5:$A$23,0)),1-INDEX(Matches!$AV$5:$AV$23,MATCH($C20,Matches!$A$5:$A$23,0)))),""))</f>
        <v>0.462651604538437</v>
      </c>
      <c r="AX20" s="13" t="n">
        <f aca="false">IF(OR($AW20="",$AT20=""),1,((Config!$B$14*$AW20+Config!$B$15*(1-$AW20))/(Config!$B$14*$AT20+Config!$B$15*(1-$AT20)))^Config!$B$13)</f>
        <v>0.960785411266332</v>
      </c>
      <c r="AY20" s="10" t="n">
        <f aca="false">IF($AS20="","",IFERROR(IF(INDEX(Matches!$BB$5:$BB$23,MATCH($C20,Matches!$A$5:$A$23,0))="","",IF($AS20="A",INDEX(Matches!$BB$5:$BB$23,MATCH($C20,Matches!$A$5:$A$23,0)),1-INDEX(Matches!$BB$5:$BB$23,MATCH($C20,Matches!$A$5:$A$23,0)))),""))</f>
        <v>0.486473747429987</v>
      </c>
      <c r="AZ20" s="13" t="n">
        <f aca="false">IF(OR($AY20="",$AT20=""),1,((Config!$B$14*$AY20+Config!$B$15*(1-$AY20))/(Config!$B$14*$AT20+Config!$B$15*(1-$AT20)))^Config!$B$13)</f>
        <v>0.981944682583386</v>
      </c>
      <c r="BA20" s="17" t="n">
        <f aca="false">IF(V20="","",V20*$AV20)</f>
        <v>13.065420485349</v>
      </c>
      <c r="BB20" s="17" t="n">
        <f aca="false">IF(AC20="","",AC20*$AX20)</f>
        <v>14.2302994802002</v>
      </c>
      <c r="BC20" s="17" t="n">
        <f aca="false">IF(AJ20="","",AJ20*$AZ20)</f>
        <v>13.434788611709</v>
      </c>
      <c r="BD20" s="17" t="n">
        <f aca="false">N(BA20)+N(BB20)</f>
        <v>27.2957199655492</v>
      </c>
      <c r="BE20" s="17" t="n">
        <f aca="false">BD20+N($M20)*N(BC20)</f>
        <v>34.1367143266315</v>
      </c>
      <c r="BF20" s="17" t="n">
        <f aca="false">IF(W20="","",W20*$AV20)</f>
        <v>7.74942752537263</v>
      </c>
      <c r="BG20" s="17" t="n">
        <f aca="false">IF(AD20="","",AD20*$AX20)</f>
        <v>8.56505914269385</v>
      </c>
      <c r="BH20" s="17" t="n">
        <f aca="false">IF(AK20="","",AK20*$AZ20)</f>
        <v>8.07430795563714</v>
      </c>
      <c r="BI20" s="17" t="n">
        <f aca="false">IF(BF20="","",N(BF20)+N(BG20))</f>
        <v>16.3144866680665</v>
      </c>
      <c r="BJ20" s="17" t="n">
        <f aca="false">IF(BI20="","",BI20+N($M20)*N(BH20))</f>
        <v>20.4259242790769</v>
      </c>
      <c r="BK20" s="13" t="n">
        <f aca="false">IFERROR(BD20/AL20,1)</f>
        <v>0.967187839121021</v>
      </c>
    </row>
    <row r="21" customFormat="false" ht="15" hidden="false" customHeight="false" outlineLevel="0" collapsed="false">
      <c r="A21" s="0" t="s">
        <v>1337</v>
      </c>
      <c r="B21" s="0" t="s">
        <v>1139</v>
      </c>
      <c r="C21" s="0" t="s">
        <v>1147</v>
      </c>
      <c r="D21" s="0" t="s">
        <v>1152</v>
      </c>
      <c r="E21" s="0" t="s">
        <v>1335</v>
      </c>
      <c r="F21" s="0" t="s">
        <v>1678</v>
      </c>
      <c r="G21" s="0" t="str">
        <f aca="false">IFERROR(IF(INDEX(Matches!$W$5:$W$23,MATCH($C21,Matches!$A$5:$A$23,0))="","",INDEX(Matches!$W$5:$W$23,MATCH($C21,Matches!$A$5:$A$23,0))),"")</f>
        <v>Dust2</v>
      </c>
      <c r="H21" s="0" t="str">
        <f aca="false">IFERROR(IF(INDEX(Matches!$X$5:$X$23,MATCH($C21,Matches!$A$5:$A$23,0))="","",INDEX(Matches!$X$5:$X$23,MATCH($C21,Matches!$A$5:$A$23,0))),"")</f>
        <v>Cache</v>
      </c>
      <c r="I21" s="0" t="str">
        <f aca="false">IFERROR(IF(INDEX(Matches!$Y$5:$Y$23,MATCH($C21,Matches!$A$5:$A$23,0))="","",INDEX(Matches!$Y$5:$Y$23,MATCH($C21,Matches!$A$5:$A$23,0))),"")</f>
        <v>Mirage</v>
      </c>
      <c r="J21" s="11" t="n">
        <f aca="false">IFERROR(IF(INDEX(Matches!$Z$5:$Z$23,MATCH($C21,Matches!$A$5:$A$23,0))="","",INDEX(Matches!$Z$5:$Z$23,MATCH($C21,Matches!$A$5:$A$23,0))),"")</f>
        <v>21.5</v>
      </c>
      <c r="K21" s="11" t="n">
        <f aca="false">IFERROR(IF(INDEX(Matches!$AA$5:$AA$23,MATCH($C21,Matches!$A$5:$A$23,0))="","",INDEX(Matches!$AA$5:$AA$23,MATCH($C21,Matches!$A$5:$A$23,0))),"")</f>
        <v>21.5</v>
      </c>
      <c r="L21" s="11" t="n">
        <f aca="false">IFERROR(IF(INDEX(Matches!$AB$5:$AB$23,MATCH($C21,Matches!$A$5:$A$23,0))="","",INDEX(Matches!$AB$5:$AB$23,MATCH($C21,Matches!$A$5:$A$23,0))),"")</f>
        <v>21.5</v>
      </c>
      <c r="M21" s="10" t="n">
        <f aca="false">IFERROR(IF(INDEX(Matches!$AC$5:$AC$23,MATCH($C21,Matches!$A$5:$A$23,0))="","",INDEX(Matches!$AC$5:$AC$23,MATCH($C21,Matches!$A$5:$A$23,0))),"")</f>
        <v>0.4863</v>
      </c>
      <c r="N21" s="9" t="n">
        <f aca="false">IFERROR(INDEX(Players!$F$2:$F$137,MATCH($F21,Players!$A$2:$A$137,0)),0)</f>
        <v>30</v>
      </c>
      <c r="O21" s="13" t="n">
        <f aca="false">IFERROR(1/(1/INDEX(Players!$H$2:$H$137,MATCH($F21,Players!$A$2:$A$137,0))),"")</f>
        <v>0.58</v>
      </c>
      <c r="P21" s="10" t="n">
        <f aca="false">IFERROR(1/(1/INDEX(Players!$I$2:$I$137,MATCH($F21,Players!$A$2:$A$137,0))),"")</f>
        <v>0.539</v>
      </c>
      <c r="Q21" s="9" t="n">
        <f aca="false">IF($G21="",0,SUMIFS(Map_Stats!$F$2:$F$850,Map_Stats!$A$2:$A$850,$F21&amp;"|"&amp;$G21))</f>
        <v>6</v>
      </c>
      <c r="R21" s="13" t="n">
        <f aca="false">IF($G21="","",IFERROR(1/(1/INDEX(Map_Stats!$K$2:$K$850,MATCH($F21&amp;"|"&amp;$G21,Map_Stats!$A$2:$A$850,0))),$O21))</f>
        <v>0.6</v>
      </c>
      <c r="S21" s="10" t="n">
        <f aca="false">IF(OR($G21="",$P21=""),"",IFERROR(1/(1/INDEX(Map_Stats!$I$2:$I$850,MATCH($F21&amp;"|"&amp;$G21,Map_Stats!$A$2:$A$850,0))),$P21))</f>
        <v>0.592</v>
      </c>
      <c r="T21" s="13" t="n">
        <f aca="false">IF(OR($G21="",R21=""),"",IF($O21="",R21,(Q21*R21+Config!$B$4*$O21)/(Q21+Config!$B$4)))</f>
        <v>0.590909090909091</v>
      </c>
      <c r="U21" s="10" t="n">
        <f aca="false">IF(S21="","",(Q21*S21+Config!$B$4*$P21)/(Q21+Config!$B$4))</f>
        <v>0.567909090909091</v>
      </c>
      <c r="V21" s="17" t="n">
        <f aca="false">IF(OR(T21="",$J21=""),"",T21*$J21*($J21/Config!$B$10)^Config!$B$9)</f>
        <v>12.7045454545455</v>
      </c>
      <c r="W21" s="17" t="n">
        <f aca="false">IF(OR(V21="",U21=""),"",V21*U21)</f>
        <v>7.21502685950413</v>
      </c>
      <c r="X21" s="9" t="n">
        <f aca="false">IF($H21="",0,SUMIFS(Map_Stats!$F$2:$F$850,Map_Stats!$A$2:$A$850,$F21&amp;"|"&amp;$H21))</f>
        <v>3</v>
      </c>
      <c r="Y21" s="13" t="n">
        <f aca="false">IF($H21="","",IFERROR(1/(1/INDEX(Map_Stats!$K$2:$K$850,MATCH($F21&amp;"|"&amp;$H21,Map_Stats!$A$2:$A$850,0))),$O21))</f>
        <v>0.44</v>
      </c>
      <c r="Z21" s="10" t="n">
        <f aca="false">IF(OR($H21="",$P21=""),"",IFERROR(1/(1/INDEX(Map_Stats!$I$2:$I$850,MATCH($F21&amp;"|"&amp;$H21,Map_Stats!$A$2:$A$850,0))),$P21))</f>
        <v>0.483</v>
      </c>
      <c r="AA21" s="13" t="n">
        <f aca="false">IF(OR($H21="",Y21=""),"",IF($O21="",Y21,(X21*Y21+Config!$B$4*$O21)/(X21+Config!$B$4)))</f>
        <v>0.5275</v>
      </c>
      <c r="AB21" s="10" t="n">
        <f aca="false">IF(Z21="","",(X21*Z21+Config!$B$4*$P21)/(X21+Config!$B$4))</f>
        <v>0.518</v>
      </c>
      <c r="AC21" s="17" t="n">
        <f aca="false">IF(OR(AA21="",$K21=""),"",AA21*$K21*($K21/Config!$B$10)^Config!$B$9)</f>
        <v>11.34125</v>
      </c>
      <c r="AD21" s="17" t="n">
        <f aca="false">IF(OR(AC21="",AB21=""),"",AC21*AB21)</f>
        <v>5.8747675</v>
      </c>
      <c r="AE21" s="9" t="n">
        <f aca="false">IF($I21="",0,SUMIFS(Map_Stats!$F$2:$F$850,Map_Stats!$A$2:$A$850,$F21&amp;"|"&amp;$I21))</f>
        <v>9</v>
      </c>
      <c r="AF21" s="13" t="n">
        <f aca="false">IF($I21="","",IFERROR(1/(1/INDEX(Map_Stats!$K$2:$K$850,MATCH($F21&amp;"|"&amp;$I21,Map_Stats!$A$2:$A$850,0))),$O21))</f>
        <v>0.65</v>
      </c>
      <c r="AG21" s="10" t="n">
        <f aca="false">IF(OR($I21="",$P21=""),"",IFERROR(1/(1/INDEX(Map_Stats!$I$2:$I$850,MATCH($F21&amp;"|"&amp;$I21,Map_Stats!$A$2:$A$850,0))),$P21))</f>
        <v>0.538</v>
      </c>
      <c r="AH21" s="13" t="n">
        <f aca="false">IF(OR($I21="",AF21=""),"",IF($O21="",AF21,(AE21*AF21+Config!$B$4*$O21)/(AE21+Config!$B$4)))</f>
        <v>0.625</v>
      </c>
      <c r="AI21" s="10" t="n">
        <f aca="false">IF(AG21="","",(AE21*AG21+Config!$B$4*$P21)/(AE21+Config!$B$4))</f>
        <v>0.538357142857143</v>
      </c>
      <c r="AJ21" s="17" t="n">
        <f aca="false">IF(OR(AH21="",$L21=""),"",AH21*$L21*($L21/Config!$B$10)^Config!$B$9)</f>
        <v>13.4375</v>
      </c>
      <c r="AK21" s="17" t="n">
        <f aca="false">IF(OR(AJ21="",AI21=""),"",AJ21*AI21)</f>
        <v>7.23417410714286</v>
      </c>
      <c r="AL21" s="17" t="n">
        <f aca="false">N(V21)+N(AC21)</f>
        <v>24.0457954545455</v>
      </c>
      <c r="AM21" s="17" t="n">
        <f aca="false">AL21+N($M21)*N(AJ21)</f>
        <v>30.5804517045455</v>
      </c>
      <c r="AN21" s="17" t="n">
        <f aca="false">IF(W21="","",N(W21)+N(AD21))</f>
        <v>13.0897943595041</v>
      </c>
      <c r="AO21" s="17" t="n">
        <f aca="false">IF(AN21="","",AN21+N($M21)*N(AK21))</f>
        <v>16.6077732278077</v>
      </c>
      <c r="AP21" s="10" t="n">
        <f aca="false">IFERROR(AN21/AL21,"")</f>
        <v>0.544369363211469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IF($C21=Board!$B$2,COUNTIFS($C$2:$C$137,Board!$B$2,$AL$2:$AL$137,"&gt;"&amp;$AL21)+COUNTIFS($C$1:$C20,Board!$B$2,$AL$1:$AL20,$AL21)+1,"")</f>
        <v/>
      </c>
      <c r="AS21" s="0" t="str">
        <f aca="false">IFERROR(IF($D21=INDEX(Matches!$AD$5:$AD$23,MATCH($C21,Matches!$A$5:$A$23,0)),"A",IF($D21=INDEX(Matches!$AE$5:$AE$23,MATCH($C21,Matches!$A$5:$A$23,0)),"B","")),"")</f>
        <v>A</v>
      </c>
      <c r="AT21" s="10" t="n">
        <f aca="false">IF($AS21="","",IFERROR(IF($AS21="A",INDEX(Matches!$AI$5:$AI$23,MATCH($C21,Matches!$A$5:$A$23,0)),INDEX(Matches!$AJ$5:$AJ$23,MATCH($C21,Matches!$A$5:$A$23,0))),""))</f>
        <v>0.530850982444716</v>
      </c>
      <c r="AU21" s="10" t="n">
        <f aca="false">IF($AS21="","",IFERROR(IF(INDEX(Matches!$AP$5:$AP$23,MATCH($C21,Matches!$A$5:$A$23,0))="","",IF($AS21="A",INDEX(Matches!$AP$5:$AP$23,MATCH($C21,Matches!$A$5:$A$23,0)),1-INDEX(Matches!$AP$5:$AP$23,MATCH($C21,Matches!$A$5:$A$23,0)))),""))</f>
        <v>0.480152667839314</v>
      </c>
      <c r="AV21" s="13" t="n">
        <f aca="false">IF(OR($AU21="",$AT21=""),1,((Config!$B$14*$AU21+Config!$B$15*(1-$AU21))/(Config!$B$14*$AT21+Config!$B$15*(1-$AT21)))^Config!$B$13)</f>
        <v>0.955910621562975</v>
      </c>
      <c r="AW21" s="10" t="n">
        <f aca="false">IF($AS21="","",IFERROR(IF(INDEX(Matches!$AV$5:$AV$23,MATCH($C21,Matches!$A$5:$A$23,0))="","",IF($AS21="A",INDEX(Matches!$AV$5:$AV$23,MATCH($C21,Matches!$A$5:$A$23,0)),1-INDEX(Matches!$AV$5:$AV$23,MATCH($C21,Matches!$A$5:$A$23,0)))),""))</f>
        <v>0.530667126357525</v>
      </c>
      <c r="AX21" s="13" t="n">
        <f aca="false">IF(OR($AW21="",$AT21=""),1,((Config!$B$14*$AW21+Config!$B$15*(1-$AW21))/(Config!$B$14*$AT21+Config!$B$15*(1-$AT21)))^Config!$B$13)</f>
        <v>0.999840111043745</v>
      </c>
      <c r="AY21" s="10" t="n">
        <f aca="false">IF($AS21="","",IFERROR(IF(INDEX(Matches!$BB$5:$BB$23,MATCH($C21,Matches!$A$5:$A$23,0))="","",IF($AS21="A",INDEX(Matches!$BB$5:$BB$23,MATCH($C21,Matches!$A$5:$A$23,0)),1-INDEX(Matches!$BB$5:$BB$23,MATCH($C21,Matches!$A$5:$A$23,0)))),""))</f>
        <v>0.521762594872757</v>
      </c>
      <c r="AZ21" s="13" t="n">
        <f aca="false">IF(OR($AY21="",$AT21=""),1,((Config!$B$14*$AY21+Config!$B$15*(1-$AY21))/(Config!$B$14*$AT21+Config!$B$15*(1-$AT21)))^Config!$B$13)</f>
        <v>0.992096357400414</v>
      </c>
      <c r="BA21" s="17" t="n">
        <f aca="false">IF(V21="","",V21*$AV21)</f>
        <v>12.1444099421296</v>
      </c>
      <c r="BB21" s="17" t="n">
        <f aca="false">IF(AC21="","",AC21*$AX21)</f>
        <v>11.3394366593749</v>
      </c>
      <c r="BC21" s="17" t="n">
        <f aca="false">IF(AJ21="","",AJ21*$AZ21)</f>
        <v>13.3312948025681</v>
      </c>
      <c r="BD21" s="17" t="n">
        <f aca="false">N(BA21)+N(BB21)</f>
        <v>23.4838466015045</v>
      </c>
      <c r="BE21" s="17" t="n">
        <f aca="false">BD21+N($M21)*N(BC21)</f>
        <v>29.9668552639933</v>
      </c>
      <c r="BF21" s="17" t="n">
        <f aca="false">IF(W21="","",W21*$AV21)</f>
        <v>6.89692080986216</v>
      </c>
      <c r="BG21" s="17" t="n">
        <f aca="false">IF(AD21="","",AD21*$AX21)</f>
        <v>5.87382818955619</v>
      </c>
      <c r="BH21" s="17" t="n">
        <f aca="false">IF(AK21="","",AK21*$AZ21)</f>
        <v>7.17699778049682</v>
      </c>
      <c r="BI21" s="17" t="n">
        <f aca="false">IF(BF21="","",N(BF21)+N(BG21))</f>
        <v>12.7707489994183</v>
      </c>
      <c r="BJ21" s="17" t="n">
        <f aca="false">IF(BI21="","",BI21+N($M21)*N(BH21))</f>
        <v>16.2609230200739</v>
      </c>
      <c r="BK21" s="13" t="n">
        <f aca="false">IFERROR(BD21/AL21,1)</f>
        <v>0.976630057670446</v>
      </c>
    </row>
    <row r="22" customFormat="false" ht="15" hidden="false" customHeight="false" outlineLevel="0" collapsed="false">
      <c r="A22" s="0" t="s">
        <v>1341</v>
      </c>
      <c r="B22" s="0" t="s">
        <v>1139</v>
      </c>
      <c r="C22" s="0" t="s">
        <v>1147</v>
      </c>
      <c r="D22" s="0" t="s">
        <v>1152</v>
      </c>
      <c r="E22" s="0" t="s">
        <v>1339</v>
      </c>
      <c r="F22" s="0" t="s">
        <v>1679</v>
      </c>
      <c r="G22" s="0" t="str">
        <f aca="false">IFERROR(IF(INDEX(Matches!$W$5:$W$23,MATCH($C22,Matches!$A$5:$A$23,0))="","",INDEX(Matches!$W$5:$W$23,MATCH($C22,Matches!$A$5:$A$23,0))),"")</f>
        <v>Dust2</v>
      </c>
      <c r="H22" s="0" t="str">
        <f aca="false">IFERROR(IF(INDEX(Matches!$X$5:$X$23,MATCH($C22,Matches!$A$5:$A$23,0))="","",INDEX(Matches!$X$5:$X$23,MATCH($C22,Matches!$A$5:$A$23,0))),"")</f>
        <v>Cache</v>
      </c>
      <c r="I22" s="0" t="str">
        <f aca="false">IFERROR(IF(INDEX(Matches!$Y$5:$Y$23,MATCH($C22,Matches!$A$5:$A$23,0))="","",INDEX(Matches!$Y$5:$Y$23,MATCH($C22,Matches!$A$5:$A$23,0))),"")</f>
        <v>Mirage</v>
      </c>
      <c r="J22" s="11" t="n">
        <f aca="false">IFERROR(IF(INDEX(Matches!$Z$5:$Z$23,MATCH($C22,Matches!$A$5:$A$23,0))="","",INDEX(Matches!$Z$5:$Z$23,MATCH($C22,Matches!$A$5:$A$23,0))),"")</f>
        <v>21.5</v>
      </c>
      <c r="K22" s="11" t="n">
        <f aca="false">IFERROR(IF(INDEX(Matches!$AA$5:$AA$23,MATCH($C22,Matches!$A$5:$A$23,0))="","",INDEX(Matches!$AA$5:$AA$23,MATCH($C22,Matches!$A$5:$A$23,0))),"")</f>
        <v>21.5</v>
      </c>
      <c r="L22" s="11" t="n">
        <f aca="false">IFERROR(IF(INDEX(Matches!$AB$5:$AB$23,MATCH($C22,Matches!$A$5:$A$23,0))="","",INDEX(Matches!$AB$5:$AB$23,MATCH($C22,Matches!$A$5:$A$23,0))),"")</f>
        <v>21.5</v>
      </c>
      <c r="M22" s="10" t="n">
        <f aca="false">IFERROR(IF(INDEX(Matches!$AC$5:$AC$23,MATCH($C22,Matches!$A$5:$A$23,0))="","",INDEX(Matches!$AC$5:$AC$23,MATCH($C22,Matches!$A$5:$A$23,0))),"")</f>
        <v>0.4863</v>
      </c>
      <c r="N22" s="9" t="n">
        <f aca="false">IFERROR(INDEX(Players!$F$2:$F$137,MATCH($F22,Players!$A$2:$A$137,0)),0)</f>
        <v>30</v>
      </c>
      <c r="O22" s="13" t="n">
        <f aca="false">IFERROR(1/(1/INDEX(Players!$H$2:$H$137,MATCH($F22,Players!$A$2:$A$137,0))),"")</f>
        <v>0.7</v>
      </c>
      <c r="P22" s="10" t="n">
        <f aca="false">IFERROR(1/(1/INDEX(Players!$I$2:$I$137,MATCH($F22,Players!$A$2:$A$137,0))),"")</f>
        <v>0.673</v>
      </c>
      <c r="Q22" s="9" t="n">
        <f aca="false">IF($G22="",0,SUMIFS(Map_Stats!$F$2:$F$850,Map_Stats!$A$2:$A$850,$F22&amp;"|"&amp;$G22))</f>
        <v>6</v>
      </c>
      <c r="R22" s="13" t="n">
        <f aca="false">IF($G22="","",IFERROR(1/(1/INDEX(Map_Stats!$K$2:$K$850,MATCH($F22&amp;"|"&amp;$G22,Map_Stats!$A$2:$A$850,0))),$O22))</f>
        <v>0.81</v>
      </c>
      <c r="S22" s="10" t="n">
        <f aca="false">IF(OR($G22="",$P22=""),"",IFERROR(1/(1/INDEX(Map_Stats!$I$2:$I$850,MATCH($F22&amp;"|"&amp;$G22,Map_Stats!$A$2:$A$850,0))),$P22))</f>
        <v>0.696</v>
      </c>
      <c r="T22" s="13" t="n">
        <f aca="false">IF(OR($G22="",R22=""),"",IF($O22="",R22,(Q22*R22+Config!$B$4*$O22)/(Q22+Config!$B$4)))</f>
        <v>0.76</v>
      </c>
      <c r="U22" s="10" t="n">
        <f aca="false">IF(S22="","",(Q22*S22+Config!$B$4*$P22)/(Q22+Config!$B$4))</f>
        <v>0.685545454545455</v>
      </c>
      <c r="V22" s="17" t="n">
        <f aca="false">IF(OR(T22="",$J22=""),"",T22*$J22*($J22/Config!$B$10)^Config!$B$9)</f>
        <v>16.34</v>
      </c>
      <c r="W22" s="17" t="n">
        <f aca="false">IF(OR(V22="",U22=""),"",V22*U22)</f>
        <v>11.2018127272727</v>
      </c>
      <c r="X22" s="9" t="n">
        <f aca="false">IF($H22="",0,SUMIFS(Map_Stats!$F$2:$F$850,Map_Stats!$A$2:$A$850,$F22&amp;"|"&amp;$H22))</f>
        <v>3</v>
      </c>
      <c r="Y22" s="13" t="n">
        <f aca="false">IF($H22="","",IFERROR(1/(1/INDEX(Map_Stats!$K$2:$K$850,MATCH($F22&amp;"|"&amp;$H22,Map_Stats!$A$2:$A$850,0))),$O22))</f>
        <v>0.68</v>
      </c>
      <c r="Z22" s="10" t="n">
        <f aca="false">IF(OR($H22="",$P22=""),"",IFERROR(1/(1/INDEX(Map_Stats!$I$2:$I$850,MATCH($F22&amp;"|"&amp;$H22,Map_Stats!$A$2:$A$850,0))),$P22))</f>
        <v>0.667</v>
      </c>
      <c r="AA22" s="13" t="n">
        <f aca="false">IF(OR($H22="",Y22=""),"",IF($O22="",Y22,(X22*Y22+Config!$B$4*$O22)/(X22+Config!$B$4)))</f>
        <v>0.6925</v>
      </c>
      <c r="AB22" s="10" t="n">
        <f aca="false">IF(Z22="","",(X22*Z22+Config!$B$4*$P22)/(X22+Config!$B$4))</f>
        <v>0.67075</v>
      </c>
      <c r="AC22" s="17" t="n">
        <f aca="false">IF(OR(AA22="",$K22=""),"",AA22*$K22*($K22/Config!$B$10)^Config!$B$9)</f>
        <v>14.88875</v>
      </c>
      <c r="AD22" s="17" t="n">
        <f aca="false">IF(OR(AC22="",AB22=""),"",AC22*AB22)</f>
        <v>9.9866290625</v>
      </c>
      <c r="AE22" s="9" t="n">
        <f aca="false">IF($I22="",0,SUMIFS(Map_Stats!$F$2:$F$850,Map_Stats!$A$2:$A$850,$F22&amp;"|"&amp;$I22))</f>
        <v>9</v>
      </c>
      <c r="AF22" s="13" t="n">
        <f aca="false">IF($I22="","",IFERROR(1/(1/INDEX(Map_Stats!$K$2:$K$850,MATCH($F22&amp;"|"&amp;$I22,Map_Stats!$A$2:$A$850,0))),$O22))</f>
        <v>0.64</v>
      </c>
      <c r="AG22" s="10" t="n">
        <f aca="false">IF(OR($I22="",$P22=""),"",IFERROR(1/(1/INDEX(Map_Stats!$I$2:$I$850,MATCH($F22&amp;"|"&amp;$I22,Map_Stats!$A$2:$A$850,0))),$P22))</f>
        <v>0.65</v>
      </c>
      <c r="AH22" s="13" t="n">
        <f aca="false">IF(OR($I22="",AF22=""),"",IF($O22="",AF22,(AE22*AF22+Config!$B$4*$O22)/(AE22+Config!$B$4)))</f>
        <v>0.661428571428571</v>
      </c>
      <c r="AI22" s="10" t="n">
        <f aca="false">IF(AG22="","",(AE22*AG22+Config!$B$4*$P22)/(AE22+Config!$B$4))</f>
        <v>0.658214285714286</v>
      </c>
      <c r="AJ22" s="17" t="n">
        <f aca="false">IF(OR(AH22="",$L22=""),"",AH22*$L22*($L22/Config!$B$10)^Config!$B$9)</f>
        <v>14.2207142857143</v>
      </c>
      <c r="AK22" s="17" t="n">
        <f aca="false">IF(OR(AJ22="",AI22=""),"",AJ22*AI22)</f>
        <v>9.36027729591837</v>
      </c>
      <c r="AL22" s="17" t="n">
        <f aca="false">N(V22)+N(AC22)</f>
        <v>31.22875</v>
      </c>
      <c r="AM22" s="17" t="n">
        <f aca="false">AL22+N($M22)*N(AJ22)</f>
        <v>38.1442833571429</v>
      </c>
      <c r="AN22" s="17" t="n">
        <f aca="false">IF(W22="","",N(W22)+N(AD22))</f>
        <v>21.1884417897727</v>
      </c>
      <c r="AO22" s="17" t="n">
        <f aca="false">IF(AN22="","",AN22+N($M22)*N(AK22))</f>
        <v>25.7403446387778</v>
      </c>
      <c r="AP22" s="10" t="n">
        <f aca="false">IFERROR(AN22/AL22,"")</f>
        <v>0.678491511500548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IF($C22=Board!$B$2,COUNTIFS($C$2:$C$137,Board!$B$2,$AL$2:$AL$137,"&gt;"&amp;$AL22)+COUNTIFS($C$1:$C21,Board!$B$2,$AL$1:$AL21,$AL22)+1,"")</f>
        <v/>
      </c>
      <c r="AS22" s="0" t="str">
        <f aca="false">IFERROR(IF($D22=INDEX(Matches!$AD$5:$AD$23,MATCH($C22,Matches!$A$5:$A$23,0)),"A",IF($D22=INDEX(Matches!$AE$5:$AE$23,MATCH($C22,Matches!$A$5:$A$23,0)),"B","")),"")</f>
        <v>A</v>
      </c>
      <c r="AT22" s="10" t="n">
        <f aca="false">IF($AS22="","",IFERROR(IF($AS22="A",INDEX(Matches!$AI$5:$AI$23,MATCH($C22,Matches!$A$5:$A$23,0)),INDEX(Matches!$AJ$5:$AJ$23,MATCH($C22,Matches!$A$5:$A$23,0))),""))</f>
        <v>0.530850982444716</v>
      </c>
      <c r="AU22" s="10" t="n">
        <f aca="false">IF($AS22="","",IFERROR(IF(INDEX(Matches!$AP$5:$AP$23,MATCH($C22,Matches!$A$5:$A$23,0))="","",IF($AS22="A",INDEX(Matches!$AP$5:$AP$23,MATCH($C22,Matches!$A$5:$A$23,0)),1-INDEX(Matches!$AP$5:$AP$23,MATCH($C22,Matches!$A$5:$A$23,0)))),""))</f>
        <v>0.480152667839314</v>
      </c>
      <c r="AV22" s="13" t="n">
        <f aca="false">IF(OR($AU22="",$AT22=""),1,((Config!$B$14*$AU22+Config!$B$15*(1-$AU22))/(Config!$B$14*$AT22+Config!$B$15*(1-$AT22)))^Config!$B$13)</f>
        <v>0.955910621562975</v>
      </c>
      <c r="AW22" s="10" t="n">
        <f aca="false">IF($AS22="","",IFERROR(IF(INDEX(Matches!$AV$5:$AV$23,MATCH($C22,Matches!$A$5:$A$23,0))="","",IF($AS22="A",INDEX(Matches!$AV$5:$AV$23,MATCH($C22,Matches!$A$5:$A$23,0)),1-INDEX(Matches!$AV$5:$AV$23,MATCH($C22,Matches!$A$5:$A$23,0)))),""))</f>
        <v>0.530667126357525</v>
      </c>
      <c r="AX22" s="13" t="n">
        <f aca="false">IF(OR($AW22="",$AT22=""),1,((Config!$B$14*$AW22+Config!$B$15*(1-$AW22))/(Config!$B$14*$AT22+Config!$B$15*(1-$AT22)))^Config!$B$13)</f>
        <v>0.999840111043745</v>
      </c>
      <c r="AY22" s="10" t="n">
        <f aca="false">IF($AS22="","",IFERROR(IF(INDEX(Matches!$BB$5:$BB$23,MATCH($C22,Matches!$A$5:$A$23,0))="","",IF($AS22="A",INDEX(Matches!$BB$5:$BB$23,MATCH($C22,Matches!$A$5:$A$23,0)),1-INDEX(Matches!$BB$5:$BB$23,MATCH($C22,Matches!$A$5:$A$23,0)))),""))</f>
        <v>0.521762594872757</v>
      </c>
      <c r="AZ22" s="13" t="n">
        <f aca="false">IF(OR($AY22="",$AT22=""),1,((Config!$B$14*$AY22+Config!$B$15*(1-$AY22))/(Config!$B$14*$AT22+Config!$B$15*(1-$AT22)))^Config!$B$13)</f>
        <v>0.992096357400414</v>
      </c>
      <c r="BA22" s="17" t="n">
        <f aca="false">IF(V22="","",V22*$AV22)</f>
        <v>15.619579556339</v>
      </c>
      <c r="BB22" s="17" t="n">
        <f aca="false">IF(AC22="","",AC22*$AX22)</f>
        <v>14.8863694533026</v>
      </c>
      <c r="BC22" s="17" t="n">
        <f aca="false">IF(AJ22="","",AJ22*$AZ22)</f>
        <v>14.1083188424892</v>
      </c>
      <c r="BD22" s="17" t="n">
        <f aca="false">N(BA22)+N(BB22)</f>
        <v>30.5059490096416</v>
      </c>
      <c r="BE22" s="17" t="n">
        <f aca="false">BD22+N($M22)*N(BC22)</f>
        <v>37.3668244627441</v>
      </c>
      <c r="BF22" s="17" t="n">
        <f aca="false">IF(W22="","",W22*$AV22)</f>
        <v>10.7079317667593</v>
      </c>
      <c r="BG22" s="17" t="n">
        <f aca="false">IF(AD22="","",AD22*$AX22)</f>
        <v>9.98503231080269</v>
      </c>
      <c r="BH22" s="17" t="n">
        <f aca="false">IF(AK22="","",AK22*$AZ22)</f>
        <v>9.28629700953841</v>
      </c>
      <c r="BI22" s="17" t="n">
        <f aca="false">IF(BF22="","",N(BF22)+N(BG22))</f>
        <v>20.692964077562</v>
      </c>
      <c r="BJ22" s="17" t="n">
        <f aca="false">IF(BI22="","",BI22+N($M22)*N(BH22))</f>
        <v>25.2088903133005</v>
      </c>
      <c r="BK22" s="13" t="n">
        <f aca="false">IFERROR(BD22/AL22,1)</f>
        <v>0.976854629456561</v>
      </c>
    </row>
    <row r="23" customFormat="false" ht="15" hidden="false" customHeight="false" outlineLevel="0" collapsed="false">
      <c r="A23" s="0" t="s">
        <v>1343</v>
      </c>
      <c r="B23" s="0" t="s">
        <v>1139</v>
      </c>
      <c r="C23" s="0" t="s">
        <v>1147</v>
      </c>
      <c r="D23" s="0" t="s">
        <v>1152</v>
      </c>
      <c r="E23" s="0" t="s">
        <v>1342</v>
      </c>
      <c r="F23" s="0" t="s">
        <v>1680</v>
      </c>
      <c r="G23" s="0" t="str">
        <f aca="false">IFERROR(IF(INDEX(Matches!$W$5:$W$23,MATCH($C23,Matches!$A$5:$A$23,0))="","",INDEX(Matches!$W$5:$W$23,MATCH($C23,Matches!$A$5:$A$23,0))),"")</f>
        <v>Dust2</v>
      </c>
      <c r="H23" s="0" t="str">
        <f aca="false">IFERROR(IF(INDEX(Matches!$X$5:$X$23,MATCH($C23,Matches!$A$5:$A$23,0))="","",INDEX(Matches!$X$5:$X$23,MATCH($C23,Matches!$A$5:$A$23,0))),"")</f>
        <v>Cache</v>
      </c>
      <c r="I23" s="0" t="str">
        <f aca="false">IFERROR(IF(INDEX(Matches!$Y$5:$Y$23,MATCH($C23,Matches!$A$5:$A$23,0))="","",INDEX(Matches!$Y$5:$Y$23,MATCH($C23,Matches!$A$5:$A$23,0))),"")</f>
        <v>Mirage</v>
      </c>
      <c r="J23" s="11" t="n">
        <f aca="false">IFERROR(IF(INDEX(Matches!$Z$5:$Z$23,MATCH($C23,Matches!$A$5:$A$23,0))="","",INDEX(Matches!$Z$5:$Z$23,MATCH($C23,Matches!$A$5:$A$23,0))),"")</f>
        <v>21.5</v>
      </c>
      <c r="K23" s="11" t="n">
        <f aca="false">IFERROR(IF(INDEX(Matches!$AA$5:$AA$23,MATCH($C23,Matches!$A$5:$A$23,0))="","",INDEX(Matches!$AA$5:$AA$23,MATCH($C23,Matches!$A$5:$A$23,0))),"")</f>
        <v>21.5</v>
      </c>
      <c r="L23" s="11" t="n">
        <f aca="false">IFERROR(IF(INDEX(Matches!$AB$5:$AB$23,MATCH($C23,Matches!$A$5:$A$23,0))="","",INDEX(Matches!$AB$5:$AB$23,MATCH($C23,Matches!$A$5:$A$23,0))),"")</f>
        <v>21.5</v>
      </c>
      <c r="M23" s="10" t="n">
        <f aca="false">IFERROR(IF(INDEX(Matches!$AC$5:$AC$23,MATCH($C23,Matches!$A$5:$A$23,0))="","",INDEX(Matches!$AC$5:$AC$23,MATCH($C23,Matches!$A$5:$A$23,0))),"")</f>
        <v>0.4863</v>
      </c>
      <c r="N23" s="9" t="n">
        <f aca="false">IFERROR(INDEX(Players!$F$2:$F$137,MATCH($F23,Players!$A$2:$A$137,0)),0)</f>
        <v>30</v>
      </c>
      <c r="O23" s="13" t="n">
        <f aca="false">IFERROR(1/(1/INDEX(Players!$H$2:$H$137,MATCH($F23,Players!$A$2:$A$137,0))),"")</f>
        <v>0.7</v>
      </c>
      <c r="P23" s="10" t="n">
        <f aca="false">IFERROR(1/(1/INDEX(Players!$I$2:$I$137,MATCH($F23,Players!$A$2:$A$137,0))),"")</f>
        <v>0.602</v>
      </c>
      <c r="Q23" s="9" t="n">
        <f aca="false">IF($G23="",0,SUMIFS(Map_Stats!$F$2:$F$850,Map_Stats!$A$2:$A$850,$F23&amp;"|"&amp;$G23))</f>
        <v>6</v>
      </c>
      <c r="R23" s="13" t="n">
        <f aca="false">IF($G23="","",IFERROR(1/(1/INDEX(Map_Stats!$K$2:$K$850,MATCH($F23&amp;"|"&amp;$G23,Map_Stats!$A$2:$A$850,0))),$O23))</f>
        <v>0.65</v>
      </c>
      <c r="S23" s="10" t="n">
        <f aca="false">IF(OR($G23="",$P23=""),"",IFERROR(1/(1/INDEX(Map_Stats!$I$2:$I$850,MATCH($F23&amp;"|"&amp;$G23,Map_Stats!$A$2:$A$850,0))),$P23))</f>
        <v>0.61</v>
      </c>
      <c r="T23" s="13" t="n">
        <f aca="false">IF(OR($G23="",R23=""),"",IF($O23="",R23,(Q23*R23+Config!$B$4*$O23)/(Q23+Config!$B$4)))</f>
        <v>0.672727272727273</v>
      </c>
      <c r="U23" s="10" t="n">
        <f aca="false">IF(S23="","",(Q23*S23+Config!$B$4*$P23)/(Q23+Config!$B$4))</f>
        <v>0.606363636363636</v>
      </c>
      <c r="V23" s="17" t="n">
        <f aca="false">IF(OR(T23="",$J23=""),"",T23*$J23*($J23/Config!$B$10)^Config!$B$9)</f>
        <v>14.4636363636364</v>
      </c>
      <c r="W23" s="17" t="n">
        <f aca="false">IF(OR(V23="",U23=""),"",V23*U23)</f>
        <v>8.77022314049587</v>
      </c>
      <c r="X23" s="9" t="n">
        <f aca="false">IF($H23="",0,SUMIFS(Map_Stats!$F$2:$F$850,Map_Stats!$A$2:$A$850,$F23&amp;"|"&amp;$H23))</f>
        <v>3</v>
      </c>
      <c r="Y23" s="13" t="n">
        <f aca="false">IF($H23="","",IFERROR(1/(1/INDEX(Map_Stats!$K$2:$K$850,MATCH($F23&amp;"|"&amp;$H23,Map_Stats!$A$2:$A$850,0))),$O23))</f>
        <v>0.86</v>
      </c>
      <c r="Z23" s="10" t="n">
        <f aca="false">IF(OR($H23="",$P23=""),"",IFERROR(1/(1/INDEX(Map_Stats!$I$2:$I$850,MATCH($F23&amp;"|"&amp;$H23,Map_Stats!$A$2:$A$850,0))),$P23))</f>
        <v>0.632</v>
      </c>
      <c r="AA23" s="13" t="n">
        <f aca="false">IF(OR($H23="",Y23=""),"",IF($O23="",Y23,(X23*Y23+Config!$B$4*$O23)/(X23+Config!$B$4)))</f>
        <v>0.76</v>
      </c>
      <c r="AB23" s="10" t="n">
        <f aca="false">IF(Z23="","",(X23*Z23+Config!$B$4*$P23)/(X23+Config!$B$4))</f>
        <v>0.61325</v>
      </c>
      <c r="AC23" s="17" t="n">
        <f aca="false">IF(OR(AA23="",$K23=""),"",AA23*$K23*($K23/Config!$B$10)^Config!$B$9)</f>
        <v>16.34</v>
      </c>
      <c r="AD23" s="17" t="n">
        <f aca="false">IF(OR(AC23="",AB23=""),"",AC23*AB23)</f>
        <v>10.020505</v>
      </c>
      <c r="AE23" s="9" t="n">
        <f aca="false">IF($I23="",0,SUMIFS(Map_Stats!$F$2:$F$850,Map_Stats!$A$2:$A$850,$F23&amp;"|"&amp;$I23))</f>
        <v>9</v>
      </c>
      <c r="AF23" s="13" t="n">
        <f aca="false">IF($I23="","",IFERROR(1/(1/INDEX(Map_Stats!$K$2:$K$850,MATCH($F23&amp;"|"&amp;$I23,Map_Stats!$A$2:$A$850,0))),$O23))</f>
        <v>0.71</v>
      </c>
      <c r="AG23" s="10" t="n">
        <f aca="false">IF(OR($I23="",$P23=""),"",IFERROR(1/(1/INDEX(Map_Stats!$I$2:$I$850,MATCH($F23&amp;"|"&amp;$I23,Map_Stats!$A$2:$A$850,0))),$P23))</f>
        <v>0.608</v>
      </c>
      <c r="AH23" s="13" t="n">
        <f aca="false">IF(OR($I23="",AF23=""),"",IF($O23="",AF23,(AE23*AF23+Config!$B$4*$O23)/(AE23+Config!$B$4)))</f>
        <v>0.706428571428572</v>
      </c>
      <c r="AI23" s="10" t="n">
        <f aca="false">IF(AG23="","",(AE23*AG23+Config!$B$4*$P23)/(AE23+Config!$B$4))</f>
        <v>0.605857142857143</v>
      </c>
      <c r="AJ23" s="17" t="n">
        <f aca="false">IF(OR(AH23="",$L23=""),"",AH23*$L23*($L23/Config!$B$10)^Config!$B$9)</f>
        <v>15.1882142857143</v>
      </c>
      <c r="AK23" s="17" t="n">
        <f aca="false">IF(OR(AJ23="",AI23=""),"",AJ23*AI23)</f>
        <v>9.2018881122449</v>
      </c>
      <c r="AL23" s="17" t="n">
        <f aca="false">N(V23)+N(AC23)</f>
        <v>30.8036363636364</v>
      </c>
      <c r="AM23" s="17" t="n">
        <f aca="false">AL23+N($M23)*N(AJ23)</f>
        <v>38.1896649707792</v>
      </c>
      <c r="AN23" s="17" t="n">
        <f aca="false">IF(W23="","",N(W23)+N(AD23))</f>
        <v>18.7907281404959</v>
      </c>
      <c r="AO23" s="17" t="n">
        <f aca="false">IF(AN23="","",AN23+N($M23)*N(AK23))</f>
        <v>23.2656063294806</v>
      </c>
      <c r="AP23" s="10" t="n">
        <f aca="false">IFERROR(AN23/AL23,"")</f>
        <v>0.610016555145362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IF($C23=Board!$B$2,COUNTIFS($C$2:$C$137,Board!$B$2,$AL$2:$AL$137,"&gt;"&amp;$AL23)+COUNTIFS($C$1:$C22,Board!$B$2,$AL$1:$AL22,$AL23)+1,"")</f>
        <v/>
      </c>
      <c r="AS23" s="0" t="str">
        <f aca="false">IFERROR(IF($D23=INDEX(Matches!$AD$5:$AD$23,MATCH($C23,Matches!$A$5:$A$23,0)),"A",IF($D23=INDEX(Matches!$AE$5:$AE$23,MATCH($C23,Matches!$A$5:$A$23,0)),"B","")),"")</f>
        <v>A</v>
      </c>
      <c r="AT23" s="10" t="n">
        <f aca="false">IF($AS23="","",IFERROR(IF($AS23="A",INDEX(Matches!$AI$5:$AI$23,MATCH($C23,Matches!$A$5:$A$23,0)),INDEX(Matches!$AJ$5:$AJ$23,MATCH($C23,Matches!$A$5:$A$23,0))),""))</f>
        <v>0.530850982444716</v>
      </c>
      <c r="AU23" s="10" t="n">
        <f aca="false">IF($AS23="","",IFERROR(IF(INDEX(Matches!$AP$5:$AP$23,MATCH($C23,Matches!$A$5:$A$23,0))="","",IF($AS23="A",INDEX(Matches!$AP$5:$AP$23,MATCH($C23,Matches!$A$5:$A$23,0)),1-INDEX(Matches!$AP$5:$AP$23,MATCH($C23,Matches!$A$5:$A$23,0)))),""))</f>
        <v>0.480152667839314</v>
      </c>
      <c r="AV23" s="13" t="n">
        <f aca="false">IF(OR($AU23="",$AT23=""),1,((Config!$B$14*$AU23+Config!$B$15*(1-$AU23))/(Config!$B$14*$AT23+Config!$B$15*(1-$AT23)))^Config!$B$13)</f>
        <v>0.955910621562975</v>
      </c>
      <c r="AW23" s="10" t="n">
        <f aca="false">IF($AS23="","",IFERROR(IF(INDEX(Matches!$AV$5:$AV$23,MATCH($C23,Matches!$A$5:$A$23,0))="","",IF($AS23="A",INDEX(Matches!$AV$5:$AV$23,MATCH($C23,Matches!$A$5:$A$23,0)),1-INDEX(Matches!$AV$5:$AV$23,MATCH($C23,Matches!$A$5:$A$23,0)))),""))</f>
        <v>0.530667126357525</v>
      </c>
      <c r="AX23" s="13" t="n">
        <f aca="false">IF(OR($AW23="",$AT23=""),1,((Config!$B$14*$AW23+Config!$B$15*(1-$AW23))/(Config!$B$14*$AT23+Config!$B$15*(1-$AT23)))^Config!$B$13)</f>
        <v>0.999840111043745</v>
      </c>
      <c r="AY23" s="10" t="n">
        <f aca="false">IF($AS23="","",IFERROR(IF(INDEX(Matches!$BB$5:$BB$23,MATCH($C23,Matches!$A$5:$A$23,0))="","",IF($AS23="A",INDEX(Matches!$BB$5:$BB$23,MATCH($C23,Matches!$A$5:$A$23,0)),1-INDEX(Matches!$BB$5:$BB$23,MATCH($C23,Matches!$A$5:$A$23,0)))),""))</f>
        <v>0.521762594872757</v>
      </c>
      <c r="AZ23" s="13" t="n">
        <f aca="false">IF(OR($AY23="",$AT23=""),1,((Config!$B$14*$AY23+Config!$B$15*(1-$AY23))/(Config!$B$14*$AT23+Config!$B$15*(1-$AT23)))^Config!$B$13)</f>
        <v>0.992096357400414</v>
      </c>
      <c r="BA23" s="17" t="n">
        <f aca="false">IF(V23="","",V23*$AV23)</f>
        <v>13.8259436264245</v>
      </c>
      <c r="BB23" s="17" t="n">
        <f aca="false">IF(AC23="","",AC23*$AX23)</f>
        <v>16.3373874144548</v>
      </c>
      <c r="BC23" s="17" t="n">
        <f aca="false">IF(AJ23="","",AJ23*$AZ23)</f>
        <v>15.0681720682741</v>
      </c>
      <c r="BD23" s="17" t="n">
        <f aca="false">N(BA23)+N(BB23)</f>
        <v>30.1633310408793</v>
      </c>
      <c r="BE23" s="17" t="n">
        <f aca="false">BD23+N($M23)*N(BC23)</f>
        <v>37.490983117681</v>
      </c>
      <c r="BF23" s="17" t="n">
        <f aca="false">IF(W23="","",W23*$AV23)</f>
        <v>8.38354945347739</v>
      </c>
      <c r="BG23" s="17" t="n">
        <f aca="false">IF(AD23="","",AD23*$AX23)</f>
        <v>10.0189028319144</v>
      </c>
      <c r="BH23" s="17" t="n">
        <f aca="false">IF(AK23="","",AK23*$AZ23)</f>
        <v>9.12915967736433</v>
      </c>
      <c r="BI23" s="17" t="n">
        <f aca="false">IF(BF23="","",N(BF23)+N(BG23))</f>
        <v>18.4024522853918</v>
      </c>
      <c r="BJ23" s="17" t="n">
        <f aca="false">IF(BI23="","",BI23+N($M23)*N(BH23))</f>
        <v>22.8419626364941</v>
      </c>
      <c r="BK23" s="13" t="n">
        <f aca="false">IFERROR(BD23/AL23,1)</f>
        <v>0.979213320297698</v>
      </c>
    </row>
    <row r="24" customFormat="false" ht="15" hidden="false" customHeight="false" outlineLevel="0" collapsed="false">
      <c r="A24" s="0" t="s">
        <v>1345</v>
      </c>
      <c r="B24" s="0" t="s">
        <v>1139</v>
      </c>
      <c r="C24" s="0" t="s">
        <v>1147</v>
      </c>
      <c r="D24" s="0" t="s">
        <v>1152</v>
      </c>
      <c r="E24" s="0" t="s">
        <v>1344</v>
      </c>
      <c r="F24" s="0" t="s">
        <v>1681</v>
      </c>
      <c r="G24" s="0" t="str">
        <f aca="false">IFERROR(IF(INDEX(Matches!$W$5:$W$23,MATCH($C24,Matches!$A$5:$A$23,0))="","",INDEX(Matches!$W$5:$W$23,MATCH($C24,Matches!$A$5:$A$23,0))),"")</f>
        <v>Dust2</v>
      </c>
      <c r="H24" s="0" t="str">
        <f aca="false">IFERROR(IF(INDEX(Matches!$X$5:$X$23,MATCH($C24,Matches!$A$5:$A$23,0))="","",INDEX(Matches!$X$5:$X$23,MATCH($C24,Matches!$A$5:$A$23,0))),"")</f>
        <v>Cache</v>
      </c>
      <c r="I24" s="0" t="str">
        <f aca="false">IFERROR(IF(INDEX(Matches!$Y$5:$Y$23,MATCH($C24,Matches!$A$5:$A$23,0))="","",INDEX(Matches!$Y$5:$Y$23,MATCH($C24,Matches!$A$5:$A$23,0))),"")</f>
        <v>Mirage</v>
      </c>
      <c r="J24" s="11" t="n">
        <f aca="false">IFERROR(IF(INDEX(Matches!$Z$5:$Z$23,MATCH($C24,Matches!$A$5:$A$23,0))="","",INDEX(Matches!$Z$5:$Z$23,MATCH($C24,Matches!$A$5:$A$23,0))),"")</f>
        <v>21.5</v>
      </c>
      <c r="K24" s="11" t="n">
        <f aca="false">IFERROR(IF(INDEX(Matches!$AA$5:$AA$23,MATCH($C24,Matches!$A$5:$A$23,0))="","",INDEX(Matches!$AA$5:$AA$23,MATCH($C24,Matches!$A$5:$A$23,0))),"")</f>
        <v>21.5</v>
      </c>
      <c r="L24" s="11" t="n">
        <f aca="false">IFERROR(IF(INDEX(Matches!$AB$5:$AB$23,MATCH($C24,Matches!$A$5:$A$23,0))="","",INDEX(Matches!$AB$5:$AB$23,MATCH($C24,Matches!$A$5:$A$23,0))),"")</f>
        <v>21.5</v>
      </c>
      <c r="M24" s="10" t="n">
        <f aca="false">IFERROR(IF(INDEX(Matches!$AC$5:$AC$23,MATCH($C24,Matches!$A$5:$A$23,0))="","",INDEX(Matches!$AC$5:$AC$23,MATCH($C24,Matches!$A$5:$A$23,0))),"")</f>
        <v>0.4863</v>
      </c>
      <c r="N24" s="9" t="n">
        <f aca="false">IFERROR(INDEX(Players!$F$2:$F$137,MATCH($F24,Players!$A$2:$A$137,0)),0)</f>
        <v>30</v>
      </c>
      <c r="O24" s="13" t="n">
        <f aca="false">IFERROR(1/(1/INDEX(Players!$H$2:$H$137,MATCH($F24,Players!$A$2:$A$137,0))),"")</f>
        <v>0.73</v>
      </c>
      <c r="P24" s="10" t="n">
        <f aca="false">IFERROR(1/(1/INDEX(Players!$I$2:$I$137,MATCH($F24,Players!$A$2:$A$137,0))),"")</f>
        <v>0.583</v>
      </c>
      <c r="Q24" s="9" t="n">
        <f aca="false">IF($G24="",0,SUMIFS(Map_Stats!$F$2:$F$850,Map_Stats!$A$2:$A$850,$F24&amp;"|"&amp;$G24))</f>
        <v>6</v>
      </c>
      <c r="R24" s="13" t="n">
        <f aca="false">IF($G24="","",IFERROR(1/(1/INDEX(Map_Stats!$K$2:$K$850,MATCH($F24&amp;"|"&amp;$G24,Map_Stats!$A$2:$A$850,0))),$O24))</f>
        <v>0.79</v>
      </c>
      <c r="S24" s="10" t="n">
        <f aca="false">IF(OR($G24="",$P24=""),"",IFERROR(1/(1/INDEX(Map_Stats!$I$2:$I$850,MATCH($F24&amp;"|"&amp;$G24,Map_Stats!$A$2:$A$850,0))),$P24))</f>
        <v>0.57</v>
      </c>
      <c r="T24" s="13" t="n">
        <f aca="false">IF(OR($G24="",R24=""),"",IF($O24="",R24,(Q24*R24+Config!$B$4*$O24)/(Q24+Config!$B$4)))</f>
        <v>0.762727272727273</v>
      </c>
      <c r="U24" s="10" t="n">
        <f aca="false">IF(S24="","",(Q24*S24+Config!$B$4*$P24)/(Q24+Config!$B$4))</f>
        <v>0.575909090909091</v>
      </c>
      <c r="V24" s="17" t="n">
        <f aca="false">IF(OR(T24="",$J24=""),"",T24*$J24*($J24/Config!$B$10)^Config!$B$9)</f>
        <v>16.3986363636364</v>
      </c>
      <c r="W24" s="17" t="n">
        <f aca="false">IF(OR(V24="",U24=""),"",V24*U24)</f>
        <v>9.44412376033058</v>
      </c>
      <c r="X24" s="9" t="n">
        <f aca="false">IF($H24="",0,SUMIFS(Map_Stats!$F$2:$F$850,Map_Stats!$A$2:$A$850,$F24&amp;"|"&amp;$H24))</f>
        <v>3</v>
      </c>
      <c r="Y24" s="13" t="n">
        <f aca="false">IF($H24="","",IFERROR(1/(1/INDEX(Map_Stats!$K$2:$K$850,MATCH($F24&amp;"|"&amp;$H24,Map_Stats!$A$2:$A$850,0))),$O24))</f>
        <v>0.62</v>
      </c>
      <c r="Z24" s="10" t="n">
        <f aca="false">IF(OR($H24="",$P24=""),"",IFERROR(1/(1/INDEX(Map_Stats!$I$2:$I$850,MATCH($F24&amp;"|"&amp;$H24,Map_Stats!$A$2:$A$850,0))),$P24))</f>
        <v>0.512</v>
      </c>
      <c r="AA24" s="13" t="n">
        <f aca="false">IF(OR($H24="",Y24=""),"",IF($O24="",Y24,(X24*Y24+Config!$B$4*$O24)/(X24+Config!$B$4)))</f>
        <v>0.68875</v>
      </c>
      <c r="AB24" s="10" t="n">
        <f aca="false">IF(Z24="","",(X24*Z24+Config!$B$4*$P24)/(X24+Config!$B$4))</f>
        <v>0.556375</v>
      </c>
      <c r="AC24" s="17" t="n">
        <f aca="false">IF(OR(AA24="",$K24=""),"",AA24*$K24*($K24/Config!$B$10)^Config!$B$9)</f>
        <v>14.808125</v>
      </c>
      <c r="AD24" s="17" t="n">
        <f aca="false">IF(OR(AC24="",AB24=""),"",AC24*AB24)</f>
        <v>8.238870546875</v>
      </c>
      <c r="AE24" s="9" t="n">
        <f aca="false">IF($I24="",0,SUMIFS(Map_Stats!$F$2:$F$850,Map_Stats!$A$2:$A$850,$F24&amp;"|"&amp;$I24))</f>
        <v>9</v>
      </c>
      <c r="AF24" s="13" t="n">
        <f aca="false">IF($I24="","",IFERROR(1/(1/INDEX(Map_Stats!$K$2:$K$850,MATCH($F24&amp;"|"&amp;$I24,Map_Stats!$A$2:$A$850,0))),$O24))</f>
        <v>0.76</v>
      </c>
      <c r="AG24" s="10" t="n">
        <f aca="false">IF(OR($I24="",$P24=""),"",IFERROR(1/(1/INDEX(Map_Stats!$I$2:$I$850,MATCH($F24&amp;"|"&amp;$I24,Map_Stats!$A$2:$A$850,0))),$P24))</f>
        <v>0.55</v>
      </c>
      <c r="AH24" s="13" t="n">
        <f aca="false">IF(OR($I24="",AF24=""),"",IF($O24="",AF24,(AE24*AF24+Config!$B$4*$O24)/(AE24+Config!$B$4)))</f>
        <v>0.749285714285714</v>
      </c>
      <c r="AI24" s="10" t="n">
        <f aca="false">IF(AG24="","",(AE24*AG24+Config!$B$4*$P24)/(AE24+Config!$B$4))</f>
        <v>0.561785714285714</v>
      </c>
      <c r="AJ24" s="17" t="n">
        <f aca="false">IF(OR(AH24="",$L24=""),"",AH24*$L24*($L24/Config!$B$10)^Config!$B$9)</f>
        <v>16.1096428571429</v>
      </c>
      <c r="AK24" s="17" t="n">
        <f aca="false">IF(OR(AJ24="",AI24=""),"",AJ24*AI24)</f>
        <v>9.05016721938775</v>
      </c>
      <c r="AL24" s="17" t="n">
        <f aca="false">N(V24)+N(AC24)</f>
        <v>31.2067613636364</v>
      </c>
      <c r="AM24" s="17" t="n">
        <f aca="false">AL24+N($M24)*N(AJ24)</f>
        <v>39.0408806850649</v>
      </c>
      <c r="AN24" s="17" t="n">
        <f aca="false">IF(W24="","",N(W24)+N(AD24))</f>
        <v>17.6829943072056</v>
      </c>
      <c r="AO24" s="17" t="n">
        <f aca="false">IF(AN24="","",AN24+N($M24)*N(AK24))</f>
        <v>22.0840906259939</v>
      </c>
      <c r="AP24" s="10" t="n">
        <f aca="false">IFERROR(AN24/AL24,"")</f>
        <v>0.566639841320114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IF($C24=Board!$B$2,COUNTIFS($C$2:$C$137,Board!$B$2,$AL$2:$AL$137,"&gt;"&amp;$AL24)+COUNTIFS($C$1:$C23,Board!$B$2,$AL$1:$AL23,$AL24)+1,"")</f>
        <v/>
      </c>
      <c r="AS24" s="0" t="str">
        <f aca="false">IFERROR(IF($D24=INDEX(Matches!$AD$5:$AD$23,MATCH($C24,Matches!$A$5:$A$23,0)),"A",IF($D24=INDEX(Matches!$AE$5:$AE$23,MATCH($C24,Matches!$A$5:$A$23,0)),"B","")),"")</f>
        <v>A</v>
      </c>
      <c r="AT24" s="10" t="n">
        <f aca="false">IF($AS24="","",IFERROR(IF($AS24="A",INDEX(Matches!$AI$5:$AI$23,MATCH($C24,Matches!$A$5:$A$23,0)),INDEX(Matches!$AJ$5:$AJ$23,MATCH($C24,Matches!$A$5:$A$23,0))),""))</f>
        <v>0.530850982444716</v>
      </c>
      <c r="AU24" s="10" t="n">
        <f aca="false">IF($AS24="","",IFERROR(IF(INDEX(Matches!$AP$5:$AP$23,MATCH($C24,Matches!$A$5:$A$23,0))="","",IF($AS24="A",INDEX(Matches!$AP$5:$AP$23,MATCH($C24,Matches!$A$5:$A$23,0)),1-INDEX(Matches!$AP$5:$AP$23,MATCH($C24,Matches!$A$5:$A$23,0)))),""))</f>
        <v>0.480152667839314</v>
      </c>
      <c r="AV24" s="13" t="n">
        <f aca="false">IF(OR($AU24="",$AT24=""),1,((Config!$B$14*$AU24+Config!$B$15*(1-$AU24))/(Config!$B$14*$AT24+Config!$B$15*(1-$AT24)))^Config!$B$13)</f>
        <v>0.955910621562975</v>
      </c>
      <c r="AW24" s="10" t="n">
        <f aca="false">IF($AS24="","",IFERROR(IF(INDEX(Matches!$AV$5:$AV$23,MATCH($C24,Matches!$A$5:$A$23,0))="","",IF($AS24="A",INDEX(Matches!$AV$5:$AV$23,MATCH($C24,Matches!$A$5:$A$23,0)),1-INDEX(Matches!$AV$5:$AV$23,MATCH($C24,Matches!$A$5:$A$23,0)))),""))</f>
        <v>0.530667126357525</v>
      </c>
      <c r="AX24" s="13" t="n">
        <f aca="false">IF(OR($AW24="",$AT24=""),1,((Config!$B$14*$AW24+Config!$B$15*(1-$AW24))/(Config!$B$14*$AT24+Config!$B$15*(1-$AT24)))^Config!$B$13)</f>
        <v>0.999840111043745</v>
      </c>
      <c r="AY24" s="10" t="n">
        <f aca="false">IF($AS24="","",IFERROR(IF(INDEX(Matches!$BB$5:$BB$23,MATCH($C24,Matches!$A$5:$A$23,0))="","",IF($AS24="A",INDEX(Matches!$BB$5:$BB$23,MATCH($C24,Matches!$A$5:$A$23,0)),1-INDEX(Matches!$BB$5:$BB$23,MATCH($C24,Matches!$A$5:$A$23,0)))),""))</f>
        <v>0.521762594872757</v>
      </c>
      <c r="AZ24" s="13" t="n">
        <f aca="false">IF(OR($AY24="",$AT24=""),1,((Config!$B$14*$AY24+Config!$B$15*(1-$AY24))/(Config!$B$14*$AT24+Config!$B$15*(1-$AT24)))^Config!$B$13)</f>
        <v>0.992096357400414</v>
      </c>
      <c r="BA24" s="17" t="n">
        <f aca="false">IF(V24="","",V24*$AV24)</f>
        <v>15.6756306791488</v>
      </c>
      <c r="BB24" s="17" t="n">
        <f aca="false">IF(AC24="","",AC24*$AX24)</f>
        <v>14.8057573443497</v>
      </c>
      <c r="BC24" s="17" t="n">
        <f aca="false">IF(AJ24="","",AJ24*$AZ24)</f>
        <v>15.982317997593</v>
      </c>
      <c r="BD24" s="17" t="n">
        <f aca="false">N(BA24)+N(BB24)</f>
        <v>30.4813880234985</v>
      </c>
      <c r="BE24" s="17" t="n">
        <f aca="false">BD24+N($M24)*N(BC24)</f>
        <v>38.253589265728</v>
      </c>
      <c r="BF24" s="17" t="n">
        <f aca="false">IF(W24="","",W24*$AV24)</f>
        <v>9.02773821385526</v>
      </c>
      <c r="BG24" s="17" t="n">
        <f aca="false">IF(AD24="","",AD24*$AX24)</f>
        <v>8.23755324246254</v>
      </c>
      <c r="BH24" s="17" t="n">
        <f aca="false">IF(AK24="","",AK24*$AZ24)</f>
        <v>8.97863793221922</v>
      </c>
      <c r="BI24" s="17" t="n">
        <f aca="false">IF(BF24="","",N(BF24)+N(BG24))</f>
        <v>17.2652914563178</v>
      </c>
      <c r="BJ24" s="17" t="n">
        <f aca="false">IF(BI24="","",BI24+N($M24)*N(BH24))</f>
        <v>21.631603082756</v>
      </c>
      <c r="BK24" s="13" t="n">
        <f aca="false">IFERROR(BD24/AL24,1)</f>
        <v>0.976755891722135</v>
      </c>
    </row>
    <row r="25" customFormat="false" ht="15" hidden="false" customHeight="false" outlineLevel="0" collapsed="false">
      <c r="A25" s="0" t="s">
        <v>1347</v>
      </c>
      <c r="B25" s="0" t="s">
        <v>1139</v>
      </c>
      <c r="C25" s="0" t="s">
        <v>1147</v>
      </c>
      <c r="D25" s="0" t="s">
        <v>1152</v>
      </c>
      <c r="E25" s="0" t="s">
        <v>1346</v>
      </c>
      <c r="F25" s="0" t="s">
        <v>1682</v>
      </c>
      <c r="G25" s="0" t="str">
        <f aca="false">IFERROR(IF(INDEX(Matches!$W$5:$W$23,MATCH($C25,Matches!$A$5:$A$23,0))="","",INDEX(Matches!$W$5:$W$23,MATCH($C25,Matches!$A$5:$A$23,0))),"")</f>
        <v>Dust2</v>
      </c>
      <c r="H25" s="0" t="str">
        <f aca="false">IFERROR(IF(INDEX(Matches!$X$5:$X$23,MATCH($C25,Matches!$A$5:$A$23,0))="","",INDEX(Matches!$X$5:$X$23,MATCH($C25,Matches!$A$5:$A$23,0))),"")</f>
        <v>Cache</v>
      </c>
      <c r="I25" s="0" t="str">
        <f aca="false">IFERROR(IF(INDEX(Matches!$Y$5:$Y$23,MATCH($C25,Matches!$A$5:$A$23,0))="","",INDEX(Matches!$Y$5:$Y$23,MATCH($C25,Matches!$A$5:$A$23,0))),"")</f>
        <v>Mirage</v>
      </c>
      <c r="J25" s="11" t="n">
        <f aca="false">IFERROR(IF(INDEX(Matches!$Z$5:$Z$23,MATCH($C25,Matches!$A$5:$A$23,0))="","",INDEX(Matches!$Z$5:$Z$23,MATCH($C25,Matches!$A$5:$A$23,0))),"")</f>
        <v>21.5</v>
      </c>
      <c r="K25" s="11" t="n">
        <f aca="false">IFERROR(IF(INDEX(Matches!$AA$5:$AA$23,MATCH($C25,Matches!$A$5:$A$23,0))="","",INDEX(Matches!$AA$5:$AA$23,MATCH($C25,Matches!$A$5:$A$23,0))),"")</f>
        <v>21.5</v>
      </c>
      <c r="L25" s="11" t="n">
        <f aca="false">IFERROR(IF(INDEX(Matches!$AB$5:$AB$23,MATCH($C25,Matches!$A$5:$A$23,0))="","",INDEX(Matches!$AB$5:$AB$23,MATCH($C25,Matches!$A$5:$A$23,0))),"")</f>
        <v>21.5</v>
      </c>
      <c r="M25" s="10" t="n">
        <f aca="false">IFERROR(IF(INDEX(Matches!$AC$5:$AC$23,MATCH($C25,Matches!$A$5:$A$23,0))="","",INDEX(Matches!$AC$5:$AC$23,MATCH($C25,Matches!$A$5:$A$23,0))),"")</f>
        <v>0.4863</v>
      </c>
      <c r="N25" s="9" t="n">
        <f aca="false">IFERROR(INDEX(Players!$F$2:$F$137,MATCH($F25,Players!$A$2:$A$137,0)),0)</f>
        <v>30</v>
      </c>
      <c r="O25" s="13" t="n">
        <f aca="false">IFERROR(1/(1/INDEX(Players!$H$2:$H$137,MATCH($F25,Players!$A$2:$A$137,0))),"")</f>
        <v>0.69</v>
      </c>
      <c r="P25" s="10" t="n">
        <f aca="false">IFERROR(1/(1/INDEX(Players!$I$2:$I$137,MATCH($F25,Players!$A$2:$A$137,0))),"")</f>
        <v>0.286</v>
      </c>
      <c r="Q25" s="9" t="n">
        <f aca="false">IF($G25="",0,SUMIFS(Map_Stats!$F$2:$F$850,Map_Stats!$A$2:$A$850,$F25&amp;"|"&amp;$G25))</f>
        <v>6</v>
      </c>
      <c r="R25" s="13" t="n">
        <f aca="false">IF($G25="","",IFERROR(1/(1/INDEX(Map_Stats!$K$2:$K$850,MATCH($F25&amp;"|"&amp;$G25,Map_Stats!$A$2:$A$850,0))),$O25))</f>
        <v>0.73</v>
      </c>
      <c r="S25" s="10" t="n">
        <f aca="false">IF(OR($G25="",$P25=""),"",IFERROR(1/(1/INDEX(Map_Stats!$I$2:$I$850,MATCH($F25&amp;"|"&amp;$G25,Map_Stats!$A$2:$A$850,0))),$P25))</f>
        <v>0.228</v>
      </c>
      <c r="T25" s="13" t="n">
        <f aca="false">IF(OR($G25="",R25=""),"",IF($O25="",R25,(Q25*R25+Config!$B$4*$O25)/(Q25+Config!$B$4)))</f>
        <v>0.711818181818182</v>
      </c>
      <c r="U25" s="10" t="n">
        <f aca="false">IF(S25="","",(Q25*S25+Config!$B$4*$P25)/(Q25+Config!$B$4))</f>
        <v>0.254363636363636</v>
      </c>
      <c r="V25" s="17" t="n">
        <f aca="false">IF(OR(T25="",$J25=""),"",T25*$J25*($J25/Config!$B$10)^Config!$B$9)</f>
        <v>15.3040909090909</v>
      </c>
      <c r="W25" s="17" t="n">
        <f aca="false">IF(OR(V25="",U25=""),"",V25*U25)</f>
        <v>3.89280421487603</v>
      </c>
      <c r="X25" s="9" t="n">
        <f aca="false">IF($H25="",0,SUMIFS(Map_Stats!$F$2:$F$850,Map_Stats!$A$2:$A$850,$F25&amp;"|"&amp;$H25))</f>
        <v>3</v>
      </c>
      <c r="Y25" s="13" t="n">
        <f aca="false">IF($H25="","",IFERROR(1/(1/INDEX(Map_Stats!$K$2:$K$850,MATCH($F25&amp;"|"&amp;$H25,Map_Stats!$A$2:$A$850,0))),$O25))</f>
        <v>0.7</v>
      </c>
      <c r="Z25" s="10" t="n">
        <f aca="false">IF(OR($H25="",$P25=""),"",IFERROR(1/(1/INDEX(Map_Stats!$I$2:$I$850,MATCH($F25&amp;"|"&amp;$H25,Map_Stats!$A$2:$A$850,0))),$P25))</f>
        <v>0.283</v>
      </c>
      <c r="AA25" s="13" t="n">
        <f aca="false">IF(OR($H25="",Y25=""),"",IF($O25="",Y25,(X25*Y25+Config!$B$4*$O25)/(X25+Config!$B$4)))</f>
        <v>0.69375</v>
      </c>
      <c r="AB25" s="10" t="n">
        <f aca="false">IF(Z25="","",(X25*Z25+Config!$B$4*$P25)/(X25+Config!$B$4))</f>
        <v>0.284875</v>
      </c>
      <c r="AC25" s="17" t="n">
        <f aca="false">IF(OR(AA25="",$K25=""),"",AA25*$K25*($K25/Config!$B$10)^Config!$B$9)</f>
        <v>14.915625</v>
      </c>
      <c r="AD25" s="17" t="n">
        <f aca="false">IF(OR(AC25="",AB25=""),"",AC25*AB25)</f>
        <v>4.249088671875</v>
      </c>
      <c r="AE25" s="9" t="n">
        <f aca="false">IF($I25="",0,SUMIFS(Map_Stats!$F$2:$F$850,Map_Stats!$A$2:$A$850,$F25&amp;"|"&amp;$I25))</f>
        <v>9</v>
      </c>
      <c r="AF25" s="13" t="n">
        <f aca="false">IF($I25="","",IFERROR(1/(1/INDEX(Map_Stats!$K$2:$K$850,MATCH($F25&amp;"|"&amp;$I25,Map_Stats!$A$2:$A$850,0))),$O25))</f>
        <v>0.72</v>
      </c>
      <c r="AG25" s="10" t="n">
        <f aca="false">IF(OR($I25="",$P25=""),"",IFERROR(1/(1/INDEX(Map_Stats!$I$2:$I$850,MATCH($F25&amp;"|"&amp;$I25,Map_Stats!$A$2:$A$850,0))),$P25))</f>
        <v>0.379</v>
      </c>
      <c r="AH25" s="13" t="n">
        <f aca="false">IF(OR($I25="",AF25=""),"",IF($O25="",AF25,(AE25*AF25+Config!$B$4*$O25)/(AE25+Config!$B$4)))</f>
        <v>0.709285714285714</v>
      </c>
      <c r="AI25" s="10" t="n">
        <f aca="false">IF(AG25="","",(AE25*AG25+Config!$B$4*$P25)/(AE25+Config!$B$4))</f>
        <v>0.345785714285714</v>
      </c>
      <c r="AJ25" s="17" t="n">
        <f aca="false">IF(OR(AH25="",$L25=""),"",AH25*$L25*($L25/Config!$B$10)^Config!$B$9)</f>
        <v>15.2496428571429</v>
      </c>
      <c r="AK25" s="17" t="n">
        <f aca="false">IF(OR(AJ25="",AI25=""),"",AJ25*AI25)</f>
        <v>5.27310864795918</v>
      </c>
      <c r="AL25" s="17" t="n">
        <f aca="false">N(V25)+N(AC25)</f>
        <v>30.2197159090909</v>
      </c>
      <c r="AM25" s="17" t="n">
        <f aca="false">AL25+N($M25)*N(AJ25)</f>
        <v>37.6356172305195</v>
      </c>
      <c r="AN25" s="17" t="n">
        <f aca="false">IF(W25="","",N(W25)+N(AD25))</f>
        <v>8.14189288675103</v>
      </c>
      <c r="AO25" s="17" t="n">
        <f aca="false">IF(AN25="","",AN25+N($M25)*N(AK25))</f>
        <v>10.7062056222536</v>
      </c>
      <c r="AP25" s="10" t="n">
        <f aca="false">IFERROR(AN25/AL25,"")</f>
        <v>0.26942321070271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IF($C25=Board!$B$2,COUNTIFS($C$2:$C$137,Board!$B$2,$AL$2:$AL$137,"&gt;"&amp;$AL25)+COUNTIFS($C$1:$C24,Board!$B$2,$AL$1:$AL24,$AL25)+1,"")</f>
        <v/>
      </c>
      <c r="AS25" s="0" t="str">
        <f aca="false">IFERROR(IF($D25=INDEX(Matches!$AD$5:$AD$23,MATCH($C25,Matches!$A$5:$A$23,0)),"A",IF($D25=INDEX(Matches!$AE$5:$AE$23,MATCH($C25,Matches!$A$5:$A$23,0)),"B","")),"")</f>
        <v>A</v>
      </c>
      <c r="AT25" s="10" t="n">
        <f aca="false">IF($AS25="","",IFERROR(IF($AS25="A",INDEX(Matches!$AI$5:$AI$23,MATCH($C25,Matches!$A$5:$A$23,0)),INDEX(Matches!$AJ$5:$AJ$23,MATCH($C25,Matches!$A$5:$A$23,0))),""))</f>
        <v>0.530850982444716</v>
      </c>
      <c r="AU25" s="10" t="n">
        <f aca="false">IF($AS25="","",IFERROR(IF(INDEX(Matches!$AP$5:$AP$23,MATCH($C25,Matches!$A$5:$A$23,0))="","",IF($AS25="A",INDEX(Matches!$AP$5:$AP$23,MATCH($C25,Matches!$A$5:$A$23,0)),1-INDEX(Matches!$AP$5:$AP$23,MATCH($C25,Matches!$A$5:$A$23,0)))),""))</f>
        <v>0.480152667839314</v>
      </c>
      <c r="AV25" s="13" t="n">
        <f aca="false">IF(OR($AU25="",$AT25=""),1,((Config!$B$14*$AU25+Config!$B$15*(1-$AU25))/(Config!$B$14*$AT25+Config!$B$15*(1-$AT25)))^Config!$B$13)</f>
        <v>0.955910621562975</v>
      </c>
      <c r="AW25" s="10" t="n">
        <f aca="false">IF($AS25="","",IFERROR(IF(INDEX(Matches!$AV$5:$AV$23,MATCH($C25,Matches!$A$5:$A$23,0))="","",IF($AS25="A",INDEX(Matches!$AV$5:$AV$23,MATCH($C25,Matches!$A$5:$A$23,0)),1-INDEX(Matches!$AV$5:$AV$23,MATCH($C25,Matches!$A$5:$A$23,0)))),""))</f>
        <v>0.530667126357525</v>
      </c>
      <c r="AX25" s="13" t="n">
        <f aca="false">IF(OR($AW25="",$AT25=""),1,((Config!$B$14*$AW25+Config!$B$15*(1-$AW25))/(Config!$B$14*$AT25+Config!$B$15*(1-$AT25)))^Config!$B$13)</f>
        <v>0.999840111043745</v>
      </c>
      <c r="AY25" s="10" t="n">
        <f aca="false">IF($AS25="","",IFERROR(IF(INDEX(Matches!$BB$5:$BB$23,MATCH($C25,Matches!$A$5:$A$23,0))="","",IF($AS25="A",INDEX(Matches!$BB$5:$BB$23,MATCH($C25,Matches!$A$5:$A$23,0)),1-INDEX(Matches!$BB$5:$BB$23,MATCH($C25,Matches!$A$5:$A$23,0)))),""))</f>
        <v>0.521762594872757</v>
      </c>
      <c r="AZ25" s="13" t="n">
        <f aca="false">IF(OR($AY25="",$AT25=""),1,((Config!$B$14*$AY25+Config!$B$15*(1-$AY25))/(Config!$B$14*$AT25+Config!$B$15*(1-$AT25)))^Config!$B$13)</f>
        <v>0.992096357400414</v>
      </c>
      <c r="BA25" s="17" t="n">
        <f aca="false">IF(V25="","",V25*$AV25)</f>
        <v>14.6293430533654</v>
      </c>
      <c r="BB25" s="17" t="n">
        <f aca="false">IF(AC25="","",AC25*$AX25)</f>
        <v>14.9132401562869</v>
      </c>
      <c r="BC25" s="17" t="n">
        <f aca="false">IF(AJ25="","",AJ25*$AZ25)</f>
        <v>15.1291151302287</v>
      </c>
      <c r="BD25" s="17" t="n">
        <f aca="false">N(BA25)+N(BB25)</f>
        <v>29.5425832096522</v>
      </c>
      <c r="BE25" s="17" t="n">
        <f aca="false">BD25+N($M25)*N(BC25)</f>
        <v>36.8998718974824</v>
      </c>
      <c r="BF25" s="17" t="n">
        <f aca="false">IF(W25="","",W25*$AV25)</f>
        <v>3.72117289666512</v>
      </c>
      <c r="BG25" s="17" t="n">
        <f aca="false">IF(AD25="","",AD25*$AX25)</f>
        <v>4.24840928952222</v>
      </c>
      <c r="BH25" s="17" t="n">
        <f aca="false">IF(AK25="","",AK25*$AZ25)</f>
        <v>5.23143188181693</v>
      </c>
      <c r="BI25" s="17" t="n">
        <f aca="false">IF(BF25="","",N(BF25)+N(BG25))</f>
        <v>7.96958218618733</v>
      </c>
      <c r="BJ25" s="17" t="n">
        <f aca="false">IF(BI25="","",BI25+N($M25)*N(BH25))</f>
        <v>10.5136275103149</v>
      </c>
      <c r="BK25" s="13" t="n">
        <f aca="false">IFERROR(BD25/AL25,1)</f>
        <v>0.977593015716108</v>
      </c>
    </row>
    <row r="26" customFormat="false" ht="15" hidden="false" customHeight="false" outlineLevel="0" collapsed="false">
      <c r="A26" s="0" t="s">
        <v>1349</v>
      </c>
      <c r="B26" s="0" t="s">
        <v>1139</v>
      </c>
      <c r="C26" s="0" t="s">
        <v>1147</v>
      </c>
      <c r="D26" s="0" t="s">
        <v>1153</v>
      </c>
      <c r="E26" s="0" t="s">
        <v>1348</v>
      </c>
      <c r="F26" s="0" t="s">
        <v>1683</v>
      </c>
      <c r="G26" s="0" t="str">
        <f aca="false">IFERROR(IF(INDEX(Matches!$W$5:$W$23,MATCH($C26,Matches!$A$5:$A$23,0))="","",INDEX(Matches!$W$5:$W$23,MATCH($C26,Matches!$A$5:$A$23,0))),"")</f>
        <v>Dust2</v>
      </c>
      <c r="H26" s="0" t="str">
        <f aca="false">IFERROR(IF(INDEX(Matches!$X$5:$X$23,MATCH($C26,Matches!$A$5:$A$23,0))="","",INDEX(Matches!$X$5:$X$23,MATCH($C26,Matches!$A$5:$A$23,0))),"")</f>
        <v>Cache</v>
      </c>
      <c r="I26" s="0" t="str">
        <f aca="false">IFERROR(IF(INDEX(Matches!$Y$5:$Y$23,MATCH($C26,Matches!$A$5:$A$23,0))="","",INDEX(Matches!$Y$5:$Y$23,MATCH($C26,Matches!$A$5:$A$23,0))),"")</f>
        <v>Mirage</v>
      </c>
      <c r="J26" s="11" t="n">
        <f aca="false">IFERROR(IF(INDEX(Matches!$Z$5:$Z$23,MATCH($C26,Matches!$A$5:$A$23,0))="","",INDEX(Matches!$Z$5:$Z$23,MATCH($C26,Matches!$A$5:$A$23,0))),"")</f>
        <v>21.5</v>
      </c>
      <c r="K26" s="11" t="n">
        <f aca="false">IFERROR(IF(INDEX(Matches!$AA$5:$AA$23,MATCH($C26,Matches!$A$5:$A$23,0))="","",INDEX(Matches!$AA$5:$AA$23,MATCH($C26,Matches!$A$5:$A$23,0))),"")</f>
        <v>21.5</v>
      </c>
      <c r="L26" s="11" t="n">
        <f aca="false">IFERROR(IF(INDEX(Matches!$AB$5:$AB$23,MATCH($C26,Matches!$A$5:$A$23,0))="","",INDEX(Matches!$AB$5:$AB$23,MATCH($C26,Matches!$A$5:$A$23,0))),"")</f>
        <v>21.5</v>
      </c>
      <c r="M26" s="10" t="n">
        <f aca="false">IFERROR(IF(INDEX(Matches!$AC$5:$AC$23,MATCH($C26,Matches!$A$5:$A$23,0))="","",INDEX(Matches!$AC$5:$AC$23,MATCH($C26,Matches!$A$5:$A$23,0))),"")</f>
        <v>0.4863</v>
      </c>
      <c r="N26" s="9" t="n">
        <f aca="false">IFERROR(INDEX(Players!$F$2:$F$137,MATCH($F26,Players!$A$2:$A$137,0)),0)</f>
        <v>37</v>
      </c>
      <c r="O26" s="13" t="n">
        <f aca="false">IFERROR(1/(1/INDEX(Players!$H$2:$H$137,MATCH($F26,Players!$A$2:$A$137,0))),"")</f>
        <v>0.66</v>
      </c>
      <c r="P26" s="10" t="n">
        <f aca="false">IFERROR(1/(1/INDEX(Players!$I$2:$I$137,MATCH($F26,Players!$A$2:$A$137,0))),"")</f>
        <v>0.583</v>
      </c>
      <c r="Q26" s="9" t="n">
        <f aca="false">IF($G26="",0,SUMIFS(Map_Stats!$F$2:$F$850,Map_Stats!$A$2:$A$850,$F26&amp;"|"&amp;$G26))</f>
        <v>9</v>
      </c>
      <c r="R26" s="13" t="n">
        <f aca="false">IF($G26="","",IFERROR(1/(1/INDEX(Map_Stats!$K$2:$K$850,MATCH($F26&amp;"|"&amp;$G26,Map_Stats!$A$2:$A$850,0))),$O26))</f>
        <v>0.73</v>
      </c>
      <c r="S26" s="10" t="n">
        <f aca="false">IF(OR($G26="",$P26=""),"",IFERROR(1/(1/INDEX(Map_Stats!$I$2:$I$850,MATCH($F26&amp;"|"&amp;$G26,Map_Stats!$A$2:$A$850,0))),$P26))</f>
        <v>0.611</v>
      </c>
      <c r="T26" s="13" t="n">
        <f aca="false">IF(OR($G26="",R26=""),"",IF($O26="",R26,(Q26*R26+Config!$B$4*$O26)/(Q26+Config!$B$4)))</f>
        <v>0.705</v>
      </c>
      <c r="U26" s="10" t="n">
        <f aca="false">IF(S26="","",(Q26*S26+Config!$B$4*$P26)/(Q26+Config!$B$4))</f>
        <v>0.601</v>
      </c>
      <c r="V26" s="17" t="n">
        <f aca="false">IF(OR(T26="",$J26=""),"",T26*$J26*($J26/Config!$B$10)^Config!$B$9)</f>
        <v>15.1575</v>
      </c>
      <c r="W26" s="17" t="n">
        <f aca="false">IF(OR(V26="",U26=""),"",V26*U26)</f>
        <v>9.1096575</v>
      </c>
      <c r="X26" s="9" t="n">
        <f aca="false">IF($H26="",0,SUMIFS(Map_Stats!$F$2:$F$850,Map_Stats!$A$2:$A$850,$F26&amp;"|"&amp;$H26))</f>
        <v>7</v>
      </c>
      <c r="Y26" s="13" t="n">
        <f aca="false">IF($H26="","",IFERROR(1/(1/INDEX(Map_Stats!$K$2:$K$850,MATCH($F26&amp;"|"&amp;$H26,Map_Stats!$A$2:$A$850,0))),$O26))</f>
        <v>0.74</v>
      </c>
      <c r="Z26" s="10" t="n">
        <f aca="false">IF(OR($H26="",$P26=""),"",IFERROR(1/(1/INDEX(Map_Stats!$I$2:$I$850,MATCH($F26&amp;"|"&amp;$H26,Map_Stats!$A$2:$A$850,0))),$P26))</f>
        <v>0.526</v>
      </c>
      <c r="AA26" s="13" t="n">
        <f aca="false">IF(OR($H26="",Y26=""),"",IF($O26="",Y26,(X26*Y26+Config!$B$4*$O26)/(X26+Config!$B$4)))</f>
        <v>0.706666666666667</v>
      </c>
      <c r="AB26" s="10" t="n">
        <f aca="false">IF(Z26="","",(X26*Z26+Config!$B$4*$P26)/(X26+Config!$B$4))</f>
        <v>0.54975</v>
      </c>
      <c r="AC26" s="17" t="n">
        <f aca="false">IF(OR(AA26="",$K26=""),"",AA26*$K26*($K26/Config!$B$10)^Config!$B$9)</f>
        <v>15.1933333333333</v>
      </c>
      <c r="AD26" s="17" t="n">
        <f aca="false">IF(OR(AC26="",AB26=""),"",AC26*AB26)</f>
        <v>8.352535</v>
      </c>
      <c r="AE26" s="9" t="n">
        <f aca="false">IF($I26="",0,SUMIFS(Map_Stats!$F$2:$F$850,Map_Stats!$A$2:$A$850,$F26&amp;"|"&amp;$I26))</f>
        <v>4</v>
      </c>
      <c r="AF26" s="13" t="n">
        <f aca="false">IF($I26="","",IFERROR(1/(1/INDEX(Map_Stats!$K$2:$K$850,MATCH($F26&amp;"|"&amp;$I26,Map_Stats!$A$2:$A$850,0))),$O26))</f>
        <v>0.66</v>
      </c>
      <c r="AG26" s="10" t="n">
        <f aca="false">IF(OR($I26="",$P26=""),"",IFERROR(1/(1/INDEX(Map_Stats!$I$2:$I$850,MATCH($F26&amp;"|"&amp;$I26,Map_Stats!$A$2:$A$850,0))),$P26))</f>
        <v>0.556</v>
      </c>
      <c r="AH26" s="13" t="n">
        <f aca="false">IF(OR($I26="",AF26=""),"",IF($O26="",AF26,(AE26*AF26+Config!$B$4*$O26)/(AE26+Config!$B$4)))</f>
        <v>0.66</v>
      </c>
      <c r="AI26" s="10" t="n">
        <f aca="false">IF(AG26="","",(AE26*AG26+Config!$B$4*$P26)/(AE26+Config!$B$4))</f>
        <v>0.571</v>
      </c>
      <c r="AJ26" s="17" t="n">
        <f aca="false">IF(OR(AH26="",$L26=""),"",AH26*$L26*($L26/Config!$B$10)^Config!$B$9)</f>
        <v>14.19</v>
      </c>
      <c r="AK26" s="17" t="n">
        <f aca="false">IF(OR(AJ26="",AI26=""),"",AJ26*AI26)</f>
        <v>8.10249</v>
      </c>
      <c r="AL26" s="17" t="n">
        <f aca="false">N(V26)+N(AC26)</f>
        <v>30.3508333333333</v>
      </c>
      <c r="AM26" s="17" t="n">
        <f aca="false">AL26+N($M26)*N(AJ26)</f>
        <v>37.2514303333333</v>
      </c>
      <c r="AN26" s="17" t="n">
        <f aca="false">IF(W26="","",N(W26)+N(AD26))</f>
        <v>17.4621925</v>
      </c>
      <c r="AO26" s="17" t="n">
        <f aca="false">IF(AN26="","",AN26+N($M26)*N(AK26))</f>
        <v>21.402433387</v>
      </c>
      <c r="AP26" s="10" t="n">
        <f aca="false">IFERROR(AN26/AL26,"")</f>
        <v>0.575344746162928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IF($C26=Board!$B$2,COUNTIFS($C$2:$C$137,Board!$B$2,$AL$2:$AL$137,"&gt;"&amp;$AL26)+COUNTIFS($C$1:$C25,Board!$B$2,$AL$1:$AL25,$AL26)+1,"")</f>
        <v/>
      </c>
      <c r="AS26" s="0" t="str">
        <f aca="false">IFERROR(IF($D26=INDEX(Matches!$AD$5:$AD$23,MATCH($C26,Matches!$A$5:$A$23,0)),"A",IF($D26=INDEX(Matches!$AE$5:$AE$23,MATCH($C26,Matches!$A$5:$A$23,0)),"B","")),"")</f>
        <v>B</v>
      </c>
      <c r="AT26" s="10" t="n">
        <f aca="false">IF($AS26="","",IFERROR(IF($AS26="A",INDEX(Matches!$AI$5:$AI$23,MATCH($C26,Matches!$A$5:$A$23,0)),INDEX(Matches!$AJ$5:$AJ$23,MATCH($C26,Matches!$A$5:$A$23,0))),""))</f>
        <v>0.548119270722301</v>
      </c>
      <c r="AU26" s="10" t="n">
        <f aca="false">IF($AS26="","",IFERROR(IF(INDEX(Matches!$AP$5:$AP$23,MATCH($C26,Matches!$A$5:$A$23,0))="","",IF($AS26="A",INDEX(Matches!$AP$5:$AP$23,MATCH($C26,Matches!$A$5:$A$23,0)),1-INDEX(Matches!$AP$5:$AP$23,MATCH($C26,Matches!$A$5:$A$23,0)))),""))</f>
        <v>0.519847332160686</v>
      </c>
      <c r="AV26" s="13" t="n">
        <f aca="false">IF(OR($AU26="",$AT26=""),1,((Config!$B$14*$AU26+Config!$B$15*(1-$AU26))/(Config!$B$14*$AT26+Config!$B$15*(1-$AT26)))^Config!$B$13)</f>
        <v>0.975777295595501</v>
      </c>
      <c r="AW26" s="10" t="n">
        <f aca="false">IF($AS26="","",IFERROR(IF(INDEX(Matches!$AV$5:$AV$23,MATCH($C26,Matches!$A$5:$A$23,0))="","",IF($AS26="A",INDEX(Matches!$AV$5:$AV$23,MATCH($C26,Matches!$A$5:$A$23,0)),1-INDEX(Matches!$AV$5:$AV$23,MATCH($C26,Matches!$A$5:$A$23,0)))),""))</f>
        <v>0.469332873642475</v>
      </c>
      <c r="AX26" s="13" t="n">
        <f aca="false">IF(OR($AW26="",$AT26=""),1,((Config!$B$14*$AW26+Config!$B$15*(1-$AW26))/(Config!$B$14*$AT26+Config!$B$15*(1-$AT26)))^Config!$B$13)</f>
        <v>0.932497744949434</v>
      </c>
      <c r="AY26" s="10" t="n">
        <f aca="false">IF($AS26="","",IFERROR(IF(INDEX(Matches!$BB$5:$BB$23,MATCH($C26,Matches!$A$5:$A$23,0))="","",IF($AS26="A",INDEX(Matches!$BB$5:$BB$23,MATCH($C26,Matches!$A$5:$A$23,0)),1-INDEX(Matches!$BB$5:$BB$23,MATCH($C26,Matches!$A$5:$A$23,0)))),""))</f>
        <v>0.478237405127243</v>
      </c>
      <c r="AZ26" s="13" t="n">
        <f aca="false">IF(OR($AY26="",$AT26=""),1,((Config!$B$14*$AY26+Config!$B$15*(1-$AY26))/(Config!$B$14*$AT26+Config!$B$15*(1-$AT26)))^Config!$B$13)</f>
        <v>0.940126929398389</v>
      </c>
      <c r="BA26" s="17" t="n">
        <f aca="false">IF(V26="","",V26*$AV26)</f>
        <v>14.7903443579888</v>
      </c>
      <c r="BB26" s="17" t="n">
        <f aca="false">IF(AC26="","",AC26*$AX26)</f>
        <v>14.1677490715984</v>
      </c>
      <c r="BC26" s="17" t="n">
        <f aca="false">IF(AJ26="","",AJ26*$AZ26)</f>
        <v>13.3404011281631</v>
      </c>
      <c r="BD26" s="17" t="n">
        <f aca="false">N(BA26)+N(BB26)</f>
        <v>28.9580934295872</v>
      </c>
      <c r="BE26" s="17" t="n">
        <f aca="false">BD26+N($M26)*N(BC26)</f>
        <v>35.4455304982129</v>
      </c>
      <c r="BF26" s="17" t="n">
        <f aca="false">IF(W26="","",W26*$AV26)</f>
        <v>8.88899695915128</v>
      </c>
      <c r="BG26" s="17" t="n">
        <f aca="false">IF(AD26="","",AD26*$AX26)</f>
        <v>7.78872005211122</v>
      </c>
      <c r="BH26" s="17" t="n">
        <f aca="false">IF(AK26="","",AK26*$AZ26)</f>
        <v>7.61736904418115</v>
      </c>
      <c r="BI26" s="17" t="n">
        <f aca="false">IF(BF26="","",N(BF26)+N(BG26))</f>
        <v>16.6777170112625</v>
      </c>
      <c r="BJ26" s="17" t="n">
        <f aca="false">IF(BI26="","",BI26+N($M26)*N(BH26))</f>
        <v>20.3820435774478</v>
      </c>
      <c r="BK26" s="13" t="n">
        <f aca="false">IFERROR(BD26/AL26,1)</f>
        <v>0.954111971541272</v>
      </c>
    </row>
    <row r="27" customFormat="false" ht="15" hidden="false" customHeight="false" outlineLevel="0" collapsed="false">
      <c r="A27" s="0" t="s">
        <v>1351</v>
      </c>
      <c r="B27" s="0" t="s">
        <v>1139</v>
      </c>
      <c r="C27" s="0" t="s">
        <v>1147</v>
      </c>
      <c r="D27" s="0" t="s">
        <v>1153</v>
      </c>
      <c r="E27" s="0" t="s">
        <v>1350</v>
      </c>
      <c r="F27" s="0" t="s">
        <v>1684</v>
      </c>
      <c r="G27" s="0" t="str">
        <f aca="false">IFERROR(IF(INDEX(Matches!$W$5:$W$23,MATCH($C27,Matches!$A$5:$A$23,0))="","",INDEX(Matches!$W$5:$W$23,MATCH($C27,Matches!$A$5:$A$23,0))),"")</f>
        <v>Dust2</v>
      </c>
      <c r="H27" s="0" t="str">
        <f aca="false">IFERROR(IF(INDEX(Matches!$X$5:$X$23,MATCH($C27,Matches!$A$5:$A$23,0))="","",INDEX(Matches!$X$5:$X$23,MATCH($C27,Matches!$A$5:$A$23,0))),"")</f>
        <v>Cache</v>
      </c>
      <c r="I27" s="0" t="str">
        <f aca="false">IFERROR(IF(INDEX(Matches!$Y$5:$Y$23,MATCH($C27,Matches!$A$5:$A$23,0))="","",INDEX(Matches!$Y$5:$Y$23,MATCH($C27,Matches!$A$5:$A$23,0))),"")</f>
        <v>Mirage</v>
      </c>
      <c r="J27" s="11" t="n">
        <f aca="false">IFERROR(IF(INDEX(Matches!$Z$5:$Z$23,MATCH($C27,Matches!$A$5:$A$23,0))="","",INDEX(Matches!$Z$5:$Z$23,MATCH($C27,Matches!$A$5:$A$23,0))),"")</f>
        <v>21.5</v>
      </c>
      <c r="K27" s="11" t="n">
        <f aca="false">IFERROR(IF(INDEX(Matches!$AA$5:$AA$23,MATCH($C27,Matches!$A$5:$A$23,0))="","",INDEX(Matches!$AA$5:$AA$23,MATCH($C27,Matches!$A$5:$A$23,0))),"")</f>
        <v>21.5</v>
      </c>
      <c r="L27" s="11" t="n">
        <f aca="false">IFERROR(IF(INDEX(Matches!$AB$5:$AB$23,MATCH($C27,Matches!$A$5:$A$23,0))="","",INDEX(Matches!$AB$5:$AB$23,MATCH($C27,Matches!$A$5:$A$23,0))),"")</f>
        <v>21.5</v>
      </c>
      <c r="M27" s="10" t="n">
        <f aca="false">IFERROR(IF(INDEX(Matches!$AC$5:$AC$23,MATCH($C27,Matches!$A$5:$A$23,0))="","",INDEX(Matches!$AC$5:$AC$23,MATCH($C27,Matches!$A$5:$A$23,0))),"")</f>
        <v>0.4863</v>
      </c>
      <c r="N27" s="9" t="n">
        <f aca="false">IFERROR(INDEX(Players!$F$2:$F$137,MATCH($F27,Players!$A$2:$A$137,0)),0)</f>
        <v>37</v>
      </c>
      <c r="O27" s="13" t="n">
        <f aca="false">IFERROR(1/(1/INDEX(Players!$H$2:$H$137,MATCH($F27,Players!$A$2:$A$137,0))),"")</f>
        <v>0.72</v>
      </c>
      <c r="P27" s="10" t="n">
        <f aca="false">IFERROR(1/(1/INDEX(Players!$I$2:$I$137,MATCH($F27,Players!$A$2:$A$137,0))),"")</f>
        <v>0.317</v>
      </c>
      <c r="Q27" s="9" t="n">
        <f aca="false">IF($G27="",0,SUMIFS(Map_Stats!$F$2:$F$850,Map_Stats!$A$2:$A$850,$F27&amp;"|"&amp;$G27))</f>
        <v>9</v>
      </c>
      <c r="R27" s="13" t="n">
        <f aca="false">IF($G27="","",IFERROR(1/(1/INDEX(Map_Stats!$K$2:$K$850,MATCH($F27&amp;"|"&amp;$G27,Map_Stats!$A$2:$A$850,0))),$O27))</f>
        <v>0.8</v>
      </c>
      <c r="S27" s="10" t="n">
        <f aca="false">IF(OR($G27="",$P27=""),"",IFERROR(1/(1/INDEX(Map_Stats!$I$2:$I$850,MATCH($F27&amp;"|"&amp;$G27,Map_Stats!$A$2:$A$850,0))),$P27))</f>
        <v>0.372</v>
      </c>
      <c r="T27" s="13" t="n">
        <f aca="false">IF(OR($G27="",R27=""),"",IF($O27="",R27,(Q27*R27+Config!$B$4*$O27)/(Q27+Config!$B$4)))</f>
        <v>0.771428571428572</v>
      </c>
      <c r="U27" s="10" t="n">
        <f aca="false">IF(S27="","",(Q27*S27+Config!$B$4*$P27)/(Q27+Config!$B$4))</f>
        <v>0.352357142857143</v>
      </c>
      <c r="V27" s="17" t="n">
        <f aca="false">IF(OR(T27="",$J27=""),"",T27*$J27*($J27/Config!$B$10)^Config!$B$9)</f>
        <v>16.5857142857143</v>
      </c>
      <c r="W27" s="17" t="n">
        <f aca="false">IF(OR(V27="",U27=""),"",V27*U27)</f>
        <v>5.84409489795918</v>
      </c>
      <c r="X27" s="9" t="n">
        <f aca="false">IF($H27="",0,SUMIFS(Map_Stats!$F$2:$F$850,Map_Stats!$A$2:$A$850,$F27&amp;"|"&amp;$H27))</f>
        <v>7</v>
      </c>
      <c r="Y27" s="13" t="n">
        <f aca="false">IF($H27="","",IFERROR(1/(1/INDEX(Map_Stats!$K$2:$K$850,MATCH($F27&amp;"|"&amp;$H27,Map_Stats!$A$2:$A$850,0))),$O27))</f>
        <v>0.68</v>
      </c>
      <c r="Z27" s="10" t="n">
        <f aca="false">IF(OR($H27="",$P27=""),"",IFERROR(1/(1/INDEX(Map_Stats!$I$2:$I$850,MATCH($F27&amp;"|"&amp;$H27,Map_Stats!$A$2:$A$850,0))),$P27))</f>
        <v>0.311</v>
      </c>
      <c r="AA27" s="13" t="n">
        <f aca="false">IF(OR($H27="",Y27=""),"",IF($O27="",Y27,(X27*Y27+Config!$B$4*$O27)/(X27+Config!$B$4)))</f>
        <v>0.696666666666667</v>
      </c>
      <c r="AB27" s="10" t="n">
        <f aca="false">IF(Z27="","",(X27*Z27+Config!$B$4*$P27)/(X27+Config!$B$4))</f>
        <v>0.3135</v>
      </c>
      <c r="AC27" s="17" t="n">
        <f aca="false">IF(OR(AA27="",$K27=""),"",AA27*$K27*($K27/Config!$B$10)^Config!$B$9)</f>
        <v>14.9783333333333</v>
      </c>
      <c r="AD27" s="17" t="n">
        <f aca="false">IF(OR(AC27="",AB27=""),"",AC27*AB27)</f>
        <v>4.6957075</v>
      </c>
      <c r="AE27" s="9" t="n">
        <f aca="false">IF($I27="",0,SUMIFS(Map_Stats!$F$2:$F$850,Map_Stats!$A$2:$A$850,$F27&amp;"|"&amp;$I27))</f>
        <v>4</v>
      </c>
      <c r="AF27" s="13" t="n">
        <f aca="false">IF($I27="","",IFERROR(1/(1/INDEX(Map_Stats!$K$2:$K$850,MATCH($F27&amp;"|"&amp;$I27,Map_Stats!$A$2:$A$850,0))),$O27))</f>
        <v>0.74</v>
      </c>
      <c r="AG27" s="10" t="n">
        <f aca="false">IF(OR($I27="",$P27=""),"",IFERROR(1/(1/INDEX(Map_Stats!$I$2:$I$850,MATCH($F27&amp;"|"&amp;$I27,Map_Stats!$A$2:$A$850,0))),$P27))</f>
        <v>0.23</v>
      </c>
      <c r="AH27" s="13" t="n">
        <f aca="false">IF(OR($I27="",AF27=""),"",IF($O27="",AF27,(AE27*AF27+Config!$B$4*$O27)/(AE27+Config!$B$4)))</f>
        <v>0.728888888888889</v>
      </c>
      <c r="AI27" s="10" t="n">
        <f aca="false">IF(AG27="","",(AE27*AG27+Config!$B$4*$P27)/(AE27+Config!$B$4))</f>
        <v>0.278333333333333</v>
      </c>
      <c r="AJ27" s="17" t="n">
        <f aca="false">IF(OR(AH27="",$L27=""),"",AH27*$L27*($L27/Config!$B$10)^Config!$B$9)</f>
        <v>15.6711111111111</v>
      </c>
      <c r="AK27" s="17" t="n">
        <f aca="false">IF(OR(AJ27="",AI27=""),"",AJ27*AI27)</f>
        <v>4.36179259259259</v>
      </c>
      <c r="AL27" s="17" t="n">
        <f aca="false">N(V27)+N(AC27)</f>
        <v>31.5640476190476</v>
      </c>
      <c r="AM27" s="17" t="n">
        <f aca="false">AL27+N($M27)*N(AJ27)</f>
        <v>39.184908952381</v>
      </c>
      <c r="AN27" s="17" t="n">
        <f aca="false">IF(W27="","",N(W27)+N(AD27))</f>
        <v>10.5398023979592</v>
      </c>
      <c r="AO27" s="17" t="n">
        <f aca="false">IF(AN27="","",AN27+N($M27)*N(AK27))</f>
        <v>12.660942135737</v>
      </c>
      <c r="AP27" s="10" t="n">
        <f aca="false">IFERROR(AN27/AL27,"")</f>
        <v>0.333917960242806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IF($C27=Board!$B$2,COUNTIFS($C$2:$C$137,Board!$B$2,$AL$2:$AL$137,"&gt;"&amp;$AL27)+COUNTIFS($C$1:$C26,Board!$B$2,$AL$1:$AL26,$AL27)+1,"")</f>
        <v/>
      </c>
      <c r="AS27" s="0" t="str">
        <f aca="false">IFERROR(IF($D27=INDEX(Matches!$AD$5:$AD$23,MATCH($C27,Matches!$A$5:$A$23,0)),"A",IF($D27=INDEX(Matches!$AE$5:$AE$23,MATCH($C27,Matches!$A$5:$A$23,0)),"B","")),"")</f>
        <v>B</v>
      </c>
      <c r="AT27" s="10" t="n">
        <f aca="false">IF($AS27="","",IFERROR(IF($AS27="A",INDEX(Matches!$AI$5:$AI$23,MATCH($C27,Matches!$A$5:$A$23,0)),INDEX(Matches!$AJ$5:$AJ$23,MATCH($C27,Matches!$A$5:$A$23,0))),""))</f>
        <v>0.548119270722301</v>
      </c>
      <c r="AU27" s="10" t="n">
        <f aca="false">IF($AS27="","",IFERROR(IF(INDEX(Matches!$AP$5:$AP$23,MATCH($C27,Matches!$A$5:$A$23,0))="","",IF($AS27="A",INDEX(Matches!$AP$5:$AP$23,MATCH($C27,Matches!$A$5:$A$23,0)),1-INDEX(Matches!$AP$5:$AP$23,MATCH($C27,Matches!$A$5:$A$23,0)))),""))</f>
        <v>0.519847332160686</v>
      </c>
      <c r="AV27" s="13" t="n">
        <f aca="false">IF(OR($AU27="",$AT27=""),1,((Config!$B$14*$AU27+Config!$B$15*(1-$AU27))/(Config!$B$14*$AT27+Config!$B$15*(1-$AT27)))^Config!$B$13)</f>
        <v>0.975777295595501</v>
      </c>
      <c r="AW27" s="10" t="n">
        <f aca="false">IF($AS27="","",IFERROR(IF(INDEX(Matches!$AV$5:$AV$23,MATCH($C27,Matches!$A$5:$A$23,0))="","",IF($AS27="A",INDEX(Matches!$AV$5:$AV$23,MATCH($C27,Matches!$A$5:$A$23,0)),1-INDEX(Matches!$AV$5:$AV$23,MATCH($C27,Matches!$A$5:$A$23,0)))),""))</f>
        <v>0.469332873642475</v>
      </c>
      <c r="AX27" s="13" t="n">
        <f aca="false">IF(OR($AW27="",$AT27=""),1,((Config!$B$14*$AW27+Config!$B$15*(1-$AW27))/(Config!$B$14*$AT27+Config!$B$15*(1-$AT27)))^Config!$B$13)</f>
        <v>0.932497744949434</v>
      </c>
      <c r="AY27" s="10" t="n">
        <f aca="false">IF($AS27="","",IFERROR(IF(INDEX(Matches!$BB$5:$BB$23,MATCH($C27,Matches!$A$5:$A$23,0))="","",IF($AS27="A",INDEX(Matches!$BB$5:$BB$23,MATCH($C27,Matches!$A$5:$A$23,0)),1-INDEX(Matches!$BB$5:$BB$23,MATCH($C27,Matches!$A$5:$A$23,0)))),""))</f>
        <v>0.478237405127243</v>
      </c>
      <c r="AZ27" s="13" t="n">
        <f aca="false">IF(OR($AY27="",$AT27=""),1,((Config!$B$14*$AY27+Config!$B$15*(1-$AY27))/(Config!$B$14*$AT27+Config!$B$15*(1-$AT27)))^Config!$B$13)</f>
        <v>0.940126929398389</v>
      </c>
      <c r="BA27" s="17" t="n">
        <f aca="false">IF(V27="","",V27*$AV27)</f>
        <v>16.183963431234</v>
      </c>
      <c r="BB27" s="17" t="n">
        <f aca="false">IF(AC27="","",AC27*$AX27)</f>
        <v>13.9672620564343</v>
      </c>
      <c r="BC27" s="17" t="n">
        <f aca="false">IF(AJ27="","",AJ27*$AZ27)</f>
        <v>14.7328335691499</v>
      </c>
      <c r="BD27" s="17" t="n">
        <f aca="false">N(BA27)+N(BB27)</f>
        <v>30.1512254876682</v>
      </c>
      <c r="BE27" s="17" t="n">
        <f aca="false">BD27+N($M27)*N(BC27)</f>
        <v>37.3158024523458</v>
      </c>
      <c r="BF27" s="17" t="n">
        <f aca="false">IF(W27="","",W27*$AV27)</f>
        <v>5.70253511473408</v>
      </c>
      <c r="BG27" s="17" t="n">
        <f aca="false">IF(AD27="","",AD27*$AX27)</f>
        <v>4.37873665469214</v>
      </c>
      <c r="BH27" s="17" t="n">
        <f aca="false">IF(AK27="","",AK27*$AZ27)</f>
        <v>4.10063867674671</v>
      </c>
      <c r="BI27" s="17" t="n">
        <f aca="false">IF(BF27="","",N(BF27)+N(BG27))</f>
        <v>10.0812717694262</v>
      </c>
      <c r="BJ27" s="17" t="n">
        <f aca="false">IF(BI27="","",BI27+N($M27)*N(BH27))</f>
        <v>12.0754123579281</v>
      </c>
      <c r="BK27" s="13" t="n">
        <f aca="false">IFERROR(BD27/AL27,1)</f>
        <v>0.955239513371954</v>
      </c>
    </row>
    <row r="28" customFormat="false" ht="15" hidden="false" customHeight="false" outlineLevel="0" collapsed="false">
      <c r="A28" s="0" t="s">
        <v>1353</v>
      </c>
      <c r="B28" s="0" t="s">
        <v>1139</v>
      </c>
      <c r="C28" s="0" t="s">
        <v>1147</v>
      </c>
      <c r="D28" s="0" t="s">
        <v>1153</v>
      </c>
      <c r="E28" s="0" t="s">
        <v>1352</v>
      </c>
      <c r="F28" s="0" t="s">
        <v>1685</v>
      </c>
      <c r="G28" s="0" t="str">
        <f aca="false">IFERROR(IF(INDEX(Matches!$W$5:$W$23,MATCH($C28,Matches!$A$5:$A$23,0))="","",INDEX(Matches!$W$5:$W$23,MATCH($C28,Matches!$A$5:$A$23,0))),"")</f>
        <v>Dust2</v>
      </c>
      <c r="H28" s="0" t="str">
        <f aca="false">IFERROR(IF(INDEX(Matches!$X$5:$X$23,MATCH($C28,Matches!$A$5:$A$23,0))="","",INDEX(Matches!$X$5:$X$23,MATCH($C28,Matches!$A$5:$A$23,0))),"")</f>
        <v>Cache</v>
      </c>
      <c r="I28" s="0" t="str">
        <f aca="false">IFERROR(IF(INDEX(Matches!$Y$5:$Y$23,MATCH($C28,Matches!$A$5:$A$23,0))="","",INDEX(Matches!$Y$5:$Y$23,MATCH($C28,Matches!$A$5:$A$23,0))),"")</f>
        <v>Mirage</v>
      </c>
      <c r="J28" s="11" t="n">
        <f aca="false">IFERROR(IF(INDEX(Matches!$Z$5:$Z$23,MATCH($C28,Matches!$A$5:$A$23,0))="","",INDEX(Matches!$Z$5:$Z$23,MATCH($C28,Matches!$A$5:$A$23,0))),"")</f>
        <v>21.5</v>
      </c>
      <c r="K28" s="11" t="n">
        <f aca="false">IFERROR(IF(INDEX(Matches!$AA$5:$AA$23,MATCH($C28,Matches!$A$5:$A$23,0))="","",INDEX(Matches!$AA$5:$AA$23,MATCH($C28,Matches!$A$5:$A$23,0))),"")</f>
        <v>21.5</v>
      </c>
      <c r="L28" s="11" t="n">
        <f aca="false">IFERROR(IF(INDEX(Matches!$AB$5:$AB$23,MATCH($C28,Matches!$A$5:$A$23,0))="","",INDEX(Matches!$AB$5:$AB$23,MATCH($C28,Matches!$A$5:$A$23,0))),"")</f>
        <v>21.5</v>
      </c>
      <c r="M28" s="10" t="n">
        <f aca="false">IFERROR(IF(INDEX(Matches!$AC$5:$AC$23,MATCH($C28,Matches!$A$5:$A$23,0))="","",INDEX(Matches!$AC$5:$AC$23,MATCH($C28,Matches!$A$5:$A$23,0))),"")</f>
        <v>0.4863</v>
      </c>
      <c r="N28" s="9" t="n">
        <f aca="false">IFERROR(INDEX(Players!$F$2:$F$137,MATCH($F28,Players!$A$2:$A$137,0)),0)</f>
        <v>37</v>
      </c>
      <c r="O28" s="13" t="n">
        <f aca="false">IFERROR(1/(1/INDEX(Players!$H$2:$H$137,MATCH($F28,Players!$A$2:$A$137,0))),"")</f>
        <v>0.59</v>
      </c>
      <c r="P28" s="10" t="n">
        <f aca="false">IFERROR(1/(1/INDEX(Players!$I$2:$I$137,MATCH($F28,Players!$A$2:$A$137,0))),"")</f>
        <v>0.548</v>
      </c>
      <c r="Q28" s="9" t="n">
        <f aca="false">IF($G28="",0,SUMIFS(Map_Stats!$F$2:$F$850,Map_Stats!$A$2:$A$850,$F28&amp;"|"&amp;$G28))</f>
        <v>9</v>
      </c>
      <c r="R28" s="13" t="n">
        <f aca="false">IF($G28="","",IFERROR(1/(1/INDEX(Map_Stats!$K$2:$K$850,MATCH($F28&amp;"|"&amp;$G28,Map_Stats!$A$2:$A$850,0))),$O28))</f>
        <v>0.57</v>
      </c>
      <c r="S28" s="10" t="n">
        <f aca="false">IF(OR($G28="",$P28=""),"",IFERROR(1/(1/INDEX(Map_Stats!$I$2:$I$850,MATCH($F28&amp;"|"&amp;$G28,Map_Stats!$A$2:$A$850,0))),$P28))</f>
        <v>0.552</v>
      </c>
      <c r="T28" s="13" t="n">
        <f aca="false">IF(OR($G28="",R28=""),"",IF($O28="",R28,(Q28*R28+Config!$B$4*$O28)/(Q28+Config!$B$4)))</f>
        <v>0.577142857142857</v>
      </c>
      <c r="U28" s="10" t="n">
        <f aca="false">IF(S28="","",(Q28*S28+Config!$B$4*$P28)/(Q28+Config!$B$4))</f>
        <v>0.550571428571429</v>
      </c>
      <c r="V28" s="17" t="n">
        <f aca="false">IF(OR(T28="",$J28=""),"",T28*$J28*($J28/Config!$B$10)^Config!$B$9)</f>
        <v>12.4085714285714</v>
      </c>
      <c r="W28" s="17" t="n">
        <f aca="false">IF(OR(V28="",U28=""),"",V28*U28)</f>
        <v>6.83180489795918</v>
      </c>
      <c r="X28" s="9" t="n">
        <f aca="false">IF($H28="",0,SUMIFS(Map_Stats!$F$2:$F$850,Map_Stats!$A$2:$A$850,$F28&amp;"|"&amp;$H28))</f>
        <v>7</v>
      </c>
      <c r="Y28" s="13" t="n">
        <f aca="false">IF($H28="","",IFERROR(1/(1/INDEX(Map_Stats!$K$2:$K$850,MATCH($F28&amp;"|"&amp;$H28,Map_Stats!$A$2:$A$850,0))),$O28))</f>
        <v>0.64</v>
      </c>
      <c r="Z28" s="10" t="n">
        <f aca="false">IF(OR($H28="",$P28=""),"",IFERROR(1/(1/INDEX(Map_Stats!$I$2:$I$850,MATCH($F28&amp;"|"&amp;$H28,Map_Stats!$A$2:$A$850,0))),$P28))</f>
        <v>0.576</v>
      </c>
      <c r="AA28" s="13" t="n">
        <f aca="false">IF(OR($H28="",Y28=""),"",IF($O28="",Y28,(X28*Y28+Config!$B$4*$O28)/(X28+Config!$B$4)))</f>
        <v>0.619166666666667</v>
      </c>
      <c r="AB28" s="10" t="n">
        <f aca="false">IF(Z28="","",(X28*Z28+Config!$B$4*$P28)/(X28+Config!$B$4))</f>
        <v>0.564333333333333</v>
      </c>
      <c r="AC28" s="17" t="n">
        <f aca="false">IF(OR(AA28="",$K28=""),"",AA28*$K28*($K28/Config!$B$10)^Config!$B$9)</f>
        <v>13.3120833333333</v>
      </c>
      <c r="AD28" s="17" t="n">
        <f aca="false">IF(OR(AC28="",AB28=""),"",AC28*AB28)</f>
        <v>7.51245236111111</v>
      </c>
      <c r="AE28" s="9" t="n">
        <f aca="false">IF($I28="",0,SUMIFS(Map_Stats!$F$2:$F$850,Map_Stats!$A$2:$A$850,$F28&amp;"|"&amp;$I28))</f>
        <v>4</v>
      </c>
      <c r="AF28" s="13" t="n">
        <f aca="false">IF($I28="","",IFERROR(1/(1/INDEX(Map_Stats!$K$2:$K$850,MATCH($F28&amp;"|"&amp;$I28,Map_Stats!$A$2:$A$850,0))),$O28))</f>
        <v>0.74</v>
      </c>
      <c r="AG28" s="10" t="n">
        <f aca="false">IF(OR($I28="",$P28=""),"",IFERROR(1/(1/INDEX(Map_Stats!$I$2:$I$850,MATCH($F28&amp;"|"&amp;$I28,Map_Stats!$A$2:$A$850,0))),$P28))</f>
        <v>0.508</v>
      </c>
      <c r="AH28" s="13" t="n">
        <f aca="false">IF(OR($I28="",AF28=""),"",IF($O28="",AF28,(AE28*AF28+Config!$B$4*$O28)/(AE28+Config!$B$4)))</f>
        <v>0.656666666666667</v>
      </c>
      <c r="AI28" s="10" t="n">
        <f aca="false">IF(AG28="","",(AE28*AG28+Config!$B$4*$P28)/(AE28+Config!$B$4))</f>
        <v>0.530222222222222</v>
      </c>
      <c r="AJ28" s="17" t="n">
        <f aca="false">IF(OR(AH28="",$L28=""),"",AH28*$L28*($L28/Config!$B$10)^Config!$B$9)</f>
        <v>14.1183333333333</v>
      </c>
      <c r="AK28" s="17" t="n">
        <f aca="false">IF(OR(AJ28="",AI28=""),"",AJ28*AI28)</f>
        <v>7.48585407407408</v>
      </c>
      <c r="AL28" s="17" t="n">
        <f aca="false">N(V28)+N(AC28)</f>
        <v>25.7206547619048</v>
      </c>
      <c r="AM28" s="17" t="n">
        <f aca="false">AL28+N($M28)*N(AJ28)</f>
        <v>32.5864002619048</v>
      </c>
      <c r="AN28" s="17" t="n">
        <f aca="false">IF(W28="","",N(W28)+N(AD28))</f>
        <v>14.3442572590703</v>
      </c>
      <c r="AO28" s="17" t="n">
        <f aca="false">IF(AN28="","",AN28+N($M28)*N(AK28))</f>
        <v>17.9846280952925</v>
      </c>
      <c r="AP28" s="10" t="n">
        <f aca="false">IFERROR(AN28/AL28,"")</f>
        <v>0.55769409417663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IF($C28=Board!$B$2,COUNTIFS($C$2:$C$137,Board!$B$2,$AL$2:$AL$137,"&gt;"&amp;$AL28)+COUNTIFS($C$1:$C27,Board!$B$2,$AL$1:$AL27,$AL28)+1,"")</f>
        <v/>
      </c>
      <c r="AS28" s="0" t="str">
        <f aca="false">IFERROR(IF($D28=INDEX(Matches!$AD$5:$AD$23,MATCH($C28,Matches!$A$5:$A$23,0)),"A",IF($D28=INDEX(Matches!$AE$5:$AE$23,MATCH($C28,Matches!$A$5:$A$23,0)),"B","")),"")</f>
        <v>B</v>
      </c>
      <c r="AT28" s="10" t="n">
        <f aca="false">IF($AS28="","",IFERROR(IF($AS28="A",INDEX(Matches!$AI$5:$AI$23,MATCH($C28,Matches!$A$5:$A$23,0)),INDEX(Matches!$AJ$5:$AJ$23,MATCH($C28,Matches!$A$5:$A$23,0))),""))</f>
        <v>0.548119270722301</v>
      </c>
      <c r="AU28" s="10" t="n">
        <f aca="false">IF($AS28="","",IFERROR(IF(INDEX(Matches!$AP$5:$AP$23,MATCH($C28,Matches!$A$5:$A$23,0))="","",IF($AS28="A",INDEX(Matches!$AP$5:$AP$23,MATCH($C28,Matches!$A$5:$A$23,0)),1-INDEX(Matches!$AP$5:$AP$23,MATCH($C28,Matches!$A$5:$A$23,0)))),""))</f>
        <v>0.519847332160686</v>
      </c>
      <c r="AV28" s="13" t="n">
        <f aca="false">IF(OR($AU28="",$AT28=""),1,((Config!$B$14*$AU28+Config!$B$15*(1-$AU28))/(Config!$B$14*$AT28+Config!$B$15*(1-$AT28)))^Config!$B$13)</f>
        <v>0.975777295595501</v>
      </c>
      <c r="AW28" s="10" t="n">
        <f aca="false">IF($AS28="","",IFERROR(IF(INDEX(Matches!$AV$5:$AV$23,MATCH($C28,Matches!$A$5:$A$23,0))="","",IF($AS28="A",INDEX(Matches!$AV$5:$AV$23,MATCH($C28,Matches!$A$5:$A$23,0)),1-INDEX(Matches!$AV$5:$AV$23,MATCH($C28,Matches!$A$5:$A$23,0)))),""))</f>
        <v>0.469332873642475</v>
      </c>
      <c r="AX28" s="13" t="n">
        <f aca="false">IF(OR($AW28="",$AT28=""),1,((Config!$B$14*$AW28+Config!$B$15*(1-$AW28))/(Config!$B$14*$AT28+Config!$B$15*(1-$AT28)))^Config!$B$13)</f>
        <v>0.932497744949434</v>
      </c>
      <c r="AY28" s="10" t="n">
        <f aca="false">IF($AS28="","",IFERROR(IF(INDEX(Matches!$BB$5:$BB$23,MATCH($C28,Matches!$A$5:$A$23,0))="","",IF($AS28="A",INDEX(Matches!$BB$5:$BB$23,MATCH($C28,Matches!$A$5:$A$23,0)),1-INDEX(Matches!$BB$5:$BB$23,MATCH($C28,Matches!$A$5:$A$23,0)))),""))</f>
        <v>0.478237405127243</v>
      </c>
      <c r="AZ28" s="13" t="n">
        <f aca="false">IF(OR($AY28="",$AT28=""),1,((Config!$B$14*$AY28+Config!$B$15*(1-$AY28))/(Config!$B$14*$AT28+Config!$B$15*(1-$AT28)))^Config!$B$13)</f>
        <v>0.940126929398389</v>
      </c>
      <c r="BA28" s="17" t="n">
        <f aca="false">IF(V28="","",V28*$AV28)</f>
        <v>12.108002270775</v>
      </c>
      <c r="BB28" s="17" t="n">
        <f aca="false">IF(AC28="","",AC28*$AX28)</f>
        <v>12.4134876889123</v>
      </c>
      <c r="BC28" s="17" t="n">
        <f aca="false">IF(AJ28="","",AJ28*$AZ28)</f>
        <v>13.2730253648896</v>
      </c>
      <c r="BD28" s="17" t="n">
        <f aca="false">N(BA28)+N(BB28)</f>
        <v>24.5214899596873</v>
      </c>
      <c r="BE28" s="17" t="n">
        <f aca="false">BD28+N($M28)*N(BC28)</f>
        <v>30.9761621946331</v>
      </c>
      <c r="BF28" s="17" t="n">
        <f aca="false">IF(W28="","",W28*$AV28)</f>
        <v>6.66632010736671</v>
      </c>
      <c r="BG28" s="17" t="n">
        <f aca="false">IF(AD28="","",AD28*$AX28)</f>
        <v>7.00534488577616</v>
      </c>
      <c r="BH28" s="17" t="n">
        <f aca="false">IF(AK28="","",AK28*$AZ28)</f>
        <v>7.03765300458368</v>
      </c>
      <c r="BI28" s="17" t="n">
        <f aca="false">IF(BF28="","",N(BF28)+N(BG28))</f>
        <v>13.6716649931429</v>
      </c>
      <c r="BJ28" s="17" t="n">
        <f aca="false">IF(BI28="","",BI28+N($M28)*N(BH28))</f>
        <v>17.0940756492719</v>
      </c>
      <c r="BK28" s="13" t="n">
        <f aca="false">IFERROR(BD28/AL28,1)</f>
        <v>0.953377360984078</v>
      </c>
    </row>
    <row r="29" customFormat="false" ht="15" hidden="false" customHeight="false" outlineLevel="0" collapsed="false">
      <c r="A29" s="0" t="s">
        <v>1355</v>
      </c>
      <c r="B29" s="0" t="s">
        <v>1139</v>
      </c>
      <c r="C29" s="0" t="s">
        <v>1147</v>
      </c>
      <c r="D29" s="0" t="s">
        <v>1153</v>
      </c>
      <c r="E29" s="0" t="s">
        <v>1354</v>
      </c>
      <c r="F29" s="0" t="s">
        <v>1686</v>
      </c>
      <c r="G29" s="0" t="str">
        <f aca="false">IFERROR(IF(INDEX(Matches!$W$5:$W$23,MATCH($C29,Matches!$A$5:$A$23,0))="","",INDEX(Matches!$W$5:$W$23,MATCH($C29,Matches!$A$5:$A$23,0))),"")</f>
        <v>Dust2</v>
      </c>
      <c r="H29" s="0" t="str">
        <f aca="false">IFERROR(IF(INDEX(Matches!$X$5:$X$23,MATCH($C29,Matches!$A$5:$A$23,0))="","",INDEX(Matches!$X$5:$X$23,MATCH($C29,Matches!$A$5:$A$23,0))),"")</f>
        <v>Cache</v>
      </c>
      <c r="I29" s="0" t="str">
        <f aca="false">IFERROR(IF(INDEX(Matches!$Y$5:$Y$23,MATCH($C29,Matches!$A$5:$A$23,0))="","",INDEX(Matches!$Y$5:$Y$23,MATCH($C29,Matches!$A$5:$A$23,0))),"")</f>
        <v>Mirage</v>
      </c>
      <c r="J29" s="11" t="n">
        <f aca="false">IFERROR(IF(INDEX(Matches!$Z$5:$Z$23,MATCH($C29,Matches!$A$5:$A$23,0))="","",INDEX(Matches!$Z$5:$Z$23,MATCH($C29,Matches!$A$5:$A$23,0))),"")</f>
        <v>21.5</v>
      </c>
      <c r="K29" s="11" t="n">
        <f aca="false">IFERROR(IF(INDEX(Matches!$AA$5:$AA$23,MATCH($C29,Matches!$A$5:$A$23,0))="","",INDEX(Matches!$AA$5:$AA$23,MATCH($C29,Matches!$A$5:$A$23,0))),"")</f>
        <v>21.5</v>
      </c>
      <c r="L29" s="11" t="n">
        <f aca="false">IFERROR(IF(INDEX(Matches!$AB$5:$AB$23,MATCH($C29,Matches!$A$5:$A$23,0))="","",INDEX(Matches!$AB$5:$AB$23,MATCH($C29,Matches!$A$5:$A$23,0))),"")</f>
        <v>21.5</v>
      </c>
      <c r="M29" s="10" t="n">
        <f aca="false">IFERROR(IF(INDEX(Matches!$AC$5:$AC$23,MATCH($C29,Matches!$A$5:$A$23,0))="","",INDEX(Matches!$AC$5:$AC$23,MATCH($C29,Matches!$A$5:$A$23,0))),"")</f>
        <v>0.4863</v>
      </c>
      <c r="N29" s="9" t="n">
        <f aca="false">IFERROR(INDEX(Players!$F$2:$F$137,MATCH($F29,Players!$A$2:$A$137,0)),0)</f>
        <v>37</v>
      </c>
      <c r="O29" s="13" t="n">
        <f aca="false">IFERROR(1/(1/INDEX(Players!$H$2:$H$137,MATCH($F29,Players!$A$2:$A$137,0))),"")</f>
        <v>0.69</v>
      </c>
      <c r="P29" s="10" t="n">
        <f aca="false">IFERROR(1/(1/INDEX(Players!$I$2:$I$137,MATCH($F29,Players!$A$2:$A$137,0))),"")</f>
        <v>0.5</v>
      </c>
      <c r="Q29" s="9" t="n">
        <f aca="false">IF($G29="",0,SUMIFS(Map_Stats!$F$2:$F$850,Map_Stats!$A$2:$A$850,$F29&amp;"|"&amp;$G29))</f>
        <v>9</v>
      </c>
      <c r="R29" s="13" t="n">
        <f aca="false">IF($G29="","",IFERROR(1/(1/INDEX(Map_Stats!$K$2:$K$850,MATCH($F29&amp;"|"&amp;$G29,Map_Stats!$A$2:$A$850,0))),$O29))</f>
        <v>0.65</v>
      </c>
      <c r="S29" s="10" t="n">
        <f aca="false">IF(OR($G29="",$P29=""),"",IFERROR(1/(1/INDEX(Map_Stats!$I$2:$I$850,MATCH($F29&amp;"|"&amp;$G29,Map_Stats!$A$2:$A$850,0))),$P29))</f>
        <v>0.489</v>
      </c>
      <c r="T29" s="13" t="n">
        <f aca="false">IF(OR($G29="",R29=""),"",IF($O29="",R29,(Q29*R29+Config!$B$4*$O29)/(Q29+Config!$B$4)))</f>
        <v>0.664285714285714</v>
      </c>
      <c r="U29" s="10" t="n">
        <f aca="false">IF(S29="","",(Q29*S29+Config!$B$4*$P29)/(Q29+Config!$B$4))</f>
        <v>0.492928571428571</v>
      </c>
      <c r="V29" s="17" t="n">
        <f aca="false">IF(OR(T29="",$J29=""),"",T29*$J29*($J29/Config!$B$10)^Config!$B$9)</f>
        <v>14.2821428571429</v>
      </c>
      <c r="W29" s="17" t="n">
        <f aca="false">IF(OR(V29="",U29=""),"",V29*U29)</f>
        <v>7.04007627551021</v>
      </c>
      <c r="X29" s="9" t="n">
        <f aca="false">IF($H29="",0,SUMIFS(Map_Stats!$F$2:$F$850,Map_Stats!$A$2:$A$850,$F29&amp;"|"&amp;$H29))</f>
        <v>7</v>
      </c>
      <c r="Y29" s="13" t="n">
        <f aca="false">IF($H29="","",IFERROR(1/(1/INDEX(Map_Stats!$K$2:$K$850,MATCH($F29&amp;"|"&amp;$H29,Map_Stats!$A$2:$A$850,0))),$O29))</f>
        <v>0.74</v>
      </c>
      <c r="Z29" s="10" t="n">
        <f aca="false">IF(OR($H29="",$P29=""),"",IFERROR(1/(1/INDEX(Map_Stats!$I$2:$I$850,MATCH($F29&amp;"|"&amp;$H29,Map_Stats!$A$2:$A$850,0))),$P29))</f>
        <v>0.522</v>
      </c>
      <c r="AA29" s="13" t="n">
        <f aca="false">IF(OR($H29="",Y29=""),"",IF($O29="",Y29,(X29*Y29+Config!$B$4*$O29)/(X29+Config!$B$4)))</f>
        <v>0.719166666666667</v>
      </c>
      <c r="AB29" s="10" t="n">
        <f aca="false">IF(Z29="","",(X29*Z29+Config!$B$4*$P29)/(X29+Config!$B$4))</f>
        <v>0.512833333333333</v>
      </c>
      <c r="AC29" s="17" t="n">
        <f aca="false">IF(OR(AA29="",$K29=""),"",AA29*$K29*($K29/Config!$B$10)^Config!$B$9)</f>
        <v>15.4620833333333</v>
      </c>
      <c r="AD29" s="17" t="n">
        <f aca="false">IF(OR(AC29="",AB29=""),"",AC29*AB29)</f>
        <v>7.92947173611111</v>
      </c>
      <c r="AE29" s="9" t="n">
        <f aca="false">IF($I29="",0,SUMIFS(Map_Stats!$F$2:$F$850,Map_Stats!$A$2:$A$850,$F29&amp;"|"&amp;$I29))</f>
        <v>4</v>
      </c>
      <c r="AF29" s="13" t="n">
        <f aca="false">IF($I29="","",IFERROR(1/(1/INDEX(Map_Stats!$K$2:$K$850,MATCH($F29&amp;"|"&amp;$I29,Map_Stats!$A$2:$A$850,0))),$O29))</f>
        <v>0.84</v>
      </c>
      <c r="AG29" s="10" t="n">
        <f aca="false">IF(OR($I29="",$P29=""),"",IFERROR(1/(1/INDEX(Map_Stats!$I$2:$I$850,MATCH($F29&amp;"|"&amp;$I29,Map_Stats!$A$2:$A$850,0))),$P29))</f>
        <v>0.507</v>
      </c>
      <c r="AH29" s="13" t="n">
        <f aca="false">IF(OR($I29="",AF29=""),"",IF($O29="",AF29,(AE29*AF29+Config!$B$4*$O29)/(AE29+Config!$B$4)))</f>
        <v>0.756666666666667</v>
      </c>
      <c r="AI29" s="10" t="n">
        <f aca="false">IF(AG29="","",(AE29*AG29+Config!$B$4*$P29)/(AE29+Config!$B$4))</f>
        <v>0.503111111111111</v>
      </c>
      <c r="AJ29" s="17" t="n">
        <f aca="false">IF(OR(AH29="",$L29=""),"",AH29*$L29*($L29/Config!$B$10)^Config!$B$9)</f>
        <v>16.2683333333333</v>
      </c>
      <c r="AK29" s="17" t="n">
        <f aca="false">IF(OR(AJ29="",AI29=""),"",AJ29*AI29)</f>
        <v>8.18477925925926</v>
      </c>
      <c r="AL29" s="17" t="n">
        <f aca="false">N(V29)+N(AC29)</f>
        <v>29.7442261904762</v>
      </c>
      <c r="AM29" s="17" t="n">
        <f aca="false">AL29+N($M29)*N(AJ29)</f>
        <v>37.6555166904762</v>
      </c>
      <c r="AN29" s="17" t="n">
        <f aca="false">IF(W29="","",N(W29)+N(AD29))</f>
        <v>14.9695480116213</v>
      </c>
      <c r="AO29" s="17" t="n">
        <f aca="false">IF(AN29="","",AN29+N($M29)*N(AK29))</f>
        <v>18.9498061653991</v>
      </c>
      <c r="AP29" s="10" t="n">
        <f aca="false">IFERROR(AN29/AL29,"")</f>
        <v>0.503275758991317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IF($C29=Board!$B$2,COUNTIFS($C$2:$C$137,Board!$B$2,$AL$2:$AL$137,"&gt;"&amp;$AL29)+COUNTIFS($C$1:$C28,Board!$B$2,$AL$1:$AL28,$AL29)+1,"")</f>
        <v/>
      </c>
      <c r="AS29" s="0" t="str">
        <f aca="false">IFERROR(IF($D29=INDEX(Matches!$AD$5:$AD$23,MATCH($C29,Matches!$A$5:$A$23,0)),"A",IF($D29=INDEX(Matches!$AE$5:$AE$23,MATCH($C29,Matches!$A$5:$A$23,0)),"B","")),"")</f>
        <v>B</v>
      </c>
      <c r="AT29" s="10" t="n">
        <f aca="false">IF($AS29="","",IFERROR(IF($AS29="A",INDEX(Matches!$AI$5:$AI$23,MATCH($C29,Matches!$A$5:$A$23,0)),INDEX(Matches!$AJ$5:$AJ$23,MATCH($C29,Matches!$A$5:$A$23,0))),""))</f>
        <v>0.548119270722301</v>
      </c>
      <c r="AU29" s="10" t="n">
        <f aca="false">IF($AS29="","",IFERROR(IF(INDEX(Matches!$AP$5:$AP$23,MATCH($C29,Matches!$A$5:$A$23,0))="","",IF($AS29="A",INDEX(Matches!$AP$5:$AP$23,MATCH($C29,Matches!$A$5:$A$23,0)),1-INDEX(Matches!$AP$5:$AP$23,MATCH($C29,Matches!$A$5:$A$23,0)))),""))</f>
        <v>0.519847332160686</v>
      </c>
      <c r="AV29" s="13" t="n">
        <f aca="false">IF(OR($AU29="",$AT29=""),1,((Config!$B$14*$AU29+Config!$B$15*(1-$AU29))/(Config!$B$14*$AT29+Config!$B$15*(1-$AT29)))^Config!$B$13)</f>
        <v>0.975777295595501</v>
      </c>
      <c r="AW29" s="10" t="n">
        <f aca="false">IF($AS29="","",IFERROR(IF(INDEX(Matches!$AV$5:$AV$23,MATCH($C29,Matches!$A$5:$A$23,0))="","",IF($AS29="A",INDEX(Matches!$AV$5:$AV$23,MATCH($C29,Matches!$A$5:$A$23,0)),1-INDEX(Matches!$AV$5:$AV$23,MATCH($C29,Matches!$A$5:$A$23,0)))),""))</f>
        <v>0.469332873642475</v>
      </c>
      <c r="AX29" s="13" t="n">
        <f aca="false">IF(OR($AW29="",$AT29=""),1,((Config!$B$14*$AW29+Config!$B$15*(1-$AW29))/(Config!$B$14*$AT29+Config!$B$15*(1-$AT29)))^Config!$B$13)</f>
        <v>0.932497744949434</v>
      </c>
      <c r="AY29" s="10" t="n">
        <f aca="false">IF($AS29="","",IFERROR(IF(INDEX(Matches!$BB$5:$BB$23,MATCH($C29,Matches!$A$5:$A$23,0))="","",IF($AS29="A",INDEX(Matches!$BB$5:$BB$23,MATCH($C29,Matches!$A$5:$A$23,0)),1-INDEX(Matches!$BB$5:$BB$23,MATCH($C29,Matches!$A$5:$A$23,0)))),""))</f>
        <v>0.478237405127243</v>
      </c>
      <c r="AZ29" s="13" t="n">
        <f aca="false">IF(OR($AY29="",$AT29=""),1,((Config!$B$14*$AY29+Config!$B$15*(1-$AY29))/(Config!$B$14*$AT29+Config!$B$15*(1-$AT29)))^Config!$B$13)</f>
        <v>0.940126929398389</v>
      </c>
      <c r="BA29" s="17" t="n">
        <f aca="false">IF(V29="","",V29*$AV29)</f>
        <v>13.9361907324515</v>
      </c>
      <c r="BB29" s="17" t="n">
        <f aca="false">IF(AC29="","",AC29*$AX29)</f>
        <v>14.4183578405536</v>
      </c>
      <c r="BC29" s="17" t="n">
        <f aca="false">IF(AJ29="","",AJ29*$AZ29)</f>
        <v>15.2942982630961</v>
      </c>
      <c r="BD29" s="17" t="n">
        <f aca="false">N(BA29)+N(BB29)</f>
        <v>28.354548573005</v>
      </c>
      <c r="BE29" s="17" t="n">
        <f aca="false">BD29+N($M29)*N(BC29)</f>
        <v>35.7921658183487</v>
      </c>
      <c r="BF29" s="17" t="n">
        <f aca="false">IF(W29="","",W29*$AV29)</f>
        <v>6.8695465889034</v>
      </c>
      <c r="BG29" s="17" t="n">
        <f aca="false">IF(AD29="","",AD29*$AX29)</f>
        <v>7.39421451256388</v>
      </c>
      <c r="BH29" s="17" t="n">
        <f aca="false">IF(AK29="","",AK29*$AZ29)</f>
        <v>7.69473139281102</v>
      </c>
      <c r="BI29" s="17" t="n">
        <f aca="false">IF(BF29="","",N(BF29)+N(BG29))</f>
        <v>14.2637611014673</v>
      </c>
      <c r="BJ29" s="17" t="n">
        <f aca="false">IF(BI29="","",BI29+N($M29)*N(BH29))</f>
        <v>18.0057089777913</v>
      </c>
      <c r="BK29" s="13" t="n">
        <f aca="false">IFERROR(BD29/AL29,1)</f>
        <v>0.953279079826386</v>
      </c>
    </row>
    <row r="30" customFormat="false" ht="15" hidden="false" customHeight="false" outlineLevel="0" collapsed="false">
      <c r="A30" s="0" t="s">
        <v>1358</v>
      </c>
      <c r="B30" s="0" t="s">
        <v>1139</v>
      </c>
      <c r="C30" s="0" t="s">
        <v>1147</v>
      </c>
      <c r="D30" s="0" t="s">
        <v>1153</v>
      </c>
      <c r="E30" s="0" t="s">
        <v>1356</v>
      </c>
      <c r="F30" s="0" t="s">
        <v>1687</v>
      </c>
      <c r="G30" s="0" t="str">
        <f aca="false">IFERROR(IF(INDEX(Matches!$W$5:$W$23,MATCH($C30,Matches!$A$5:$A$23,0))="","",INDEX(Matches!$W$5:$W$23,MATCH($C30,Matches!$A$5:$A$23,0))),"")</f>
        <v>Dust2</v>
      </c>
      <c r="H30" s="0" t="str">
        <f aca="false">IFERROR(IF(INDEX(Matches!$X$5:$X$23,MATCH($C30,Matches!$A$5:$A$23,0))="","",INDEX(Matches!$X$5:$X$23,MATCH($C30,Matches!$A$5:$A$23,0))),"")</f>
        <v>Cache</v>
      </c>
      <c r="I30" s="0" t="str">
        <f aca="false">IFERROR(IF(INDEX(Matches!$Y$5:$Y$23,MATCH($C30,Matches!$A$5:$A$23,0))="","",INDEX(Matches!$Y$5:$Y$23,MATCH($C30,Matches!$A$5:$A$23,0))),"")</f>
        <v>Mirage</v>
      </c>
      <c r="J30" s="11" t="n">
        <f aca="false">IFERROR(IF(INDEX(Matches!$Z$5:$Z$23,MATCH($C30,Matches!$A$5:$A$23,0))="","",INDEX(Matches!$Z$5:$Z$23,MATCH($C30,Matches!$A$5:$A$23,0))),"")</f>
        <v>21.5</v>
      </c>
      <c r="K30" s="11" t="n">
        <f aca="false">IFERROR(IF(INDEX(Matches!$AA$5:$AA$23,MATCH($C30,Matches!$A$5:$A$23,0))="","",INDEX(Matches!$AA$5:$AA$23,MATCH($C30,Matches!$A$5:$A$23,0))),"")</f>
        <v>21.5</v>
      </c>
      <c r="L30" s="11" t="n">
        <f aca="false">IFERROR(IF(INDEX(Matches!$AB$5:$AB$23,MATCH($C30,Matches!$A$5:$A$23,0))="","",INDEX(Matches!$AB$5:$AB$23,MATCH($C30,Matches!$A$5:$A$23,0))),"")</f>
        <v>21.5</v>
      </c>
      <c r="M30" s="10" t="n">
        <f aca="false">IFERROR(IF(INDEX(Matches!$AC$5:$AC$23,MATCH($C30,Matches!$A$5:$A$23,0))="","",INDEX(Matches!$AC$5:$AC$23,MATCH($C30,Matches!$A$5:$A$23,0))),"")</f>
        <v>0.4863</v>
      </c>
      <c r="N30" s="9" t="n">
        <f aca="false">IFERROR(INDEX(Players!$F$2:$F$137,MATCH($F30,Players!$A$2:$A$137,0)),0)</f>
        <v>37</v>
      </c>
      <c r="O30" s="13" t="n">
        <f aca="false">IFERROR(1/(1/INDEX(Players!$H$2:$H$137,MATCH($F30,Players!$A$2:$A$137,0))),"")</f>
        <v>0.69</v>
      </c>
      <c r="P30" s="10" t="n">
        <f aca="false">IFERROR(1/(1/INDEX(Players!$I$2:$I$137,MATCH($F30,Players!$A$2:$A$137,0))),"")</f>
        <v>0.569</v>
      </c>
      <c r="Q30" s="9" t="n">
        <f aca="false">IF($G30="",0,SUMIFS(Map_Stats!$F$2:$F$850,Map_Stats!$A$2:$A$850,$F30&amp;"|"&amp;$G30))</f>
        <v>9</v>
      </c>
      <c r="R30" s="13" t="n">
        <f aca="false">IF($G30="","",IFERROR(1/(1/INDEX(Map_Stats!$K$2:$K$850,MATCH($F30&amp;"|"&amp;$G30,Map_Stats!$A$2:$A$850,0))),$O30))</f>
        <v>0.7</v>
      </c>
      <c r="S30" s="10" t="n">
        <f aca="false">IF(OR($G30="",$P30=""),"",IFERROR(1/(1/INDEX(Map_Stats!$I$2:$I$850,MATCH($F30&amp;"|"&amp;$G30,Map_Stats!$A$2:$A$850,0))),$P30))</f>
        <v>0.531</v>
      </c>
      <c r="T30" s="13" t="n">
        <f aca="false">IF(OR($G30="",R30=""),"",IF($O30="",R30,(Q30*R30+Config!$B$4*$O30)/(Q30+Config!$B$4)))</f>
        <v>0.696428571428571</v>
      </c>
      <c r="U30" s="10" t="n">
        <f aca="false">IF(S30="","",(Q30*S30+Config!$B$4*$P30)/(Q30+Config!$B$4))</f>
        <v>0.544571428571429</v>
      </c>
      <c r="V30" s="17" t="n">
        <f aca="false">IF(OR(T30="",$J30=""),"",T30*$J30*($J30/Config!$B$10)^Config!$B$9)</f>
        <v>14.9732142857143</v>
      </c>
      <c r="W30" s="17" t="n">
        <f aca="false">IF(OR(V30="",U30=""),"",V30*U30)</f>
        <v>8.15398469387755</v>
      </c>
      <c r="X30" s="9" t="n">
        <f aca="false">IF($H30="",0,SUMIFS(Map_Stats!$F$2:$F$850,Map_Stats!$A$2:$A$850,$F30&amp;"|"&amp;$H30))</f>
        <v>7</v>
      </c>
      <c r="Y30" s="13" t="n">
        <f aca="false">IF($H30="","",IFERROR(1/(1/INDEX(Map_Stats!$K$2:$K$850,MATCH($F30&amp;"|"&amp;$H30,Map_Stats!$A$2:$A$850,0))),$O30))</f>
        <v>0.72</v>
      </c>
      <c r="Z30" s="10" t="n">
        <f aca="false">IF(OR($H30="",$P30=""),"",IFERROR(1/(1/INDEX(Map_Stats!$I$2:$I$850,MATCH($F30&amp;"|"&amp;$H30,Map_Stats!$A$2:$A$850,0))),$P30))</f>
        <v>0.559</v>
      </c>
      <c r="AA30" s="13" t="n">
        <f aca="false">IF(OR($H30="",Y30=""),"",IF($O30="",Y30,(X30*Y30+Config!$B$4*$O30)/(X30+Config!$B$4)))</f>
        <v>0.7075</v>
      </c>
      <c r="AB30" s="10" t="n">
        <f aca="false">IF(Z30="","",(X30*Z30+Config!$B$4*$P30)/(X30+Config!$B$4))</f>
        <v>0.563166666666667</v>
      </c>
      <c r="AC30" s="17" t="n">
        <f aca="false">IF(OR(AA30="",$K30=""),"",AA30*$K30*($K30/Config!$B$10)^Config!$B$9)</f>
        <v>15.21125</v>
      </c>
      <c r="AD30" s="17" t="n">
        <f aca="false">IF(OR(AC30="",AB30=""),"",AC30*AB30)</f>
        <v>8.56646895833333</v>
      </c>
      <c r="AE30" s="9" t="n">
        <f aca="false">IF($I30="",0,SUMIFS(Map_Stats!$F$2:$F$850,Map_Stats!$A$2:$A$850,$F30&amp;"|"&amp;$I30))</f>
        <v>4</v>
      </c>
      <c r="AF30" s="13" t="n">
        <f aca="false">IF($I30="","",IFERROR(1/(1/INDEX(Map_Stats!$K$2:$K$850,MATCH($F30&amp;"|"&amp;$I30,Map_Stats!$A$2:$A$850,0))),$O30))</f>
        <v>0.66</v>
      </c>
      <c r="AG30" s="10" t="n">
        <f aca="false">IF(OR($I30="",$P30=""),"",IFERROR(1/(1/INDEX(Map_Stats!$I$2:$I$850,MATCH($F30&amp;"|"&amp;$I30,Map_Stats!$A$2:$A$850,0))),$P30))</f>
        <v>0.481</v>
      </c>
      <c r="AH30" s="13" t="n">
        <f aca="false">IF(OR($I30="",AF30=""),"",IF($O30="",AF30,(AE30*AF30+Config!$B$4*$O30)/(AE30+Config!$B$4)))</f>
        <v>0.676666666666667</v>
      </c>
      <c r="AI30" s="10" t="n">
        <f aca="false">IF(AG30="","",(AE30*AG30+Config!$B$4*$P30)/(AE30+Config!$B$4))</f>
        <v>0.529888888888889</v>
      </c>
      <c r="AJ30" s="17" t="n">
        <f aca="false">IF(OR(AH30="",$L30=""),"",AH30*$L30*($L30/Config!$B$10)^Config!$B$9)</f>
        <v>14.5483333333333</v>
      </c>
      <c r="AK30" s="17" t="n">
        <f aca="false">IF(OR(AJ30="",AI30=""),"",AJ30*AI30)</f>
        <v>7.70900018518518</v>
      </c>
      <c r="AL30" s="17" t="n">
        <f aca="false">N(V30)+N(AC30)</f>
        <v>30.1844642857143</v>
      </c>
      <c r="AM30" s="17" t="n">
        <f aca="false">AL30+N($M30)*N(AJ30)</f>
        <v>37.2593187857143</v>
      </c>
      <c r="AN30" s="17" t="n">
        <f aca="false">IF(W30="","",N(W30)+N(AD30))</f>
        <v>16.7204536522109</v>
      </c>
      <c r="AO30" s="17" t="n">
        <f aca="false">IF(AN30="","",AN30+N($M30)*N(AK30))</f>
        <v>20.4693404422664</v>
      </c>
      <c r="AP30" s="10" t="n">
        <f aca="false">IFERROR(AN30/AL30,"")</f>
        <v>0.553942368959795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IF($C30=Board!$B$2,COUNTIFS($C$2:$C$137,Board!$B$2,$AL$2:$AL$137,"&gt;"&amp;$AL30)+COUNTIFS($C$1:$C29,Board!$B$2,$AL$1:$AL29,$AL30)+1,"")</f>
        <v/>
      </c>
      <c r="AS30" s="0" t="str">
        <f aca="false">IFERROR(IF($D30=INDEX(Matches!$AD$5:$AD$23,MATCH($C30,Matches!$A$5:$A$23,0)),"A",IF($D30=INDEX(Matches!$AE$5:$AE$23,MATCH($C30,Matches!$A$5:$A$23,0)),"B","")),"")</f>
        <v>B</v>
      </c>
      <c r="AT30" s="10" t="n">
        <f aca="false">IF($AS30="","",IFERROR(IF($AS30="A",INDEX(Matches!$AI$5:$AI$23,MATCH($C30,Matches!$A$5:$A$23,0)),INDEX(Matches!$AJ$5:$AJ$23,MATCH($C30,Matches!$A$5:$A$23,0))),""))</f>
        <v>0.548119270722301</v>
      </c>
      <c r="AU30" s="10" t="n">
        <f aca="false">IF($AS30="","",IFERROR(IF(INDEX(Matches!$AP$5:$AP$23,MATCH($C30,Matches!$A$5:$A$23,0))="","",IF($AS30="A",INDEX(Matches!$AP$5:$AP$23,MATCH($C30,Matches!$A$5:$A$23,0)),1-INDEX(Matches!$AP$5:$AP$23,MATCH($C30,Matches!$A$5:$A$23,0)))),""))</f>
        <v>0.519847332160686</v>
      </c>
      <c r="AV30" s="13" t="n">
        <f aca="false">IF(OR($AU30="",$AT30=""),1,((Config!$B$14*$AU30+Config!$B$15*(1-$AU30))/(Config!$B$14*$AT30+Config!$B$15*(1-$AT30)))^Config!$B$13)</f>
        <v>0.975777295595501</v>
      </c>
      <c r="AW30" s="10" t="n">
        <f aca="false">IF($AS30="","",IFERROR(IF(INDEX(Matches!$AV$5:$AV$23,MATCH($C30,Matches!$A$5:$A$23,0))="","",IF($AS30="A",INDEX(Matches!$AV$5:$AV$23,MATCH($C30,Matches!$A$5:$A$23,0)),1-INDEX(Matches!$AV$5:$AV$23,MATCH($C30,Matches!$A$5:$A$23,0)))),""))</f>
        <v>0.469332873642475</v>
      </c>
      <c r="AX30" s="13" t="n">
        <f aca="false">IF(OR($AW30="",$AT30=""),1,((Config!$B$14*$AW30+Config!$B$15*(1-$AW30))/(Config!$B$14*$AT30+Config!$B$15*(1-$AT30)))^Config!$B$13)</f>
        <v>0.932497744949434</v>
      </c>
      <c r="AY30" s="10" t="n">
        <f aca="false">IF($AS30="","",IFERROR(IF(INDEX(Matches!$BB$5:$BB$23,MATCH($C30,Matches!$A$5:$A$23,0))="","",IF($AS30="A",INDEX(Matches!$BB$5:$BB$23,MATCH($C30,Matches!$A$5:$A$23,0)),1-INDEX(Matches!$BB$5:$BB$23,MATCH($C30,Matches!$A$5:$A$23,0)))),""))</f>
        <v>0.478237405127243</v>
      </c>
      <c r="AZ30" s="13" t="n">
        <f aca="false">IF(OR($AY30="",$AT30=""),1,((Config!$B$14*$AY30+Config!$B$15*(1-$AY30))/(Config!$B$14*$AT30+Config!$B$15*(1-$AT30)))^Config!$B$13)</f>
        <v>0.940126929398389</v>
      </c>
      <c r="BA30" s="17" t="n">
        <f aca="false">IF(V30="","",V30*$AV30)</f>
        <v>14.6105225420862</v>
      </c>
      <c r="BB30" s="17" t="n">
        <f aca="false">IF(AC30="","",AC30*$AX30)</f>
        <v>14.1844563228621</v>
      </c>
      <c r="BC30" s="17" t="n">
        <f aca="false">IF(AJ30="","",AJ30*$AZ30)</f>
        <v>13.6772799445309</v>
      </c>
      <c r="BD30" s="17" t="n">
        <f aca="false">N(BA30)+N(BB30)</f>
        <v>28.7949788649483</v>
      </c>
      <c r="BE30" s="17" t="n">
        <f aca="false">BD30+N($M30)*N(BC30)</f>
        <v>35.4462401019737</v>
      </c>
      <c r="BF30" s="17" t="n">
        <f aca="false">IF(W30="","",W30*$AV30)</f>
        <v>7.95647313291895</v>
      </c>
      <c r="BG30" s="17" t="n">
        <f aca="false">IF(AD30="","",AD30*$AX30)</f>
        <v>7.98821298582516</v>
      </c>
      <c r="BH30" s="17" t="n">
        <f aca="false">IF(AK30="","",AK30*$AZ30)</f>
        <v>7.24743867282976</v>
      </c>
      <c r="BI30" s="17" t="n">
        <f aca="false">IF(BF30="","",N(BF30)+N(BG30))</f>
        <v>15.9446861187441</v>
      </c>
      <c r="BJ30" s="17" t="n">
        <f aca="false">IF(BI30="","",BI30+N($M30)*N(BH30))</f>
        <v>19.4691155453412</v>
      </c>
      <c r="BK30" s="13" t="n">
        <f aca="false">IFERROR(BD30/AL30,1)</f>
        <v>0.953966868266613</v>
      </c>
    </row>
    <row r="31" customFormat="false" ht="15" hidden="false" customHeight="false" outlineLevel="0" collapsed="false">
      <c r="A31" s="0" t="s">
        <v>1362</v>
      </c>
      <c r="B31" s="0" t="s">
        <v>1139</v>
      </c>
      <c r="C31" s="0" t="s">
        <v>1174</v>
      </c>
      <c r="D31" s="0" t="s">
        <v>1178</v>
      </c>
      <c r="E31" s="0" t="s">
        <v>1360</v>
      </c>
      <c r="F31" s="0" t="s">
        <v>1688</v>
      </c>
      <c r="G31" s="0" t="str">
        <f aca="false">IFERROR(IF(INDEX(Matches!$W$5:$W$23,MATCH($C31,Matches!$A$5:$A$23,0))="","",INDEX(Matches!$W$5:$W$23,MATCH($C31,Matches!$A$5:$A$23,0))),"")</f>
        <v>Mirage</v>
      </c>
      <c r="H31" s="0" t="str">
        <f aca="false">IFERROR(IF(INDEX(Matches!$X$5:$X$23,MATCH($C31,Matches!$A$5:$A$23,0))="","",INDEX(Matches!$X$5:$X$23,MATCH($C31,Matches!$A$5:$A$23,0))),"")</f>
        <v>Ancient</v>
      </c>
      <c r="I31" s="0" t="str">
        <f aca="false">IFERROR(IF(INDEX(Matches!$Y$5:$Y$23,MATCH($C31,Matches!$A$5:$A$23,0))="","",INDEX(Matches!$Y$5:$Y$23,MATCH($C31,Matches!$A$5:$A$23,0))),"")</f>
        <v>Cache</v>
      </c>
      <c r="J31" s="11" t="n">
        <f aca="false">IFERROR(IF(INDEX(Matches!$Z$5:$Z$23,MATCH($C31,Matches!$A$5:$A$23,0))="","",INDEX(Matches!$Z$5:$Z$23,MATCH($C31,Matches!$A$5:$A$23,0))),"")</f>
        <v>21.5</v>
      </c>
      <c r="K31" s="11" t="n">
        <f aca="false">IFERROR(IF(INDEX(Matches!$AA$5:$AA$23,MATCH($C31,Matches!$A$5:$A$23,0))="","",INDEX(Matches!$AA$5:$AA$23,MATCH($C31,Matches!$A$5:$A$23,0))),"")</f>
        <v>21.36</v>
      </c>
      <c r="L31" s="11" t="n">
        <f aca="false">IFERROR(IF(INDEX(Matches!$AB$5:$AB$23,MATCH($C31,Matches!$A$5:$A$23,0))="","",INDEX(Matches!$AB$5:$AB$23,MATCH($C31,Matches!$A$5:$A$23,0))),"")</f>
        <v>21.42</v>
      </c>
      <c r="M31" s="10" t="n">
        <f aca="false">IFERROR(IF(INDEX(Matches!$AC$5:$AC$23,MATCH($C31,Matches!$A$5:$A$23,0))="","",INDEX(Matches!$AC$5:$AC$23,MATCH($C31,Matches!$A$5:$A$23,0))),"")</f>
        <v>0.4973</v>
      </c>
      <c r="N31" s="9" t="n">
        <f aca="false">IFERROR(INDEX(Players!$F$2:$F$137,MATCH($F31,Players!$A$2:$A$137,0)),0)</f>
        <v>37</v>
      </c>
      <c r="O31" s="13" t="n">
        <f aca="false">IFERROR(1/(1/INDEX(Players!$H$2:$H$137,MATCH($F31,Players!$A$2:$A$137,0))),"")</f>
        <v>0.68</v>
      </c>
      <c r="P31" s="10" t="n">
        <f aca="false">IFERROR(1/(1/INDEX(Players!$I$2:$I$137,MATCH($F31,Players!$A$2:$A$137,0))),"")</f>
        <v>0.447</v>
      </c>
      <c r="Q31" s="9" t="n">
        <f aca="false">IF($G31="",0,SUMIFS(Map_Stats!$F$2:$F$850,Map_Stats!$A$2:$A$850,$F31&amp;"|"&amp;$G31))</f>
        <v>6</v>
      </c>
      <c r="R31" s="13" t="n">
        <f aca="false">IF($G31="","",IFERROR(1/(1/INDEX(Map_Stats!$K$2:$K$850,MATCH($F31&amp;"|"&amp;$G31,Map_Stats!$A$2:$A$850,0))),$O31))</f>
        <v>0.79</v>
      </c>
      <c r="S31" s="10" t="n">
        <f aca="false">IF(OR($G31="",$P31=""),"",IFERROR(1/(1/INDEX(Map_Stats!$I$2:$I$850,MATCH($F31&amp;"|"&amp;$G31,Map_Stats!$A$2:$A$850,0))),$P31))</f>
        <v>0.592</v>
      </c>
      <c r="T31" s="13" t="n">
        <f aca="false">IF(OR($G31="",R31=""),"",IF($O31="",R31,(Q31*R31+Config!$B$4*$O31)/(Q31+Config!$B$4)))</f>
        <v>0.74</v>
      </c>
      <c r="U31" s="10" t="n">
        <f aca="false">IF(S31="","",(Q31*S31+Config!$B$4*$P31)/(Q31+Config!$B$4))</f>
        <v>0.526090909090909</v>
      </c>
      <c r="V31" s="17" t="n">
        <f aca="false">IF(OR(T31="",$J31=""),"",T31*$J31*($J31/Config!$B$10)^Config!$B$9)</f>
        <v>15.91</v>
      </c>
      <c r="W31" s="17" t="n">
        <f aca="false">IF(OR(V31="",U31=""),"",V31*U31)</f>
        <v>8.37010636363637</v>
      </c>
      <c r="X31" s="9" t="n">
        <f aca="false">IF($H31="",0,SUMIFS(Map_Stats!$F$2:$F$850,Map_Stats!$A$2:$A$850,$F31&amp;"|"&amp;$H31))</f>
        <v>9</v>
      </c>
      <c r="Y31" s="13" t="n">
        <f aca="false">IF($H31="","",IFERROR(1/(1/INDEX(Map_Stats!$K$2:$K$850,MATCH($F31&amp;"|"&amp;$H31,Map_Stats!$A$2:$A$850,0))),$O31))</f>
        <v>0.62</v>
      </c>
      <c r="Z31" s="10" t="n">
        <f aca="false">IF(OR($H31="",$P31=""),"",IFERROR(1/(1/INDEX(Map_Stats!$I$2:$I$850,MATCH($F31&amp;"|"&amp;$H31,Map_Stats!$A$2:$A$850,0))),$P31))</f>
        <v>0.368</v>
      </c>
      <c r="AA31" s="13" t="n">
        <f aca="false">IF(OR($H31="",Y31=""),"",IF($O31="",Y31,(X31*Y31+Config!$B$4*$O31)/(X31+Config!$B$4)))</f>
        <v>0.641428571428572</v>
      </c>
      <c r="AB31" s="10" t="n">
        <f aca="false">IF(Z31="","",(X31*Z31+Config!$B$4*$P31)/(X31+Config!$B$4))</f>
        <v>0.396214285714286</v>
      </c>
      <c r="AC31" s="17" t="n">
        <f aca="false">IF(OR(AA31="",$K31=""),"",AA31*$K31*($K31/Config!$B$10)^Config!$B$9)</f>
        <v>13.7009142857143</v>
      </c>
      <c r="AD31" s="17" t="n">
        <f aca="false">IF(OR(AC31="",AB31=""),"",AC31*AB31)</f>
        <v>5.42849796734694</v>
      </c>
      <c r="AE31" s="9" t="n">
        <f aca="false">IF($I31="",0,SUMIFS(Map_Stats!$F$2:$F$850,Map_Stats!$A$2:$A$850,$F31&amp;"|"&amp;$I31))</f>
        <v>4</v>
      </c>
      <c r="AF31" s="13" t="n">
        <f aca="false">IF($I31="","",IFERROR(1/(1/INDEX(Map_Stats!$K$2:$K$850,MATCH($F31&amp;"|"&amp;$I31,Map_Stats!$A$2:$A$850,0))),$O31))</f>
        <v>0.69</v>
      </c>
      <c r="AG31" s="10" t="n">
        <f aca="false">IF(OR($I31="",$P31=""),"",IFERROR(1/(1/INDEX(Map_Stats!$I$2:$I$850,MATCH($F31&amp;"|"&amp;$I31,Map_Stats!$A$2:$A$850,0))),$P31))</f>
        <v>0.39</v>
      </c>
      <c r="AH31" s="13" t="n">
        <f aca="false">IF(OR($I31="",AF31=""),"",IF($O31="",AF31,(AE31*AF31+Config!$B$4*$O31)/(AE31+Config!$B$4)))</f>
        <v>0.684444444444444</v>
      </c>
      <c r="AI31" s="10" t="n">
        <f aca="false">IF(AG31="","",(AE31*AG31+Config!$B$4*$P31)/(AE31+Config!$B$4))</f>
        <v>0.421666666666667</v>
      </c>
      <c r="AJ31" s="17" t="n">
        <f aca="false">IF(OR(AH31="",$L31=""),"",AH31*$L31*($L31/Config!$B$10)^Config!$B$9)</f>
        <v>14.6608</v>
      </c>
      <c r="AK31" s="17" t="n">
        <f aca="false">IF(OR(AJ31="",AI31=""),"",AJ31*AI31)</f>
        <v>6.18197066666667</v>
      </c>
      <c r="AL31" s="17" t="n">
        <f aca="false">N(V31)+N(AC31)</f>
        <v>29.6109142857143</v>
      </c>
      <c r="AM31" s="17" t="n">
        <f aca="false">AL31+N($M31)*N(AJ31)</f>
        <v>36.9017301257143</v>
      </c>
      <c r="AN31" s="17" t="n">
        <f aca="false">IF(W31="","",N(W31)+N(AD31))</f>
        <v>13.7986043309833</v>
      </c>
      <c r="AO31" s="17" t="n">
        <f aca="false">IF(AN31="","",AN31+N($M31)*N(AK31))</f>
        <v>16.8728983435166</v>
      </c>
      <c r="AP31" s="10" t="n">
        <f aca="false">IFERROR(AN31/AL31,"")</f>
        <v>0.46599723999878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IF($C31=Board!$B$2,COUNTIFS($C$2:$C$137,Board!$B$2,$AL$2:$AL$137,"&gt;"&amp;$AL31)+COUNTIFS($C$1:$C30,Board!$B$2,$AL$1:$AL30,$AL31)+1,"")</f>
        <v/>
      </c>
      <c r="AS31" s="0" t="str">
        <f aca="false">IFERROR(IF($D31=INDEX(Matches!$AD$5:$AD$23,MATCH($C31,Matches!$A$5:$A$23,0)),"A",IF($D31=INDEX(Matches!$AE$5:$AE$23,MATCH($C31,Matches!$A$5:$A$23,0)),"B","")),"")</f>
        <v>A</v>
      </c>
      <c r="AT31" s="10" t="n">
        <f aca="false">IF($AS31="","",IFERROR(IF($AS31="A",INDEX(Matches!$AI$5:$AI$23,MATCH($C31,Matches!$A$5:$A$23,0)),INDEX(Matches!$AJ$5:$AJ$23,MATCH($C31,Matches!$A$5:$A$23,0))),""))</f>
        <v>0.495240861062645</v>
      </c>
      <c r="AU31" s="10" t="n">
        <f aca="false">IF($AS31="","",IFERROR(IF(INDEX(Matches!$AP$5:$AP$23,MATCH($C31,Matches!$A$5:$A$23,0))="","",IF($AS31="A",INDEX(Matches!$AP$5:$AP$23,MATCH($C31,Matches!$A$5:$A$23,0)),1-INDEX(Matches!$AP$5:$AP$23,MATCH($C31,Matches!$A$5:$A$23,0)))),""))</f>
        <v>0.50791212213777</v>
      </c>
      <c r="AV31" s="13" t="n">
        <f aca="false">IF(OR($AU31="",$AT31=""),1,((Config!$B$14*$AU31+Config!$B$15*(1-$AU31))/(Config!$B$14*$AT31+Config!$B$15*(1-$AT31)))^Config!$B$13)</f>
        <v>1.01137161632854</v>
      </c>
      <c r="AW31" s="10" t="n">
        <f aca="false">IF($AS31="","",IFERROR(IF(INDEX(Matches!$AV$5:$AV$23,MATCH($C31,Matches!$A$5:$A$23,0))="","",IF($AS31="A",INDEX(Matches!$AV$5:$AV$23,MATCH($C31,Matches!$A$5:$A$23,0)),1-INDEX(Matches!$AV$5:$AV$23,MATCH($C31,Matches!$A$5:$A$23,0)))),""))</f>
        <v>0.47280421301704</v>
      </c>
      <c r="AX31" s="13" t="n">
        <f aca="false">IF(OR($AW31="",$AT31=""),1,((Config!$B$14*$AW31+Config!$B$15*(1-$AW31))/(Config!$B$14*$AT31+Config!$B$15*(1-$AT31)))^Config!$B$13)</f>
        <v>0.979864596604836</v>
      </c>
      <c r="AY31" s="10" t="n">
        <f aca="false">IF($AS31="","",IFERROR(IF(INDEX(Matches!$BB$5:$BB$23,MATCH($C31,Matches!$A$5:$A$23,0))="","",IF($AS31="A",INDEX(Matches!$BB$5:$BB$23,MATCH($C31,Matches!$A$5:$A$23,0)),1-INDEX(Matches!$BB$5:$BB$23,MATCH($C31,Matches!$A$5:$A$23,0)))),""))</f>
        <v>0.511731354656351</v>
      </c>
      <c r="AZ31" s="13" t="n">
        <f aca="false">IF(OR($AY31="",$AT31=""),1,((Config!$B$14*$AY31+Config!$B$15*(1-$AY31))/(Config!$B$14*$AT31+Config!$B$15*(1-$AT31)))^Config!$B$13)</f>
        <v>1.01479912418378</v>
      </c>
      <c r="BA31" s="17" t="n">
        <f aca="false">IF(V31="","",V31*$AV31)</f>
        <v>16.0909224157871</v>
      </c>
      <c r="BB31" s="17" t="n">
        <f aca="false">IF(AC31="","",AC31*$AX31)</f>
        <v>13.4250408496889</v>
      </c>
      <c r="BC31" s="17" t="n">
        <f aca="false">IF(AJ31="","",AJ31*$AZ31)</f>
        <v>14.8777669998335</v>
      </c>
      <c r="BD31" s="17" t="n">
        <f aca="false">N(BA31)+N(BB31)</f>
        <v>29.5159632654759</v>
      </c>
      <c r="BE31" s="17" t="n">
        <f aca="false">BD31+N($M31)*N(BC31)</f>
        <v>36.9146767944932</v>
      </c>
      <c r="BF31" s="17" t="n">
        <f aca="false">IF(W31="","",W31*$AV31)</f>
        <v>8.46528800183271</v>
      </c>
      <c r="BG31" s="17" t="n">
        <f aca="false">IF(AD31="","",AD31*$AX31)</f>
        <v>5.31919297094458</v>
      </c>
      <c r="BH31" s="17" t="n">
        <f aca="false">IF(AK31="","",AK31*$AZ31)</f>
        <v>6.27345841826314</v>
      </c>
      <c r="BI31" s="17" t="n">
        <f aca="false">IF(BF31="","",N(BF31)+N(BG31))</f>
        <v>13.7844809727773</v>
      </c>
      <c r="BJ31" s="17" t="n">
        <f aca="false">IF(BI31="","",BI31+N($M31)*N(BH31))</f>
        <v>16.9042718441795</v>
      </c>
      <c r="BK31" s="13" t="n">
        <f aca="false">IFERROR(BD31/AL31,1)</f>
        <v>0.996793377626838</v>
      </c>
    </row>
    <row r="32" customFormat="false" ht="15" hidden="false" customHeight="false" outlineLevel="0" collapsed="false">
      <c r="A32" s="0" t="s">
        <v>1366</v>
      </c>
      <c r="B32" s="0" t="s">
        <v>1139</v>
      </c>
      <c r="C32" s="0" t="s">
        <v>1174</v>
      </c>
      <c r="D32" s="0" t="s">
        <v>1178</v>
      </c>
      <c r="E32" s="0" t="s">
        <v>1364</v>
      </c>
      <c r="F32" s="0" t="s">
        <v>1689</v>
      </c>
      <c r="G32" s="0" t="str">
        <f aca="false">IFERROR(IF(INDEX(Matches!$W$5:$W$23,MATCH($C32,Matches!$A$5:$A$23,0))="","",INDEX(Matches!$W$5:$W$23,MATCH($C32,Matches!$A$5:$A$23,0))),"")</f>
        <v>Mirage</v>
      </c>
      <c r="H32" s="0" t="str">
        <f aca="false">IFERROR(IF(INDEX(Matches!$X$5:$X$23,MATCH($C32,Matches!$A$5:$A$23,0))="","",INDEX(Matches!$X$5:$X$23,MATCH($C32,Matches!$A$5:$A$23,0))),"")</f>
        <v>Ancient</v>
      </c>
      <c r="I32" s="0" t="str">
        <f aca="false">IFERROR(IF(INDEX(Matches!$Y$5:$Y$23,MATCH($C32,Matches!$A$5:$A$23,0))="","",INDEX(Matches!$Y$5:$Y$23,MATCH($C32,Matches!$A$5:$A$23,0))),"")</f>
        <v>Cache</v>
      </c>
      <c r="J32" s="11" t="n">
        <f aca="false">IFERROR(IF(INDEX(Matches!$Z$5:$Z$23,MATCH($C32,Matches!$A$5:$A$23,0))="","",INDEX(Matches!$Z$5:$Z$23,MATCH($C32,Matches!$A$5:$A$23,0))),"")</f>
        <v>21.5</v>
      </c>
      <c r="K32" s="11" t="n">
        <f aca="false">IFERROR(IF(INDEX(Matches!$AA$5:$AA$23,MATCH($C32,Matches!$A$5:$A$23,0))="","",INDEX(Matches!$AA$5:$AA$23,MATCH($C32,Matches!$A$5:$A$23,0))),"")</f>
        <v>21.36</v>
      </c>
      <c r="L32" s="11" t="n">
        <f aca="false">IFERROR(IF(INDEX(Matches!$AB$5:$AB$23,MATCH($C32,Matches!$A$5:$A$23,0))="","",INDEX(Matches!$AB$5:$AB$23,MATCH($C32,Matches!$A$5:$A$23,0))),"")</f>
        <v>21.42</v>
      </c>
      <c r="M32" s="10" t="n">
        <f aca="false">IFERROR(IF(INDEX(Matches!$AC$5:$AC$23,MATCH($C32,Matches!$A$5:$A$23,0))="","",INDEX(Matches!$AC$5:$AC$23,MATCH($C32,Matches!$A$5:$A$23,0))),"")</f>
        <v>0.4973</v>
      </c>
      <c r="N32" s="9" t="n">
        <f aca="false">IFERROR(INDEX(Players!$F$2:$F$137,MATCH($F32,Players!$A$2:$A$137,0)),0)</f>
        <v>37</v>
      </c>
      <c r="O32" s="13" t="n">
        <f aca="false">IFERROR(1/(1/INDEX(Players!$H$2:$H$137,MATCH($F32,Players!$A$2:$A$137,0))),"")</f>
        <v>0.63</v>
      </c>
      <c r="P32" s="10" t="n">
        <f aca="false">IFERROR(1/(1/INDEX(Players!$I$2:$I$137,MATCH($F32,Players!$A$2:$A$137,0))),"")</f>
        <v>0.337</v>
      </c>
      <c r="Q32" s="9" t="n">
        <f aca="false">IF($G32="",0,SUMIFS(Map_Stats!$F$2:$F$850,Map_Stats!$A$2:$A$850,$F32&amp;"|"&amp;$G32))</f>
        <v>6</v>
      </c>
      <c r="R32" s="13" t="n">
        <f aca="false">IF($G32="","",IFERROR(1/(1/INDEX(Map_Stats!$K$2:$K$850,MATCH($F32&amp;"|"&amp;$G32,Map_Stats!$A$2:$A$850,0))),$O32))</f>
        <v>0.69</v>
      </c>
      <c r="S32" s="10" t="n">
        <f aca="false">IF(OR($G32="",$P32=""),"",IFERROR(1/(1/INDEX(Map_Stats!$I$2:$I$850,MATCH($F32&amp;"|"&amp;$G32,Map_Stats!$A$2:$A$850,0))),$P32))</f>
        <v>0.275</v>
      </c>
      <c r="T32" s="13" t="n">
        <f aca="false">IF(OR($G32="",R32=""),"",IF($O32="",R32,(Q32*R32+Config!$B$4*$O32)/(Q32+Config!$B$4)))</f>
        <v>0.662727272727273</v>
      </c>
      <c r="U32" s="10" t="n">
        <f aca="false">IF(S32="","",(Q32*S32+Config!$B$4*$P32)/(Q32+Config!$B$4))</f>
        <v>0.303181818181818</v>
      </c>
      <c r="V32" s="17" t="n">
        <f aca="false">IF(OR(T32="",$J32=""),"",T32*$J32*($J32/Config!$B$10)^Config!$B$9)</f>
        <v>14.2486363636364</v>
      </c>
      <c r="W32" s="17" t="n">
        <f aca="false">IF(OR(V32="",U32=""),"",V32*U32)</f>
        <v>4.31992747933884</v>
      </c>
      <c r="X32" s="9" t="n">
        <f aca="false">IF($H32="",0,SUMIFS(Map_Stats!$F$2:$F$850,Map_Stats!$A$2:$A$850,$F32&amp;"|"&amp;$H32))</f>
        <v>9</v>
      </c>
      <c r="Y32" s="13" t="n">
        <f aca="false">IF($H32="","",IFERROR(1/(1/INDEX(Map_Stats!$K$2:$K$850,MATCH($F32&amp;"|"&amp;$H32,Map_Stats!$A$2:$A$850,0))),$O32))</f>
        <v>0.56</v>
      </c>
      <c r="Z32" s="10" t="n">
        <f aca="false">IF(OR($H32="",$P32=""),"",IFERROR(1/(1/INDEX(Map_Stats!$I$2:$I$850,MATCH($F32&amp;"|"&amp;$H32,Map_Stats!$A$2:$A$850,0))),$P32))</f>
        <v>0.274</v>
      </c>
      <c r="AA32" s="13" t="n">
        <f aca="false">IF(OR($H32="",Y32=""),"",IF($O32="",Y32,(X32*Y32+Config!$B$4*$O32)/(X32+Config!$B$4)))</f>
        <v>0.585</v>
      </c>
      <c r="AB32" s="10" t="n">
        <f aca="false">IF(Z32="","",(X32*Z32+Config!$B$4*$P32)/(X32+Config!$B$4))</f>
        <v>0.2965</v>
      </c>
      <c r="AC32" s="17" t="n">
        <f aca="false">IF(OR(AA32="",$K32=""),"",AA32*$K32*($K32/Config!$B$10)^Config!$B$9)</f>
        <v>12.4956</v>
      </c>
      <c r="AD32" s="17" t="n">
        <f aca="false">IF(OR(AC32="",AB32=""),"",AC32*AB32)</f>
        <v>3.7049454</v>
      </c>
      <c r="AE32" s="9" t="n">
        <f aca="false">IF($I32="",0,SUMIFS(Map_Stats!$F$2:$F$850,Map_Stats!$A$2:$A$850,$F32&amp;"|"&amp;$I32))</f>
        <v>4</v>
      </c>
      <c r="AF32" s="13" t="n">
        <f aca="false">IF($I32="","",IFERROR(1/(1/INDEX(Map_Stats!$K$2:$K$850,MATCH($F32&amp;"|"&amp;$I32,Map_Stats!$A$2:$A$850,0))),$O32))</f>
        <v>0.59</v>
      </c>
      <c r="AG32" s="10" t="n">
        <f aca="false">IF(OR($I32="",$P32=""),"",IFERROR(1/(1/INDEX(Map_Stats!$I$2:$I$850,MATCH($F32&amp;"|"&amp;$I32,Map_Stats!$A$2:$A$850,0))),$P32))</f>
        <v>0.294</v>
      </c>
      <c r="AH32" s="13" t="n">
        <f aca="false">IF(OR($I32="",AF32=""),"",IF($O32="",AF32,(AE32*AF32+Config!$B$4*$O32)/(AE32+Config!$B$4)))</f>
        <v>0.612222222222222</v>
      </c>
      <c r="AI32" s="10" t="n">
        <f aca="false">IF(AG32="","",(AE32*AG32+Config!$B$4*$P32)/(AE32+Config!$B$4))</f>
        <v>0.317888888888889</v>
      </c>
      <c r="AJ32" s="17" t="n">
        <f aca="false">IF(OR(AH32="",$L32=""),"",AH32*$L32*($L32/Config!$B$10)^Config!$B$9)</f>
        <v>13.1138</v>
      </c>
      <c r="AK32" s="17" t="n">
        <f aca="false">IF(OR(AJ32="",AI32=""),"",AJ32*AI32)</f>
        <v>4.16873131111111</v>
      </c>
      <c r="AL32" s="17" t="n">
        <f aca="false">N(V32)+N(AC32)</f>
        <v>26.7442363636364</v>
      </c>
      <c r="AM32" s="17" t="n">
        <f aca="false">AL32+N($M32)*N(AJ32)</f>
        <v>33.2657291036364</v>
      </c>
      <c r="AN32" s="17" t="n">
        <f aca="false">IF(W32="","",N(W32)+N(AD32))</f>
        <v>8.02487287933884</v>
      </c>
      <c r="AO32" s="17" t="n">
        <f aca="false">IF(AN32="","",AN32+N($M32)*N(AK32))</f>
        <v>10.0979829603544</v>
      </c>
      <c r="AP32" s="10" t="n">
        <f aca="false">IFERROR(AN32/AL32,"")</f>
        <v>0.3000598996444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IF($C32=Board!$B$2,COUNTIFS($C$2:$C$137,Board!$B$2,$AL$2:$AL$137,"&gt;"&amp;$AL32)+COUNTIFS($C$1:$C31,Board!$B$2,$AL$1:$AL31,$AL32)+1,"")</f>
        <v/>
      </c>
      <c r="AS32" s="0" t="str">
        <f aca="false">IFERROR(IF($D32=INDEX(Matches!$AD$5:$AD$23,MATCH($C32,Matches!$A$5:$A$23,0)),"A",IF($D32=INDEX(Matches!$AE$5:$AE$23,MATCH($C32,Matches!$A$5:$A$23,0)),"B","")),"")</f>
        <v>A</v>
      </c>
      <c r="AT32" s="10" t="n">
        <f aca="false">IF($AS32="","",IFERROR(IF($AS32="A",INDEX(Matches!$AI$5:$AI$23,MATCH($C32,Matches!$A$5:$A$23,0)),INDEX(Matches!$AJ$5:$AJ$23,MATCH($C32,Matches!$A$5:$A$23,0))),""))</f>
        <v>0.495240861062645</v>
      </c>
      <c r="AU32" s="10" t="n">
        <f aca="false">IF($AS32="","",IFERROR(IF(INDEX(Matches!$AP$5:$AP$23,MATCH($C32,Matches!$A$5:$A$23,0))="","",IF($AS32="A",INDEX(Matches!$AP$5:$AP$23,MATCH($C32,Matches!$A$5:$A$23,0)),1-INDEX(Matches!$AP$5:$AP$23,MATCH($C32,Matches!$A$5:$A$23,0)))),""))</f>
        <v>0.50791212213777</v>
      </c>
      <c r="AV32" s="13" t="n">
        <f aca="false">IF(OR($AU32="",$AT32=""),1,((Config!$B$14*$AU32+Config!$B$15*(1-$AU32))/(Config!$B$14*$AT32+Config!$B$15*(1-$AT32)))^Config!$B$13)</f>
        <v>1.01137161632854</v>
      </c>
      <c r="AW32" s="10" t="n">
        <f aca="false">IF($AS32="","",IFERROR(IF(INDEX(Matches!$AV$5:$AV$23,MATCH($C32,Matches!$A$5:$A$23,0))="","",IF($AS32="A",INDEX(Matches!$AV$5:$AV$23,MATCH($C32,Matches!$A$5:$A$23,0)),1-INDEX(Matches!$AV$5:$AV$23,MATCH($C32,Matches!$A$5:$A$23,0)))),""))</f>
        <v>0.47280421301704</v>
      </c>
      <c r="AX32" s="13" t="n">
        <f aca="false">IF(OR($AW32="",$AT32=""),1,((Config!$B$14*$AW32+Config!$B$15*(1-$AW32))/(Config!$B$14*$AT32+Config!$B$15*(1-$AT32)))^Config!$B$13)</f>
        <v>0.979864596604836</v>
      </c>
      <c r="AY32" s="10" t="n">
        <f aca="false">IF($AS32="","",IFERROR(IF(INDEX(Matches!$BB$5:$BB$23,MATCH($C32,Matches!$A$5:$A$23,0))="","",IF($AS32="A",INDEX(Matches!$BB$5:$BB$23,MATCH($C32,Matches!$A$5:$A$23,0)),1-INDEX(Matches!$BB$5:$BB$23,MATCH($C32,Matches!$A$5:$A$23,0)))),""))</f>
        <v>0.511731354656351</v>
      </c>
      <c r="AZ32" s="13" t="n">
        <f aca="false">IF(OR($AY32="",$AT32=""),1,((Config!$B$14*$AY32+Config!$B$15*(1-$AY32))/(Config!$B$14*$AT32+Config!$B$15*(1-$AT32)))^Config!$B$13)</f>
        <v>1.01479912418378</v>
      </c>
      <c r="BA32" s="17" t="n">
        <f aca="false">IF(V32="","",V32*$AV32)</f>
        <v>14.4106663895685</v>
      </c>
      <c r="BB32" s="17" t="n">
        <f aca="false">IF(AC32="","",AC32*$AX32)</f>
        <v>12.2439960533354</v>
      </c>
      <c r="BC32" s="17" t="n">
        <f aca="false">IF(AJ32="","",AJ32*$AZ32)</f>
        <v>13.3078727547212</v>
      </c>
      <c r="BD32" s="17" t="n">
        <f aca="false">N(BA32)+N(BB32)</f>
        <v>26.6546624429039</v>
      </c>
      <c r="BE32" s="17" t="n">
        <f aca="false">BD32+N($M32)*N(BC32)</f>
        <v>33.2726675638268</v>
      </c>
      <c r="BF32" s="17" t="n">
        <f aca="false">IF(W32="","",W32*$AV32)</f>
        <v>4.369052037201</v>
      </c>
      <c r="BG32" s="17" t="n">
        <f aca="false">IF(AD32="","",AD32*$AX32)</f>
        <v>3.63034482981394</v>
      </c>
      <c r="BH32" s="17" t="n">
        <f aca="false">IF(AK32="","",AK32*$AZ32)</f>
        <v>4.23042488347305</v>
      </c>
      <c r="BI32" s="17" t="n">
        <f aca="false">IF(BF32="","",N(BF32)+N(BG32))</f>
        <v>7.99939686701494</v>
      </c>
      <c r="BJ32" s="17" t="n">
        <f aca="false">IF(BI32="","",BI32+N($M32)*N(BH32))</f>
        <v>10.1031871615661</v>
      </c>
      <c r="BK32" s="13" t="n">
        <f aca="false">IFERROR(BD32/AL32,1)</f>
        <v>0.996650720569676</v>
      </c>
    </row>
    <row r="33" customFormat="false" ht="15" hidden="false" customHeight="false" outlineLevel="0" collapsed="false">
      <c r="A33" s="0" t="s">
        <v>1369</v>
      </c>
      <c r="B33" s="0" t="s">
        <v>1139</v>
      </c>
      <c r="C33" s="0" t="s">
        <v>1174</v>
      </c>
      <c r="D33" s="0" t="s">
        <v>1178</v>
      </c>
      <c r="E33" s="0" t="s">
        <v>1367</v>
      </c>
      <c r="F33" s="0" t="s">
        <v>1690</v>
      </c>
      <c r="G33" s="0" t="str">
        <f aca="false">IFERROR(IF(INDEX(Matches!$W$5:$W$23,MATCH($C33,Matches!$A$5:$A$23,0))="","",INDEX(Matches!$W$5:$W$23,MATCH($C33,Matches!$A$5:$A$23,0))),"")</f>
        <v>Mirage</v>
      </c>
      <c r="H33" s="0" t="str">
        <f aca="false">IFERROR(IF(INDEX(Matches!$X$5:$X$23,MATCH($C33,Matches!$A$5:$A$23,0))="","",INDEX(Matches!$X$5:$X$23,MATCH($C33,Matches!$A$5:$A$23,0))),"")</f>
        <v>Ancient</v>
      </c>
      <c r="I33" s="0" t="str">
        <f aca="false">IFERROR(IF(INDEX(Matches!$Y$5:$Y$23,MATCH($C33,Matches!$A$5:$A$23,0))="","",INDEX(Matches!$Y$5:$Y$23,MATCH($C33,Matches!$A$5:$A$23,0))),"")</f>
        <v>Cache</v>
      </c>
      <c r="J33" s="11" t="n">
        <f aca="false">IFERROR(IF(INDEX(Matches!$Z$5:$Z$23,MATCH($C33,Matches!$A$5:$A$23,0))="","",INDEX(Matches!$Z$5:$Z$23,MATCH($C33,Matches!$A$5:$A$23,0))),"")</f>
        <v>21.5</v>
      </c>
      <c r="K33" s="11" t="n">
        <f aca="false">IFERROR(IF(INDEX(Matches!$AA$5:$AA$23,MATCH($C33,Matches!$A$5:$A$23,0))="","",INDEX(Matches!$AA$5:$AA$23,MATCH($C33,Matches!$A$5:$A$23,0))),"")</f>
        <v>21.36</v>
      </c>
      <c r="L33" s="11" t="n">
        <f aca="false">IFERROR(IF(INDEX(Matches!$AB$5:$AB$23,MATCH($C33,Matches!$A$5:$A$23,0))="","",INDEX(Matches!$AB$5:$AB$23,MATCH($C33,Matches!$A$5:$A$23,0))),"")</f>
        <v>21.42</v>
      </c>
      <c r="M33" s="10" t="n">
        <f aca="false">IFERROR(IF(INDEX(Matches!$AC$5:$AC$23,MATCH($C33,Matches!$A$5:$A$23,0))="","",INDEX(Matches!$AC$5:$AC$23,MATCH($C33,Matches!$A$5:$A$23,0))),"")</f>
        <v>0.4973</v>
      </c>
      <c r="N33" s="9" t="n">
        <f aca="false">IFERROR(INDEX(Players!$F$2:$F$137,MATCH($F33,Players!$A$2:$A$137,0)),0)</f>
        <v>37</v>
      </c>
      <c r="O33" s="13" t="n">
        <f aca="false">IFERROR(1/(1/INDEX(Players!$H$2:$H$137,MATCH($F33,Players!$A$2:$A$137,0))),"")</f>
        <v>0.67</v>
      </c>
      <c r="P33" s="10" t="n">
        <f aca="false">IFERROR(1/(1/INDEX(Players!$I$2:$I$137,MATCH($F33,Players!$A$2:$A$137,0))),"")</f>
        <v>0.541</v>
      </c>
      <c r="Q33" s="9" t="n">
        <f aca="false">IF($G33="",0,SUMIFS(Map_Stats!$F$2:$F$850,Map_Stats!$A$2:$A$850,$F33&amp;"|"&amp;$G33))</f>
        <v>6</v>
      </c>
      <c r="R33" s="13" t="n">
        <f aca="false">IF($G33="","",IFERROR(1/(1/INDEX(Map_Stats!$K$2:$K$850,MATCH($F33&amp;"|"&amp;$G33,Map_Stats!$A$2:$A$850,0))),$O33))</f>
        <v>0.63</v>
      </c>
      <c r="S33" s="10" t="n">
        <f aca="false">IF(OR($G33="",$P33=""),"",IFERROR(1/(1/INDEX(Map_Stats!$I$2:$I$850,MATCH($F33&amp;"|"&amp;$G33,Map_Stats!$A$2:$A$850,0))),$P33))</f>
        <v>0.542</v>
      </c>
      <c r="T33" s="13" t="n">
        <f aca="false">IF(OR($G33="",R33=""),"",IF($O33="",R33,(Q33*R33+Config!$B$4*$O33)/(Q33+Config!$B$4)))</f>
        <v>0.648181818181818</v>
      </c>
      <c r="U33" s="10" t="n">
        <f aca="false">IF(S33="","",(Q33*S33+Config!$B$4*$P33)/(Q33+Config!$B$4))</f>
        <v>0.541545454545455</v>
      </c>
      <c r="V33" s="17" t="n">
        <f aca="false">IF(OR(T33="",$J33=""),"",T33*$J33*($J33/Config!$B$10)^Config!$B$9)</f>
        <v>13.9359090909091</v>
      </c>
      <c r="W33" s="17" t="n">
        <f aca="false">IF(OR(V33="",U33=""),"",V33*U33)</f>
        <v>7.5469282231405</v>
      </c>
      <c r="X33" s="9" t="n">
        <f aca="false">IF($H33="",0,SUMIFS(Map_Stats!$F$2:$F$850,Map_Stats!$A$2:$A$850,$F33&amp;"|"&amp;$H33))</f>
        <v>9</v>
      </c>
      <c r="Y33" s="13" t="n">
        <f aca="false">IF($H33="","",IFERROR(1/(1/INDEX(Map_Stats!$K$2:$K$850,MATCH($F33&amp;"|"&amp;$H33,Map_Stats!$A$2:$A$850,0))),$O33))</f>
        <v>0.61</v>
      </c>
      <c r="Z33" s="10" t="n">
        <f aca="false">IF(OR($H33="",$P33=""),"",IFERROR(1/(1/INDEX(Map_Stats!$I$2:$I$850,MATCH($F33&amp;"|"&amp;$H33,Map_Stats!$A$2:$A$850,0))),$P33))</f>
        <v>0.556</v>
      </c>
      <c r="AA33" s="13" t="n">
        <f aca="false">IF(OR($H33="",Y33=""),"",IF($O33="",Y33,(X33*Y33+Config!$B$4*$O33)/(X33+Config!$B$4)))</f>
        <v>0.631428571428572</v>
      </c>
      <c r="AB33" s="10" t="n">
        <f aca="false">IF(Z33="","",(X33*Z33+Config!$B$4*$P33)/(X33+Config!$B$4))</f>
        <v>0.550642857142857</v>
      </c>
      <c r="AC33" s="17" t="n">
        <f aca="false">IF(OR(AA33="",$K33=""),"",AA33*$K33*($K33/Config!$B$10)^Config!$B$9)</f>
        <v>13.4873142857143</v>
      </c>
      <c r="AD33" s="17" t="n">
        <f aca="false">IF(OR(AC33="",AB33=""),"",AC33*AB33)</f>
        <v>7.42669327346939</v>
      </c>
      <c r="AE33" s="9" t="n">
        <f aca="false">IF($I33="",0,SUMIFS(Map_Stats!$F$2:$F$850,Map_Stats!$A$2:$A$850,$F33&amp;"|"&amp;$I33))</f>
        <v>4</v>
      </c>
      <c r="AF33" s="13" t="n">
        <f aca="false">IF($I33="","",IFERROR(1/(1/INDEX(Map_Stats!$K$2:$K$850,MATCH($F33&amp;"|"&amp;$I33,Map_Stats!$A$2:$A$850,0))),$O33))</f>
        <v>0.57</v>
      </c>
      <c r="AG33" s="10" t="n">
        <f aca="false">IF(OR($I33="",$P33=""),"",IFERROR(1/(1/INDEX(Map_Stats!$I$2:$I$850,MATCH($F33&amp;"|"&amp;$I33,Map_Stats!$A$2:$A$850,0))),$P33))</f>
        <v>0.469</v>
      </c>
      <c r="AH33" s="13" t="n">
        <f aca="false">IF(OR($I33="",AF33=""),"",IF($O33="",AF33,(AE33*AF33+Config!$B$4*$O33)/(AE33+Config!$B$4)))</f>
        <v>0.625555555555556</v>
      </c>
      <c r="AI33" s="10" t="n">
        <f aca="false">IF(AG33="","",(AE33*AG33+Config!$B$4*$P33)/(AE33+Config!$B$4))</f>
        <v>0.509</v>
      </c>
      <c r="AJ33" s="17" t="n">
        <f aca="false">IF(OR(AH33="",$L33=""),"",AH33*$L33*($L33/Config!$B$10)^Config!$B$9)</f>
        <v>13.3994</v>
      </c>
      <c r="AK33" s="17" t="n">
        <f aca="false">IF(OR(AJ33="",AI33=""),"",AJ33*AI33)</f>
        <v>6.8202946</v>
      </c>
      <c r="AL33" s="17" t="n">
        <f aca="false">N(V33)+N(AC33)</f>
        <v>27.4232233766234</v>
      </c>
      <c r="AM33" s="17" t="n">
        <f aca="false">AL33+N($M33)*N(AJ33)</f>
        <v>34.0867449966234</v>
      </c>
      <c r="AN33" s="17" t="n">
        <f aca="false">IF(W33="","",N(W33)+N(AD33))</f>
        <v>14.9736214966099</v>
      </c>
      <c r="AO33" s="17" t="n">
        <f aca="false">IF(AN33="","",AN33+N($M33)*N(AK33))</f>
        <v>18.3653540011899</v>
      </c>
      <c r="AP33" s="10" t="n">
        <f aca="false">IFERROR(AN33/AL33,"")</f>
        <v>0.546019747239998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IF($C33=Board!$B$2,COUNTIFS($C$2:$C$137,Board!$B$2,$AL$2:$AL$137,"&gt;"&amp;$AL33)+COUNTIFS($C$1:$C32,Board!$B$2,$AL$1:$AL32,$AL33)+1,"")</f>
        <v/>
      </c>
      <c r="AS33" s="0" t="str">
        <f aca="false">IFERROR(IF($D33=INDEX(Matches!$AD$5:$AD$23,MATCH($C33,Matches!$A$5:$A$23,0)),"A",IF($D33=INDEX(Matches!$AE$5:$AE$23,MATCH($C33,Matches!$A$5:$A$23,0)),"B","")),"")</f>
        <v>A</v>
      </c>
      <c r="AT33" s="10" t="n">
        <f aca="false">IF($AS33="","",IFERROR(IF($AS33="A",INDEX(Matches!$AI$5:$AI$23,MATCH($C33,Matches!$A$5:$A$23,0)),INDEX(Matches!$AJ$5:$AJ$23,MATCH($C33,Matches!$A$5:$A$23,0))),""))</f>
        <v>0.495240861062645</v>
      </c>
      <c r="AU33" s="10" t="n">
        <f aca="false">IF($AS33="","",IFERROR(IF(INDEX(Matches!$AP$5:$AP$23,MATCH($C33,Matches!$A$5:$A$23,0))="","",IF($AS33="A",INDEX(Matches!$AP$5:$AP$23,MATCH($C33,Matches!$A$5:$A$23,0)),1-INDEX(Matches!$AP$5:$AP$23,MATCH($C33,Matches!$A$5:$A$23,0)))),""))</f>
        <v>0.50791212213777</v>
      </c>
      <c r="AV33" s="13" t="n">
        <f aca="false">IF(OR($AU33="",$AT33=""),1,((Config!$B$14*$AU33+Config!$B$15*(1-$AU33))/(Config!$B$14*$AT33+Config!$B$15*(1-$AT33)))^Config!$B$13)</f>
        <v>1.01137161632854</v>
      </c>
      <c r="AW33" s="10" t="n">
        <f aca="false">IF($AS33="","",IFERROR(IF(INDEX(Matches!$AV$5:$AV$23,MATCH($C33,Matches!$A$5:$A$23,0))="","",IF($AS33="A",INDEX(Matches!$AV$5:$AV$23,MATCH($C33,Matches!$A$5:$A$23,0)),1-INDEX(Matches!$AV$5:$AV$23,MATCH($C33,Matches!$A$5:$A$23,0)))),""))</f>
        <v>0.47280421301704</v>
      </c>
      <c r="AX33" s="13" t="n">
        <f aca="false">IF(OR($AW33="",$AT33=""),1,((Config!$B$14*$AW33+Config!$B$15*(1-$AW33))/(Config!$B$14*$AT33+Config!$B$15*(1-$AT33)))^Config!$B$13)</f>
        <v>0.979864596604836</v>
      </c>
      <c r="AY33" s="10" t="n">
        <f aca="false">IF($AS33="","",IFERROR(IF(INDEX(Matches!$BB$5:$BB$23,MATCH($C33,Matches!$A$5:$A$23,0))="","",IF($AS33="A",INDEX(Matches!$BB$5:$BB$23,MATCH($C33,Matches!$A$5:$A$23,0)),1-INDEX(Matches!$BB$5:$BB$23,MATCH($C33,Matches!$A$5:$A$23,0)))),""))</f>
        <v>0.511731354656351</v>
      </c>
      <c r="AZ33" s="13" t="n">
        <f aca="false">IF(OR($AY33="",$AT33=""),1,((Config!$B$14*$AY33+Config!$B$15*(1-$AY33))/(Config!$B$14*$AT33+Config!$B$15*(1-$AT33)))^Config!$B$13)</f>
        <v>1.01479912418378</v>
      </c>
      <c r="BA33" s="17" t="n">
        <f aca="false">IF(V33="","",V33*$AV33)</f>
        <v>14.0943829022803</v>
      </c>
      <c r="BB33" s="17" t="n">
        <f aca="false">IF(AC33="","",AC33*$AX33)</f>
        <v>13.2157417718541</v>
      </c>
      <c r="BC33" s="17" t="n">
        <f aca="false">IF(AJ33="","",AJ33*$AZ33)</f>
        <v>13.5976993845881</v>
      </c>
      <c r="BD33" s="17" t="n">
        <f aca="false">N(BA33)+N(BB33)</f>
        <v>27.3101246741344</v>
      </c>
      <c r="BE33" s="17" t="n">
        <f aca="false">BD33+N($M33)*N(BC33)</f>
        <v>34.0722605780901</v>
      </c>
      <c r="BF33" s="17" t="n">
        <f aca="false">IF(W33="","",W33*$AV33)</f>
        <v>7.63274899535308</v>
      </c>
      <c r="BG33" s="17" t="n">
        <f aca="false">IF(AD33="","",AD33*$AX33)</f>
        <v>7.27715380851593</v>
      </c>
      <c r="BH33" s="17" t="n">
        <f aca="false">IF(AK33="","",AK33*$AZ33)</f>
        <v>6.92122898675535</v>
      </c>
      <c r="BI33" s="17" t="n">
        <f aca="false">IF(BF33="","",N(BF33)+N(BG33))</f>
        <v>14.909902803869</v>
      </c>
      <c r="BJ33" s="17" t="n">
        <f aca="false">IF(BI33="","",BI33+N($M33)*N(BH33))</f>
        <v>18.3518299789824</v>
      </c>
      <c r="BK33" s="13" t="n">
        <f aca="false">IFERROR(BD33/AL33,1)</f>
        <v>0.995875805665303</v>
      </c>
    </row>
    <row r="34" customFormat="false" ht="15" hidden="false" customHeight="false" outlineLevel="0" collapsed="false">
      <c r="A34" s="0" t="s">
        <v>1373</v>
      </c>
      <c r="B34" s="0" t="s">
        <v>1139</v>
      </c>
      <c r="C34" s="0" t="s">
        <v>1174</v>
      </c>
      <c r="D34" s="0" t="s">
        <v>1178</v>
      </c>
      <c r="E34" s="0" t="s">
        <v>1371</v>
      </c>
      <c r="F34" s="0" t="s">
        <v>1691</v>
      </c>
      <c r="G34" s="0" t="str">
        <f aca="false">IFERROR(IF(INDEX(Matches!$W$5:$W$23,MATCH($C34,Matches!$A$5:$A$23,0))="","",INDEX(Matches!$W$5:$W$23,MATCH($C34,Matches!$A$5:$A$23,0))),"")</f>
        <v>Mirage</v>
      </c>
      <c r="H34" s="0" t="str">
        <f aca="false">IFERROR(IF(INDEX(Matches!$X$5:$X$23,MATCH($C34,Matches!$A$5:$A$23,0))="","",INDEX(Matches!$X$5:$X$23,MATCH($C34,Matches!$A$5:$A$23,0))),"")</f>
        <v>Ancient</v>
      </c>
      <c r="I34" s="0" t="str">
        <f aca="false">IFERROR(IF(INDEX(Matches!$Y$5:$Y$23,MATCH($C34,Matches!$A$5:$A$23,0))="","",INDEX(Matches!$Y$5:$Y$23,MATCH($C34,Matches!$A$5:$A$23,0))),"")</f>
        <v>Cache</v>
      </c>
      <c r="J34" s="11" t="n">
        <f aca="false">IFERROR(IF(INDEX(Matches!$Z$5:$Z$23,MATCH($C34,Matches!$A$5:$A$23,0))="","",INDEX(Matches!$Z$5:$Z$23,MATCH($C34,Matches!$A$5:$A$23,0))),"")</f>
        <v>21.5</v>
      </c>
      <c r="K34" s="11" t="n">
        <f aca="false">IFERROR(IF(INDEX(Matches!$AA$5:$AA$23,MATCH($C34,Matches!$A$5:$A$23,0))="","",INDEX(Matches!$AA$5:$AA$23,MATCH($C34,Matches!$A$5:$A$23,0))),"")</f>
        <v>21.36</v>
      </c>
      <c r="L34" s="11" t="n">
        <f aca="false">IFERROR(IF(INDEX(Matches!$AB$5:$AB$23,MATCH($C34,Matches!$A$5:$A$23,0))="","",INDEX(Matches!$AB$5:$AB$23,MATCH($C34,Matches!$A$5:$A$23,0))),"")</f>
        <v>21.42</v>
      </c>
      <c r="M34" s="10" t="n">
        <f aca="false">IFERROR(IF(INDEX(Matches!$AC$5:$AC$23,MATCH($C34,Matches!$A$5:$A$23,0))="","",INDEX(Matches!$AC$5:$AC$23,MATCH($C34,Matches!$A$5:$A$23,0))),"")</f>
        <v>0.4973</v>
      </c>
      <c r="N34" s="9" t="n">
        <f aca="false">IFERROR(INDEX(Players!$F$2:$F$137,MATCH($F34,Players!$A$2:$A$137,0)),0)</f>
        <v>37</v>
      </c>
      <c r="O34" s="13" t="n">
        <f aca="false">IFERROR(1/(1/INDEX(Players!$H$2:$H$137,MATCH($F34,Players!$A$2:$A$137,0))),"")</f>
        <v>0.78</v>
      </c>
      <c r="P34" s="10" t="n">
        <f aca="false">IFERROR(1/(1/INDEX(Players!$I$2:$I$137,MATCH($F34,Players!$A$2:$A$137,0))),"")</f>
        <v>0.657</v>
      </c>
      <c r="Q34" s="9" t="n">
        <f aca="false">IF($G34="",0,SUMIFS(Map_Stats!$F$2:$F$850,Map_Stats!$A$2:$A$850,$F34&amp;"|"&amp;$G34))</f>
        <v>4</v>
      </c>
      <c r="R34" s="13" t="n">
        <f aca="false">IF($G34="","",IFERROR(1/(1/INDEX(Map_Stats!$K$2:$K$850,MATCH($F34&amp;"|"&amp;$G34,Map_Stats!$A$2:$A$850,0))),$O34))</f>
        <v>0.66</v>
      </c>
      <c r="S34" s="10" t="n">
        <f aca="false">IF(OR($G34="",$P34=""),"",IFERROR(1/(1/INDEX(Map_Stats!$I$2:$I$850,MATCH($F34&amp;"|"&amp;$G34,Map_Stats!$A$2:$A$850,0))),$P34))</f>
        <v>0.607</v>
      </c>
      <c r="T34" s="13" t="n">
        <f aca="false">IF(OR($G34="",R34=""),"",IF($O34="",R34,(Q34*R34+Config!$B$4*$O34)/(Q34+Config!$B$4)))</f>
        <v>0.726666666666667</v>
      </c>
      <c r="U34" s="10" t="n">
        <f aca="false">IF(S34="","",(Q34*S34+Config!$B$4*$P34)/(Q34+Config!$B$4))</f>
        <v>0.634777777777778</v>
      </c>
      <c r="V34" s="17" t="n">
        <f aca="false">IF(OR(T34="",$J34=""),"",T34*$J34*($J34/Config!$B$10)^Config!$B$9)</f>
        <v>15.6233333333333</v>
      </c>
      <c r="W34" s="17" t="n">
        <f aca="false">IF(OR(V34="",U34=""),"",V34*U34)</f>
        <v>9.91734481481482</v>
      </c>
      <c r="X34" s="9" t="n">
        <f aca="false">IF($H34="",0,SUMIFS(Map_Stats!$F$2:$F$850,Map_Stats!$A$2:$A$850,$F34&amp;"|"&amp;$H34))</f>
        <v>12</v>
      </c>
      <c r="Y34" s="13" t="n">
        <f aca="false">IF($H34="","",IFERROR(1/(1/INDEX(Map_Stats!$K$2:$K$850,MATCH($F34&amp;"|"&amp;$H34,Map_Stats!$A$2:$A$850,0))),$O34))</f>
        <v>0.77</v>
      </c>
      <c r="Z34" s="10" t="n">
        <f aca="false">IF(OR($H34="",$P34=""),"",IFERROR(1/(1/INDEX(Map_Stats!$I$2:$I$850,MATCH($F34&amp;"|"&amp;$H34,Map_Stats!$A$2:$A$850,0))),$P34))</f>
        <v>0.659</v>
      </c>
      <c r="AA34" s="13" t="n">
        <f aca="false">IF(OR($H34="",Y34=""),"",IF($O34="",Y34,(X34*Y34+Config!$B$4*$O34)/(X34+Config!$B$4)))</f>
        <v>0.772941176470588</v>
      </c>
      <c r="AB34" s="10" t="n">
        <f aca="false">IF(Z34="","",(X34*Z34+Config!$B$4*$P34)/(X34+Config!$B$4))</f>
        <v>0.658411764705883</v>
      </c>
      <c r="AC34" s="17" t="n">
        <f aca="false">IF(OR(AA34="",$K34=""),"",AA34*$K34*($K34/Config!$B$10)^Config!$B$9)</f>
        <v>16.5100235294118</v>
      </c>
      <c r="AD34" s="17" t="n">
        <f aca="false">IF(OR(AC34="",AB34=""),"",AC34*AB34)</f>
        <v>10.8703937273356</v>
      </c>
      <c r="AE34" s="9" t="n">
        <f aca="false">IF($I34="",0,SUMIFS(Map_Stats!$F$2:$F$850,Map_Stats!$A$2:$A$850,$F34&amp;"|"&amp;$I34))</f>
        <v>2</v>
      </c>
      <c r="AF34" s="13" t="n">
        <f aca="false">IF($I34="","",IFERROR(1/(1/INDEX(Map_Stats!$K$2:$K$850,MATCH($F34&amp;"|"&amp;$I34,Map_Stats!$A$2:$A$850,0))),$O34))</f>
        <v>1</v>
      </c>
      <c r="AG34" s="10" t="n">
        <f aca="false">IF(OR($I34="",$P34=""),"",IFERROR(1/(1/INDEX(Map_Stats!$I$2:$I$850,MATCH($F34&amp;"|"&amp;$I34,Map_Stats!$A$2:$A$850,0))),$P34))</f>
        <v>0.674</v>
      </c>
      <c r="AH34" s="13" t="n">
        <f aca="false">IF(OR($I34="",AF34=""),"",IF($O34="",AF34,(AE34*AF34+Config!$B$4*$O34)/(AE34+Config!$B$4)))</f>
        <v>0.842857142857143</v>
      </c>
      <c r="AI34" s="10" t="n">
        <f aca="false">IF(AG34="","",(AE34*AG34+Config!$B$4*$P34)/(AE34+Config!$B$4))</f>
        <v>0.661857142857143</v>
      </c>
      <c r="AJ34" s="17" t="n">
        <f aca="false">IF(OR(AH34="",$L34=""),"",AH34*$L34*($L34/Config!$B$10)^Config!$B$9)</f>
        <v>18.054</v>
      </c>
      <c r="AK34" s="17" t="n">
        <f aca="false">IF(OR(AJ34="",AI34=""),"",AJ34*AI34)</f>
        <v>11.9491688571429</v>
      </c>
      <c r="AL34" s="17" t="n">
        <f aca="false">N(V34)+N(AC34)</f>
        <v>32.1333568627451</v>
      </c>
      <c r="AM34" s="17" t="n">
        <f aca="false">AL34+N($M34)*N(AJ34)</f>
        <v>41.1116110627451</v>
      </c>
      <c r="AN34" s="17" t="n">
        <f aca="false">IF(W34="","",N(W34)+N(AD34))</f>
        <v>20.7877385421505</v>
      </c>
      <c r="AO34" s="17" t="n">
        <f aca="false">IF(AN34="","",AN34+N($M34)*N(AK34))</f>
        <v>26.7300602148076</v>
      </c>
      <c r="AP34" s="10" t="n">
        <f aca="false">IFERROR(AN34/AL34,"")</f>
        <v>0.646920850222512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IF($C34=Board!$B$2,COUNTIFS($C$2:$C$137,Board!$B$2,$AL$2:$AL$137,"&gt;"&amp;$AL34)+COUNTIFS($C$1:$C33,Board!$B$2,$AL$1:$AL33,$AL34)+1,"")</f>
        <v/>
      </c>
      <c r="AS34" s="0" t="str">
        <f aca="false">IFERROR(IF($D34=INDEX(Matches!$AD$5:$AD$23,MATCH($C34,Matches!$A$5:$A$23,0)),"A",IF($D34=INDEX(Matches!$AE$5:$AE$23,MATCH($C34,Matches!$A$5:$A$23,0)),"B","")),"")</f>
        <v>A</v>
      </c>
      <c r="AT34" s="10" t="n">
        <f aca="false">IF($AS34="","",IFERROR(IF($AS34="A",INDEX(Matches!$AI$5:$AI$23,MATCH($C34,Matches!$A$5:$A$23,0)),INDEX(Matches!$AJ$5:$AJ$23,MATCH($C34,Matches!$A$5:$A$23,0))),""))</f>
        <v>0.495240861062645</v>
      </c>
      <c r="AU34" s="10" t="n">
        <f aca="false">IF($AS34="","",IFERROR(IF(INDEX(Matches!$AP$5:$AP$23,MATCH($C34,Matches!$A$5:$A$23,0))="","",IF($AS34="A",INDEX(Matches!$AP$5:$AP$23,MATCH($C34,Matches!$A$5:$A$23,0)),1-INDEX(Matches!$AP$5:$AP$23,MATCH($C34,Matches!$A$5:$A$23,0)))),""))</f>
        <v>0.50791212213777</v>
      </c>
      <c r="AV34" s="13" t="n">
        <f aca="false">IF(OR($AU34="",$AT34=""),1,((Config!$B$14*$AU34+Config!$B$15*(1-$AU34))/(Config!$B$14*$AT34+Config!$B$15*(1-$AT34)))^Config!$B$13)</f>
        <v>1.01137161632854</v>
      </c>
      <c r="AW34" s="10" t="n">
        <f aca="false">IF($AS34="","",IFERROR(IF(INDEX(Matches!$AV$5:$AV$23,MATCH($C34,Matches!$A$5:$A$23,0))="","",IF($AS34="A",INDEX(Matches!$AV$5:$AV$23,MATCH($C34,Matches!$A$5:$A$23,0)),1-INDEX(Matches!$AV$5:$AV$23,MATCH($C34,Matches!$A$5:$A$23,0)))),""))</f>
        <v>0.47280421301704</v>
      </c>
      <c r="AX34" s="13" t="n">
        <f aca="false">IF(OR($AW34="",$AT34=""),1,((Config!$B$14*$AW34+Config!$B$15*(1-$AW34))/(Config!$B$14*$AT34+Config!$B$15*(1-$AT34)))^Config!$B$13)</f>
        <v>0.979864596604836</v>
      </c>
      <c r="AY34" s="10" t="n">
        <f aca="false">IF($AS34="","",IFERROR(IF(INDEX(Matches!$BB$5:$BB$23,MATCH($C34,Matches!$A$5:$A$23,0))="","",IF($AS34="A",INDEX(Matches!$BB$5:$BB$23,MATCH($C34,Matches!$A$5:$A$23,0)),1-INDEX(Matches!$BB$5:$BB$23,MATCH($C34,Matches!$A$5:$A$23,0)))),""))</f>
        <v>0.511731354656351</v>
      </c>
      <c r="AZ34" s="13" t="n">
        <f aca="false">IF(OR($AY34="",$AT34=""),1,((Config!$B$14*$AY34+Config!$B$15*(1-$AY34))/(Config!$B$14*$AT34+Config!$B$15*(1-$AT34)))^Config!$B$13)</f>
        <v>1.01479912418378</v>
      </c>
      <c r="BA34" s="17" t="n">
        <f aca="false">IF(V34="","",V34*$AV34)</f>
        <v>15.8009958857729</v>
      </c>
      <c r="BB34" s="17" t="n">
        <f aca="false">IF(AC34="","",AC34*$AX34)</f>
        <v>16.1775875455834</v>
      </c>
      <c r="BC34" s="17" t="n">
        <f aca="false">IF(AJ34="","",AJ34*$AZ34)</f>
        <v>18.3211833880139</v>
      </c>
      <c r="BD34" s="17" t="n">
        <f aca="false">N(BA34)+N(BB34)</f>
        <v>31.9785834313563</v>
      </c>
      <c r="BE34" s="17" t="n">
        <f aca="false">BD34+N($M34)*N(BC34)</f>
        <v>41.0897079302156</v>
      </c>
      <c r="BF34" s="17" t="n">
        <f aca="false">IF(W34="","",W34*$AV34)</f>
        <v>10.0301210550467</v>
      </c>
      <c r="BG34" s="17" t="n">
        <f aca="false">IF(AD34="","",AD34*$AX34)</f>
        <v>10.6515139645715</v>
      </c>
      <c r="BH34" s="17" t="n">
        <f aca="false">IF(AK34="","",AK34*$AZ34)</f>
        <v>12.1260060909527</v>
      </c>
      <c r="BI34" s="17" t="n">
        <f aca="false">IF(BF34="","",N(BF34)+N(BG34))</f>
        <v>20.6816350196182</v>
      </c>
      <c r="BJ34" s="17" t="n">
        <f aca="false">IF(BI34="","",BI34+N($M34)*N(BH34))</f>
        <v>26.711897848649</v>
      </c>
      <c r="BK34" s="13" t="n">
        <f aca="false">IFERROR(BD34/AL34,1)</f>
        <v>0.995183402965028</v>
      </c>
    </row>
    <row r="35" customFormat="false" ht="15" hidden="false" customHeight="false" outlineLevel="0" collapsed="false">
      <c r="A35" s="0" t="s">
        <v>1377</v>
      </c>
      <c r="B35" s="0" t="s">
        <v>1139</v>
      </c>
      <c r="C35" s="0" t="s">
        <v>1174</v>
      </c>
      <c r="D35" s="0" t="s">
        <v>1178</v>
      </c>
      <c r="E35" s="0" t="s">
        <v>1375</v>
      </c>
      <c r="F35" s="0" t="s">
        <v>1692</v>
      </c>
      <c r="G35" s="0" t="str">
        <f aca="false">IFERROR(IF(INDEX(Matches!$W$5:$W$23,MATCH($C35,Matches!$A$5:$A$23,0))="","",INDEX(Matches!$W$5:$W$23,MATCH($C35,Matches!$A$5:$A$23,0))),"")</f>
        <v>Mirage</v>
      </c>
      <c r="H35" s="0" t="str">
        <f aca="false">IFERROR(IF(INDEX(Matches!$X$5:$X$23,MATCH($C35,Matches!$A$5:$A$23,0))="","",INDEX(Matches!$X$5:$X$23,MATCH($C35,Matches!$A$5:$A$23,0))),"")</f>
        <v>Ancient</v>
      </c>
      <c r="I35" s="0" t="str">
        <f aca="false">IFERROR(IF(INDEX(Matches!$Y$5:$Y$23,MATCH($C35,Matches!$A$5:$A$23,0))="","",INDEX(Matches!$Y$5:$Y$23,MATCH($C35,Matches!$A$5:$A$23,0))),"")</f>
        <v>Cache</v>
      </c>
      <c r="J35" s="11" t="n">
        <f aca="false">IFERROR(IF(INDEX(Matches!$Z$5:$Z$23,MATCH($C35,Matches!$A$5:$A$23,0))="","",INDEX(Matches!$Z$5:$Z$23,MATCH($C35,Matches!$A$5:$A$23,0))),"")</f>
        <v>21.5</v>
      </c>
      <c r="K35" s="11" t="n">
        <f aca="false">IFERROR(IF(INDEX(Matches!$AA$5:$AA$23,MATCH($C35,Matches!$A$5:$A$23,0))="","",INDEX(Matches!$AA$5:$AA$23,MATCH($C35,Matches!$A$5:$A$23,0))),"")</f>
        <v>21.36</v>
      </c>
      <c r="L35" s="11" t="n">
        <f aca="false">IFERROR(IF(INDEX(Matches!$AB$5:$AB$23,MATCH($C35,Matches!$A$5:$A$23,0))="","",INDEX(Matches!$AB$5:$AB$23,MATCH($C35,Matches!$A$5:$A$23,0))),"")</f>
        <v>21.42</v>
      </c>
      <c r="M35" s="10" t="n">
        <f aca="false">IFERROR(IF(INDEX(Matches!$AC$5:$AC$23,MATCH($C35,Matches!$A$5:$A$23,0))="","",INDEX(Matches!$AC$5:$AC$23,MATCH($C35,Matches!$A$5:$A$23,0))),"")</f>
        <v>0.4973</v>
      </c>
      <c r="N35" s="9" t="n">
        <f aca="false">IFERROR(INDEX(Players!$F$2:$F$137,MATCH($F35,Players!$A$2:$A$137,0)),0)</f>
        <v>37</v>
      </c>
      <c r="O35" s="13" t="n">
        <f aca="false">IFERROR(1/(1/INDEX(Players!$H$2:$H$137,MATCH($F35,Players!$A$2:$A$137,0))),"")</f>
        <v>0.63</v>
      </c>
      <c r="P35" s="10" t="n">
        <f aca="false">IFERROR(1/(1/INDEX(Players!$I$2:$I$137,MATCH($F35,Players!$A$2:$A$137,0))),"")</f>
        <v>0.613</v>
      </c>
      <c r="Q35" s="9" t="n">
        <f aca="false">IF($G35="",0,SUMIFS(Map_Stats!$F$2:$F$850,Map_Stats!$A$2:$A$850,$F35&amp;"|"&amp;$G35))</f>
        <v>6</v>
      </c>
      <c r="R35" s="13" t="n">
        <f aca="false">IF($G35="","",IFERROR(1/(1/INDEX(Map_Stats!$K$2:$K$850,MATCH($F35&amp;"|"&amp;$G35,Map_Stats!$A$2:$A$850,0))),$O35))</f>
        <v>0.56</v>
      </c>
      <c r="S35" s="10" t="n">
        <f aca="false">IF(OR($G35="",$P35=""),"",IFERROR(1/(1/INDEX(Map_Stats!$I$2:$I$850,MATCH($F35&amp;"|"&amp;$G35,Map_Stats!$A$2:$A$850,0))),$P35))</f>
        <v>0.616</v>
      </c>
      <c r="T35" s="13" t="n">
        <f aca="false">IF(OR($G35="",R35=""),"",IF($O35="",R35,(Q35*R35+Config!$B$4*$O35)/(Q35+Config!$B$4)))</f>
        <v>0.591818181818182</v>
      </c>
      <c r="U35" s="10" t="n">
        <f aca="false">IF(S35="","",(Q35*S35+Config!$B$4*$P35)/(Q35+Config!$B$4))</f>
        <v>0.614636363636364</v>
      </c>
      <c r="V35" s="17" t="n">
        <f aca="false">IF(OR(T35="",$J35=""),"",T35*$J35*($J35/Config!$B$10)^Config!$B$9)</f>
        <v>12.7240909090909</v>
      </c>
      <c r="W35" s="17" t="n">
        <f aca="false">IF(OR(V35="",U35=""),"",V35*U35)</f>
        <v>7.82068896694215</v>
      </c>
      <c r="X35" s="9" t="n">
        <f aca="false">IF($H35="",0,SUMIFS(Map_Stats!$F$2:$F$850,Map_Stats!$A$2:$A$850,$F35&amp;"|"&amp;$H35))</f>
        <v>9</v>
      </c>
      <c r="Y35" s="13" t="n">
        <f aca="false">IF($H35="","",IFERROR(1/(1/INDEX(Map_Stats!$K$2:$K$850,MATCH($F35&amp;"|"&amp;$H35,Map_Stats!$A$2:$A$850,0))),$O35))</f>
        <v>0.6</v>
      </c>
      <c r="Z35" s="10" t="n">
        <f aca="false">IF(OR($H35="",$P35=""),"",IFERROR(1/(1/INDEX(Map_Stats!$I$2:$I$850,MATCH($F35&amp;"|"&amp;$H35,Map_Stats!$A$2:$A$850,0))),$P35))</f>
        <v>0.598</v>
      </c>
      <c r="AA35" s="13" t="n">
        <f aca="false">IF(OR($H35="",Y35=""),"",IF($O35="",Y35,(X35*Y35+Config!$B$4*$O35)/(X35+Config!$B$4)))</f>
        <v>0.610714285714286</v>
      </c>
      <c r="AB35" s="10" t="n">
        <f aca="false">IF(Z35="","",(X35*Z35+Config!$B$4*$P35)/(X35+Config!$B$4))</f>
        <v>0.603357142857143</v>
      </c>
      <c r="AC35" s="17" t="n">
        <f aca="false">IF(OR(AA35="",$K35=""),"",AA35*$K35*($K35/Config!$B$10)^Config!$B$9)</f>
        <v>13.0448571428571</v>
      </c>
      <c r="AD35" s="17" t="n">
        <f aca="false">IF(OR(AC35="",AB35=""),"",AC35*AB35)</f>
        <v>7.87070773469388</v>
      </c>
      <c r="AE35" s="9" t="n">
        <f aca="false">IF($I35="",0,SUMIFS(Map_Stats!$F$2:$F$850,Map_Stats!$A$2:$A$850,$F35&amp;"|"&amp;$I35))</f>
        <v>4</v>
      </c>
      <c r="AF35" s="13" t="n">
        <f aca="false">IF($I35="","",IFERROR(1/(1/INDEX(Map_Stats!$K$2:$K$850,MATCH($F35&amp;"|"&amp;$I35,Map_Stats!$A$2:$A$850,0))),$O35))</f>
        <v>0.64</v>
      </c>
      <c r="AG35" s="10" t="n">
        <f aca="false">IF(OR($I35="",$P35=""),"",IFERROR(1/(1/INDEX(Map_Stats!$I$2:$I$850,MATCH($F35&amp;"|"&amp;$I35,Map_Stats!$A$2:$A$850,0))),$P35))</f>
        <v>0.618</v>
      </c>
      <c r="AH35" s="13" t="n">
        <f aca="false">IF(OR($I35="",AF35=""),"",IF($O35="",AF35,(AE35*AF35+Config!$B$4*$O35)/(AE35+Config!$B$4)))</f>
        <v>0.634444444444445</v>
      </c>
      <c r="AI35" s="10" t="n">
        <f aca="false">IF(AG35="","",(AE35*AG35+Config!$B$4*$P35)/(AE35+Config!$B$4))</f>
        <v>0.615222222222222</v>
      </c>
      <c r="AJ35" s="17" t="n">
        <f aca="false">IF(OR(AH35="",$L35=""),"",AH35*$L35*($L35/Config!$B$10)^Config!$B$9)</f>
        <v>13.5898</v>
      </c>
      <c r="AK35" s="17" t="n">
        <f aca="false">IF(OR(AJ35="",AI35=""),"",AJ35*AI35)</f>
        <v>8.36074695555556</v>
      </c>
      <c r="AL35" s="17" t="n">
        <f aca="false">N(V35)+N(AC35)</f>
        <v>25.7689480519481</v>
      </c>
      <c r="AM35" s="17" t="n">
        <f aca="false">AL35+N($M35)*N(AJ35)</f>
        <v>32.5271555919481</v>
      </c>
      <c r="AN35" s="17" t="n">
        <f aca="false">IF(W35="","",N(W35)+N(AD35))</f>
        <v>15.691396701636</v>
      </c>
      <c r="AO35" s="17" t="n">
        <f aca="false">IF(AN35="","",AN35+N($M35)*N(AK35))</f>
        <v>19.8491961626338</v>
      </c>
      <c r="AP35" s="10" t="n">
        <f aca="false">IFERROR(AN35/AL35,"")</f>
        <v>0.608926552609112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IF($C35=Board!$B$2,COUNTIFS($C$2:$C$137,Board!$B$2,$AL$2:$AL$137,"&gt;"&amp;$AL35)+COUNTIFS($C$1:$C34,Board!$B$2,$AL$1:$AL34,$AL35)+1,"")</f>
        <v/>
      </c>
      <c r="AS35" s="0" t="str">
        <f aca="false">IFERROR(IF($D35=INDEX(Matches!$AD$5:$AD$23,MATCH($C35,Matches!$A$5:$A$23,0)),"A",IF($D35=INDEX(Matches!$AE$5:$AE$23,MATCH($C35,Matches!$A$5:$A$23,0)),"B","")),"")</f>
        <v>A</v>
      </c>
      <c r="AT35" s="10" t="n">
        <f aca="false">IF($AS35="","",IFERROR(IF($AS35="A",INDEX(Matches!$AI$5:$AI$23,MATCH($C35,Matches!$A$5:$A$23,0)),INDEX(Matches!$AJ$5:$AJ$23,MATCH($C35,Matches!$A$5:$A$23,0))),""))</f>
        <v>0.495240861062645</v>
      </c>
      <c r="AU35" s="10" t="n">
        <f aca="false">IF($AS35="","",IFERROR(IF(INDEX(Matches!$AP$5:$AP$23,MATCH($C35,Matches!$A$5:$A$23,0))="","",IF($AS35="A",INDEX(Matches!$AP$5:$AP$23,MATCH($C35,Matches!$A$5:$A$23,0)),1-INDEX(Matches!$AP$5:$AP$23,MATCH($C35,Matches!$A$5:$A$23,0)))),""))</f>
        <v>0.50791212213777</v>
      </c>
      <c r="AV35" s="13" t="n">
        <f aca="false">IF(OR($AU35="",$AT35=""),1,((Config!$B$14*$AU35+Config!$B$15*(1-$AU35))/(Config!$B$14*$AT35+Config!$B$15*(1-$AT35)))^Config!$B$13)</f>
        <v>1.01137161632854</v>
      </c>
      <c r="AW35" s="10" t="n">
        <f aca="false">IF($AS35="","",IFERROR(IF(INDEX(Matches!$AV$5:$AV$23,MATCH($C35,Matches!$A$5:$A$23,0))="","",IF($AS35="A",INDEX(Matches!$AV$5:$AV$23,MATCH($C35,Matches!$A$5:$A$23,0)),1-INDEX(Matches!$AV$5:$AV$23,MATCH($C35,Matches!$A$5:$A$23,0)))),""))</f>
        <v>0.47280421301704</v>
      </c>
      <c r="AX35" s="13" t="n">
        <f aca="false">IF(OR($AW35="",$AT35=""),1,((Config!$B$14*$AW35+Config!$B$15*(1-$AW35))/(Config!$B$14*$AT35+Config!$B$15*(1-$AT35)))^Config!$B$13)</f>
        <v>0.979864596604836</v>
      </c>
      <c r="AY35" s="10" t="n">
        <f aca="false">IF($AS35="","",IFERROR(IF(INDEX(Matches!$BB$5:$BB$23,MATCH($C35,Matches!$A$5:$A$23,0))="","",IF($AS35="A",INDEX(Matches!$BB$5:$BB$23,MATCH($C35,Matches!$A$5:$A$23,0)),1-INDEX(Matches!$BB$5:$BB$23,MATCH($C35,Matches!$A$5:$A$23,0)))),""))</f>
        <v>0.511731354656351</v>
      </c>
      <c r="AZ35" s="13" t="n">
        <f aca="false">IF(OR($AY35="",$AT35=""),1,((Config!$B$14*$AY35+Config!$B$15*(1-$AY35))/(Config!$B$14*$AT35+Config!$B$15*(1-$AT35)))^Config!$B$13)</f>
        <v>1.01479912418378</v>
      </c>
      <c r="BA35" s="17" t="n">
        <f aca="false">IF(V35="","",V35*$AV35)</f>
        <v>12.8687843890385</v>
      </c>
      <c r="BB35" s="17" t="n">
        <f aca="false">IF(AC35="","",AC35*$AX35)</f>
        <v>12.7821936820534</v>
      </c>
      <c r="BC35" s="17" t="n">
        <f aca="false">IF(AJ35="","",AJ35*$AZ35)</f>
        <v>13.7909171378327</v>
      </c>
      <c r="BD35" s="17" t="n">
        <f aca="false">N(BA35)+N(BB35)</f>
        <v>25.650978071092</v>
      </c>
      <c r="BE35" s="17" t="n">
        <f aca="false">BD35+N($M35)*N(BC35)</f>
        <v>32.5092011637362</v>
      </c>
      <c r="BF35" s="17" t="n">
        <f aca="false">IF(W35="","",W35*$AV35)</f>
        <v>7.90962284129906</v>
      </c>
      <c r="BG35" s="17" t="n">
        <f aca="false">IF(AD35="","",AD35*$AX35)</f>
        <v>7.71222785945037</v>
      </c>
      <c r="BH35" s="17" t="n">
        <f aca="false">IF(AK35="","",AK35*$AZ35)</f>
        <v>8.48447868801997</v>
      </c>
      <c r="BI35" s="17" t="n">
        <f aca="false">IF(BF35="","",N(BF35)+N(BG35))</f>
        <v>15.6218507007494</v>
      </c>
      <c r="BJ35" s="17" t="n">
        <f aca="false">IF(BI35="","",BI35+N($M35)*N(BH35))</f>
        <v>19.8411819523018</v>
      </c>
      <c r="BK35" s="13" t="n">
        <f aca="false">IFERROR(BD35/AL35,1)</f>
        <v>0.995422010218723</v>
      </c>
    </row>
    <row r="36" customFormat="false" ht="15" hidden="false" customHeight="false" outlineLevel="0" collapsed="false">
      <c r="A36" s="0" t="s">
        <v>1380</v>
      </c>
      <c r="B36" s="0" t="s">
        <v>1139</v>
      </c>
      <c r="C36" s="0" t="s">
        <v>1174</v>
      </c>
      <c r="D36" s="0" t="s">
        <v>1179</v>
      </c>
      <c r="E36" s="0" t="s">
        <v>1379</v>
      </c>
      <c r="F36" s="0" t="s">
        <v>1693</v>
      </c>
      <c r="G36" s="0" t="str">
        <f aca="false">IFERROR(IF(INDEX(Matches!$W$5:$W$23,MATCH($C36,Matches!$A$5:$A$23,0))="","",INDEX(Matches!$W$5:$W$23,MATCH($C36,Matches!$A$5:$A$23,0))),"")</f>
        <v>Mirage</v>
      </c>
      <c r="H36" s="0" t="str">
        <f aca="false">IFERROR(IF(INDEX(Matches!$X$5:$X$23,MATCH($C36,Matches!$A$5:$A$23,0))="","",INDEX(Matches!$X$5:$X$23,MATCH($C36,Matches!$A$5:$A$23,0))),"")</f>
        <v>Ancient</v>
      </c>
      <c r="I36" s="0" t="str">
        <f aca="false">IFERROR(IF(INDEX(Matches!$Y$5:$Y$23,MATCH($C36,Matches!$A$5:$A$23,0))="","",INDEX(Matches!$Y$5:$Y$23,MATCH($C36,Matches!$A$5:$A$23,0))),"")</f>
        <v>Cache</v>
      </c>
      <c r="J36" s="11" t="n">
        <f aca="false">IFERROR(IF(INDEX(Matches!$Z$5:$Z$23,MATCH($C36,Matches!$A$5:$A$23,0))="","",INDEX(Matches!$Z$5:$Z$23,MATCH($C36,Matches!$A$5:$A$23,0))),"")</f>
        <v>21.5</v>
      </c>
      <c r="K36" s="11" t="n">
        <f aca="false">IFERROR(IF(INDEX(Matches!$AA$5:$AA$23,MATCH($C36,Matches!$A$5:$A$23,0))="","",INDEX(Matches!$AA$5:$AA$23,MATCH($C36,Matches!$A$5:$A$23,0))),"")</f>
        <v>21.36</v>
      </c>
      <c r="L36" s="11" t="n">
        <f aca="false">IFERROR(IF(INDEX(Matches!$AB$5:$AB$23,MATCH($C36,Matches!$A$5:$A$23,0))="","",INDEX(Matches!$AB$5:$AB$23,MATCH($C36,Matches!$A$5:$A$23,0))),"")</f>
        <v>21.42</v>
      </c>
      <c r="M36" s="10" t="n">
        <f aca="false">IFERROR(IF(INDEX(Matches!$AC$5:$AC$23,MATCH($C36,Matches!$A$5:$A$23,0))="","",INDEX(Matches!$AC$5:$AC$23,MATCH($C36,Matches!$A$5:$A$23,0))),"")</f>
        <v>0.4973</v>
      </c>
      <c r="N36" s="9" t="n">
        <f aca="false">IFERROR(INDEX(Players!$F$2:$F$137,MATCH($F36,Players!$A$2:$A$137,0)),0)</f>
        <v>34</v>
      </c>
      <c r="O36" s="13" t="n">
        <f aca="false">IFERROR(1/(1/INDEX(Players!$H$2:$H$137,MATCH($F36,Players!$A$2:$A$137,0))),"")</f>
        <v>0.71</v>
      </c>
      <c r="P36" s="10" t="n">
        <f aca="false">IFERROR(1/(1/INDEX(Players!$I$2:$I$137,MATCH($F36,Players!$A$2:$A$137,0))),"")</f>
        <v>0.591</v>
      </c>
      <c r="Q36" s="9" t="n">
        <f aca="false">IF($G36="",0,SUMIFS(Map_Stats!$F$2:$F$850,Map_Stats!$A$2:$A$850,$F36&amp;"|"&amp;$G36))</f>
        <v>7</v>
      </c>
      <c r="R36" s="13" t="n">
        <f aca="false">IF($G36="","",IFERROR(1/(1/INDEX(Map_Stats!$K$2:$K$850,MATCH($F36&amp;"|"&amp;$G36,Map_Stats!$A$2:$A$850,0))),$O36))</f>
        <v>0.65</v>
      </c>
      <c r="S36" s="10" t="n">
        <f aca="false">IF(OR($G36="",$P36=""),"",IFERROR(1/(1/INDEX(Map_Stats!$I$2:$I$850,MATCH($F36&amp;"|"&amp;$G36,Map_Stats!$A$2:$A$850,0))),$P36))</f>
        <v>0.636</v>
      </c>
      <c r="T36" s="13" t="n">
        <f aca="false">IF(OR($G36="",R36=""),"",IF($O36="",R36,(Q36*R36+Config!$B$4*$O36)/(Q36+Config!$B$4)))</f>
        <v>0.675</v>
      </c>
      <c r="U36" s="10" t="n">
        <f aca="false">IF(S36="","",(Q36*S36+Config!$B$4*$P36)/(Q36+Config!$B$4))</f>
        <v>0.61725</v>
      </c>
      <c r="V36" s="17" t="n">
        <f aca="false">IF(OR(T36="",$J36=""),"",T36*$J36*($J36/Config!$B$10)^Config!$B$9)</f>
        <v>14.5125</v>
      </c>
      <c r="W36" s="17" t="n">
        <f aca="false">IF(OR(V36="",U36=""),"",V36*U36)</f>
        <v>8.957840625</v>
      </c>
      <c r="X36" s="9" t="n">
        <f aca="false">IF($H36="",0,SUMIFS(Map_Stats!$F$2:$F$850,Map_Stats!$A$2:$A$850,$F36&amp;"|"&amp;$H36))</f>
        <v>7</v>
      </c>
      <c r="Y36" s="13" t="n">
        <f aca="false">IF($H36="","",IFERROR(1/(1/INDEX(Map_Stats!$K$2:$K$850,MATCH($F36&amp;"|"&amp;$H36,Map_Stats!$A$2:$A$850,0))),$O36))</f>
        <v>0.79</v>
      </c>
      <c r="Z36" s="10" t="n">
        <f aca="false">IF(OR($H36="",$P36=""),"",IFERROR(1/(1/INDEX(Map_Stats!$I$2:$I$850,MATCH($F36&amp;"|"&amp;$H36,Map_Stats!$A$2:$A$850,0))),$P36))</f>
        <v>0.503</v>
      </c>
      <c r="AA36" s="13" t="n">
        <f aca="false">IF(OR($H36="",Y36=""),"",IF($O36="",Y36,(X36*Y36+Config!$B$4*$O36)/(X36+Config!$B$4)))</f>
        <v>0.756666666666667</v>
      </c>
      <c r="AB36" s="10" t="n">
        <f aca="false">IF(Z36="","",(X36*Z36+Config!$B$4*$P36)/(X36+Config!$B$4))</f>
        <v>0.539666666666667</v>
      </c>
      <c r="AC36" s="17" t="n">
        <f aca="false">IF(OR(AA36="",$K36=""),"",AA36*$K36*($K36/Config!$B$10)^Config!$B$9)</f>
        <v>16.1624</v>
      </c>
      <c r="AD36" s="17" t="n">
        <f aca="false">IF(OR(AC36="",AB36=""),"",AC36*AB36)</f>
        <v>8.72230853333333</v>
      </c>
      <c r="AE36" s="9" t="n">
        <f aca="false">IF($I36="",0,SUMIFS(Map_Stats!$F$2:$F$850,Map_Stats!$A$2:$A$850,$F36&amp;"|"&amp;$I36))</f>
        <v>5</v>
      </c>
      <c r="AF36" s="13" t="n">
        <f aca="false">IF($I36="","",IFERROR(1/(1/INDEX(Map_Stats!$K$2:$K$850,MATCH($F36&amp;"|"&amp;$I36,Map_Stats!$A$2:$A$850,0))),$O36))</f>
        <v>0.63</v>
      </c>
      <c r="AG36" s="10" t="n">
        <f aca="false">IF(OR($I36="",$P36=""),"",IFERROR(1/(1/INDEX(Map_Stats!$I$2:$I$850,MATCH($F36&amp;"|"&amp;$I36,Map_Stats!$A$2:$A$850,0))),$P36))</f>
        <v>0.563</v>
      </c>
      <c r="AH36" s="13" t="n">
        <f aca="false">IF(OR($I36="",AF36=""),"",IF($O36="",AF36,(AE36*AF36+Config!$B$4*$O36)/(AE36+Config!$B$4)))</f>
        <v>0.67</v>
      </c>
      <c r="AI36" s="10" t="n">
        <f aca="false">IF(AG36="","",(AE36*AG36+Config!$B$4*$P36)/(AE36+Config!$B$4))</f>
        <v>0.577</v>
      </c>
      <c r="AJ36" s="17" t="n">
        <f aca="false">IF(OR(AH36="",$L36=""),"",AH36*$L36*($L36/Config!$B$10)^Config!$B$9)</f>
        <v>14.3514</v>
      </c>
      <c r="AK36" s="17" t="n">
        <f aca="false">IF(OR(AJ36="",AI36=""),"",AJ36*AI36)</f>
        <v>8.2807578</v>
      </c>
      <c r="AL36" s="17" t="n">
        <f aca="false">N(V36)+N(AC36)</f>
        <v>30.6749</v>
      </c>
      <c r="AM36" s="17" t="n">
        <f aca="false">AL36+N($M36)*N(AJ36)</f>
        <v>37.81185122</v>
      </c>
      <c r="AN36" s="17" t="n">
        <f aca="false">IF(W36="","",N(W36)+N(AD36))</f>
        <v>17.6801491583333</v>
      </c>
      <c r="AO36" s="17" t="n">
        <f aca="false">IF(AN36="","",AN36+N($M36)*N(AK36))</f>
        <v>21.7981700122733</v>
      </c>
      <c r="AP36" s="10" t="n">
        <f aca="false">IFERROR(AN36/AL36,"")</f>
        <v>0.576371859674631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IF($C36=Board!$B$2,COUNTIFS($C$2:$C$137,Board!$B$2,$AL$2:$AL$137,"&gt;"&amp;$AL36)+COUNTIFS($C$1:$C35,Board!$B$2,$AL$1:$AL35,$AL36)+1,"")</f>
        <v/>
      </c>
      <c r="AS36" s="0" t="str">
        <f aca="false">IFERROR(IF($D36=INDEX(Matches!$AD$5:$AD$23,MATCH($C36,Matches!$A$5:$A$23,0)),"A",IF($D36=INDEX(Matches!$AE$5:$AE$23,MATCH($C36,Matches!$A$5:$A$23,0)),"B","")),"")</f>
        <v>B</v>
      </c>
      <c r="AT36" s="10" t="n">
        <f aca="false">IF($AS36="","",IFERROR(IF($AS36="A",INDEX(Matches!$AI$5:$AI$23,MATCH($C36,Matches!$A$5:$A$23,0)),INDEX(Matches!$AJ$5:$AJ$23,MATCH($C36,Matches!$A$5:$A$23,0))),""))</f>
        <v>0.503015653575165</v>
      </c>
      <c r="AU36" s="10" t="n">
        <f aca="false">IF($AS36="","",IFERROR(IF(INDEX(Matches!$AP$5:$AP$23,MATCH($C36,Matches!$A$5:$A$23,0))="","",IF($AS36="A",INDEX(Matches!$AP$5:$AP$23,MATCH($C36,Matches!$A$5:$A$23,0)),1-INDEX(Matches!$AP$5:$AP$23,MATCH($C36,Matches!$A$5:$A$23,0)))),""))</f>
        <v>0.49208787786223</v>
      </c>
      <c r="AV36" s="13" t="n">
        <f aca="false">IF(OR($AU36="",$AT36=""),1,((Config!$B$14*$AU36+Config!$B$15*(1-$AU36))/(Config!$B$14*$AT36+Config!$B$15*(1-$AT36)))^Config!$B$13)</f>
        <v>0.990260998662409</v>
      </c>
      <c r="AW36" s="10" t="n">
        <f aca="false">IF($AS36="","",IFERROR(IF(INDEX(Matches!$AV$5:$AV$23,MATCH($C36,Matches!$A$5:$A$23,0))="","",IF($AS36="A",INDEX(Matches!$AV$5:$AV$23,MATCH($C36,Matches!$A$5:$A$23,0)),1-INDEX(Matches!$AV$5:$AV$23,MATCH($C36,Matches!$A$5:$A$23,0)))),""))</f>
        <v>0.52719578698296</v>
      </c>
      <c r="AX36" s="13" t="n">
        <f aca="false">IF(OR($AW36="",$AT36=""),1,((Config!$B$14*$AW36+Config!$B$15*(1-$AW36))/(Config!$B$14*$AT36+Config!$B$15*(1-$AT36)))^Config!$B$13)</f>
        <v>1.02154970579446</v>
      </c>
      <c r="AY36" s="10" t="n">
        <f aca="false">IF($AS36="","",IFERROR(IF(INDEX(Matches!$BB$5:$BB$23,MATCH($C36,Matches!$A$5:$A$23,0))="","",IF($AS36="A",INDEX(Matches!$BB$5:$BB$23,MATCH($C36,Matches!$A$5:$A$23,0)),1-INDEX(Matches!$BB$5:$BB$23,MATCH($C36,Matches!$A$5:$A$23,0)))),""))</f>
        <v>0.488268645343649</v>
      </c>
      <c r="AZ36" s="13" t="n">
        <f aca="false">IF(OR($AY36="",$AT36=""),1,((Config!$B$14*$AY36+Config!$B$15*(1-$AY36))/(Config!$B$14*$AT36+Config!$B$15*(1-$AT36)))^Config!$B$13)</f>
        <v>0.986857240058268</v>
      </c>
      <c r="BA36" s="17" t="n">
        <f aca="false">IF(V36="","",V36*$AV36)</f>
        <v>14.3711627430882</v>
      </c>
      <c r="BB36" s="17" t="n">
        <f aca="false">IF(AC36="","",AC36*$AX36)</f>
        <v>16.5106949649324</v>
      </c>
      <c r="BC36" s="17" t="n">
        <f aca="false">IF(AJ36="","",AJ36*$AZ36)</f>
        <v>14.1627829949722</v>
      </c>
      <c r="BD36" s="17" t="n">
        <f aca="false">N(BA36)+N(BB36)</f>
        <v>30.8818577080207</v>
      </c>
      <c r="BE36" s="17" t="n">
        <f aca="false">BD36+N($M36)*N(BC36)</f>
        <v>37.9250096914203</v>
      </c>
      <c r="BF36" s="17" t="n">
        <f aca="false">IF(W36="","",W36*$AV36)</f>
        <v>8.87060020317119</v>
      </c>
      <c r="BG36" s="17" t="n">
        <f aca="false">IF(AD36="","",AD36*$AX36)</f>
        <v>8.91027171607521</v>
      </c>
      <c r="BH36" s="17" t="n">
        <f aca="false">IF(AK36="","",AK36*$AZ36)</f>
        <v>8.17192578809897</v>
      </c>
      <c r="BI36" s="17" t="n">
        <f aca="false">IF(BF36="","",N(BF36)+N(BG36))</f>
        <v>17.7808719192464</v>
      </c>
      <c r="BJ36" s="17" t="n">
        <f aca="false">IF(BI36="","",BI36+N($M36)*N(BH36))</f>
        <v>21.844770613668</v>
      </c>
      <c r="BK36" s="13" t="n">
        <f aca="false">IFERROR(BD36/AL36,1)</f>
        <v>1.00674680954202</v>
      </c>
    </row>
    <row r="37" customFormat="false" ht="15" hidden="false" customHeight="false" outlineLevel="0" collapsed="false">
      <c r="A37" s="0" t="s">
        <v>1382</v>
      </c>
      <c r="B37" s="0" t="s">
        <v>1139</v>
      </c>
      <c r="C37" s="0" t="s">
        <v>1174</v>
      </c>
      <c r="D37" s="0" t="s">
        <v>1179</v>
      </c>
      <c r="E37" s="0" t="s">
        <v>1381</v>
      </c>
      <c r="F37" s="0" t="s">
        <v>1694</v>
      </c>
      <c r="G37" s="0" t="str">
        <f aca="false">IFERROR(IF(INDEX(Matches!$W$5:$W$23,MATCH($C37,Matches!$A$5:$A$23,0))="","",INDEX(Matches!$W$5:$W$23,MATCH($C37,Matches!$A$5:$A$23,0))),"")</f>
        <v>Mirage</v>
      </c>
      <c r="H37" s="0" t="str">
        <f aca="false">IFERROR(IF(INDEX(Matches!$X$5:$X$23,MATCH($C37,Matches!$A$5:$A$23,0))="","",INDEX(Matches!$X$5:$X$23,MATCH($C37,Matches!$A$5:$A$23,0))),"")</f>
        <v>Ancient</v>
      </c>
      <c r="I37" s="0" t="str">
        <f aca="false">IFERROR(IF(INDEX(Matches!$Y$5:$Y$23,MATCH($C37,Matches!$A$5:$A$23,0))="","",INDEX(Matches!$Y$5:$Y$23,MATCH($C37,Matches!$A$5:$A$23,0))),"")</f>
        <v>Cache</v>
      </c>
      <c r="J37" s="11" t="n">
        <f aca="false">IFERROR(IF(INDEX(Matches!$Z$5:$Z$23,MATCH($C37,Matches!$A$5:$A$23,0))="","",INDEX(Matches!$Z$5:$Z$23,MATCH($C37,Matches!$A$5:$A$23,0))),"")</f>
        <v>21.5</v>
      </c>
      <c r="K37" s="11" t="n">
        <f aca="false">IFERROR(IF(INDEX(Matches!$AA$5:$AA$23,MATCH($C37,Matches!$A$5:$A$23,0))="","",INDEX(Matches!$AA$5:$AA$23,MATCH($C37,Matches!$A$5:$A$23,0))),"")</f>
        <v>21.36</v>
      </c>
      <c r="L37" s="11" t="n">
        <f aca="false">IFERROR(IF(INDEX(Matches!$AB$5:$AB$23,MATCH($C37,Matches!$A$5:$A$23,0))="","",INDEX(Matches!$AB$5:$AB$23,MATCH($C37,Matches!$A$5:$A$23,0))),"")</f>
        <v>21.42</v>
      </c>
      <c r="M37" s="10" t="n">
        <f aca="false">IFERROR(IF(INDEX(Matches!$AC$5:$AC$23,MATCH($C37,Matches!$A$5:$A$23,0))="","",INDEX(Matches!$AC$5:$AC$23,MATCH($C37,Matches!$A$5:$A$23,0))),"")</f>
        <v>0.4973</v>
      </c>
      <c r="N37" s="9" t="n">
        <f aca="false">IFERROR(INDEX(Players!$F$2:$F$137,MATCH($F37,Players!$A$2:$A$137,0)),0)</f>
        <v>34</v>
      </c>
      <c r="O37" s="13" t="n">
        <f aca="false">IFERROR(1/(1/INDEX(Players!$H$2:$H$137,MATCH($F37,Players!$A$2:$A$137,0))),"")</f>
        <v>0.58</v>
      </c>
      <c r="P37" s="10" t="n">
        <f aca="false">IFERROR(1/(1/INDEX(Players!$I$2:$I$137,MATCH($F37,Players!$A$2:$A$137,0))),"")</f>
        <v>0.549</v>
      </c>
      <c r="Q37" s="9" t="n">
        <f aca="false">IF($G37="",0,SUMIFS(Map_Stats!$F$2:$F$850,Map_Stats!$A$2:$A$850,$F37&amp;"|"&amp;$G37))</f>
        <v>7</v>
      </c>
      <c r="R37" s="13" t="n">
        <f aca="false">IF($G37="","",IFERROR(1/(1/INDEX(Map_Stats!$K$2:$K$850,MATCH($F37&amp;"|"&amp;$G37,Map_Stats!$A$2:$A$850,0))),$O37))</f>
        <v>0.69</v>
      </c>
      <c r="S37" s="10" t="n">
        <f aca="false">IF(OR($G37="",$P37=""),"",IFERROR(1/(1/INDEX(Map_Stats!$I$2:$I$850,MATCH($F37&amp;"|"&amp;$G37,Map_Stats!$A$2:$A$850,0))),$P37))</f>
        <v>0.457</v>
      </c>
      <c r="T37" s="13" t="n">
        <f aca="false">IF(OR($G37="",R37=""),"",IF($O37="",R37,(Q37*R37+Config!$B$4*$O37)/(Q37+Config!$B$4)))</f>
        <v>0.644166666666667</v>
      </c>
      <c r="U37" s="10" t="n">
        <f aca="false">IF(S37="","",(Q37*S37+Config!$B$4*$P37)/(Q37+Config!$B$4))</f>
        <v>0.495333333333333</v>
      </c>
      <c r="V37" s="17" t="n">
        <f aca="false">IF(OR(T37="",$J37=""),"",T37*$J37*($J37/Config!$B$10)^Config!$B$9)</f>
        <v>13.8495833333333</v>
      </c>
      <c r="W37" s="17" t="n">
        <f aca="false">IF(OR(V37="",U37=""),"",V37*U37)</f>
        <v>6.86016027777778</v>
      </c>
      <c r="X37" s="9" t="n">
        <f aca="false">IF($H37="",0,SUMIFS(Map_Stats!$F$2:$F$850,Map_Stats!$A$2:$A$850,$F37&amp;"|"&amp;$H37))</f>
        <v>8</v>
      </c>
      <c r="Y37" s="13" t="n">
        <f aca="false">IF($H37="","",IFERROR(1/(1/INDEX(Map_Stats!$K$2:$K$850,MATCH($F37&amp;"|"&amp;$H37,Map_Stats!$A$2:$A$850,0))),$O37))</f>
        <v>0.58</v>
      </c>
      <c r="Z37" s="10" t="n">
        <f aca="false">IF(OR($H37="",$P37=""),"",IFERROR(1/(1/INDEX(Map_Stats!$I$2:$I$850,MATCH($F37&amp;"|"&amp;$H37,Map_Stats!$A$2:$A$850,0))),$P37))</f>
        <v>0.583</v>
      </c>
      <c r="AA37" s="13" t="n">
        <f aca="false">IF(OR($H37="",Y37=""),"",IF($O37="",Y37,(X37*Y37+Config!$B$4*$O37)/(X37+Config!$B$4)))</f>
        <v>0.58</v>
      </c>
      <c r="AB37" s="10" t="n">
        <f aca="false">IF(Z37="","",(X37*Z37+Config!$B$4*$P37)/(X37+Config!$B$4))</f>
        <v>0.569923076923077</v>
      </c>
      <c r="AC37" s="17" t="n">
        <f aca="false">IF(OR(AA37="",$K37=""),"",AA37*$K37*($K37/Config!$B$10)^Config!$B$9)</f>
        <v>12.3888</v>
      </c>
      <c r="AD37" s="17" t="n">
        <f aca="false">IF(OR(AC37="",AB37=""),"",AC37*AB37)</f>
        <v>7.06066301538461</v>
      </c>
      <c r="AE37" s="9" t="n">
        <f aca="false">IF($I37="",0,SUMIFS(Map_Stats!$F$2:$F$850,Map_Stats!$A$2:$A$850,$F37&amp;"|"&amp;$I37))</f>
        <v>4</v>
      </c>
      <c r="AF37" s="13" t="n">
        <f aca="false">IF($I37="","",IFERROR(1/(1/INDEX(Map_Stats!$K$2:$K$850,MATCH($F37&amp;"|"&amp;$I37,Map_Stats!$A$2:$A$850,0))),$O37))</f>
        <v>0.49</v>
      </c>
      <c r="AG37" s="10" t="n">
        <f aca="false">IF(OR($I37="",$P37=""),"",IFERROR(1/(1/INDEX(Map_Stats!$I$2:$I$850,MATCH($F37&amp;"|"&amp;$I37,Map_Stats!$A$2:$A$850,0))),$P37))</f>
        <v>0.625</v>
      </c>
      <c r="AH37" s="13" t="n">
        <f aca="false">IF(OR($I37="",AF37=""),"",IF($O37="",AF37,(AE37*AF37+Config!$B$4*$O37)/(AE37+Config!$B$4)))</f>
        <v>0.54</v>
      </c>
      <c r="AI37" s="10" t="n">
        <f aca="false">IF(AG37="","",(AE37*AG37+Config!$B$4*$P37)/(AE37+Config!$B$4))</f>
        <v>0.582777777777778</v>
      </c>
      <c r="AJ37" s="17" t="n">
        <f aca="false">IF(OR(AH37="",$L37=""),"",AH37*$L37*($L37/Config!$B$10)^Config!$B$9)</f>
        <v>11.5668</v>
      </c>
      <c r="AK37" s="17" t="n">
        <f aca="false">IF(OR(AJ37="",AI37=""),"",AJ37*AI37)</f>
        <v>6.740874</v>
      </c>
      <c r="AL37" s="17" t="n">
        <f aca="false">N(V37)+N(AC37)</f>
        <v>26.2383833333333</v>
      </c>
      <c r="AM37" s="17" t="n">
        <f aca="false">AL37+N($M37)*N(AJ37)</f>
        <v>31.9905529733333</v>
      </c>
      <c r="AN37" s="17" t="n">
        <f aca="false">IF(W37="","",N(W37)+N(AD37))</f>
        <v>13.9208232931624</v>
      </c>
      <c r="AO37" s="17" t="n">
        <f aca="false">IF(AN37="","",AN37+N($M37)*N(AK37))</f>
        <v>17.2730599333624</v>
      </c>
      <c r="AP37" s="10" t="n">
        <f aca="false">IFERROR(AN37/AL37,"")</f>
        <v>0.530551868090033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IF($C37=Board!$B$2,COUNTIFS($C$2:$C$137,Board!$B$2,$AL$2:$AL$137,"&gt;"&amp;$AL37)+COUNTIFS($C$1:$C36,Board!$B$2,$AL$1:$AL36,$AL37)+1,"")</f>
        <v/>
      </c>
      <c r="AS37" s="0" t="str">
        <f aca="false">IFERROR(IF($D37=INDEX(Matches!$AD$5:$AD$23,MATCH($C37,Matches!$A$5:$A$23,0)),"A",IF($D37=INDEX(Matches!$AE$5:$AE$23,MATCH($C37,Matches!$A$5:$A$23,0)),"B","")),"")</f>
        <v>B</v>
      </c>
      <c r="AT37" s="10" t="n">
        <f aca="false">IF($AS37="","",IFERROR(IF($AS37="A",INDEX(Matches!$AI$5:$AI$23,MATCH($C37,Matches!$A$5:$A$23,0)),INDEX(Matches!$AJ$5:$AJ$23,MATCH($C37,Matches!$A$5:$A$23,0))),""))</f>
        <v>0.503015653575165</v>
      </c>
      <c r="AU37" s="10" t="n">
        <f aca="false">IF($AS37="","",IFERROR(IF(INDEX(Matches!$AP$5:$AP$23,MATCH($C37,Matches!$A$5:$A$23,0))="","",IF($AS37="A",INDEX(Matches!$AP$5:$AP$23,MATCH($C37,Matches!$A$5:$A$23,0)),1-INDEX(Matches!$AP$5:$AP$23,MATCH($C37,Matches!$A$5:$A$23,0)))),""))</f>
        <v>0.49208787786223</v>
      </c>
      <c r="AV37" s="13" t="n">
        <f aca="false">IF(OR($AU37="",$AT37=""),1,((Config!$B$14*$AU37+Config!$B$15*(1-$AU37))/(Config!$B$14*$AT37+Config!$B$15*(1-$AT37)))^Config!$B$13)</f>
        <v>0.990260998662409</v>
      </c>
      <c r="AW37" s="10" t="n">
        <f aca="false">IF($AS37="","",IFERROR(IF(INDEX(Matches!$AV$5:$AV$23,MATCH($C37,Matches!$A$5:$A$23,0))="","",IF($AS37="A",INDEX(Matches!$AV$5:$AV$23,MATCH($C37,Matches!$A$5:$A$23,0)),1-INDEX(Matches!$AV$5:$AV$23,MATCH($C37,Matches!$A$5:$A$23,0)))),""))</f>
        <v>0.52719578698296</v>
      </c>
      <c r="AX37" s="13" t="n">
        <f aca="false">IF(OR($AW37="",$AT37=""),1,((Config!$B$14*$AW37+Config!$B$15*(1-$AW37))/(Config!$B$14*$AT37+Config!$B$15*(1-$AT37)))^Config!$B$13)</f>
        <v>1.02154970579446</v>
      </c>
      <c r="AY37" s="10" t="n">
        <f aca="false">IF($AS37="","",IFERROR(IF(INDEX(Matches!$BB$5:$BB$23,MATCH($C37,Matches!$A$5:$A$23,0))="","",IF($AS37="A",INDEX(Matches!$BB$5:$BB$23,MATCH($C37,Matches!$A$5:$A$23,0)),1-INDEX(Matches!$BB$5:$BB$23,MATCH($C37,Matches!$A$5:$A$23,0)))),""))</f>
        <v>0.488268645343649</v>
      </c>
      <c r="AZ37" s="13" t="n">
        <f aca="false">IF(OR($AY37="",$AT37=""),1,((Config!$B$14*$AY37+Config!$B$15*(1-$AY37))/(Config!$B$14*$AT37+Config!$B$15*(1-$AT37)))^Config!$B$13)</f>
        <v>0.986857240058268</v>
      </c>
      <c r="BA37" s="17" t="n">
        <f aca="false">IF(V37="","",V37*$AV37)</f>
        <v>13.7147022227249</v>
      </c>
      <c r="BB37" s="17" t="n">
        <f aca="false">IF(AC37="","",AC37*$AX37)</f>
        <v>12.6557749951465</v>
      </c>
      <c r="BC37" s="17" t="n">
        <f aca="false">IF(AJ37="","",AJ37*$AZ37)</f>
        <v>11.414780324306</v>
      </c>
      <c r="BD37" s="17" t="n">
        <f aca="false">N(BA37)+N(BB37)</f>
        <v>26.3704772178714</v>
      </c>
      <c r="BE37" s="17" t="n">
        <f aca="false">BD37+N($M37)*N(BC37)</f>
        <v>32.0470474731487</v>
      </c>
      <c r="BF37" s="17" t="n">
        <f aca="false">IF(W37="","",W37*$AV37)</f>
        <v>6.79334916765641</v>
      </c>
      <c r="BG37" s="17" t="n">
        <f aca="false">IF(AD37="","",AD37*$AX37)</f>
        <v>7.21281822608001</v>
      </c>
      <c r="BH37" s="17" t="n">
        <f aca="false">IF(AK37="","",AK37*$AZ37)</f>
        <v>6.65228031122053</v>
      </c>
      <c r="BI37" s="17" t="n">
        <f aca="false">IF(BF37="","",N(BF37)+N(BG37))</f>
        <v>14.0061673937364</v>
      </c>
      <c r="BJ37" s="17" t="n">
        <f aca="false">IF(BI37="","",BI37+N($M37)*N(BH37))</f>
        <v>17.3143463925064</v>
      </c>
      <c r="BK37" s="13" t="n">
        <f aca="false">IFERROR(BD37/AL37,1)</f>
        <v>1.00503437589351</v>
      </c>
    </row>
    <row r="38" customFormat="false" ht="15" hidden="false" customHeight="false" outlineLevel="0" collapsed="false">
      <c r="A38" s="0" t="s">
        <v>1384</v>
      </c>
      <c r="B38" s="0" t="s">
        <v>1139</v>
      </c>
      <c r="C38" s="0" t="s">
        <v>1174</v>
      </c>
      <c r="D38" s="0" t="s">
        <v>1179</v>
      </c>
      <c r="E38" s="0" t="s">
        <v>1383</v>
      </c>
      <c r="F38" s="0" t="s">
        <v>1695</v>
      </c>
      <c r="G38" s="0" t="str">
        <f aca="false">IFERROR(IF(INDEX(Matches!$W$5:$W$23,MATCH($C38,Matches!$A$5:$A$23,0))="","",INDEX(Matches!$W$5:$W$23,MATCH($C38,Matches!$A$5:$A$23,0))),"")</f>
        <v>Mirage</v>
      </c>
      <c r="H38" s="0" t="str">
        <f aca="false">IFERROR(IF(INDEX(Matches!$X$5:$X$23,MATCH($C38,Matches!$A$5:$A$23,0))="","",INDEX(Matches!$X$5:$X$23,MATCH($C38,Matches!$A$5:$A$23,0))),"")</f>
        <v>Ancient</v>
      </c>
      <c r="I38" s="0" t="str">
        <f aca="false">IFERROR(IF(INDEX(Matches!$Y$5:$Y$23,MATCH($C38,Matches!$A$5:$A$23,0))="","",INDEX(Matches!$Y$5:$Y$23,MATCH($C38,Matches!$A$5:$A$23,0))),"")</f>
        <v>Cache</v>
      </c>
      <c r="J38" s="11" t="n">
        <f aca="false">IFERROR(IF(INDEX(Matches!$Z$5:$Z$23,MATCH($C38,Matches!$A$5:$A$23,0))="","",INDEX(Matches!$Z$5:$Z$23,MATCH($C38,Matches!$A$5:$A$23,0))),"")</f>
        <v>21.5</v>
      </c>
      <c r="K38" s="11" t="n">
        <f aca="false">IFERROR(IF(INDEX(Matches!$AA$5:$AA$23,MATCH($C38,Matches!$A$5:$A$23,0))="","",INDEX(Matches!$AA$5:$AA$23,MATCH($C38,Matches!$A$5:$A$23,0))),"")</f>
        <v>21.36</v>
      </c>
      <c r="L38" s="11" t="n">
        <f aca="false">IFERROR(IF(INDEX(Matches!$AB$5:$AB$23,MATCH($C38,Matches!$A$5:$A$23,0))="","",INDEX(Matches!$AB$5:$AB$23,MATCH($C38,Matches!$A$5:$A$23,0))),"")</f>
        <v>21.42</v>
      </c>
      <c r="M38" s="10" t="n">
        <f aca="false">IFERROR(IF(INDEX(Matches!$AC$5:$AC$23,MATCH($C38,Matches!$A$5:$A$23,0))="","",INDEX(Matches!$AC$5:$AC$23,MATCH($C38,Matches!$A$5:$A$23,0))),"")</f>
        <v>0.4973</v>
      </c>
      <c r="N38" s="9" t="n">
        <f aca="false">IFERROR(INDEX(Players!$F$2:$F$137,MATCH($F38,Players!$A$2:$A$137,0)),0)</f>
        <v>33</v>
      </c>
      <c r="O38" s="13" t="n">
        <f aca="false">IFERROR(1/(1/INDEX(Players!$H$2:$H$137,MATCH($F38,Players!$A$2:$A$137,0))),"")</f>
        <v>0.68</v>
      </c>
      <c r="P38" s="10" t="n">
        <f aca="false">IFERROR(1/(1/INDEX(Players!$I$2:$I$137,MATCH($F38,Players!$A$2:$A$137,0))),"")</f>
        <v>0.597</v>
      </c>
      <c r="Q38" s="9" t="n">
        <f aca="false">IF($G38="",0,SUMIFS(Map_Stats!$F$2:$F$850,Map_Stats!$A$2:$A$850,$F38&amp;"|"&amp;$G38))</f>
        <v>7</v>
      </c>
      <c r="R38" s="13" t="n">
        <f aca="false">IF($G38="","",IFERROR(1/(1/INDEX(Map_Stats!$K$2:$K$850,MATCH($F38&amp;"|"&amp;$G38,Map_Stats!$A$2:$A$850,0))),$O38))</f>
        <v>0.53</v>
      </c>
      <c r="S38" s="10" t="n">
        <f aca="false">IF(OR($G38="",$P38=""),"",IFERROR(1/(1/INDEX(Map_Stats!$I$2:$I$850,MATCH($F38&amp;"|"&amp;$G38,Map_Stats!$A$2:$A$850,0))),$P38))</f>
        <v>0.528</v>
      </c>
      <c r="T38" s="13" t="n">
        <f aca="false">IF(OR($G38="",R38=""),"",IF($O38="",R38,(Q38*R38+Config!$B$4*$O38)/(Q38+Config!$B$4)))</f>
        <v>0.5925</v>
      </c>
      <c r="U38" s="10" t="n">
        <f aca="false">IF(S38="","",(Q38*S38+Config!$B$4*$P38)/(Q38+Config!$B$4))</f>
        <v>0.55675</v>
      </c>
      <c r="V38" s="17" t="n">
        <f aca="false">IF(OR(T38="",$J38=""),"",T38*$J38*($J38/Config!$B$10)^Config!$B$9)</f>
        <v>12.73875</v>
      </c>
      <c r="W38" s="17" t="n">
        <f aca="false">IF(OR(V38="",U38=""),"",V38*U38)</f>
        <v>7.0922990625</v>
      </c>
      <c r="X38" s="9" t="n">
        <f aca="false">IF($H38="",0,SUMIFS(Map_Stats!$F$2:$F$850,Map_Stats!$A$2:$A$850,$F38&amp;"|"&amp;$H38))</f>
        <v>7</v>
      </c>
      <c r="Y38" s="13" t="n">
        <f aca="false">IF($H38="","",IFERROR(1/(1/INDEX(Map_Stats!$K$2:$K$850,MATCH($F38&amp;"|"&amp;$H38,Map_Stats!$A$2:$A$850,0))),$O38))</f>
        <v>0.73</v>
      </c>
      <c r="Z38" s="10" t="n">
        <f aca="false">IF(OR($H38="",$P38=""),"",IFERROR(1/(1/INDEX(Map_Stats!$I$2:$I$850,MATCH($F38&amp;"|"&amp;$H38,Map_Stats!$A$2:$A$850,0))),$P38))</f>
        <v>0.636</v>
      </c>
      <c r="AA38" s="13" t="n">
        <f aca="false">IF(OR($H38="",Y38=""),"",IF($O38="",Y38,(X38*Y38+Config!$B$4*$O38)/(X38+Config!$B$4)))</f>
        <v>0.709166666666667</v>
      </c>
      <c r="AB38" s="10" t="n">
        <f aca="false">IF(Z38="","",(X38*Z38+Config!$B$4*$P38)/(X38+Config!$B$4))</f>
        <v>0.61975</v>
      </c>
      <c r="AC38" s="17" t="n">
        <f aca="false">IF(OR(AA38="",$K38=""),"",AA38*$K38*($K38/Config!$B$10)^Config!$B$9)</f>
        <v>15.1478</v>
      </c>
      <c r="AD38" s="17" t="n">
        <f aca="false">IF(OR(AC38="",AB38=""),"",AC38*AB38)</f>
        <v>9.38784905</v>
      </c>
      <c r="AE38" s="9" t="n">
        <f aca="false">IF($I38="",0,SUMIFS(Map_Stats!$F$2:$F$850,Map_Stats!$A$2:$A$850,$F38&amp;"|"&amp;$I38))</f>
        <v>4</v>
      </c>
      <c r="AF38" s="13" t="n">
        <f aca="false">IF($I38="","",IFERROR(1/(1/INDEX(Map_Stats!$K$2:$K$850,MATCH($F38&amp;"|"&amp;$I38,Map_Stats!$A$2:$A$850,0))),$O38))</f>
        <v>0.79</v>
      </c>
      <c r="AG38" s="10" t="n">
        <f aca="false">IF(OR($I38="",$P38=""),"",IFERROR(1/(1/INDEX(Map_Stats!$I$2:$I$850,MATCH($F38&amp;"|"&amp;$I38,Map_Stats!$A$2:$A$850,0))),$P38))</f>
        <v>0.631</v>
      </c>
      <c r="AH38" s="13" t="n">
        <f aca="false">IF(OR($I38="",AF38=""),"",IF($O38="",AF38,(AE38*AF38+Config!$B$4*$O38)/(AE38+Config!$B$4)))</f>
        <v>0.728888888888889</v>
      </c>
      <c r="AI38" s="10" t="n">
        <f aca="false">IF(AG38="","",(AE38*AG38+Config!$B$4*$P38)/(AE38+Config!$B$4))</f>
        <v>0.612111111111111</v>
      </c>
      <c r="AJ38" s="17" t="n">
        <f aca="false">IF(OR(AH38="",$L38=""),"",AH38*$L38*($L38/Config!$B$10)^Config!$B$9)</f>
        <v>15.6128</v>
      </c>
      <c r="AK38" s="17" t="n">
        <f aca="false">IF(OR(AJ38="",AI38=""),"",AJ38*AI38)</f>
        <v>9.55676835555556</v>
      </c>
      <c r="AL38" s="17" t="n">
        <f aca="false">N(V38)+N(AC38)</f>
        <v>27.88655</v>
      </c>
      <c r="AM38" s="17" t="n">
        <f aca="false">AL38+N($M38)*N(AJ38)</f>
        <v>35.65079544</v>
      </c>
      <c r="AN38" s="17" t="n">
        <f aca="false">IF(W38="","",N(W38)+N(AD38))</f>
        <v>16.4801481125</v>
      </c>
      <c r="AO38" s="17" t="n">
        <f aca="false">IF(AN38="","",AN38+N($M38)*N(AK38))</f>
        <v>21.2327290157178</v>
      </c>
      <c r="AP38" s="10" t="n">
        <f aca="false">IFERROR(AN38/AL38,"")</f>
        <v>0.590971206997639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IF($C38=Board!$B$2,COUNTIFS($C$2:$C$137,Board!$B$2,$AL$2:$AL$137,"&gt;"&amp;$AL38)+COUNTIFS($C$1:$C37,Board!$B$2,$AL$1:$AL37,$AL38)+1,"")</f>
        <v/>
      </c>
      <c r="AS38" s="0" t="str">
        <f aca="false">IFERROR(IF($D38=INDEX(Matches!$AD$5:$AD$23,MATCH($C38,Matches!$A$5:$A$23,0)),"A",IF($D38=INDEX(Matches!$AE$5:$AE$23,MATCH($C38,Matches!$A$5:$A$23,0)),"B","")),"")</f>
        <v>B</v>
      </c>
      <c r="AT38" s="10" t="n">
        <f aca="false">IF($AS38="","",IFERROR(IF($AS38="A",INDEX(Matches!$AI$5:$AI$23,MATCH($C38,Matches!$A$5:$A$23,0)),INDEX(Matches!$AJ$5:$AJ$23,MATCH($C38,Matches!$A$5:$A$23,0))),""))</f>
        <v>0.503015653575165</v>
      </c>
      <c r="AU38" s="10" t="n">
        <f aca="false">IF($AS38="","",IFERROR(IF(INDEX(Matches!$AP$5:$AP$23,MATCH($C38,Matches!$A$5:$A$23,0))="","",IF($AS38="A",INDEX(Matches!$AP$5:$AP$23,MATCH($C38,Matches!$A$5:$A$23,0)),1-INDEX(Matches!$AP$5:$AP$23,MATCH($C38,Matches!$A$5:$A$23,0)))),""))</f>
        <v>0.49208787786223</v>
      </c>
      <c r="AV38" s="13" t="n">
        <f aca="false">IF(OR($AU38="",$AT38=""),1,((Config!$B$14*$AU38+Config!$B$15*(1-$AU38))/(Config!$B$14*$AT38+Config!$B$15*(1-$AT38)))^Config!$B$13)</f>
        <v>0.990260998662409</v>
      </c>
      <c r="AW38" s="10" t="n">
        <f aca="false">IF($AS38="","",IFERROR(IF(INDEX(Matches!$AV$5:$AV$23,MATCH($C38,Matches!$A$5:$A$23,0))="","",IF($AS38="A",INDEX(Matches!$AV$5:$AV$23,MATCH($C38,Matches!$A$5:$A$23,0)),1-INDEX(Matches!$AV$5:$AV$23,MATCH($C38,Matches!$A$5:$A$23,0)))),""))</f>
        <v>0.52719578698296</v>
      </c>
      <c r="AX38" s="13" t="n">
        <f aca="false">IF(OR($AW38="",$AT38=""),1,((Config!$B$14*$AW38+Config!$B$15*(1-$AW38))/(Config!$B$14*$AT38+Config!$B$15*(1-$AT38)))^Config!$B$13)</f>
        <v>1.02154970579446</v>
      </c>
      <c r="AY38" s="10" t="n">
        <f aca="false">IF($AS38="","",IFERROR(IF(INDEX(Matches!$BB$5:$BB$23,MATCH($C38,Matches!$A$5:$A$23,0))="","",IF($AS38="A",INDEX(Matches!$BB$5:$BB$23,MATCH($C38,Matches!$A$5:$A$23,0)),1-INDEX(Matches!$BB$5:$BB$23,MATCH($C38,Matches!$A$5:$A$23,0)))),""))</f>
        <v>0.488268645343649</v>
      </c>
      <c r="AZ38" s="13" t="n">
        <f aca="false">IF(OR($AY38="",$AT38=""),1,((Config!$B$14*$AY38+Config!$B$15*(1-$AY38))/(Config!$B$14*$AT38+Config!$B$15*(1-$AT38)))^Config!$B$13)</f>
        <v>0.986857240058268</v>
      </c>
      <c r="BA38" s="17" t="n">
        <f aca="false">IF(V38="","",V38*$AV38)</f>
        <v>12.6146872967108</v>
      </c>
      <c r="BB38" s="17" t="n">
        <f aca="false">IF(AC38="","",AC38*$AX38)</f>
        <v>15.4742306334334</v>
      </c>
      <c r="BC38" s="17" t="n">
        <f aca="false">IF(AJ38="","",AJ38*$AZ38)</f>
        <v>15.4076047175817</v>
      </c>
      <c r="BD38" s="17" t="n">
        <f aca="false">N(BA38)+N(BB38)</f>
        <v>28.0889179301441</v>
      </c>
      <c r="BE38" s="17" t="n">
        <f aca="false">BD38+N($M38)*N(BC38)</f>
        <v>35.7511197561975</v>
      </c>
      <c r="BF38" s="17" t="n">
        <f aca="false">IF(W38="","",W38*$AV38)</f>
        <v>7.02322715244372</v>
      </c>
      <c r="BG38" s="17" t="n">
        <f aca="false">IF(AD38="","",AD38*$AX38)</f>
        <v>9.59015443507034</v>
      </c>
      <c r="BH38" s="17" t="n">
        <f aca="false">IF(AK38="","",AK38*$AZ38)</f>
        <v>9.43116604323975</v>
      </c>
      <c r="BI38" s="17" t="n">
        <f aca="false">IF(BF38="","",N(BF38)+N(BG38))</f>
        <v>16.6133815875141</v>
      </c>
      <c r="BJ38" s="17" t="n">
        <f aca="false">IF(BI38="","",BI38+N($M38)*N(BH38))</f>
        <v>21.3035004608172</v>
      </c>
      <c r="BK38" s="13" t="n">
        <f aca="false">IFERROR(BD38/AL38,1)</f>
        <v>1.00725682919343</v>
      </c>
    </row>
    <row r="39" customFormat="false" ht="15" hidden="false" customHeight="false" outlineLevel="0" collapsed="false">
      <c r="A39" s="0" t="s">
        <v>1386</v>
      </c>
      <c r="B39" s="0" t="s">
        <v>1139</v>
      </c>
      <c r="C39" s="0" t="s">
        <v>1174</v>
      </c>
      <c r="D39" s="0" t="s">
        <v>1179</v>
      </c>
      <c r="E39" s="0" t="s">
        <v>1385</v>
      </c>
      <c r="F39" s="0" t="s">
        <v>1696</v>
      </c>
      <c r="G39" s="0" t="str">
        <f aca="false">IFERROR(IF(INDEX(Matches!$W$5:$W$23,MATCH($C39,Matches!$A$5:$A$23,0))="","",INDEX(Matches!$W$5:$W$23,MATCH($C39,Matches!$A$5:$A$23,0))),"")</f>
        <v>Mirage</v>
      </c>
      <c r="H39" s="0" t="str">
        <f aca="false">IFERROR(IF(INDEX(Matches!$X$5:$X$23,MATCH($C39,Matches!$A$5:$A$23,0))="","",INDEX(Matches!$X$5:$X$23,MATCH($C39,Matches!$A$5:$A$23,0))),"")</f>
        <v>Ancient</v>
      </c>
      <c r="I39" s="0" t="str">
        <f aca="false">IFERROR(IF(INDEX(Matches!$Y$5:$Y$23,MATCH($C39,Matches!$A$5:$A$23,0))="","",INDEX(Matches!$Y$5:$Y$23,MATCH($C39,Matches!$A$5:$A$23,0))),"")</f>
        <v>Cache</v>
      </c>
      <c r="J39" s="11" t="n">
        <f aca="false">IFERROR(IF(INDEX(Matches!$Z$5:$Z$23,MATCH($C39,Matches!$A$5:$A$23,0))="","",INDEX(Matches!$Z$5:$Z$23,MATCH($C39,Matches!$A$5:$A$23,0))),"")</f>
        <v>21.5</v>
      </c>
      <c r="K39" s="11" t="n">
        <f aca="false">IFERROR(IF(INDEX(Matches!$AA$5:$AA$23,MATCH($C39,Matches!$A$5:$A$23,0))="","",INDEX(Matches!$AA$5:$AA$23,MATCH($C39,Matches!$A$5:$A$23,0))),"")</f>
        <v>21.36</v>
      </c>
      <c r="L39" s="11" t="n">
        <f aca="false">IFERROR(IF(INDEX(Matches!$AB$5:$AB$23,MATCH($C39,Matches!$A$5:$A$23,0))="","",INDEX(Matches!$AB$5:$AB$23,MATCH($C39,Matches!$A$5:$A$23,0))),"")</f>
        <v>21.42</v>
      </c>
      <c r="M39" s="10" t="n">
        <f aca="false">IFERROR(IF(INDEX(Matches!$AC$5:$AC$23,MATCH($C39,Matches!$A$5:$A$23,0))="","",INDEX(Matches!$AC$5:$AC$23,MATCH($C39,Matches!$A$5:$A$23,0))),"")</f>
        <v>0.4973</v>
      </c>
      <c r="N39" s="9" t="n">
        <f aca="false">IFERROR(INDEX(Players!$F$2:$F$137,MATCH($F39,Players!$A$2:$A$137,0)),0)</f>
        <v>34</v>
      </c>
      <c r="O39" s="13" t="n">
        <f aca="false">IFERROR(1/(1/INDEX(Players!$H$2:$H$137,MATCH($F39,Players!$A$2:$A$137,0))),"")</f>
        <v>0.76</v>
      </c>
      <c r="P39" s="10" t="n">
        <f aca="false">IFERROR(1/(1/INDEX(Players!$I$2:$I$137,MATCH($F39,Players!$A$2:$A$137,0))),"")</f>
        <v>0.57</v>
      </c>
      <c r="Q39" s="9" t="n">
        <f aca="false">IF($G39="",0,SUMIFS(Map_Stats!$F$2:$F$850,Map_Stats!$A$2:$A$850,$F39&amp;"|"&amp;$G39))</f>
        <v>7</v>
      </c>
      <c r="R39" s="13" t="n">
        <f aca="false">IF($G39="","",IFERROR(1/(1/INDEX(Map_Stats!$K$2:$K$850,MATCH($F39&amp;"|"&amp;$G39,Map_Stats!$A$2:$A$850,0))),$O39))</f>
        <v>0.66</v>
      </c>
      <c r="S39" s="10" t="n">
        <f aca="false">IF(OR($G39="",$P39=""),"",IFERROR(1/(1/INDEX(Map_Stats!$I$2:$I$850,MATCH($F39&amp;"|"&amp;$G39,Map_Stats!$A$2:$A$850,0))),$P39))</f>
        <v>0.6</v>
      </c>
      <c r="T39" s="13" t="n">
        <f aca="false">IF(OR($G39="",R39=""),"",IF($O39="",R39,(Q39*R39+Config!$B$4*$O39)/(Q39+Config!$B$4)))</f>
        <v>0.701666666666667</v>
      </c>
      <c r="U39" s="10" t="n">
        <f aca="false">IF(S39="","",(Q39*S39+Config!$B$4*$P39)/(Q39+Config!$B$4))</f>
        <v>0.5875</v>
      </c>
      <c r="V39" s="17" t="n">
        <f aca="false">IF(OR(T39="",$J39=""),"",T39*$J39*($J39/Config!$B$10)^Config!$B$9)</f>
        <v>15.0858333333333</v>
      </c>
      <c r="W39" s="17" t="n">
        <f aca="false">IF(OR(V39="",U39=""),"",V39*U39)</f>
        <v>8.86292708333333</v>
      </c>
      <c r="X39" s="9" t="n">
        <f aca="false">IF($H39="",0,SUMIFS(Map_Stats!$F$2:$F$850,Map_Stats!$A$2:$A$850,$F39&amp;"|"&amp;$H39))</f>
        <v>8</v>
      </c>
      <c r="Y39" s="13" t="n">
        <f aca="false">IF($H39="","",IFERROR(1/(1/INDEX(Map_Stats!$K$2:$K$850,MATCH($F39&amp;"|"&amp;$H39,Map_Stats!$A$2:$A$850,0))),$O39))</f>
        <v>0.83</v>
      </c>
      <c r="Z39" s="10" t="n">
        <f aca="false">IF(OR($H39="",$P39=""),"",IFERROR(1/(1/INDEX(Map_Stats!$I$2:$I$850,MATCH($F39&amp;"|"&amp;$H39,Map_Stats!$A$2:$A$850,0))),$P39))</f>
        <v>0.61</v>
      </c>
      <c r="AA39" s="13" t="n">
        <f aca="false">IF(OR($H39="",Y39=""),"",IF($O39="",Y39,(X39*Y39+Config!$B$4*$O39)/(X39+Config!$B$4)))</f>
        <v>0.803076923076923</v>
      </c>
      <c r="AB39" s="10" t="n">
        <f aca="false">IF(Z39="","",(X39*Z39+Config!$B$4*$P39)/(X39+Config!$B$4))</f>
        <v>0.594615384615385</v>
      </c>
      <c r="AC39" s="17" t="n">
        <f aca="false">IF(OR(AA39="",$K39=""),"",AA39*$K39*($K39/Config!$B$10)^Config!$B$9)</f>
        <v>17.1537230769231</v>
      </c>
      <c r="AD39" s="17" t="n">
        <f aca="false">IF(OR(AC39="",AB39=""),"",AC39*AB39)</f>
        <v>10.1998676449704</v>
      </c>
      <c r="AE39" s="9" t="n">
        <f aca="false">IF($I39="",0,SUMIFS(Map_Stats!$F$2:$F$850,Map_Stats!$A$2:$A$850,$F39&amp;"|"&amp;$I39))</f>
        <v>4</v>
      </c>
      <c r="AF39" s="13" t="n">
        <f aca="false">IF($I39="","",IFERROR(1/(1/INDEX(Map_Stats!$K$2:$K$850,MATCH($F39&amp;"|"&amp;$I39,Map_Stats!$A$2:$A$850,0))),$O39))</f>
        <v>0.73</v>
      </c>
      <c r="AG39" s="10" t="n">
        <f aca="false">IF(OR($I39="",$P39=""),"",IFERROR(1/(1/INDEX(Map_Stats!$I$2:$I$850,MATCH($F39&amp;"|"&amp;$I39,Map_Stats!$A$2:$A$850,0))),$P39))</f>
        <v>0.517</v>
      </c>
      <c r="AH39" s="13" t="n">
        <f aca="false">IF(OR($I39="",AF39=""),"",IF($O39="",AF39,(AE39*AF39+Config!$B$4*$O39)/(AE39+Config!$B$4)))</f>
        <v>0.746666666666667</v>
      </c>
      <c r="AI39" s="10" t="n">
        <f aca="false">IF(AG39="","",(AE39*AG39+Config!$B$4*$P39)/(AE39+Config!$B$4))</f>
        <v>0.546444444444444</v>
      </c>
      <c r="AJ39" s="17" t="n">
        <f aca="false">IF(OR(AH39="",$L39=""),"",AH39*$L39*($L39/Config!$B$10)^Config!$B$9)</f>
        <v>15.9936</v>
      </c>
      <c r="AK39" s="17" t="n">
        <f aca="false">IF(OR(AJ39="",AI39=""),"",AJ39*AI39)</f>
        <v>8.73961386666667</v>
      </c>
      <c r="AL39" s="17" t="n">
        <f aca="false">N(V39)+N(AC39)</f>
        <v>32.2395564102564</v>
      </c>
      <c r="AM39" s="17" t="n">
        <f aca="false">AL39+N($M39)*N(AJ39)</f>
        <v>40.1931736902564</v>
      </c>
      <c r="AN39" s="17" t="n">
        <f aca="false">IF(W39="","",N(W39)+N(AD39))</f>
        <v>19.0627947283037</v>
      </c>
      <c r="AO39" s="17" t="n">
        <f aca="false">IF(AN39="","",AN39+N($M39)*N(AK39))</f>
        <v>23.4090047041971</v>
      </c>
      <c r="AP39" s="10" t="n">
        <f aca="false">IFERROR(AN39/AL39,"")</f>
        <v>0.591285887613493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IF($C39=Board!$B$2,COUNTIFS($C$2:$C$137,Board!$B$2,$AL$2:$AL$137,"&gt;"&amp;$AL39)+COUNTIFS($C$1:$C38,Board!$B$2,$AL$1:$AL38,$AL39)+1,"")</f>
        <v/>
      </c>
      <c r="AS39" s="0" t="str">
        <f aca="false">IFERROR(IF($D39=INDEX(Matches!$AD$5:$AD$23,MATCH($C39,Matches!$A$5:$A$23,0)),"A",IF($D39=INDEX(Matches!$AE$5:$AE$23,MATCH($C39,Matches!$A$5:$A$23,0)),"B","")),"")</f>
        <v>B</v>
      </c>
      <c r="AT39" s="10" t="n">
        <f aca="false">IF($AS39="","",IFERROR(IF($AS39="A",INDEX(Matches!$AI$5:$AI$23,MATCH($C39,Matches!$A$5:$A$23,0)),INDEX(Matches!$AJ$5:$AJ$23,MATCH($C39,Matches!$A$5:$A$23,0))),""))</f>
        <v>0.503015653575165</v>
      </c>
      <c r="AU39" s="10" t="n">
        <f aca="false">IF($AS39="","",IFERROR(IF(INDEX(Matches!$AP$5:$AP$23,MATCH($C39,Matches!$A$5:$A$23,0))="","",IF($AS39="A",INDEX(Matches!$AP$5:$AP$23,MATCH($C39,Matches!$A$5:$A$23,0)),1-INDEX(Matches!$AP$5:$AP$23,MATCH($C39,Matches!$A$5:$A$23,0)))),""))</f>
        <v>0.49208787786223</v>
      </c>
      <c r="AV39" s="13" t="n">
        <f aca="false">IF(OR($AU39="",$AT39=""),1,((Config!$B$14*$AU39+Config!$B$15*(1-$AU39))/(Config!$B$14*$AT39+Config!$B$15*(1-$AT39)))^Config!$B$13)</f>
        <v>0.990260998662409</v>
      </c>
      <c r="AW39" s="10" t="n">
        <f aca="false">IF($AS39="","",IFERROR(IF(INDEX(Matches!$AV$5:$AV$23,MATCH($C39,Matches!$A$5:$A$23,0))="","",IF($AS39="A",INDEX(Matches!$AV$5:$AV$23,MATCH($C39,Matches!$A$5:$A$23,0)),1-INDEX(Matches!$AV$5:$AV$23,MATCH($C39,Matches!$A$5:$A$23,0)))),""))</f>
        <v>0.52719578698296</v>
      </c>
      <c r="AX39" s="13" t="n">
        <f aca="false">IF(OR($AW39="",$AT39=""),1,((Config!$B$14*$AW39+Config!$B$15*(1-$AW39))/(Config!$B$14*$AT39+Config!$B$15*(1-$AT39)))^Config!$B$13)</f>
        <v>1.02154970579446</v>
      </c>
      <c r="AY39" s="10" t="n">
        <f aca="false">IF($AS39="","",IFERROR(IF(INDEX(Matches!$BB$5:$BB$23,MATCH($C39,Matches!$A$5:$A$23,0))="","",IF($AS39="A",INDEX(Matches!$BB$5:$BB$23,MATCH($C39,Matches!$A$5:$A$23,0)),1-INDEX(Matches!$BB$5:$BB$23,MATCH($C39,Matches!$A$5:$A$23,0)))),""))</f>
        <v>0.488268645343649</v>
      </c>
      <c r="AZ39" s="13" t="n">
        <f aca="false">IF(OR($AY39="",$AT39=""),1,((Config!$B$14*$AY39+Config!$B$15*(1-$AY39))/(Config!$B$14*$AT39+Config!$B$15*(1-$AT39)))^Config!$B$13)</f>
        <v>0.986857240058268</v>
      </c>
      <c r="BA39" s="17" t="n">
        <f aca="false">IF(V39="","",V39*$AV39)</f>
        <v>14.9389123823213</v>
      </c>
      <c r="BB39" s="17" t="n">
        <f aca="false">IF(AC39="","",AC39*$AX39)</f>
        <v>17.5233807625105</v>
      </c>
      <c r="BC39" s="17" t="n">
        <f aca="false">IF(AJ39="","",AJ39*$AZ39)</f>
        <v>15.7833999545959</v>
      </c>
      <c r="BD39" s="17" t="n">
        <f aca="false">N(BA39)+N(BB39)</f>
        <v>32.4622931448318</v>
      </c>
      <c r="BE39" s="17" t="n">
        <f aca="false">BD39+N($M39)*N(BC39)</f>
        <v>40.3113779422523</v>
      </c>
      <c r="BF39" s="17" t="n">
        <f aca="false">IF(W39="","",W39*$AV39)</f>
        <v>8.77661102461378</v>
      </c>
      <c r="BG39" s="17" t="n">
        <f aca="false">IF(AD39="","",AD39*$AX39)</f>
        <v>10.419671791862</v>
      </c>
      <c r="BH39" s="17" t="n">
        <f aca="false">IF(AK39="","",AK39*$AZ39)</f>
        <v>8.62475121963363</v>
      </c>
      <c r="BI39" s="17" t="n">
        <f aca="false">IF(BF39="","",N(BF39)+N(BG39))</f>
        <v>19.1962828164758</v>
      </c>
      <c r="BJ39" s="17" t="n">
        <f aca="false">IF(BI39="","",BI39+N($M39)*N(BH39))</f>
        <v>23.4853715979996</v>
      </c>
      <c r="BK39" s="13" t="n">
        <f aca="false">IFERROR(BD39/AL39,1)</f>
        <v>1.00690880270625</v>
      </c>
    </row>
    <row r="40" customFormat="false" ht="15" hidden="false" customHeight="false" outlineLevel="0" collapsed="false">
      <c r="A40" s="0" t="s">
        <v>1388</v>
      </c>
      <c r="B40" s="0" t="s">
        <v>1139</v>
      </c>
      <c r="C40" s="0" t="s">
        <v>1215</v>
      </c>
      <c r="D40" s="0" t="s">
        <v>1220</v>
      </c>
      <c r="E40" s="0" t="s">
        <v>1387</v>
      </c>
      <c r="F40" s="0" t="s">
        <v>1697</v>
      </c>
      <c r="G40" s="0" t="str">
        <f aca="false">IFERROR(IF(INDEX(Matches!$W$5:$W$23,MATCH($C40,Matches!$A$5:$A$23,0))="","",INDEX(Matches!$W$5:$W$23,MATCH($C40,Matches!$A$5:$A$23,0))),"")</f>
        <v>Mirage</v>
      </c>
      <c r="H40" s="0" t="str">
        <f aca="false">IFERROR(IF(INDEX(Matches!$X$5:$X$23,MATCH($C40,Matches!$A$5:$A$23,0))="","",INDEX(Matches!$X$5:$X$23,MATCH($C40,Matches!$A$5:$A$23,0))),"")</f>
        <v>Nuke</v>
      </c>
      <c r="I40" s="0" t="str">
        <f aca="false">IFERROR(IF(INDEX(Matches!$Y$5:$Y$23,MATCH($C40,Matches!$A$5:$A$23,0))="","",INDEX(Matches!$Y$5:$Y$23,MATCH($C40,Matches!$A$5:$A$23,0))),"")</f>
        <v>Ancient</v>
      </c>
      <c r="J40" s="11" t="n">
        <f aca="false">IFERROR(IF(INDEX(Matches!$Z$5:$Z$23,MATCH($C40,Matches!$A$5:$A$23,0))="","",INDEX(Matches!$Z$5:$Z$23,MATCH($C40,Matches!$A$5:$A$23,0))),"")</f>
        <v>21.42</v>
      </c>
      <c r="K40" s="11" t="n">
        <f aca="false">IFERROR(IF(INDEX(Matches!$AA$5:$AA$23,MATCH($C40,Matches!$A$5:$A$23,0))="","",INDEX(Matches!$AA$5:$AA$23,MATCH($C40,Matches!$A$5:$A$23,0))),"")</f>
        <v>21.5</v>
      </c>
      <c r="L40" s="11" t="n">
        <f aca="false">IFERROR(IF(INDEX(Matches!$AB$5:$AB$23,MATCH($C40,Matches!$A$5:$A$23,0))="","",INDEX(Matches!$AB$5:$AB$23,MATCH($C40,Matches!$A$5:$A$23,0))),"")</f>
        <v>21.5</v>
      </c>
      <c r="M40" s="10" t="n">
        <f aca="false">IFERROR(IF(INDEX(Matches!$AC$5:$AC$23,MATCH($C40,Matches!$A$5:$A$23,0))="","",INDEX(Matches!$AC$5:$AC$23,MATCH($C40,Matches!$A$5:$A$23,0))),"")</f>
        <v>0.4962</v>
      </c>
      <c r="N40" s="9" t="n">
        <f aca="false">IFERROR(INDEX(Players!$F$2:$F$137,MATCH($F40,Players!$A$2:$A$137,0)),0)</f>
        <v>39</v>
      </c>
      <c r="O40" s="13" t="n">
        <f aca="false">IFERROR(1/(1/INDEX(Players!$H$2:$H$137,MATCH($F40,Players!$A$2:$A$137,0))),"")</f>
        <v>0.56</v>
      </c>
      <c r="P40" s="10" t="n">
        <f aca="false">IFERROR(1/(1/INDEX(Players!$I$2:$I$137,MATCH($F40,Players!$A$2:$A$137,0))),"")</f>
        <v>0.454</v>
      </c>
      <c r="Q40" s="9" t="n">
        <f aca="false">IF($G40="",0,SUMIFS(Map_Stats!$F$2:$F$850,Map_Stats!$A$2:$A$850,$F40&amp;"|"&amp;$G40))</f>
        <v>12</v>
      </c>
      <c r="R40" s="13" t="n">
        <f aca="false">IF($G40="","",IFERROR(1/(1/INDEX(Map_Stats!$K$2:$K$850,MATCH($F40&amp;"|"&amp;$G40,Map_Stats!$A$2:$A$850,0))),$O40))</f>
        <v>0.5</v>
      </c>
      <c r="S40" s="10" t="n">
        <f aca="false">IF(OR($G40="",$P40=""),"",IFERROR(1/(1/INDEX(Map_Stats!$I$2:$I$850,MATCH($F40&amp;"|"&amp;$G40,Map_Stats!$A$2:$A$850,0))),$P40))</f>
        <v>0.432</v>
      </c>
      <c r="T40" s="13" t="n">
        <f aca="false">IF(OR($G40="",R40=""),"",IF($O40="",R40,(Q40*R40+Config!$B$4*$O40)/(Q40+Config!$B$4)))</f>
        <v>0.51764705882353</v>
      </c>
      <c r="U40" s="10" t="n">
        <f aca="false">IF(S40="","",(Q40*S40+Config!$B$4*$P40)/(Q40+Config!$B$4))</f>
        <v>0.438470588235294</v>
      </c>
      <c r="V40" s="17" t="n">
        <f aca="false">IF(OR(T40="",$J40=""),"",T40*$J40*($J40/Config!$B$10)^Config!$B$9)</f>
        <v>11.088</v>
      </c>
      <c r="W40" s="17" t="n">
        <f aca="false">IF(OR(V40="",U40=""),"",V40*U40)</f>
        <v>4.86176188235294</v>
      </c>
      <c r="X40" s="9" t="n">
        <f aca="false">IF($H40="",0,SUMIFS(Map_Stats!$F$2:$F$850,Map_Stats!$A$2:$A$850,$F40&amp;"|"&amp;$H40))</f>
        <v>4</v>
      </c>
      <c r="Y40" s="13" t="n">
        <f aca="false">IF($H40="","",IFERROR(1/(1/INDEX(Map_Stats!$K$2:$K$850,MATCH($F40&amp;"|"&amp;$H40,Map_Stats!$A$2:$A$850,0))),$O40))</f>
        <v>0.65</v>
      </c>
      <c r="Z40" s="10" t="n">
        <f aca="false">IF(OR($H40="",$P40=""),"",IFERROR(1/(1/INDEX(Map_Stats!$I$2:$I$850,MATCH($F40&amp;"|"&amp;$H40,Map_Stats!$A$2:$A$850,0))),$P40))</f>
        <v>0.483</v>
      </c>
      <c r="AA40" s="13" t="n">
        <f aca="false">IF(OR($H40="",Y40=""),"",IF($O40="",Y40,(X40*Y40+Config!$B$4*$O40)/(X40+Config!$B$4)))</f>
        <v>0.6</v>
      </c>
      <c r="AB40" s="10" t="n">
        <f aca="false">IF(Z40="","",(X40*Z40+Config!$B$4*$P40)/(X40+Config!$B$4))</f>
        <v>0.466888888888889</v>
      </c>
      <c r="AC40" s="17" t="n">
        <f aca="false">IF(OR(AA40="",$K40=""),"",AA40*$K40*($K40/Config!$B$10)^Config!$B$9)</f>
        <v>12.9</v>
      </c>
      <c r="AD40" s="17" t="n">
        <f aca="false">IF(OR(AC40="",AB40=""),"",AC40*AB40)</f>
        <v>6.02286666666667</v>
      </c>
      <c r="AE40" s="9" t="n">
        <f aca="false">IF($I40="",0,SUMIFS(Map_Stats!$F$2:$F$850,Map_Stats!$A$2:$A$850,$F40&amp;"|"&amp;$I40))</f>
        <v>6</v>
      </c>
      <c r="AF40" s="13" t="n">
        <f aca="false">IF($I40="","",IFERROR(1/(1/INDEX(Map_Stats!$K$2:$K$850,MATCH($F40&amp;"|"&amp;$I40,Map_Stats!$A$2:$A$850,0))),$O40))</f>
        <v>0.49</v>
      </c>
      <c r="AG40" s="10" t="n">
        <f aca="false">IF(OR($I40="",$P40=""),"",IFERROR(1/(1/INDEX(Map_Stats!$I$2:$I$850,MATCH($F40&amp;"|"&amp;$I40,Map_Stats!$A$2:$A$850,0))),$P40))</f>
        <v>0.444</v>
      </c>
      <c r="AH40" s="13" t="n">
        <f aca="false">IF(OR($I40="",AF40=""),"",IF($O40="",AF40,(AE40*AF40+Config!$B$4*$O40)/(AE40+Config!$B$4)))</f>
        <v>0.521818181818182</v>
      </c>
      <c r="AI40" s="10" t="n">
        <f aca="false">IF(AG40="","",(AE40*AG40+Config!$B$4*$P40)/(AE40+Config!$B$4))</f>
        <v>0.448545454545455</v>
      </c>
      <c r="AJ40" s="17" t="n">
        <f aca="false">IF(OR(AH40="",$L40=""),"",AH40*$L40*($L40/Config!$B$10)^Config!$B$9)</f>
        <v>11.2190909090909</v>
      </c>
      <c r="AK40" s="17" t="n">
        <f aca="false">IF(OR(AJ40="",AI40=""),"",AJ40*AI40)</f>
        <v>5.03227223140496</v>
      </c>
      <c r="AL40" s="17" t="n">
        <f aca="false">N(V40)+N(AC40)</f>
        <v>23.988</v>
      </c>
      <c r="AM40" s="17" t="n">
        <f aca="false">AL40+N($M40)*N(AJ40)</f>
        <v>29.5549129090909</v>
      </c>
      <c r="AN40" s="17" t="n">
        <f aca="false">IF(W40="","",N(W40)+N(AD40))</f>
        <v>10.8846285490196</v>
      </c>
      <c r="AO40" s="17" t="n">
        <f aca="false">IF(AN40="","",AN40+N($M40)*N(AK40))</f>
        <v>13.3816420302428</v>
      </c>
      <c r="AP40" s="10" t="n">
        <f aca="false">IFERROR(AN40/AL40,"")</f>
        <v>0.453753066075521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IF($C40=Board!$B$2,COUNTIFS($C$2:$C$137,Board!$B$2,$AL$2:$AL$137,"&gt;"&amp;$AL40)+COUNTIFS($C$1:$C39,Board!$B$2,$AL$1:$AL39,$AL40)+1,"")</f>
        <v/>
      </c>
      <c r="AS40" s="0" t="str">
        <f aca="false">IFERROR(IF($D40=INDEX(Matches!$AD$5:$AD$23,MATCH($C40,Matches!$A$5:$A$23,0)),"A",IF($D40=INDEX(Matches!$AE$5:$AE$23,MATCH($C40,Matches!$A$5:$A$23,0)),"B","")),"")</f>
        <v>A</v>
      </c>
      <c r="AT40" s="10" t="n">
        <f aca="false">IF($AS40="","",IFERROR(IF($AS40="A",INDEX(Matches!$AI$5:$AI$23,MATCH($C40,Matches!$A$5:$A$23,0)),INDEX(Matches!$AJ$5:$AJ$23,MATCH($C40,Matches!$A$5:$A$23,0))),""))</f>
        <v>0.504737583235877</v>
      </c>
      <c r="AU40" s="10" t="n">
        <f aca="false">IF($AS40="","",IFERROR(IF(INDEX(Matches!$AP$5:$AP$23,MATCH($C40,Matches!$A$5:$A$23,0))="","",IF($AS40="A",INDEX(Matches!$AP$5:$AP$23,MATCH($C40,Matches!$A$5:$A$23,0)),1-INDEX(Matches!$AP$5:$AP$23,MATCH($C40,Matches!$A$5:$A$23,0)))),""))</f>
        <v>0.445833400705141</v>
      </c>
      <c r="AV40" s="13" t="n">
        <f aca="false">IF(OR($AU40="",$AT40=""),1,((Config!$B$14*$AU40+Config!$B$15*(1-$AU40))/(Config!$B$14*$AT40+Config!$B$15*(1-$AT40)))^Config!$B$13)</f>
        <v>0.94758412692119</v>
      </c>
      <c r="AW40" s="10" t="n">
        <f aca="false">IF($AS40="","",IFERROR(IF(INDEX(Matches!$AV$5:$AV$23,MATCH($C40,Matches!$A$5:$A$23,0))="","",IF($AS40="A",INDEX(Matches!$AV$5:$AV$23,MATCH($C40,Matches!$A$5:$A$23,0)),1-INDEX(Matches!$AV$5:$AV$23,MATCH($C40,Matches!$A$5:$A$23,0)))),""))</f>
        <v>0.444308744504152</v>
      </c>
      <c r="AX40" s="13" t="n">
        <f aca="false">IF(OR($AW40="",$AT40=""),1,((Config!$B$14*$AW40+Config!$B$15*(1-$AW40))/(Config!$B$14*$AT40+Config!$B$15*(1-$AT40)))^Config!$B$13)</f>
        <v>0.946227411956542</v>
      </c>
      <c r="AY40" s="10" t="n">
        <f aca="false">IF($AS40="","",IFERROR(IF(INDEX(Matches!$BB$5:$BB$23,MATCH($C40,Matches!$A$5:$A$23,0))="","",IF($AS40="A",INDEX(Matches!$BB$5:$BB$23,MATCH($C40,Matches!$A$5:$A$23,0)),1-INDEX(Matches!$BB$5:$BB$23,MATCH($C40,Matches!$A$5:$A$23,0)))),""))</f>
        <v>0.478904328208895</v>
      </c>
      <c r="AZ40" s="13" t="n">
        <f aca="false">IF(OR($AY40="",$AT40=""),1,((Config!$B$14*$AY40+Config!$B$15*(1-$AY40))/(Config!$B$14*$AT40+Config!$B$15*(1-$AT40)))^Config!$B$13)</f>
        <v>0.977012284042814</v>
      </c>
      <c r="BA40" s="17" t="n">
        <f aca="false">IF(V40="","",V40*$AV40)</f>
        <v>10.5068127993022</v>
      </c>
      <c r="BB40" s="17" t="n">
        <f aca="false">IF(AC40="","",AC40*$AX40)</f>
        <v>12.2063336142394</v>
      </c>
      <c r="BC40" s="17" t="n">
        <f aca="false">IF(AJ40="","",AJ40*$AZ40)</f>
        <v>10.9611896339749</v>
      </c>
      <c r="BD40" s="17" t="n">
        <f aca="false">N(BA40)+N(BB40)</f>
        <v>22.7131464135416</v>
      </c>
      <c r="BE40" s="17" t="n">
        <f aca="false">BD40+N($M40)*N(BC40)</f>
        <v>28.1520887099199</v>
      </c>
      <c r="BF40" s="17" t="n">
        <f aca="false">IF(W40="","",W40*$AV40)</f>
        <v>4.60692838858814</v>
      </c>
      <c r="BG40" s="17" t="n">
        <f aca="false">IF(AD40="","",AD40*$AX40)</f>
        <v>5.69900153855933</v>
      </c>
      <c r="BH40" s="17" t="n">
        <f aca="false">IF(AK40="","",AK40*$AZ40)</f>
        <v>4.91659178673019</v>
      </c>
      <c r="BI40" s="17" t="n">
        <f aca="false">IF(BF40="","",N(BF40)+N(BG40))</f>
        <v>10.3059299271475</v>
      </c>
      <c r="BJ40" s="17" t="n">
        <f aca="false">IF(BI40="","",BI40+N($M40)*N(BH40))</f>
        <v>12.745542771723</v>
      </c>
      <c r="BK40" s="13" t="n">
        <f aca="false">IFERROR(BD40/AL40,1)</f>
        <v>0.946854527828145</v>
      </c>
    </row>
    <row r="41" customFormat="false" ht="15" hidden="false" customHeight="false" outlineLevel="0" collapsed="false">
      <c r="A41" s="0" t="s">
        <v>1392</v>
      </c>
      <c r="B41" s="0" t="s">
        <v>1139</v>
      </c>
      <c r="C41" s="0" t="s">
        <v>1215</v>
      </c>
      <c r="D41" s="0" t="s">
        <v>1220</v>
      </c>
      <c r="E41" s="0" t="s">
        <v>1390</v>
      </c>
      <c r="F41" s="0" t="s">
        <v>1698</v>
      </c>
      <c r="G41" s="0" t="str">
        <f aca="false">IFERROR(IF(INDEX(Matches!$W$5:$W$23,MATCH($C41,Matches!$A$5:$A$23,0))="","",INDEX(Matches!$W$5:$W$23,MATCH($C41,Matches!$A$5:$A$23,0))),"")</f>
        <v>Mirage</v>
      </c>
      <c r="H41" s="0" t="str">
        <f aca="false">IFERROR(IF(INDEX(Matches!$X$5:$X$23,MATCH($C41,Matches!$A$5:$A$23,0))="","",INDEX(Matches!$X$5:$X$23,MATCH($C41,Matches!$A$5:$A$23,0))),"")</f>
        <v>Nuke</v>
      </c>
      <c r="I41" s="0" t="str">
        <f aca="false">IFERROR(IF(INDEX(Matches!$Y$5:$Y$23,MATCH($C41,Matches!$A$5:$A$23,0))="","",INDEX(Matches!$Y$5:$Y$23,MATCH($C41,Matches!$A$5:$A$23,0))),"")</f>
        <v>Ancient</v>
      </c>
      <c r="J41" s="11" t="n">
        <f aca="false">IFERROR(IF(INDEX(Matches!$Z$5:$Z$23,MATCH($C41,Matches!$A$5:$A$23,0))="","",INDEX(Matches!$Z$5:$Z$23,MATCH($C41,Matches!$A$5:$A$23,0))),"")</f>
        <v>21.42</v>
      </c>
      <c r="K41" s="11" t="n">
        <f aca="false">IFERROR(IF(INDEX(Matches!$AA$5:$AA$23,MATCH($C41,Matches!$A$5:$A$23,0))="","",INDEX(Matches!$AA$5:$AA$23,MATCH($C41,Matches!$A$5:$A$23,0))),"")</f>
        <v>21.5</v>
      </c>
      <c r="L41" s="11" t="n">
        <f aca="false">IFERROR(IF(INDEX(Matches!$AB$5:$AB$23,MATCH($C41,Matches!$A$5:$A$23,0))="","",INDEX(Matches!$AB$5:$AB$23,MATCH($C41,Matches!$A$5:$A$23,0))),"")</f>
        <v>21.5</v>
      </c>
      <c r="M41" s="10" t="n">
        <f aca="false">IFERROR(IF(INDEX(Matches!$AC$5:$AC$23,MATCH($C41,Matches!$A$5:$A$23,0))="","",INDEX(Matches!$AC$5:$AC$23,MATCH($C41,Matches!$A$5:$A$23,0))),"")</f>
        <v>0.4962</v>
      </c>
      <c r="N41" s="9" t="n">
        <f aca="false">IFERROR(INDEX(Players!$F$2:$F$137,MATCH($F41,Players!$A$2:$A$137,0)),0)</f>
        <v>39</v>
      </c>
      <c r="O41" s="13" t="n">
        <f aca="false">IFERROR(1/(1/INDEX(Players!$H$2:$H$137,MATCH($F41,Players!$A$2:$A$137,0))),"")</f>
        <v>0.66</v>
      </c>
      <c r="P41" s="10" t="n">
        <f aca="false">IFERROR(1/(1/INDEX(Players!$I$2:$I$137,MATCH($F41,Players!$A$2:$A$137,0))),"")</f>
        <v>0.572</v>
      </c>
      <c r="Q41" s="9" t="n">
        <f aca="false">IF($G41="",0,SUMIFS(Map_Stats!$F$2:$F$850,Map_Stats!$A$2:$A$850,$F41&amp;"|"&amp;$G41))</f>
        <v>12</v>
      </c>
      <c r="R41" s="13" t="n">
        <f aca="false">IF($G41="","",IFERROR(1/(1/INDEX(Map_Stats!$K$2:$K$850,MATCH($F41&amp;"|"&amp;$G41,Map_Stats!$A$2:$A$850,0))),$O41))</f>
        <v>0.65</v>
      </c>
      <c r="S41" s="10" t="n">
        <f aca="false">IF(OR($G41="",$P41=""),"",IFERROR(1/(1/INDEX(Map_Stats!$I$2:$I$850,MATCH($F41&amp;"|"&amp;$G41,Map_Stats!$A$2:$A$850,0))),$P41))</f>
        <v>0.541</v>
      </c>
      <c r="T41" s="13" t="n">
        <f aca="false">IF(OR($G41="",R41=""),"",IF($O41="",R41,(Q41*R41+Config!$B$4*$O41)/(Q41+Config!$B$4)))</f>
        <v>0.652941176470588</v>
      </c>
      <c r="U41" s="10" t="n">
        <f aca="false">IF(S41="","",(Q41*S41+Config!$B$4*$P41)/(Q41+Config!$B$4))</f>
        <v>0.550117647058824</v>
      </c>
      <c r="V41" s="17" t="n">
        <f aca="false">IF(OR(T41="",$J41=""),"",T41*$J41*($J41/Config!$B$10)^Config!$B$9)</f>
        <v>13.986</v>
      </c>
      <c r="W41" s="17" t="n">
        <f aca="false">IF(OR(V41="",U41=""),"",V41*U41)</f>
        <v>7.69394541176471</v>
      </c>
      <c r="X41" s="9" t="n">
        <f aca="false">IF($H41="",0,SUMIFS(Map_Stats!$F$2:$F$850,Map_Stats!$A$2:$A$850,$F41&amp;"|"&amp;$H41))</f>
        <v>4</v>
      </c>
      <c r="Y41" s="13" t="n">
        <f aca="false">IF($H41="","",IFERROR(1/(1/INDEX(Map_Stats!$K$2:$K$850,MATCH($F41&amp;"|"&amp;$H41,Map_Stats!$A$2:$A$850,0))),$O41))</f>
        <v>0.62</v>
      </c>
      <c r="Z41" s="10" t="n">
        <f aca="false">IF(OR($H41="",$P41=""),"",IFERROR(1/(1/INDEX(Map_Stats!$I$2:$I$850,MATCH($F41&amp;"|"&amp;$H41,Map_Stats!$A$2:$A$850,0))),$P41))</f>
        <v>0.534</v>
      </c>
      <c r="AA41" s="13" t="n">
        <f aca="false">IF(OR($H41="",Y41=""),"",IF($O41="",Y41,(X41*Y41+Config!$B$4*$O41)/(X41+Config!$B$4)))</f>
        <v>0.642222222222222</v>
      </c>
      <c r="AB41" s="10" t="n">
        <f aca="false">IF(Z41="","",(X41*Z41+Config!$B$4*$P41)/(X41+Config!$B$4))</f>
        <v>0.555111111111111</v>
      </c>
      <c r="AC41" s="17" t="n">
        <f aca="false">IF(OR(AA41="",$K41=""),"",AA41*$K41*($K41/Config!$B$10)^Config!$B$9)</f>
        <v>13.8077777777778</v>
      </c>
      <c r="AD41" s="17" t="n">
        <f aca="false">IF(OR(AC41="",AB41=""),"",AC41*AB41)</f>
        <v>7.66485086419753</v>
      </c>
      <c r="AE41" s="9" t="n">
        <f aca="false">IF($I41="",0,SUMIFS(Map_Stats!$F$2:$F$850,Map_Stats!$A$2:$A$850,$F41&amp;"|"&amp;$I41))</f>
        <v>6</v>
      </c>
      <c r="AF41" s="13" t="n">
        <f aca="false">IF($I41="","",IFERROR(1/(1/INDEX(Map_Stats!$K$2:$K$850,MATCH($F41&amp;"|"&amp;$I41,Map_Stats!$A$2:$A$850,0))),$O41))</f>
        <v>0.73</v>
      </c>
      <c r="AG41" s="10" t="n">
        <f aca="false">IF(OR($I41="",$P41=""),"",IFERROR(1/(1/INDEX(Map_Stats!$I$2:$I$850,MATCH($F41&amp;"|"&amp;$I41,Map_Stats!$A$2:$A$850,0))),$P41))</f>
        <v>0.533</v>
      </c>
      <c r="AH41" s="13" t="n">
        <f aca="false">IF(OR($I41="",AF41=""),"",IF($O41="",AF41,(AE41*AF41+Config!$B$4*$O41)/(AE41+Config!$B$4)))</f>
        <v>0.698181818181818</v>
      </c>
      <c r="AI41" s="10" t="n">
        <f aca="false">IF(AG41="","",(AE41*AG41+Config!$B$4*$P41)/(AE41+Config!$B$4))</f>
        <v>0.550727272727273</v>
      </c>
      <c r="AJ41" s="17" t="n">
        <f aca="false">IF(OR(AH41="",$L41=""),"",AH41*$L41*($L41/Config!$B$10)^Config!$B$9)</f>
        <v>15.0109090909091</v>
      </c>
      <c r="AK41" s="17" t="n">
        <f aca="false">IF(OR(AJ41="",AI41=""),"",AJ41*AI41)</f>
        <v>8.26691702479339</v>
      </c>
      <c r="AL41" s="17" t="n">
        <f aca="false">N(V41)+N(AC41)</f>
        <v>27.7937777777778</v>
      </c>
      <c r="AM41" s="17" t="n">
        <f aca="false">AL41+N($M41)*N(AJ41)</f>
        <v>35.2421908686869</v>
      </c>
      <c r="AN41" s="17" t="n">
        <f aca="false">IF(W41="","",N(W41)+N(AD41))</f>
        <v>15.3587962759622</v>
      </c>
      <c r="AO41" s="17" t="n">
        <f aca="false">IF(AN41="","",AN41+N($M41)*N(AK41))</f>
        <v>19.4608405036647</v>
      </c>
      <c r="AP41" s="10" t="n">
        <f aca="false">IFERROR(AN41/AL41,"")</f>
        <v>0.552598369273939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IF($C41=Board!$B$2,COUNTIFS($C$2:$C$137,Board!$B$2,$AL$2:$AL$137,"&gt;"&amp;$AL41)+COUNTIFS($C$1:$C40,Board!$B$2,$AL$1:$AL40,$AL41)+1,"")</f>
        <v/>
      </c>
      <c r="AS41" s="0" t="str">
        <f aca="false">IFERROR(IF($D41=INDEX(Matches!$AD$5:$AD$23,MATCH($C41,Matches!$A$5:$A$23,0)),"A",IF($D41=INDEX(Matches!$AE$5:$AE$23,MATCH($C41,Matches!$A$5:$A$23,0)),"B","")),"")</f>
        <v>A</v>
      </c>
      <c r="AT41" s="10" t="n">
        <f aca="false">IF($AS41="","",IFERROR(IF($AS41="A",INDEX(Matches!$AI$5:$AI$23,MATCH($C41,Matches!$A$5:$A$23,0)),INDEX(Matches!$AJ$5:$AJ$23,MATCH($C41,Matches!$A$5:$A$23,0))),""))</f>
        <v>0.504737583235877</v>
      </c>
      <c r="AU41" s="10" t="n">
        <f aca="false">IF($AS41="","",IFERROR(IF(INDEX(Matches!$AP$5:$AP$23,MATCH($C41,Matches!$A$5:$A$23,0))="","",IF($AS41="A",INDEX(Matches!$AP$5:$AP$23,MATCH($C41,Matches!$A$5:$A$23,0)),1-INDEX(Matches!$AP$5:$AP$23,MATCH($C41,Matches!$A$5:$A$23,0)))),""))</f>
        <v>0.445833400705141</v>
      </c>
      <c r="AV41" s="13" t="n">
        <f aca="false">IF(OR($AU41="",$AT41=""),1,((Config!$B$14*$AU41+Config!$B$15*(1-$AU41))/(Config!$B$14*$AT41+Config!$B$15*(1-$AT41)))^Config!$B$13)</f>
        <v>0.94758412692119</v>
      </c>
      <c r="AW41" s="10" t="n">
        <f aca="false">IF($AS41="","",IFERROR(IF(INDEX(Matches!$AV$5:$AV$23,MATCH($C41,Matches!$A$5:$A$23,0))="","",IF($AS41="A",INDEX(Matches!$AV$5:$AV$23,MATCH($C41,Matches!$A$5:$A$23,0)),1-INDEX(Matches!$AV$5:$AV$23,MATCH($C41,Matches!$A$5:$A$23,0)))),""))</f>
        <v>0.444308744504152</v>
      </c>
      <c r="AX41" s="13" t="n">
        <f aca="false">IF(OR($AW41="",$AT41=""),1,((Config!$B$14*$AW41+Config!$B$15*(1-$AW41))/(Config!$B$14*$AT41+Config!$B$15*(1-$AT41)))^Config!$B$13)</f>
        <v>0.946227411956542</v>
      </c>
      <c r="AY41" s="10" t="n">
        <f aca="false">IF($AS41="","",IFERROR(IF(INDEX(Matches!$BB$5:$BB$23,MATCH($C41,Matches!$A$5:$A$23,0))="","",IF($AS41="A",INDEX(Matches!$BB$5:$BB$23,MATCH($C41,Matches!$A$5:$A$23,0)),1-INDEX(Matches!$BB$5:$BB$23,MATCH($C41,Matches!$A$5:$A$23,0)))),""))</f>
        <v>0.478904328208895</v>
      </c>
      <c r="AZ41" s="13" t="n">
        <f aca="false">IF(OR($AY41="",$AT41=""),1,((Config!$B$14*$AY41+Config!$B$15*(1-$AY41))/(Config!$B$14*$AT41+Config!$B$15*(1-$AT41)))^Config!$B$13)</f>
        <v>0.977012284042814</v>
      </c>
      <c r="BA41" s="17" t="n">
        <f aca="false">IF(V41="","",V41*$AV41)</f>
        <v>13.2529115991198</v>
      </c>
      <c r="BB41" s="17" t="n">
        <f aca="false">IF(AC41="","",AC41*$AX41)</f>
        <v>13.0652978315377</v>
      </c>
      <c r="BC41" s="17" t="n">
        <f aca="false">IF(AJ41="","",AJ41*$AZ41)</f>
        <v>14.6658425764681</v>
      </c>
      <c r="BD41" s="17" t="n">
        <f aca="false">N(BA41)+N(BB41)</f>
        <v>26.3182094306575</v>
      </c>
      <c r="BE41" s="17" t="n">
        <f aca="false">BD41+N($M41)*N(BC41)</f>
        <v>33.595400517101</v>
      </c>
      <c r="BF41" s="17" t="n">
        <f aca="false">IF(W41="","",W41*$AV41)</f>
        <v>7.29066054558636</v>
      </c>
      <c r="BG41" s="17" t="n">
        <f aca="false">IF(AD41="","",AD41*$AX41)</f>
        <v>7.2526919962625</v>
      </c>
      <c r="BH41" s="17" t="n">
        <f aca="false">IF(AK41="","",AK41*$AZ41)</f>
        <v>8.07687948438582</v>
      </c>
      <c r="BI41" s="17" t="n">
        <f aca="false">IF(BF41="","",N(BF41)+N(BG41))</f>
        <v>14.5433525418489</v>
      </c>
      <c r="BJ41" s="17" t="n">
        <f aca="false">IF(BI41="","",BI41+N($M41)*N(BH41))</f>
        <v>18.5511001420011</v>
      </c>
      <c r="BK41" s="13" t="n">
        <f aca="false">IFERROR(BD41/AL41,1)</f>
        <v>0.946910119274967</v>
      </c>
    </row>
    <row r="42" customFormat="false" ht="15" hidden="false" customHeight="false" outlineLevel="0" collapsed="false">
      <c r="A42" s="0" t="s">
        <v>1396</v>
      </c>
      <c r="B42" s="0" t="s">
        <v>1139</v>
      </c>
      <c r="C42" s="0" t="s">
        <v>1215</v>
      </c>
      <c r="D42" s="0" t="s">
        <v>1220</v>
      </c>
      <c r="E42" s="0" t="s">
        <v>1394</v>
      </c>
      <c r="F42" s="0" t="s">
        <v>1699</v>
      </c>
      <c r="G42" s="0" t="str">
        <f aca="false">IFERROR(IF(INDEX(Matches!$W$5:$W$23,MATCH($C42,Matches!$A$5:$A$23,0))="","",INDEX(Matches!$W$5:$W$23,MATCH($C42,Matches!$A$5:$A$23,0))),"")</f>
        <v>Mirage</v>
      </c>
      <c r="H42" s="0" t="str">
        <f aca="false">IFERROR(IF(INDEX(Matches!$X$5:$X$23,MATCH($C42,Matches!$A$5:$A$23,0))="","",INDEX(Matches!$X$5:$X$23,MATCH($C42,Matches!$A$5:$A$23,0))),"")</f>
        <v>Nuke</v>
      </c>
      <c r="I42" s="0" t="str">
        <f aca="false">IFERROR(IF(INDEX(Matches!$Y$5:$Y$23,MATCH($C42,Matches!$A$5:$A$23,0))="","",INDEX(Matches!$Y$5:$Y$23,MATCH($C42,Matches!$A$5:$A$23,0))),"")</f>
        <v>Ancient</v>
      </c>
      <c r="J42" s="11" t="n">
        <f aca="false">IFERROR(IF(INDEX(Matches!$Z$5:$Z$23,MATCH($C42,Matches!$A$5:$A$23,0))="","",INDEX(Matches!$Z$5:$Z$23,MATCH($C42,Matches!$A$5:$A$23,0))),"")</f>
        <v>21.42</v>
      </c>
      <c r="K42" s="11" t="n">
        <f aca="false">IFERROR(IF(INDEX(Matches!$AA$5:$AA$23,MATCH($C42,Matches!$A$5:$A$23,0))="","",INDEX(Matches!$AA$5:$AA$23,MATCH($C42,Matches!$A$5:$A$23,0))),"")</f>
        <v>21.5</v>
      </c>
      <c r="L42" s="11" t="n">
        <f aca="false">IFERROR(IF(INDEX(Matches!$AB$5:$AB$23,MATCH($C42,Matches!$A$5:$A$23,0))="","",INDEX(Matches!$AB$5:$AB$23,MATCH($C42,Matches!$A$5:$A$23,0))),"")</f>
        <v>21.5</v>
      </c>
      <c r="M42" s="10" t="n">
        <f aca="false">IFERROR(IF(INDEX(Matches!$AC$5:$AC$23,MATCH($C42,Matches!$A$5:$A$23,0))="","",INDEX(Matches!$AC$5:$AC$23,MATCH($C42,Matches!$A$5:$A$23,0))),"")</f>
        <v>0.4962</v>
      </c>
      <c r="N42" s="9" t="n">
        <f aca="false">IFERROR(INDEX(Players!$F$2:$F$137,MATCH($F42,Players!$A$2:$A$137,0)),0)</f>
        <v>39</v>
      </c>
      <c r="O42" s="13" t="n">
        <f aca="false">IFERROR(1/(1/INDEX(Players!$H$2:$H$137,MATCH($F42,Players!$A$2:$A$137,0))),"")</f>
        <v>0.74</v>
      </c>
      <c r="P42" s="10" t="n">
        <f aca="false">IFERROR(1/(1/INDEX(Players!$I$2:$I$137,MATCH($F42,Players!$A$2:$A$137,0))),"")</f>
        <v>0.529</v>
      </c>
      <c r="Q42" s="9" t="n">
        <f aca="false">IF($G42="",0,SUMIFS(Map_Stats!$F$2:$F$850,Map_Stats!$A$2:$A$850,$F42&amp;"|"&amp;$G42))</f>
        <v>12</v>
      </c>
      <c r="R42" s="13" t="n">
        <f aca="false">IF($G42="","",IFERROR(1/(1/INDEX(Map_Stats!$K$2:$K$850,MATCH($F42&amp;"|"&amp;$G42,Map_Stats!$A$2:$A$850,0))),$O42))</f>
        <v>0.85</v>
      </c>
      <c r="S42" s="10" t="n">
        <f aca="false">IF(OR($G42="",$P42=""),"",IFERROR(1/(1/INDEX(Map_Stats!$I$2:$I$850,MATCH($F42&amp;"|"&amp;$G42,Map_Stats!$A$2:$A$850,0))),$P42))</f>
        <v>0.502</v>
      </c>
      <c r="T42" s="13" t="n">
        <f aca="false">IF(OR($G42="",R42=""),"",IF($O42="",R42,(Q42*R42+Config!$B$4*$O42)/(Q42+Config!$B$4)))</f>
        <v>0.817647058823529</v>
      </c>
      <c r="U42" s="10" t="n">
        <f aca="false">IF(S42="","",(Q42*S42+Config!$B$4*$P42)/(Q42+Config!$B$4))</f>
        <v>0.509941176470588</v>
      </c>
      <c r="V42" s="17" t="n">
        <f aca="false">IF(OR(T42="",$J42=""),"",T42*$J42*($J42/Config!$B$10)^Config!$B$9)</f>
        <v>17.514</v>
      </c>
      <c r="W42" s="17" t="n">
        <f aca="false">IF(OR(V42="",U42=""),"",V42*U42)</f>
        <v>8.93110976470588</v>
      </c>
      <c r="X42" s="9" t="n">
        <f aca="false">IF($H42="",0,SUMIFS(Map_Stats!$F$2:$F$850,Map_Stats!$A$2:$A$850,$F42&amp;"|"&amp;$H42))</f>
        <v>4</v>
      </c>
      <c r="Y42" s="13" t="n">
        <f aca="false">IF($H42="","",IFERROR(1/(1/INDEX(Map_Stats!$K$2:$K$850,MATCH($F42&amp;"|"&amp;$H42,Map_Stats!$A$2:$A$850,0))),$O42))</f>
        <v>0.94</v>
      </c>
      <c r="Z42" s="10" t="n">
        <f aca="false">IF(OR($H42="",$P42=""),"",IFERROR(1/(1/INDEX(Map_Stats!$I$2:$I$850,MATCH($F42&amp;"|"&amp;$H42,Map_Stats!$A$2:$A$850,0))),$P42))</f>
        <v>0.586</v>
      </c>
      <c r="AA42" s="13" t="n">
        <f aca="false">IF(OR($H42="",Y42=""),"",IF($O42="",Y42,(X42*Y42+Config!$B$4*$O42)/(X42+Config!$B$4)))</f>
        <v>0.828888888888889</v>
      </c>
      <c r="AB42" s="10" t="n">
        <f aca="false">IF(Z42="","",(X42*Z42+Config!$B$4*$P42)/(X42+Config!$B$4))</f>
        <v>0.554333333333333</v>
      </c>
      <c r="AC42" s="17" t="n">
        <f aca="false">IF(OR(AA42="",$K42=""),"",AA42*$K42*($K42/Config!$B$10)^Config!$B$9)</f>
        <v>17.8211111111111</v>
      </c>
      <c r="AD42" s="17" t="n">
        <f aca="false">IF(OR(AC42="",AB42=""),"",AC42*AB42)</f>
        <v>9.87883592592593</v>
      </c>
      <c r="AE42" s="9" t="n">
        <f aca="false">IF($I42="",0,SUMIFS(Map_Stats!$F$2:$F$850,Map_Stats!$A$2:$A$850,$F42&amp;"|"&amp;$I42))</f>
        <v>6</v>
      </c>
      <c r="AF42" s="13" t="n">
        <f aca="false">IF($I42="","",IFERROR(1/(1/INDEX(Map_Stats!$K$2:$K$850,MATCH($F42&amp;"|"&amp;$I42,Map_Stats!$A$2:$A$850,0))),$O42))</f>
        <v>0.67</v>
      </c>
      <c r="AG42" s="10" t="n">
        <f aca="false">IF(OR($I42="",$P42=""),"",IFERROR(1/(1/INDEX(Map_Stats!$I$2:$I$850,MATCH($F42&amp;"|"&amp;$I42,Map_Stats!$A$2:$A$850,0))),$P42))</f>
        <v>0.606</v>
      </c>
      <c r="AH42" s="13" t="n">
        <f aca="false">IF(OR($I42="",AF42=""),"",IF($O42="",AF42,(AE42*AF42+Config!$B$4*$O42)/(AE42+Config!$B$4)))</f>
        <v>0.701818181818182</v>
      </c>
      <c r="AI42" s="10" t="n">
        <f aca="false">IF(AG42="","",(AE42*AG42+Config!$B$4*$P42)/(AE42+Config!$B$4))</f>
        <v>0.571</v>
      </c>
      <c r="AJ42" s="17" t="n">
        <f aca="false">IF(OR(AH42="",$L42=""),"",AH42*$L42*($L42/Config!$B$10)^Config!$B$9)</f>
        <v>15.0890909090909</v>
      </c>
      <c r="AK42" s="17" t="n">
        <f aca="false">IF(OR(AJ42="",AI42=""),"",AJ42*AI42)</f>
        <v>8.61587090909091</v>
      </c>
      <c r="AL42" s="17" t="n">
        <f aca="false">N(V42)+N(AC42)</f>
        <v>35.3351111111111</v>
      </c>
      <c r="AM42" s="17" t="n">
        <f aca="false">AL42+N($M42)*N(AJ42)</f>
        <v>42.822318020202</v>
      </c>
      <c r="AN42" s="17" t="n">
        <f aca="false">IF(W42="","",N(W42)+N(AD42))</f>
        <v>18.8099456906318</v>
      </c>
      <c r="AO42" s="17" t="n">
        <f aca="false">IF(AN42="","",AN42+N($M42)*N(AK42))</f>
        <v>23.0851408357227</v>
      </c>
      <c r="AP42" s="10" t="n">
        <f aca="false">IFERROR(AN42/AL42,"")</f>
        <v>0.532330169600543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IF($C42=Board!$B$2,COUNTIFS($C$2:$C$137,Board!$B$2,$AL$2:$AL$137,"&gt;"&amp;$AL42)+COUNTIFS($C$1:$C41,Board!$B$2,$AL$1:$AL41,$AL42)+1,"")</f>
        <v/>
      </c>
      <c r="AS42" s="0" t="str">
        <f aca="false">IFERROR(IF($D42=INDEX(Matches!$AD$5:$AD$23,MATCH($C42,Matches!$A$5:$A$23,0)),"A",IF($D42=INDEX(Matches!$AE$5:$AE$23,MATCH($C42,Matches!$A$5:$A$23,0)),"B","")),"")</f>
        <v>A</v>
      </c>
      <c r="AT42" s="10" t="n">
        <f aca="false">IF($AS42="","",IFERROR(IF($AS42="A",INDEX(Matches!$AI$5:$AI$23,MATCH($C42,Matches!$A$5:$A$23,0)),INDEX(Matches!$AJ$5:$AJ$23,MATCH($C42,Matches!$A$5:$A$23,0))),""))</f>
        <v>0.504737583235877</v>
      </c>
      <c r="AU42" s="10" t="n">
        <f aca="false">IF($AS42="","",IFERROR(IF(INDEX(Matches!$AP$5:$AP$23,MATCH($C42,Matches!$A$5:$A$23,0))="","",IF($AS42="A",INDEX(Matches!$AP$5:$AP$23,MATCH($C42,Matches!$A$5:$A$23,0)),1-INDEX(Matches!$AP$5:$AP$23,MATCH($C42,Matches!$A$5:$A$23,0)))),""))</f>
        <v>0.445833400705141</v>
      </c>
      <c r="AV42" s="13" t="n">
        <f aca="false">IF(OR($AU42="",$AT42=""),1,((Config!$B$14*$AU42+Config!$B$15*(1-$AU42))/(Config!$B$14*$AT42+Config!$B$15*(1-$AT42)))^Config!$B$13)</f>
        <v>0.94758412692119</v>
      </c>
      <c r="AW42" s="10" t="n">
        <f aca="false">IF($AS42="","",IFERROR(IF(INDEX(Matches!$AV$5:$AV$23,MATCH($C42,Matches!$A$5:$A$23,0))="","",IF($AS42="A",INDEX(Matches!$AV$5:$AV$23,MATCH($C42,Matches!$A$5:$A$23,0)),1-INDEX(Matches!$AV$5:$AV$23,MATCH($C42,Matches!$A$5:$A$23,0)))),""))</f>
        <v>0.444308744504152</v>
      </c>
      <c r="AX42" s="13" t="n">
        <f aca="false">IF(OR($AW42="",$AT42=""),1,((Config!$B$14*$AW42+Config!$B$15*(1-$AW42))/(Config!$B$14*$AT42+Config!$B$15*(1-$AT42)))^Config!$B$13)</f>
        <v>0.946227411956542</v>
      </c>
      <c r="AY42" s="10" t="n">
        <f aca="false">IF($AS42="","",IFERROR(IF(INDEX(Matches!$BB$5:$BB$23,MATCH($C42,Matches!$A$5:$A$23,0))="","",IF($AS42="A",INDEX(Matches!$BB$5:$BB$23,MATCH($C42,Matches!$A$5:$A$23,0)),1-INDEX(Matches!$BB$5:$BB$23,MATCH($C42,Matches!$A$5:$A$23,0)))),""))</f>
        <v>0.478904328208895</v>
      </c>
      <c r="AZ42" s="13" t="n">
        <f aca="false">IF(OR($AY42="",$AT42=""),1,((Config!$B$14*$AY42+Config!$B$15*(1-$AY42))/(Config!$B$14*$AT42+Config!$B$15*(1-$AT42)))^Config!$B$13)</f>
        <v>0.977012284042814</v>
      </c>
      <c r="BA42" s="17" t="n">
        <f aca="false">IF(V42="","",V42*$AV42)</f>
        <v>16.5959883988977</v>
      </c>
      <c r="BB42" s="17" t="n">
        <f aca="false">IF(AC42="","",AC42*$AX42)</f>
        <v>16.8628238448567</v>
      </c>
      <c r="BC42" s="17" t="n">
        <f aca="false">IF(AJ42="","",AJ42*$AZ42)</f>
        <v>14.7422271732206</v>
      </c>
      <c r="BD42" s="17" t="n">
        <f aca="false">N(BA42)+N(BB42)</f>
        <v>33.4588122437544</v>
      </c>
      <c r="BE42" s="17" t="n">
        <f aca="false">BD42+N($M42)*N(BC42)</f>
        <v>40.7739053671064</v>
      </c>
      <c r="BF42" s="17" t="n">
        <f aca="false">IF(W42="","",W42*$AV42)</f>
        <v>8.46297784882614</v>
      </c>
      <c r="BG42" s="17" t="n">
        <f aca="false">IF(AD42="","",AD42*$AX42)</f>
        <v>9.3476253513322</v>
      </c>
      <c r="BH42" s="17" t="n">
        <f aca="false">IF(AK42="","",AK42*$AZ42)</f>
        <v>8.41781171590895</v>
      </c>
      <c r="BI42" s="17" t="n">
        <f aca="false">IF(BF42="","",N(BF42)+N(BG42))</f>
        <v>17.8106032001583</v>
      </c>
      <c r="BJ42" s="17" t="n">
        <f aca="false">IF(BI42="","",BI42+N($M42)*N(BH42))</f>
        <v>21.9875213735924</v>
      </c>
      <c r="BK42" s="13" t="n">
        <f aca="false">IFERROR(BD42/AL42,1)</f>
        <v>0.946899873571737</v>
      </c>
    </row>
    <row r="43" customFormat="false" ht="15" hidden="false" customHeight="false" outlineLevel="0" collapsed="false">
      <c r="A43" s="0" t="s">
        <v>1399</v>
      </c>
      <c r="B43" s="0" t="s">
        <v>1139</v>
      </c>
      <c r="C43" s="0" t="s">
        <v>1215</v>
      </c>
      <c r="D43" s="0" t="s">
        <v>1220</v>
      </c>
      <c r="E43" s="0" t="s">
        <v>1398</v>
      </c>
      <c r="F43" s="0" t="s">
        <v>1700</v>
      </c>
      <c r="G43" s="0" t="str">
        <f aca="false">IFERROR(IF(INDEX(Matches!$W$5:$W$23,MATCH($C43,Matches!$A$5:$A$23,0))="","",INDEX(Matches!$W$5:$W$23,MATCH($C43,Matches!$A$5:$A$23,0))),"")</f>
        <v>Mirage</v>
      </c>
      <c r="H43" s="0" t="str">
        <f aca="false">IFERROR(IF(INDEX(Matches!$X$5:$X$23,MATCH($C43,Matches!$A$5:$A$23,0))="","",INDEX(Matches!$X$5:$X$23,MATCH($C43,Matches!$A$5:$A$23,0))),"")</f>
        <v>Nuke</v>
      </c>
      <c r="I43" s="0" t="str">
        <f aca="false">IFERROR(IF(INDEX(Matches!$Y$5:$Y$23,MATCH($C43,Matches!$A$5:$A$23,0))="","",INDEX(Matches!$Y$5:$Y$23,MATCH($C43,Matches!$A$5:$A$23,0))),"")</f>
        <v>Ancient</v>
      </c>
      <c r="J43" s="11" t="n">
        <f aca="false">IFERROR(IF(INDEX(Matches!$Z$5:$Z$23,MATCH($C43,Matches!$A$5:$A$23,0))="","",INDEX(Matches!$Z$5:$Z$23,MATCH($C43,Matches!$A$5:$A$23,0))),"")</f>
        <v>21.42</v>
      </c>
      <c r="K43" s="11" t="n">
        <f aca="false">IFERROR(IF(INDEX(Matches!$AA$5:$AA$23,MATCH($C43,Matches!$A$5:$A$23,0))="","",INDEX(Matches!$AA$5:$AA$23,MATCH($C43,Matches!$A$5:$A$23,0))),"")</f>
        <v>21.5</v>
      </c>
      <c r="L43" s="11" t="n">
        <f aca="false">IFERROR(IF(INDEX(Matches!$AB$5:$AB$23,MATCH($C43,Matches!$A$5:$A$23,0))="","",INDEX(Matches!$AB$5:$AB$23,MATCH($C43,Matches!$A$5:$A$23,0))),"")</f>
        <v>21.5</v>
      </c>
      <c r="M43" s="10" t="n">
        <f aca="false">IFERROR(IF(INDEX(Matches!$AC$5:$AC$23,MATCH($C43,Matches!$A$5:$A$23,0))="","",INDEX(Matches!$AC$5:$AC$23,MATCH($C43,Matches!$A$5:$A$23,0))),"")</f>
        <v>0.4962</v>
      </c>
      <c r="N43" s="9" t="n">
        <f aca="false">IFERROR(INDEX(Players!$F$2:$F$137,MATCH($F43,Players!$A$2:$A$137,0)),0)</f>
        <v>39</v>
      </c>
      <c r="O43" s="13" t="n">
        <f aca="false">IFERROR(1/(1/INDEX(Players!$H$2:$H$137,MATCH($F43,Players!$A$2:$A$137,0))),"")</f>
        <v>0.66</v>
      </c>
      <c r="P43" s="10" t="n">
        <f aca="false">IFERROR(1/(1/INDEX(Players!$I$2:$I$137,MATCH($F43,Players!$A$2:$A$137,0))),"")</f>
        <v>0.572</v>
      </c>
      <c r="Q43" s="9" t="n">
        <f aca="false">IF($G43="",0,SUMIFS(Map_Stats!$F$2:$F$850,Map_Stats!$A$2:$A$850,$F43&amp;"|"&amp;$G43))</f>
        <v>12</v>
      </c>
      <c r="R43" s="13" t="n">
        <f aca="false">IF($G43="","",IFERROR(1/(1/INDEX(Map_Stats!$K$2:$K$850,MATCH($F43&amp;"|"&amp;$G43,Map_Stats!$A$2:$A$850,0))),$O43))</f>
        <v>0.61</v>
      </c>
      <c r="S43" s="10" t="n">
        <f aca="false">IF(OR($G43="",$P43=""),"",IFERROR(1/(1/INDEX(Map_Stats!$I$2:$I$850,MATCH($F43&amp;"|"&amp;$G43,Map_Stats!$A$2:$A$850,0))),$P43))</f>
        <v>0.571</v>
      </c>
      <c r="T43" s="13" t="n">
        <f aca="false">IF(OR($G43="",R43=""),"",IF($O43="",R43,(Q43*R43+Config!$B$4*$O43)/(Q43+Config!$B$4)))</f>
        <v>0.624705882352941</v>
      </c>
      <c r="U43" s="10" t="n">
        <f aca="false">IF(S43="","",(Q43*S43+Config!$B$4*$P43)/(Q43+Config!$B$4))</f>
        <v>0.571294117647059</v>
      </c>
      <c r="V43" s="17" t="n">
        <f aca="false">IF(OR(T43="",$J43=""),"",T43*$J43*($J43/Config!$B$10)^Config!$B$9)</f>
        <v>13.3812</v>
      </c>
      <c r="W43" s="17" t="n">
        <f aca="false">IF(OR(V43="",U43=""),"",V43*U43)</f>
        <v>7.64460084705882</v>
      </c>
      <c r="X43" s="9" t="n">
        <f aca="false">IF($H43="",0,SUMIFS(Map_Stats!$F$2:$F$850,Map_Stats!$A$2:$A$850,$F43&amp;"|"&amp;$H43))</f>
        <v>4</v>
      </c>
      <c r="Y43" s="13" t="n">
        <f aca="false">IF($H43="","",IFERROR(1/(1/INDEX(Map_Stats!$K$2:$K$850,MATCH($F43&amp;"|"&amp;$H43,Map_Stats!$A$2:$A$850,0))),$O43))</f>
        <v>0.62</v>
      </c>
      <c r="Z43" s="10" t="n">
        <f aca="false">IF(OR($H43="",$P43=""),"",IFERROR(1/(1/INDEX(Map_Stats!$I$2:$I$850,MATCH($F43&amp;"|"&amp;$H43,Map_Stats!$A$2:$A$850,0))),$P43))</f>
        <v>0.569</v>
      </c>
      <c r="AA43" s="13" t="n">
        <f aca="false">IF(OR($H43="",Y43=""),"",IF($O43="",Y43,(X43*Y43+Config!$B$4*$O43)/(X43+Config!$B$4)))</f>
        <v>0.642222222222222</v>
      </c>
      <c r="AB43" s="10" t="n">
        <f aca="false">IF(Z43="","",(X43*Z43+Config!$B$4*$P43)/(X43+Config!$B$4))</f>
        <v>0.570666666666667</v>
      </c>
      <c r="AC43" s="17" t="n">
        <f aca="false">IF(OR(AA43="",$K43=""),"",AA43*$K43*($K43/Config!$B$10)^Config!$B$9)</f>
        <v>13.8077777777778</v>
      </c>
      <c r="AD43" s="17" t="n">
        <f aca="false">IF(OR(AC43="",AB43=""),"",AC43*AB43)</f>
        <v>7.87963851851852</v>
      </c>
      <c r="AE43" s="9" t="n">
        <f aca="false">IF($I43="",0,SUMIFS(Map_Stats!$F$2:$F$850,Map_Stats!$A$2:$A$850,$F43&amp;"|"&amp;$I43))</f>
        <v>6</v>
      </c>
      <c r="AF43" s="13" t="n">
        <f aca="false">IF($I43="","",IFERROR(1/(1/INDEX(Map_Stats!$K$2:$K$850,MATCH($F43&amp;"|"&amp;$I43,Map_Stats!$A$2:$A$850,0))),$O43))</f>
        <v>0.76</v>
      </c>
      <c r="AG43" s="10" t="n">
        <f aca="false">IF(OR($I43="",$P43=""),"",IFERROR(1/(1/INDEX(Map_Stats!$I$2:$I$850,MATCH($F43&amp;"|"&amp;$I43,Map_Stats!$A$2:$A$850,0))),$P43))</f>
        <v>0.518</v>
      </c>
      <c r="AH43" s="13" t="n">
        <f aca="false">IF(OR($I43="",AF43=""),"",IF($O43="",AF43,(AE43*AF43+Config!$B$4*$O43)/(AE43+Config!$B$4)))</f>
        <v>0.714545454545455</v>
      </c>
      <c r="AI43" s="10" t="n">
        <f aca="false">IF(AG43="","",(AE43*AG43+Config!$B$4*$P43)/(AE43+Config!$B$4))</f>
        <v>0.542545454545455</v>
      </c>
      <c r="AJ43" s="17" t="n">
        <f aca="false">IF(OR(AH43="",$L43=""),"",AH43*$L43*($L43/Config!$B$10)^Config!$B$9)</f>
        <v>15.3627272727273</v>
      </c>
      <c r="AK43" s="17" t="n">
        <f aca="false">IF(OR(AJ43="",AI43=""),"",AJ43*AI43)</f>
        <v>8.33497785123967</v>
      </c>
      <c r="AL43" s="17" t="n">
        <f aca="false">N(V43)+N(AC43)</f>
        <v>27.1889777777778</v>
      </c>
      <c r="AM43" s="17" t="n">
        <f aca="false">AL43+N($M43)*N(AJ43)</f>
        <v>34.8119630505051</v>
      </c>
      <c r="AN43" s="17" t="n">
        <f aca="false">IF(W43="","",N(W43)+N(AD43))</f>
        <v>15.5242393655773</v>
      </c>
      <c r="AO43" s="17" t="n">
        <f aca="false">IF(AN43="","",AN43+N($M43)*N(AK43))</f>
        <v>19.6600553753625</v>
      </c>
      <c r="AP43" s="10" t="n">
        <f aca="false">IFERROR(AN43/AL43,"")</f>
        <v>0.570975470003351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IF($C43=Board!$B$2,COUNTIFS($C$2:$C$137,Board!$B$2,$AL$2:$AL$137,"&gt;"&amp;$AL43)+COUNTIFS($C$1:$C42,Board!$B$2,$AL$1:$AL42,$AL43)+1,"")</f>
        <v/>
      </c>
      <c r="AS43" s="0" t="str">
        <f aca="false">IFERROR(IF($D43=INDEX(Matches!$AD$5:$AD$23,MATCH($C43,Matches!$A$5:$A$23,0)),"A",IF($D43=INDEX(Matches!$AE$5:$AE$23,MATCH($C43,Matches!$A$5:$A$23,0)),"B","")),"")</f>
        <v>A</v>
      </c>
      <c r="AT43" s="10" t="n">
        <f aca="false">IF($AS43="","",IFERROR(IF($AS43="A",INDEX(Matches!$AI$5:$AI$23,MATCH($C43,Matches!$A$5:$A$23,0)),INDEX(Matches!$AJ$5:$AJ$23,MATCH($C43,Matches!$A$5:$A$23,0))),""))</f>
        <v>0.504737583235877</v>
      </c>
      <c r="AU43" s="10" t="n">
        <f aca="false">IF($AS43="","",IFERROR(IF(INDEX(Matches!$AP$5:$AP$23,MATCH($C43,Matches!$A$5:$A$23,0))="","",IF($AS43="A",INDEX(Matches!$AP$5:$AP$23,MATCH($C43,Matches!$A$5:$A$23,0)),1-INDEX(Matches!$AP$5:$AP$23,MATCH($C43,Matches!$A$5:$A$23,0)))),""))</f>
        <v>0.445833400705141</v>
      </c>
      <c r="AV43" s="13" t="n">
        <f aca="false">IF(OR($AU43="",$AT43=""),1,((Config!$B$14*$AU43+Config!$B$15*(1-$AU43))/(Config!$B$14*$AT43+Config!$B$15*(1-$AT43)))^Config!$B$13)</f>
        <v>0.94758412692119</v>
      </c>
      <c r="AW43" s="10" t="n">
        <f aca="false">IF($AS43="","",IFERROR(IF(INDEX(Matches!$AV$5:$AV$23,MATCH($C43,Matches!$A$5:$A$23,0))="","",IF($AS43="A",INDEX(Matches!$AV$5:$AV$23,MATCH($C43,Matches!$A$5:$A$23,0)),1-INDEX(Matches!$AV$5:$AV$23,MATCH($C43,Matches!$A$5:$A$23,0)))),""))</f>
        <v>0.444308744504152</v>
      </c>
      <c r="AX43" s="13" t="n">
        <f aca="false">IF(OR($AW43="",$AT43=""),1,((Config!$B$14*$AW43+Config!$B$15*(1-$AW43))/(Config!$B$14*$AT43+Config!$B$15*(1-$AT43)))^Config!$B$13)</f>
        <v>0.946227411956542</v>
      </c>
      <c r="AY43" s="10" t="n">
        <f aca="false">IF($AS43="","",IFERROR(IF(INDEX(Matches!$BB$5:$BB$23,MATCH($C43,Matches!$A$5:$A$23,0))="","",IF($AS43="A",INDEX(Matches!$BB$5:$BB$23,MATCH($C43,Matches!$A$5:$A$23,0)),1-INDEX(Matches!$BB$5:$BB$23,MATCH($C43,Matches!$A$5:$A$23,0)))),""))</f>
        <v>0.478904328208895</v>
      </c>
      <c r="AZ43" s="13" t="n">
        <f aca="false">IF(OR($AY43="",$AT43=""),1,((Config!$B$14*$AY43+Config!$B$15*(1-$AY43))/(Config!$B$14*$AT43+Config!$B$15*(1-$AT43)))^Config!$B$13)</f>
        <v>0.977012284042814</v>
      </c>
      <c r="BA43" s="17" t="n">
        <f aca="false">IF(V43="","",V43*$AV43)</f>
        <v>12.6798127191578</v>
      </c>
      <c r="BB43" s="17" t="n">
        <f aca="false">IF(AC43="","",AC43*$AX43)</f>
        <v>13.0652978315377</v>
      </c>
      <c r="BC43" s="17" t="n">
        <f aca="false">IF(AJ43="","",AJ43*$AZ43)</f>
        <v>15.0095732618541</v>
      </c>
      <c r="BD43" s="17" t="n">
        <f aca="false">N(BA43)+N(BB43)</f>
        <v>25.7451105506956</v>
      </c>
      <c r="BE43" s="17" t="n">
        <f aca="false">BD43+N($M43)*N(BC43)</f>
        <v>33.1928608032276</v>
      </c>
      <c r="BF43" s="17" t="n">
        <f aca="false">IF(W43="","",W43*$AV43)</f>
        <v>7.24390241932123</v>
      </c>
      <c r="BG43" s="17" t="n">
        <f aca="false">IF(AD43="","",AD43*$AX43)</f>
        <v>7.45592996253086</v>
      </c>
      <c r="BH43" s="17" t="n">
        <f aca="false">IF(AK43="","",AK43*$AZ43)</f>
        <v>8.14337574788594</v>
      </c>
      <c r="BI43" s="17" t="n">
        <f aca="false">IF(BF43="","",N(BF43)+N(BG43))</f>
        <v>14.6998323818521</v>
      </c>
      <c r="BJ43" s="17" t="n">
        <f aca="false">IF(BI43="","",BI43+N($M43)*N(BH43))</f>
        <v>18.7405754279531</v>
      </c>
      <c r="BK43" s="13" t="n">
        <f aca="false">IFERROR(BD43/AL43,1)</f>
        <v>0.946895126441189</v>
      </c>
    </row>
    <row r="44" customFormat="false" ht="15" hidden="false" customHeight="false" outlineLevel="0" collapsed="false">
      <c r="A44" s="0" t="s">
        <v>1401</v>
      </c>
      <c r="B44" s="0" t="s">
        <v>1139</v>
      </c>
      <c r="C44" s="0" t="s">
        <v>1215</v>
      </c>
      <c r="D44" s="0" t="s">
        <v>1220</v>
      </c>
      <c r="E44" s="0" t="s">
        <v>1400</v>
      </c>
      <c r="F44" s="0" t="s">
        <v>1701</v>
      </c>
      <c r="G44" s="0" t="str">
        <f aca="false">IFERROR(IF(INDEX(Matches!$W$5:$W$23,MATCH($C44,Matches!$A$5:$A$23,0))="","",INDEX(Matches!$W$5:$W$23,MATCH($C44,Matches!$A$5:$A$23,0))),"")</f>
        <v>Mirage</v>
      </c>
      <c r="H44" s="0" t="str">
        <f aca="false">IFERROR(IF(INDEX(Matches!$X$5:$X$23,MATCH($C44,Matches!$A$5:$A$23,0))="","",INDEX(Matches!$X$5:$X$23,MATCH($C44,Matches!$A$5:$A$23,0))),"")</f>
        <v>Nuke</v>
      </c>
      <c r="I44" s="0" t="str">
        <f aca="false">IFERROR(IF(INDEX(Matches!$Y$5:$Y$23,MATCH($C44,Matches!$A$5:$A$23,0))="","",INDEX(Matches!$Y$5:$Y$23,MATCH($C44,Matches!$A$5:$A$23,0))),"")</f>
        <v>Ancient</v>
      </c>
      <c r="J44" s="11" t="n">
        <f aca="false">IFERROR(IF(INDEX(Matches!$Z$5:$Z$23,MATCH($C44,Matches!$A$5:$A$23,0))="","",INDEX(Matches!$Z$5:$Z$23,MATCH($C44,Matches!$A$5:$A$23,0))),"")</f>
        <v>21.42</v>
      </c>
      <c r="K44" s="11" t="n">
        <f aca="false">IFERROR(IF(INDEX(Matches!$AA$5:$AA$23,MATCH($C44,Matches!$A$5:$A$23,0))="","",INDEX(Matches!$AA$5:$AA$23,MATCH($C44,Matches!$A$5:$A$23,0))),"")</f>
        <v>21.5</v>
      </c>
      <c r="L44" s="11" t="n">
        <f aca="false">IFERROR(IF(INDEX(Matches!$AB$5:$AB$23,MATCH($C44,Matches!$A$5:$A$23,0))="","",INDEX(Matches!$AB$5:$AB$23,MATCH($C44,Matches!$A$5:$A$23,0))),"")</f>
        <v>21.5</v>
      </c>
      <c r="M44" s="10" t="n">
        <f aca="false">IFERROR(IF(INDEX(Matches!$AC$5:$AC$23,MATCH($C44,Matches!$A$5:$A$23,0))="","",INDEX(Matches!$AC$5:$AC$23,MATCH($C44,Matches!$A$5:$A$23,0))),"")</f>
        <v>0.4962</v>
      </c>
      <c r="N44" s="9" t="n">
        <f aca="false">IFERROR(INDEX(Players!$F$2:$F$137,MATCH($F44,Players!$A$2:$A$137,0)),0)</f>
        <v>39</v>
      </c>
      <c r="O44" s="13" t="n">
        <f aca="false">IFERROR(1/(1/INDEX(Players!$H$2:$H$137,MATCH($F44,Players!$A$2:$A$137,0))),"")</f>
        <v>0.72</v>
      </c>
      <c r="P44" s="10" t="n">
        <f aca="false">IFERROR(1/(1/INDEX(Players!$I$2:$I$137,MATCH($F44,Players!$A$2:$A$137,0))),"")</f>
        <v>0.288</v>
      </c>
      <c r="Q44" s="9" t="n">
        <f aca="false">IF($G44="",0,SUMIFS(Map_Stats!$F$2:$F$850,Map_Stats!$A$2:$A$850,$F44&amp;"|"&amp;$G44))</f>
        <v>12</v>
      </c>
      <c r="R44" s="13" t="n">
        <f aca="false">IF($G44="","",IFERROR(1/(1/INDEX(Map_Stats!$K$2:$K$850,MATCH($F44&amp;"|"&amp;$G44,Map_Stats!$A$2:$A$850,0))),$O44))</f>
        <v>0.75</v>
      </c>
      <c r="S44" s="10" t="n">
        <f aca="false">IF(OR($G44="",$P44=""),"",IFERROR(1/(1/INDEX(Map_Stats!$I$2:$I$850,MATCH($F44&amp;"|"&amp;$G44,Map_Stats!$A$2:$A$850,0))),$P44))</f>
        <v>0.264</v>
      </c>
      <c r="T44" s="13" t="n">
        <f aca="false">IF(OR($G44="",R44=""),"",IF($O44="",R44,(Q44*R44+Config!$B$4*$O44)/(Q44+Config!$B$4)))</f>
        <v>0.741176470588235</v>
      </c>
      <c r="U44" s="10" t="n">
        <f aca="false">IF(S44="","",(Q44*S44+Config!$B$4*$P44)/(Q44+Config!$B$4))</f>
        <v>0.271058823529412</v>
      </c>
      <c r="V44" s="17" t="n">
        <f aca="false">IF(OR(T44="",$J44=""),"",T44*$J44*($J44/Config!$B$10)^Config!$B$9)</f>
        <v>15.876</v>
      </c>
      <c r="W44" s="17" t="n">
        <f aca="false">IF(OR(V44="",U44=""),"",V44*U44)</f>
        <v>4.30332988235294</v>
      </c>
      <c r="X44" s="9" t="n">
        <f aca="false">IF($H44="",0,SUMIFS(Map_Stats!$F$2:$F$850,Map_Stats!$A$2:$A$850,$F44&amp;"|"&amp;$H44))</f>
        <v>4</v>
      </c>
      <c r="Y44" s="13" t="n">
        <f aca="false">IF($H44="","",IFERROR(1/(1/INDEX(Map_Stats!$K$2:$K$850,MATCH($F44&amp;"|"&amp;$H44,Map_Stats!$A$2:$A$850,0))),$O44))</f>
        <v>0.85</v>
      </c>
      <c r="Z44" s="10" t="n">
        <f aca="false">IF(OR($H44="",$P44=""),"",IFERROR(1/(1/INDEX(Map_Stats!$I$2:$I$850,MATCH($F44&amp;"|"&amp;$H44,Map_Stats!$A$2:$A$850,0))),$P44))</f>
        <v>0.316</v>
      </c>
      <c r="AA44" s="13" t="n">
        <f aca="false">IF(OR($H44="",Y44=""),"",IF($O44="",Y44,(X44*Y44+Config!$B$4*$O44)/(X44+Config!$B$4)))</f>
        <v>0.777777777777778</v>
      </c>
      <c r="AB44" s="10" t="n">
        <f aca="false">IF(Z44="","",(X44*Z44+Config!$B$4*$P44)/(X44+Config!$B$4))</f>
        <v>0.300444444444444</v>
      </c>
      <c r="AC44" s="17" t="n">
        <f aca="false">IF(OR(AA44="",$K44=""),"",AA44*$K44*($K44/Config!$B$10)^Config!$B$9)</f>
        <v>16.7222222222222</v>
      </c>
      <c r="AD44" s="17" t="n">
        <f aca="false">IF(OR(AC44="",AB44=""),"",AC44*AB44)</f>
        <v>5.0240987654321</v>
      </c>
      <c r="AE44" s="9" t="n">
        <f aca="false">IF($I44="",0,SUMIFS(Map_Stats!$F$2:$F$850,Map_Stats!$A$2:$A$850,$F44&amp;"|"&amp;$I44))</f>
        <v>6</v>
      </c>
      <c r="AF44" s="13" t="n">
        <f aca="false">IF($I44="","",IFERROR(1/(1/INDEX(Map_Stats!$K$2:$K$850,MATCH($F44&amp;"|"&amp;$I44,Map_Stats!$A$2:$A$850,0))),$O44))</f>
        <v>0.69</v>
      </c>
      <c r="AG44" s="10" t="n">
        <f aca="false">IF(OR($I44="",$P44=""),"",IFERROR(1/(1/INDEX(Map_Stats!$I$2:$I$850,MATCH($F44&amp;"|"&amp;$I44,Map_Stats!$A$2:$A$850,0))),$P44))</f>
        <v>0.255</v>
      </c>
      <c r="AH44" s="13" t="n">
        <f aca="false">IF(OR($I44="",AF44=""),"",IF($O44="",AF44,(AE44*AF44+Config!$B$4*$O44)/(AE44+Config!$B$4)))</f>
        <v>0.703636363636364</v>
      </c>
      <c r="AI44" s="10" t="n">
        <f aca="false">IF(AG44="","",(AE44*AG44+Config!$B$4*$P44)/(AE44+Config!$B$4))</f>
        <v>0.27</v>
      </c>
      <c r="AJ44" s="17" t="n">
        <f aca="false">IF(OR(AH44="",$L44=""),"",AH44*$L44*($L44/Config!$B$10)^Config!$B$9)</f>
        <v>15.1281818181818</v>
      </c>
      <c r="AK44" s="17" t="n">
        <f aca="false">IF(OR(AJ44="",AI44=""),"",AJ44*AI44)</f>
        <v>4.08460909090909</v>
      </c>
      <c r="AL44" s="17" t="n">
        <f aca="false">N(V44)+N(AC44)</f>
        <v>32.5982222222222</v>
      </c>
      <c r="AM44" s="17" t="n">
        <f aca="false">AL44+N($M44)*N(AJ44)</f>
        <v>40.104826040404</v>
      </c>
      <c r="AN44" s="17" t="n">
        <f aca="false">IF(W44="","",N(W44)+N(AD44))</f>
        <v>9.32742864778504</v>
      </c>
      <c r="AO44" s="17" t="n">
        <f aca="false">IF(AN44="","",AN44+N($M44)*N(AK44))</f>
        <v>11.3542116786941</v>
      </c>
      <c r="AP44" s="10" t="n">
        <f aca="false">IFERROR(AN44/AL44,"")</f>
        <v>0.286133046894396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IF($C44=Board!$B$2,COUNTIFS($C$2:$C$137,Board!$B$2,$AL$2:$AL$137,"&gt;"&amp;$AL44)+COUNTIFS($C$1:$C43,Board!$B$2,$AL$1:$AL43,$AL44)+1,"")</f>
        <v/>
      </c>
      <c r="AS44" s="0" t="str">
        <f aca="false">IFERROR(IF($D44=INDEX(Matches!$AD$5:$AD$23,MATCH($C44,Matches!$A$5:$A$23,0)),"A",IF($D44=INDEX(Matches!$AE$5:$AE$23,MATCH($C44,Matches!$A$5:$A$23,0)),"B","")),"")</f>
        <v>A</v>
      </c>
      <c r="AT44" s="10" t="n">
        <f aca="false">IF($AS44="","",IFERROR(IF($AS44="A",INDEX(Matches!$AI$5:$AI$23,MATCH($C44,Matches!$A$5:$A$23,0)),INDEX(Matches!$AJ$5:$AJ$23,MATCH($C44,Matches!$A$5:$A$23,0))),""))</f>
        <v>0.504737583235877</v>
      </c>
      <c r="AU44" s="10" t="n">
        <f aca="false">IF($AS44="","",IFERROR(IF(INDEX(Matches!$AP$5:$AP$23,MATCH($C44,Matches!$A$5:$A$23,0))="","",IF($AS44="A",INDEX(Matches!$AP$5:$AP$23,MATCH($C44,Matches!$A$5:$A$23,0)),1-INDEX(Matches!$AP$5:$AP$23,MATCH($C44,Matches!$A$5:$A$23,0)))),""))</f>
        <v>0.445833400705141</v>
      </c>
      <c r="AV44" s="13" t="n">
        <f aca="false">IF(OR($AU44="",$AT44=""),1,((Config!$B$14*$AU44+Config!$B$15*(1-$AU44))/(Config!$B$14*$AT44+Config!$B$15*(1-$AT44)))^Config!$B$13)</f>
        <v>0.94758412692119</v>
      </c>
      <c r="AW44" s="10" t="n">
        <f aca="false">IF($AS44="","",IFERROR(IF(INDEX(Matches!$AV$5:$AV$23,MATCH($C44,Matches!$A$5:$A$23,0))="","",IF($AS44="A",INDEX(Matches!$AV$5:$AV$23,MATCH($C44,Matches!$A$5:$A$23,0)),1-INDEX(Matches!$AV$5:$AV$23,MATCH($C44,Matches!$A$5:$A$23,0)))),""))</f>
        <v>0.444308744504152</v>
      </c>
      <c r="AX44" s="13" t="n">
        <f aca="false">IF(OR($AW44="",$AT44=""),1,((Config!$B$14*$AW44+Config!$B$15*(1-$AW44))/(Config!$B$14*$AT44+Config!$B$15*(1-$AT44)))^Config!$B$13)</f>
        <v>0.946227411956542</v>
      </c>
      <c r="AY44" s="10" t="n">
        <f aca="false">IF($AS44="","",IFERROR(IF(INDEX(Matches!$BB$5:$BB$23,MATCH($C44,Matches!$A$5:$A$23,0))="","",IF($AS44="A",INDEX(Matches!$BB$5:$BB$23,MATCH($C44,Matches!$A$5:$A$23,0)),1-INDEX(Matches!$BB$5:$BB$23,MATCH($C44,Matches!$A$5:$A$23,0)))),""))</f>
        <v>0.478904328208895</v>
      </c>
      <c r="AZ44" s="13" t="n">
        <f aca="false">IF(OR($AY44="",$AT44=""),1,((Config!$B$14*$AY44+Config!$B$15*(1-$AY44))/(Config!$B$14*$AT44+Config!$B$15*(1-$AT44)))^Config!$B$13)</f>
        <v>0.977012284042814</v>
      </c>
      <c r="BA44" s="17" t="n">
        <f aca="false">IF(V44="","",V44*$AV44)</f>
        <v>15.0438455990008</v>
      </c>
      <c r="BB44" s="17" t="n">
        <f aca="false">IF(AC44="","",AC44*$AX44)</f>
        <v>15.8230250554955</v>
      </c>
      <c r="BC44" s="17" t="n">
        <f aca="false">IF(AJ44="","",AJ44*$AZ44)</f>
        <v>14.7804194715968</v>
      </c>
      <c r="BD44" s="17" t="n">
        <f aca="false">N(BA44)+N(BB44)</f>
        <v>30.8668706544963</v>
      </c>
      <c r="BE44" s="17" t="n">
        <f aca="false">BD44+N($M44)*N(BC44)</f>
        <v>38.2009147963027</v>
      </c>
      <c r="BF44" s="17" t="n">
        <f aca="false">IF(W44="","",W44*$AV44)</f>
        <v>4.07776708942328</v>
      </c>
      <c r="BG44" s="17" t="n">
        <f aca="false">IF(AD44="","",AD44*$AX44)</f>
        <v>4.75393997222887</v>
      </c>
      <c r="BH44" s="17" t="n">
        <f aca="false">IF(AK44="","",AK44*$AZ44)</f>
        <v>3.99071325733113</v>
      </c>
      <c r="BI44" s="17" t="n">
        <f aca="false">IF(BF44="","",N(BF44)+N(BG44))</f>
        <v>8.83170706165215</v>
      </c>
      <c r="BJ44" s="17" t="n">
        <f aca="false">IF(BI44="","",BI44+N($M44)*N(BH44))</f>
        <v>10.8118989799399</v>
      </c>
      <c r="BK44" s="13" t="n">
        <f aca="false">IFERROR(BD44/AL44,1)</f>
        <v>0.946888159853527</v>
      </c>
    </row>
    <row r="45" customFormat="false" ht="15" hidden="false" customHeight="false" outlineLevel="0" collapsed="false">
      <c r="A45" s="0" t="s">
        <v>1403</v>
      </c>
      <c r="B45" s="0" t="s">
        <v>1139</v>
      </c>
      <c r="C45" s="0" t="s">
        <v>1215</v>
      </c>
      <c r="D45" s="0" t="s">
        <v>1221</v>
      </c>
      <c r="E45" s="0" t="s">
        <v>1402</v>
      </c>
      <c r="F45" s="0" t="s">
        <v>1702</v>
      </c>
      <c r="G45" s="0" t="str">
        <f aca="false">IFERROR(IF(INDEX(Matches!$W$5:$W$23,MATCH($C45,Matches!$A$5:$A$23,0))="","",INDEX(Matches!$W$5:$W$23,MATCH($C45,Matches!$A$5:$A$23,0))),"")</f>
        <v>Mirage</v>
      </c>
      <c r="H45" s="0" t="str">
        <f aca="false">IFERROR(IF(INDEX(Matches!$X$5:$X$23,MATCH($C45,Matches!$A$5:$A$23,0))="","",INDEX(Matches!$X$5:$X$23,MATCH($C45,Matches!$A$5:$A$23,0))),"")</f>
        <v>Nuke</v>
      </c>
      <c r="I45" s="0" t="str">
        <f aca="false">IFERROR(IF(INDEX(Matches!$Y$5:$Y$23,MATCH($C45,Matches!$A$5:$A$23,0))="","",INDEX(Matches!$Y$5:$Y$23,MATCH($C45,Matches!$A$5:$A$23,0))),"")</f>
        <v>Ancient</v>
      </c>
      <c r="J45" s="11" t="n">
        <f aca="false">IFERROR(IF(INDEX(Matches!$Z$5:$Z$23,MATCH($C45,Matches!$A$5:$A$23,0))="","",INDEX(Matches!$Z$5:$Z$23,MATCH($C45,Matches!$A$5:$A$23,0))),"")</f>
        <v>21.42</v>
      </c>
      <c r="K45" s="11" t="n">
        <f aca="false">IFERROR(IF(INDEX(Matches!$AA$5:$AA$23,MATCH($C45,Matches!$A$5:$A$23,0))="","",INDEX(Matches!$AA$5:$AA$23,MATCH($C45,Matches!$A$5:$A$23,0))),"")</f>
        <v>21.5</v>
      </c>
      <c r="L45" s="11" t="n">
        <f aca="false">IFERROR(IF(INDEX(Matches!$AB$5:$AB$23,MATCH($C45,Matches!$A$5:$A$23,0))="","",INDEX(Matches!$AB$5:$AB$23,MATCH($C45,Matches!$A$5:$A$23,0))),"")</f>
        <v>21.5</v>
      </c>
      <c r="M45" s="10" t="n">
        <f aca="false">IFERROR(IF(INDEX(Matches!$AC$5:$AC$23,MATCH($C45,Matches!$A$5:$A$23,0))="","",INDEX(Matches!$AC$5:$AC$23,MATCH($C45,Matches!$A$5:$A$23,0))),"")</f>
        <v>0.4962</v>
      </c>
      <c r="N45" s="9" t="n">
        <f aca="false">IFERROR(INDEX(Players!$F$2:$F$137,MATCH($F45,Players!$A$2:$A$137,0)),0)</f>
        <v>37</v>
      </c>
      <c r="O45" s="13" t="n">
        <f aca="false">IFERROR(1/(1/INDEX(Players!$H$2:$H$137,MATCH($F45,Players!$A$2:$A$137,0))),"")</f>
        <v>0.55</v>
      </c>
      <c r="P45" s="10" t="n">
        <f aca="false">IFERROR(1/(1/INDEX(Players!$I$2:$I$137,MATCH($F45,Players!$A$2:$A$137,0))),"")</f>
        <v>0.537</v>
      </c>
      <c r="Q45" s="9" t="n">
        <f aca="false">IF($G45="",0,SUMIFS(Map_Stats!$F$2:$F$850,Map_Stats!$A$2:$A$850,$F45&amp;"|"&amp;$G45))</f>
        <v>9</v>
      </c>
      <c r="R45" s="13" t="n">
        <f aca="false">IF($G45="","",IFERROR(1/(1/INDEX(Map_Stats!$K$2:$K$850,MATCH($F45&amp;"|"&amp;$G45,Map_Stats!$A$2:$A$850,0))),$O45))</f>
        <v>0.57</v>
      </c>
      <c r="S45" s="10" t="n">
        <f aca="false">IF(OR($G45="",$P45=""),"",IFERROR(1/(1/INDEX(Map_Stats!$I$2:$I$850,MATCH($F45&amp;"|"&amp;$G45,Map_Stats!$A$2:$A$850,0))),$P45))</f>
        <v>0.519</v>
      </c>
      <c r="T45" s="13" t="n">
        <f aca="false">IF(OR($G45="",R45=""),"",IF($O45="",R45,(Q45*R45+Config!$B$4*$O45)/(Q45+Config!$B$4)))</f>
        <v>0.562857142857143</v>
      </c>
      <c r="U45" s="10" t="n">
        <f aca="false">IF(S45="","",(Q45*S45+Config!$B$4*$P45)/(Q45+Config!$B$4))</f>
        <v>0.525428571428572</v>
      </c>
      <c r="V45" s="17" t="n">
        <f aca="false">IF(OR(T45="",$J45=""),"",T45*$J45*($J45/Config!$B$10)^Config!$B$9)</f>
        <v>12.0564</v>
      </c>
      <c r="W45" s="17" t="n">
        <f aca="false">IF(OR(V45="",U45=""),"",V45*U45)</f>
        <v>6.33477702857143</v>
      </c>
      <c r="X45" s="9" t="n">
        <f aca="false">IF($H45="",0,SUMIFS(Map_Stats!$F$2:$F$850,Map_Stats!$A$2:$A$850,$F45&amp;"|"&amp;$H45))</f>
        <v>6</v>
      </c>
      <c r="Y45" s="13" t="n">
        <f aca="false">IF($H45="","",IFERROR(1/(1/INDEX(Map_Stats!$K$2:$K$850,MATCH($F45&amp;"|"&amp;$H45,Map_Stats!$A$2:$A$850,0))),$O45))</f>
        <v>0.53</v>
      </c>
      <c r="Z45" s="10" t="n">
        <f aca="false">IF(OR($H45="",$P45=""),"",IFERROR(1/(1/INDEX(Map_Stats!$I$2:$I$850,MATCH($F45&amp;"|"&amp;$H45,Map_Stats!$A$2:$A$850,0))),$P45))</f>
        <v>0.486</v>
      </c>
      <c r="AA45" s="13" t="n">
        <f aca="false">IF(OR($H45="",Y45=""),"",IF($O45="",Y45,(X45*Y45+Config!$B$4*$O45)/(X45+Config!$B$4)))</f>
        <v>0.539090909090909</v>
      </c>
      <c r="AB45" s="10" t="n">
        <f aca="false">IF(Z45="","",(X45*Z45+Config!$B$4*$P45)/(X45+Config!$B$4))</f>
        <v>0.509181818181818</v>
      </c>
      <c r="AC45" s="17" t="n">
        <f aca="false">IF(OR(AA45="",$K45=""),"",AA45*$K45*($K45/Config!$B$10)^Config!$B$9)</f>
        <v>11.5904545454545</v>
      </c>
      <c r="AD45" s="17" t="n">
        <f aca="false">IF(OR(AC45="",AB45=""),"",AC45*AB45)</f>
        <v>5.90164871900826</v>
      </c>
      <c r="AE45" s="9" t="n">
        <f aca="false">IF($I45="",0,SUMIFS(Map_Stats!$F$2:$F$850,Map_Stats!$A$2:$A$850,$F45&amp;"|"&amp;$I45))</f>
        <v>6</v>
      </c>
      <c r="AF45" s="13" t="n">
        <f aca="false">IF($I45="","",IFERROR(1/(1/INDEX(Map_Stats!$K$2:$K$850,MATCH($F45&amp;"|"&amp;$I45,Map_Stats!$A$2:$A$850,0))),$O45))</f>
        <v>0.49</v>
      </c>
      <c r="AG45" s="10" t="n">
        <f aca="false">IF(OR($I45="",$P45=""),"",IFERROR(1/(1/INDEX(Map_Stats!$I$2:$I$850,MATCH($F45&amp;"|"&amp;$I45,Map_Stats!$A$2:$A$850,0))),$P45))</f>
        <v>0.571</v>
      </c>
      <c r="AH45" s="13" t="n">
        <f aca="false">IF(OR($I45="",AF45=""),"",IF($O45="",AF45,(AE45*AF45+Config!$B$4*$O45)/(AE45+Config!$B$4)))</f>
        <v>0.517272727272727</v>
      </c>
      <c r="AI45" s="10" t="n">
        <f aca="false">IF(AG45="","",(AE45*AG45+Config!$B$4*$P45)/(AE45+Config!$B$4))</f>
        <v>0.555545454545455</v>
      </c>
      <c r="AJ45" s="17" t="n">
        <f aca="false">IF(OR(AH45="",$L45=""),"",AH45*$L45*($L45/Config!$B$10)^Config!$B$9)</f>
        <v>11.1213636363636</v>
      </c>
      <c r="AK45" s="17" t="n">
        <f aca="false">IF(OR(AJ45="",AI45=""),"",AJ45*AI45)</f>
        <v>6.17842301652892</v>
      </c>
      <c r="AL45" s="17" t="n">
        <f aca="false">N(V45)+N(AC45)</f>
        <v>23.6468545454545</v>
      </c>
      <c r="AM45" s="17" t="n">
        <f aca="false">AL45+N($M45)*N(AJ45)</f>
        <v>29.1652751818182</v>
      </c>
      <c r="AN45" s="17" t="n">
        <f aca="false">IF(W45="","",N(W45)+N(AD45))</f>
        <v>12.2364257475797</v>
      </c>
      <c r="AO45" s="17" t="n">
        <f aca="false">IF(AN45="","",AN45+N($M45)*N(AK45))</f>
        <v>15.3021592483813</v>
      </c>
      <c r="AP45" s="10" t="n">
        <f aca="false">IFERROR(AN45/AL45,"")</f>
        <v>0.5174652605089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IF($C45=Board!$B$2,COUNTIFS($C$2:$C$137,Board!$B$2,$AL$2:$AL$137,"&gt;"&amp;$AL45)+COUNTIFS($C$1:$C44,Board!$B$2,$AL$1:$AL44,$AL45)+1,"")</f>
        <v/>
      </c>
      <c r="AS45" s="0" t="str">
        <f aca="false">IFERROR(IF($D45=INDEX(Matches!$AD$5:$AD$23,MATCH($C45,Matches!$A$5:$A$23,0)),"A",IF($D45=INDEX(Matches!$AE$5:$AE$23,MATCH($C45,Matches!$A$5:$A$23,0)),"B","")),"")</f>
        <v>B</v>
      </c>
      <c r="AT45" s="10" t="n">
        <f aca="false">IF($AS45="","",IFERROR(IF($AS45="A",INDEX(Matches!$AI$5:$AI$23,MATCH($C45,Matches!$A$5:$A$23,0)),INDEX(Matches!$AJ$5:$AJ$23,MATCH($C45,Matches!$A$5:$A$23,0))),""))</f>
        <v>0.532105570388234</v>
      </c>
      <c r="AU45" s="10" t="n">
        <f aca="false">IF($AS45="","",IFERROR(IF(INDEX(Matches!$AP$5:$AP$23,MATCH($C45,Matches!$A$5:$A$23,0))="","",IF($AS45="A",INDEX(Matches!$AP$5:$AP$23,MATCH($C45,Matches!$A$5:$A$23,0)),1-INDEX(Matches!$AP$5:$AP$23,MATCH($C45,Matches!$A$5:$A$23,0)))),""))</f>
        <v>0.554166599294859</v>
      </c>
      <c r="AV45" s="13" t="n">
        <f aca="false">IF(OR($AU45="",$AT45=""),1,((Config!$B$14*$AU45+Config!$B$15*(1-$AU45))/(Config!$B$14*$AT45+Config!$B$15*(1-$AT45)))^Config!$B$13)</f>
        <v>1.01916428596044</v>
      </c>
      <c r="AW45" s="10" t="n">
        <f aca="false">IF($AS45="","",IFERROR(IF(INDEX(Matches!$AV$5:$AV$23,MATCH($C45,Matches!$A$5:$A$23,0))="","",IF($AS45="A",INDEX(Matches!$AV$5:$AV$23,MATCH($C45,Matches!$A$5:$A$23,0)),1-INDEX(Matches!$AV$5:$AV$23,MATCH($C45,Matches!$A$5:$A$23,0)))),""))</f>
        <v>0.555691255495848</v>
      </c>
      <c r="AX45" s="13" t="n">
        <f aca="false">IF(OR($AW45="",$AT45=""),1,((Config!$B$14*$AW45+Config!$B$15*(1-$AW45))/(Config!$B$14*$AT45+Config!$B$15*(1-$AT45)))^Config!$B$13)</f>
        <v>1.02048874582815</v>
      </c>
      <c r="AY45" s="10" t="n">
        <f aca="false">IF($AS45="","",IFERROR(IF(INDEX(Matches!$BB$5:$BB$23,MATCH($C45,Matches!$A$5:$A$23,0))="","",IF($AS45="A",INDEX(Matches!$BB$5:$BB$23,MATCH($C45,Matches!$A$5:$A$23,0)),1-INDEX(Matches!$BB$5:$BB$23,MATCH($C45,Matches!$A$5:$A$23,0)))),""))</f>
        <v>0.521095671791105</v>
      </c>
      <c r="AZ45" s="13" t="n">
        <f aca="false">IF(OR($AY45="",$AT45=""),1,((Config!$B$14*$AY45+Config!$B$15*(1-$AY45))/(Config!$B$14*$AT45+Config!$B$15*(1-$AT45)))^Config!$B$13)</f>
        <v>0.990435765892701</v>
      </c>
      <c r="BA45" s="17" t="n">
        <f aca="false">IF(V45="","",V45*$AV45)</f>
        <v>12.2874522972535</v>
      </c>
      <c r="BB45" s="17" t="n">
        <f aca="false">IF(AC45="","",AC45*$AX45)</f>
        <v>11.8279284226691</v>
      </c>
      <c r="BC45" s="17" t="n">
        <f aca="false">IF(AJ45="","",AJ45*$AZ45)</f>
        <v>11.014996310953</v>
      </c>
      <c r="BD45" s="17" t="n">
        <f aca="false">N(BA45)+N(BB45)</f>
        <v>24.1153807199226</v>
      </c>
      <c r="BE45" s="17" t="n">
        <f aca="false">BD45+N($M45)*N(BC45)</f>
        <v>29.5810218894175</v>
      </c>
      <c r="BF45" s="17" t="n">
        <f aca="false">IF(W45="","",W45*$AV45)</f>
        <v>6.45617850704262</v>
      </c>
      <c r="BG45" s="17" t="n">
        <f aca="false">IF(AD45="","",AD45*$AX45)</f>
        <v>6.02256609957905</v>
      </c>
      <c r="BH45" s="17" t="n">
        <f aca="false">IF(AK45="","",AK45*$AZ45)</f>
        <v>6.11933113238492</v>
      </c>
      <c r="BI45" s="17" t="n">
        <f aca="false">IF(BF45="","",N(BF45)+N(BG45))</f>
        <v>12.4787446066217</v>
      </c>
      <c r="BJ45" s="17" t="n">
        <f aca="false">IF(BI45="","",BI45+N($M45)*N(BH45))</f>
        <v>15.5151567145111</v>
      </c>
      <c r="BK45" s="13" t="n">
        <f aca="false">IFERROR(BD45/AL45,1)</f>
        <v>1.01981346709633</v>
      </c>
    </row>
    <row r="46" customFormat="false" ht="15" hidden="false" customHeight="false" outlineLevel="0" collapsed="false">
      <c r="A46" s="0" t="s">
        <v>1405</v>
      </c>
      <c r="B46" s="0" t="s">
        <v>1139</v>
      </c>
      <c r="C46" s="0" t="s">
        <v>1215</v>
      </c>
      <c r="D46" s="0" t="s">
        <v>1221</v>
      </c>
      <c r="E46" s="0" t="s">
        <v>1404</v>
      </c>
      <c r="F46" s="0" t="s">
        <v>1703</v>
      </c>
      <c r="G46" s="0" t="str">
        <f aca="false">IFERROR(IF(INDEX(Matches!$W$5:$W$23,MATCH($C46,Matches!$A$5:$A$23,0))="","",INDEX(Matches!$W$5:$W$23,MATCH($C46,Matches!$A$5:$A$23,0))),"")</f>
        <v>Mirage</v>
      </c>
      <c r="H46" s="0" t="str">
        <f aca="false">IFERROR(IF(INDEX(Matches!$X$5:$X$23,MATCH($C46,Matches!$A$5:$A$23,0))="","",INDEX(Matches!$X$5:$X$23,MATCH($C46,Matches!$A$5:$A$23,0))),"")</f>
        <v>Nuke</v>
      </c>
      <c r="I46" s="0" t="str">
        <f aca="false">IFERROR(IF(INDEX(Matches!$Y$5:$Y$23,MATCH($C46,Matches!$A$5:$A$23,0))="","",INDEX(Matches!$Y$5:$Y$23,MATCH($C46,Matches!$A$5:$A$23,0))),"")</f>
        <v>Ancient</v>
      </c>
      <c r="J46" s="11" t="n">
        <f aca="false">IFERROR(IF(INDEX(Matches!$Z$5:$Z$23,MATCH($C46,Matches!$A$5:$A$23,0))="","",INDEX(Matches!$Z$5:$Z$23,MATCH($C46,Matches!$A$5:$A$23,0))),"")</f>
        <v>21.42</v>
      </c>
      <c r="K46" s="11" t="n">
        <f aca="false">IFERROR(IF(INDEX(Matches!$AA$5:$AA$23,MATCH($C46,Matches!$A$5:$A$23,0))="","",INDEX(Matches!$AA$5:$AA$23,MATCH($C46,Matches!$A$5:$A$23,0))),"")</f>
        <v>21.5</v>
      </c>
      <c r="L46" s="11" t="n">
        <f aca="false">IFERROR(IF(INDEX(Matches!$AB$5:$AB$23,MATCH($C46,Matches!$A$5:$A$23,0))="","",INDEX(Matches!$AB$5:$AB$23,MATCH($C46,Matches!$A$5:$A$23,0))),"")</f>
        <v>21.5</v>
      </c>
      <c r="M46" s="10" t="n">
        <f aca="false">IFERROR(IF(INDEX(Matches!$AC$5:$AC$23,MATCH($C46,Matches!$A$5:$A$23,0))="","",INDEX(Matches!$AC$5:$AC$23,MATCH($C46,Matches!$A$5:$A$23,0))),"")</f>
        <v>0.4962</v>
      </c>
      <c r="N46" s="9" t="n">
        <f aca="false">IFERROR(INDEX(Players!$F$2:$F$137,MATCH($F46,Players!$A$2:$A$137,0)),0)</f>
        <v>37</v>
      </c>
      <c r="O46" s="13" t="n">
        <f aca="false">IFERROR(1/(1/INDEX(Players!$H$2:$H$137,MATCH($F46,Players!$A$2:$A$137,0))),"")</f>
        <v>0.68</v>
      </c>
      <c r="P46" s="10" t="n">
        <f aca="false">IFERROR(1/(1/INDEX(Players!$I$2:$I$137,MATCH($F46,Players!$A$2:$A$137,0))),"")</f>
        <v>0.494</v>
      </c>
      <c r="Q46" s="9" t="n">
        <f aca="false">IF($G46="",0,SUMIFS(Map_Stats!$F$2:$F$850,Map_Stats!$A$2:$A$850,$F46&amp;"|"&amp;$G46))</f>
        <v>9</v>
      </c>
      <c r="R46" s="13" t="n">
        <f aca="false">IF($G46="","",IFERROR(1/(1/INDEX(Map_Stats!$K$2:$K$850,MATCH($F46&amp;"|"&amp;$G46,Map_Stats!$A$2:$A$850,0))),$O46))</f>
        <v>0.7</v>
      </c>
      <c r="S46" s="10" t="n">
        <f aca="false">IF(OR($G46="",$P46=""),"",IFERROR(1/(1/INDEX(Map_Stats!$I$2:$I$850,MATCH($F46&amp;"|"&amp;$G46,Map_Stats!$A$2:$A$850,0))),$P46))</f>
        <v>0.496</v>
      </c>
      <c r="T46" s="13" t="n">
        <f aca="false">IF(OR($G46="",R46=""),"",IF($O46="",R46,(Q46*R46+Config!$B$4*$O46)/(Q46+Config!$B$4)))</f>
        <v>0.692857142857143</v>
      </c>
      <c r="U46" s="10" t="n">
        <f aca="false">IF(S46="","",(Q46*S46+Config!$B$4*$P46)/(Q46+Config!$B$4))</f>
        <v>0.495285714285714</v>
      </c>
      <c r="V46" s="17" t="n">
        <f aca="false">IF(OR(T46="",$J46=""),"",T46*$J46*($J46/Config!$B$10)^Config!$B$9)</f>
        <v>14.841</v>
      </c>
      <c r="W46" s="17" t="n">
        <f aca="false">IF(OR(V46="",U46=""),"",V46*U46)</f>
        <v>7.35053528571429</v>
      </c>
      <c r="X46" s="9" t="n">
        <f aca="false">IF($H46="",0,SUMIFS(Map_Stats!$F$2:$F$850,Map_Stats!$A$2:$A$850,$F46&amp;"|"&amp;$H46))</f>
        <v>6</v>
      </c>
      <c r="Y46" s="13" t="n">
        <f aca="false">IF($H46="","",IFERROR(1/(1/INDEX(Map_Stats!$K$2:$K$850,MATCH($F46&amp;"|"&amp;$H46,Map_Stats!$A$2:$A$850,0))),$O46))</f>
        <v>0.58</v>
      </c>
      <c r="Z46" s="10" t="n">
        <f aca="false">IF(OR($H46="",$P46=""),"",IFERROR(1/(1/INDEX(Map_Stats!$I$2:$I$850,MATCH($F46&amp;"|"&amp;$H46,Map_Stats!$A$2:$A$850,0))),$P46))</f>
        <v>0.519</v>
      </c>
      <c r="AA46" s="13" t="n">
        <f aca="false">IF(OR($H46="",Y46=""),"",IF($O46="",Y46,(X46*Y46+Config!$B$4*$O46)/(X46+Config!$B$4)))</f>
        <v>0.625454545454546</v>
      </c>
      <c r="AB46" s="10" t="n">
        <f aca="false">IF(Z46="","",(X46*Z46+Config!$B$4*$P46)/(X46+Config!$B$4))</f>
        <v>0.507636363636364</v>
      </c>
      <c r="AC46" s="17" t="n">
        <f aca="false">IF(OR(AA46="",$K46=""),"",AA46*$K46*($K46/Config!$B$10)^Config!$B$9)</f>
        <v>13.4472727272727</v>
      </c>
      <c r="AD46" s="17" t="n">
        <f aca="false">IF(OR(AC46="",AB46=""),"",AC46*AB46)</f>
        <v>6.82632462809917</v>
      </c>
      <c r="AE46" s="9" t="n">
        <f aca="false">IF($I46="",0,SUMIFS(Map_Stats!$F$2:$F$850,Map_Stats!$A$2:$A$850,$F46&amp;"|"&amp;$I46))</f>
        <v>6</v>
      </c>
      <c r="AF46" s="13" t="n">
        <f aca="false">IF($I46="","",IFERROR(1/(1/INDEX(Map_Stats!$K$2:$K$850,MATCH($F46&amp;"|"&amp;$I46,Map_Stats!$A$2:$A$850,0))),$O46))</f>
        <v>0.62</v>
      </c>
      <c r="AG46" s="10" t="n">
        <f aca="false">IF(OR($I46="",$P46=""),"",IFERROR(1/(1/INDEX(Map_Stats!$I$2:$I$850,MATCH($F46&amp;"|"&amp;$I46,Map_Stats!$A$2:$A$850,0))),$P46))</f>
        <v>0.416</v>
      </c>
      <c r="AH46" s="13" t="n">
        <f aca="false">IF(OR($I46="",AF46=""),"",IF($O46="",AF46,(AE46*AF46+Config!$B$4*$O46)/(AE46+Config!$B$4)))</f>
        <v>0.647272727272727</v>
      </c>
      <c r="AI46" s="10" t="n">
        <f aca="false">IF(AG46="","",(AE46*AG46+Config!$B$4*$P46)/(AE46+Config!$B$4))</f>
        <v>0.451454545454546</v>
      </c>
      <c r="AJ46" s="17" t="n">
        <f aca="false">IF(OR(AH46="",$L46=""),"",AH46*$L46*($L46/Config!$B$10)^Config!$B$9)</f>
        <v>13.9163636363636</v>
      </c>
      <c r="AK46" s="17" t="n">
        <f aca="false">IF(OR(AJ46="",AI46=""),"",AJ46*AI46)</f>
        <v>6.28260561983471</v>
      </c>
      <c r="AL46" s="17" t="n">
        <f aca="false">N(V46)+N(AC46)</f>
        <v>28.2882727272727</v>
      </c>
      <c r="AM46" s="17" t="n">
        <f aca="false">AL46+N($M46)*N(AJ46)</f>
        <v>35.1935723636364</v>
      </c>
      <c r="AN46" s="17" t="n">
        <f aca="false">IF(W46="","",N(W46)+N(AD46))</f>
        <v>14.1768599138135</v>
      </c>
      <c r="AO46" s="17" t="n">
        <f aca="false">IF(AN46="","",AN46+N($M46)*N(AK46))</f>
        <v>17.2942888223754</v>
      </c>
      <c r="AP46" s="10" t="n">
        <f aca="false">IFERROR(AN46/AL46,"")</f>
        <v>0.501156788556607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IF($C46=Board!$B$2,COUNTIFS($C$2:$C$137,Board!$B$2,$AL$2:$AL$137,"&gt;"&amp;$AL46)+COUNTIFS($C$1:$C45,Board!$B$2,$AL$1:$AL45,$AL46)+1,"")</f>
        <v/>
      </c>
      <c r="AS46" s="0" t="str">
        <f aca="false">IFERROR(IF($D46=INDEX(Matches!$AD$5:$AD$23,MATCH($C46,Matches!$A$5:$A$23,0)),"A",IF($D46=INDEX(Matches!$AE$5:$AE$23,MATCH($C46,Matches!$A$5:$A$23,0)),"B","")),"")</f>
        <v>B</v>
      </c>
      <c r="AT46" s="10" t="n">
        <f aca="false">IF($AS46="","",IFERROR(IF($AS46="A",INDEX(Matches!$AI$5:$AI$23,MATCH($C46,Matches!$A$5:$A$23,0)),INDEX(Matches!$AJ$5:$AJ$23,MATCH($C46,Matches!$A$5:$A$23,0))),""))</f>
        <v>0.532105570388234</v>
      </c>
      <c r="AU46" s="10" t="n">
        <f aca="false">IF($AS46="","",IFERROR(IF(INDEX(Matches!$AP$5:$AP$23,MATCH($C46,Matches!$A$5:$A$23,0))="","",IF($AS46="A",INDEX(Matches!$AP$5:$AP$23,MATCH($C46,Matches!$A$5:$A$23,0)),1-INDEX(Matches!$AP$5:$AP$23,MATCH($C46,Matches!$A$5:$A$23,0)))),""))</f>
        <v>0.554166599294859</v>
      </c>
      <c r="AV46" s="13" t="n">
        <f aca="false">IF(OR($AU46="",$AT46=""),1,((Config!$B$14*$AU46+Config!$B$15*(1-$AU46))/(Config!$B$14*$AT46+Config!$B$15*(1-$AT46)))^Config!$B$13)</f>
        <v>1.01916428596044</v>
      </c>
      <c r="AW46" s="10" t="n">
        <f aca="false">IF($AS46="","",IFERROR(IF(INDEX(Matches!$AV$5:$AV$23,MATCH($C46,Matches!$A$5:$A$23,0))="","",IF($AS46="A",INDEX(Matches!$AV$5:$AV$23,MATCH($C46,Matches!$A$5:$A$23,0)),1-INDEX(Matches!$AV$5:$AV$23,MATCH($C46,Matches!$A$5:$A$23,0)))),""))</f>
        <v>0.555691255495848</v>
      </c>
      <c r="AX46" s="13" t="n">
        <f aca="false">IF(OR($AW46="",$AT46=""),1,((Config!$B$14*$AW46+Config!$B$15*(1-$AW46))/(Config!$B$14*$AT46+Config!$B$15*(1-$AT46)))^Config!$B$13)</f>
        <v>1.02048874582815</v>
      </c>
      <c r="AY46" s="10" t="n">
        <f aca="false">IF($AS46="","",IFERROR(IF(INDEX(Matches!$BB$5:$BB$23,MATCH($C46,Matches!$A$5:$A$23,0))="","",IF($AS46="A",INDEX(Matches!$BB$5:$BB$23,MATCH($C46,Matches!$A$5:$A$23,0)),1-INDEX(Matches!$BB$5:$BB$23,MATCH($C46,Matches!$A$5:$A$23,0)))),""))</f>
        <v>0.521095671791105</v>
      </c>
      <c r="AZ46" s="13" t="n">
        <f aca="false">IF(OR($AY46="",$AT46=""),1,((Config!$B$14*$AY46+Config!$B$15*(1-$AY46))/(Config!$B$14*$AT46+Config!$B$15*(1-$AT46)))^Config!$B$13)</f>
        <v>0.990435765892701</v>
      </c>
      <c r="BA46" s="17" t="n">
        <f aca="false">IF(V46="","",V46*$AV46)</f>
        <v>15.125417167939</v>
      </c>
      <c r="BB46" s="17" t="n">
        <f aca="false">IF(AC46="","",AC46*$AX46)</f>
        <v>13.7227904802636</v>
      </c>
      <c r="BC46" s="17" t="n">
        <f aca="false">IF(AJ46="","",AJ46*$AZ46)</f>
        <v>13.7832642766232</v>
      </c>
      <c r="BD46" s="17" t="n">
        <f aca="false">N(BA46)+N(BB46)</f>
        <v>28.8482076482026</v>
      </c>
      <c r="BE46" s="17" t="n">
        <f aca="false">BD46+N($M46)*N(BC46)</f>
        <v>35.687463382263</v>
      </c>
      <c r="BF46" s="17" t="n">
        <f aca="false">IF(W46="","",W46*$AV46)</f>
        <v>7.49140304589205</v>
      </c>
      <c r="BG46" s="17" t="n">
        <f aca="false">IF(AD46="","",AD46*$AX46)</f>
        <v>6.96618745834473</v>
      </c>
      <c r="BH46" s="17" t="n">
        <f aca="false">IF(AK46="","",AK46*$AZ46)</f>
        <v>6.22251730888278</v>
      </c>
      <c r="BI46" s="17" t="n">
        <f aca="false">IF(BF46="","",N(BF46)+N(BG46))</f>
        <v>14.4575905042368</v>
      </c>
      <c r="BJ46" s="17" t="n">
        <f aca="false">IF(BI46="","",BI46+N($M46)*N(BH46))</f>
        <v>17.5452035929044</v>
      </c>
      <c r="BK46" s="13" t="n">
        <f aca="false">IFERROR(BD46/AL46,1)</f>
        <v>1.01979388866645</v>
      </c>
    </row>
    <row r="47" customFormat="false" ht="15" hidden="false" customHeight="false" outlineLevel="0" collapsed="false">
      <c r="A47" s="0" t="s">
        <v>1408</v>
      </c>
      <c r="B47" s="0" t="s">
        <v>1139</v>
      </c>
      <c r="C47" s="0" t="s">
        <v>1215</v>
      </c>
      <c r="D47" s="0" t="s">
        <v>1221</v>
      </c>
      <c r="E47" s="0" t="s">
        <v>1406</v>
      </c>
      <c r="F47" s="0" t="s">
        <v>1704</v>
      </c>
      <c r="G47" s="0" t="str">
        <f aca="false">IFERROR(IF(INDEX(Matches!$W$5:$W$23,MATCH($C47,Matches!$A$5:$A$23,0))="","",INDEX(Matches!$W$5:$W$23,MATCH($C47,Matches!$A$5:$A$23,0))),"")</f>
        <v>Mirage</v>
      </c>
      <c r="H47" s="0" t="str">
        <f aca="false">IFERROR(IF(INDEX(Matches!$X$5:$X$23,MATCH($C47,Matches!$A$5:$A$23,0))="","",INDEX(Matches!$X$5:$X$23,MATCH($C47,Matches!$A$5:$A$23,0))),"")</f>
        <v>Nuke</v>
      </c>
      <c r="I47" s="0" t="str">
        <f aca="false">IFERROR(IF(INDEX(Matches!$Y$5:$Y$23,MATCH($C47,Matches!$A$5:$A$23,0))="","",INDEX(Matches!$Y$5:$Y$23,MATCH($C47,Matches!$A$5:$A$23,0))),"")</f>
        <v>Ancient</v>
      </c>
      <c r="J47" s="11" t="n">
        <f aca="false">IFERROR(IF(INDEX(Matches!$Z$5:$Z$23,MATCH($C47,Matches!$A$5:$A$23,0))="","",INDEX(Matches!$Z$5:$Z$23,MATCH($C47,Matches!$A$5:$A$23,0))),"")</f>
        <v>21.42</v>
      </c>
      <c r="K47" s="11" t="n">
        <f aca="false">IFERROR(IF(INDEX(Matches!$AA$5:$AA$23,MATCH($C47,Matches!$A$5:$A$23,0))="","",INDEX(Matches!$AA$5:$AA$23,MATCH($C47,Matches!$A$5:$A$23,0))),"")</f>
        <v>21.5</v>
      </c>
      <c r="L47" s="11" t="n">
        <f aca="false">IFERROR(IF(INDEX(Matches!$AB$5:$AB$23,MATCH($C47,Matches!$A$5:$A$23,0))="","",INDEX(Matches!$AB$5:$AB$23,MATCH($C47,Matches!$A$5:$A$23,0))),"")</f>
        <v>21.5</v>
      </c>
      <c r="M47" s="10" t="n">
        <f aca="false">IFERROR(IF(INDEX(Matches!$AC$5:$AC$23,MATCH($C47,Matches!$A$5:$A$23,0))="","",INDEX(Matches!$AC$5:$AC$23,MATCH($C47,Matches!$A$5:$A$23,0))),"")</f>
        <v>0.4962</v>
      </c>
      <c r="N47" s="9" t="n">
        <f aca="false">IFERROR(INDEX(Players!$F$2:$F$137,MATCH($F47,Players!$A$2:$A$137,0)),0)</f>
        <v>37</v>
      </c>
      <c r="O47" s="13" t="n">
        <f aca="false">IFERROR(1/(1/INDEX(Players!$H$2:$H$137,MATCH($F47,Players!$A$2:$A$137,0))),"")</f>
        <v>0.74</v>
      </c>
      <c r="P47" s="10" t="n">
        <f aca="false">IFERROR(1/(1/INDEX(Players!$I$2:$I$137,MATCH($F47,Players!$A$2:$A$137,0))),"")</f>
        <v>0.367</v>
      </c>
      <c r="Q47" s="9" t="n">
        <f aca="false">IF($G47="",0,SUMIFS(Map_Stats!$F$2:$F$850,Map_Stats!$A$2:$A$850,$F47&amp;"|"&amp;$G47))</f>
        <v>9</v>
      </c>
      <c r="R47" s="13" t="n">
        <f aca="false">IF($G47="","",IFERROR(1/(1/INDEX(Map_Stats!$K$2:$K$850,MATCH($F47&amp;"|"&amp;$G47,Map_Stats!$A$2:$A$850,0))),$O47))</f>
        <v>0.79</v>
      </c>
      <c r="S47" s="10" t="n">
        <f aca="false">IF(OR($G47="",$P47=""),"",IFERROR(1/(1/INDEX(Map_Stats!$I$2:$I$850,MATCH($F47&amp;"|"&amp;$G47,Map_Stats!$A$2:$A$850,0))),$P47))</f>
        <v>0.342</v>
      </c>
      <c r="T47" s="13" t="n">
        <f aca="false">IF(OR($G47="",R47=""),"",IF($O47="",R47,(Q47*R47+Config!$B$4*$O47)/(Q47+Config!$B$4)))</f>
        <v>0.772142857142857</v>
      </c>
      <c r="U47" s="10" t="n">
        <f aca="false">IF(S47="","",(Q47*S47+Config!$B$4*$P47)/(Q47+Config!$B$4))</f>
        <v>0.350928571428571</v>
      </c>
      <c r="V47" s="17" t="n">
        <f aca="false">IF(OR(T47="",$J47=""),"",T47*$J47*($J47/Config!$B$10)^Config!$B$9)</f>
        <v>16.5393</v>
      </c>
      <c r="W47" s="17" t="n">
        <f aca="false">IF(OR(V47="",U47=""),"",V47*U47)</f>
        <v>5.80411292142857</v>
      </c>
      <c r="X47" s="9" t="n">
        <f aca="false">IF($H47="",0,SUMIFS(Map_Stats!$F$2:$F$850,Map_Stats!$A$2:$A$850,$F47&amp;"|"&amp;$H47))</f>
        <v>6</v>
      </c>
      <c r="Y47" s="13" t="n">
        <f aca="false">IF($H47="","",IFERROR(1/(1/INDEX(Map_Stats!$K$2:$K$850,MATCH($F47&amp;"|"&amp;$H47,Map_Stats!$A$2:$A$850,0))),$O47))</f>
        <v>0.73</v>
      </c>
      <c r="Z47" s="10" t="n">
        <f aca="false">IF(OR($H47="",$P47=""),"",IFERROR(1/(1/INDEX(Map_Stats!$I$2:$I$850,MATCH($F47&amp;"|"&amp;$H47,Map_Stats!$A$2:$A$850,0))),$P47))</f>
        <v>0.423</v>
      </c>
      <c r="AA47" s="13" t="n">
        <f aca="false">IF(OR($H47="",Y47=""),"",IF($O47="",Y47,(X47*Y47+Config!$B$4*$O47)/(X47+Config!$B$4)))</f>
        <v>0.734545454545455</v>
      </c>
      <c r="AB47" s="10" t="n">
        <f aca="false">IF(Z47="","",(X47*Z47+Config!$B$4*$P47)/(X47+Config!$B$4))</f>
        <v>0.397545454545455</v>
      </c>
      <c r="AC47" s="17" t="n">
        <f aca="false">IF(OR(AA47="",$K47=""),"",AA47*$K47*($K47/Config!$B$10)^Config!$B$9)</f>
        <v>15.7927272727273</v>
      </c>
      <c r="AD47" s="17" t="n">
        <f aca="false">IF(OR(AC47="",AB47=""),"",AC47*AB47)</f>
        <v>6.27832694214876</v>
      </c>
      <c r="AE47" s="9" t="n">
        <f aca="false">IF($I47="",0,SUMIFS(Map_Stats!$F$2:$F$850,Map_Stats!$A$2:$A$850,$F47&amp;"|"&amp;$I47))</f>
        <v>6</v>
      </c>
      <c r="AF47" s="13" t="n">
        <f aca="false">IF($I47="","",IFERROR(1/(1/INDEX(Map_Stats!$K$2:$K$850,MATCH($F47&amp;"|"&amp;$I47,Map_Stats!$A$2:$A$850,0))),$O47))</f>
        <v>0.73</v>
      </c>
      <c r="AG47" s="10" t="n">
        <f aca="false">IF(OR($I47="",$P47=""),"",IFERROR(1/(1/INDEX(Map_Stats!$I$2:$I$850,MATCH($F47&amp;"|"&amp;$I47,Map_Stats!$A$2:$A$850,0))),$P47))</f>
        <v>0.314</v>
      </c>
      <c r="AH47" s="13" t="n">
        <f aca="false">IF(OR($I47="",AF47=""),"",IF($O47="",AF47,(AE47*AF47+Config!$B$4*$O47)/(AE47+Config!$B$4)))</f>
        <v>0.734545454545455</v>
      </c>
      <c r="AI47" s="10" t="n">
        <f aca="false">IF(AG47="","",(AE47*AG47+Config!$B$4*$P47)/(AE47+Config!$B$4))</f>
        <v>0.338090909090909</v>
      </c>
      <c r="AJ47" s="17" t="n">
        <f aca="false">IF(OR(AH47="",$L47=""),"",AH47*$L47*($L47/Config!$B$10)^Config!$B$9)</f>
        <v>15.7927272727273</v>
      </c>
      <c r="AK47" s="17" t="n">
        <f aca="false">IF(OR(AJ47="",AI47=""),"",AJ47*AI47)</f>
        <v>5.33937752066116</v>
      </c>
      <c r="AL47" s="17" t="n">
        <f aca="false">N(V47)+N(AC47)</f>
        <v>32.3320272727273</v>
      </c>
      <c r="AM47" s="17" t="n">
        <f aca="false">AL47+N($M47)*N(AJ47)</f>
        <v>40.1683785454545</v>
      </c>
      <c r="AN47" s="17" t="n">
        <f aca="false">IF(W47="","",N(W47)+N(AD47))</f>
        <v>12.0824398635773</v>
      </c>
      <c r="AO47" s="17" t="n">
        <f aca="false">IF(AN47="","",AN47+N($M47)*N(AK47))</f>
        <v>14.7318389893294</v>
      </c>
      <c r="AP47" s="10" t="n">
        <f aca="false">IFERROR(AN47/AL47,"")</f>
        <v>0.373698802170971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IF($C47=Board!$B$2,COUNTIFS($C$2:$C$137,Board!$B$2,$AL$2:$AL$137,"&gt;"&amp;$AL47)+COUNTIFS($C$1:$C46,Board!$B$2,$AL$1:$AL46,$AL47)+1,"")</f>
        <v/>
      </c>
      <c r="AS47" s="0" t="str">
        <f aca="false">IFERROR(IF($D47=INDEX(Matches!$AD$5:$AD$23,MATCH($C47,Matches!$A$5:$A$23,0)),"A",IF($D47=INDEX(Matches!$AE$5:$AE$23,MATCH($C47,Matches!$A$5:$A$23,0)),"B","")),"")</f>
        <v>B</v>
      </c>
      <c r="AT47" s="10" t="n">
        <f aca="false">IF($AS47="","",IFERROR(IF($AS47="A",INDEX(Matches!$AI$5:$AI$23,MATCH($C47,Matches!$A$5:$A$23,0)),INDEX(Matches!$AJ$5:$AJ$23,MATCH($C47,Matches!$A$5:$A$23,0))),""))</f>
        <v>0.532105570388234</v>
      </c>
      <c r="AU47" s="10" t="n">
        <f aca="false">IF($AS47="","",IFERROR(IF(INDEX(Matches!$AP$5:$AP$23,MATCH($C47,Matches!$A$5:$A$23,0))="","",IF($AS47="A",INDEX(Matches!$AP$5:$AP$23,MATCH($C47,Matches!$A$5:$A$23,0)),1-INDEX(Matches!$AP$5:$AP$23,MATCH($C47,Matches!$A$5:$A$23,0)))),""))</f>
        <v>0.554166599294859</v>
      </c>
      <c r="AV47" s="13" t="n">
        <f aca="false">IF(OR($AU47="",$AT47=""),1,((Config!$B$14*$AU47+Config!$B$15*(1-$AU47))/(Config!$B$14*$AT47+Config!$B$15*(1-$AT47)))^Config!$B$13)</f>
        <v>1.01916428596044</v>
      </c>
      <c r="AW47" s="10" t="n">
        <f aca="false">IF($AS47="","",IFERROR(IF(INDEX(Matches!$AV$5:$AV$23,MATCH($C47,Matches!$A$5:$A$23,0))="","",IF($AS47="A",INDEX(Matches!$AV$5:$AV$23,MATCH($C47,Matches!$A$5:$A$23,0)),1-INDEX(Matches!$AV$5:$AV$23,MATCH($C47,Matches!$A$5:$A$23,0)))),""))</f>
        <v>0.555691255495848</v>
      </c>
      <c r="AX47" s="13" t="n">
        <f aca="false">IF(OR($AW47="",$AT47=""),1,((Config!$B$14*$AW47+Config!$B$15*(1-$AW47))/(Config!$B$14*$AT47+Config!$B$15*(1-$AT47)))^Config!$B$13)</f>
        <v>1.02048874582815</v>
      </c>
      <c r="AY47" s="10" t="n">
        <f aca="false">IF($AS47="","",IFERROR(IF(INDEX(Matches!$BB$5:$BB$23,MATCH($C47,Matches!$A$5:$A$23,0))="","",IF($AS47="A",INDEX(Matches!$BB$5:$BB$23,MATCH($C47,Matches!$A$5:$A$23,0)),1-INDEX(Matches!$BB$5:$BB$23,MATCH($C47,Matches!$A$5:$A$23,0)))),""))</f>
        <v>0.521095671791105</v>
      </c>
      <c r="AZ47" s="13" t="n">
        <f aca="false">IF(OR($AY47="",$AT47=""),1,((Config!$B$14*$AY47+Config!$B$15*(1-$AY47))/(Config!$B$14*$AT47+Config!$B$15*(1-$AT47)))^Config!$B$13)</f>
        <v>0.990435765892701</v>
      </c>
      <c r="BA47" s="17" t="n">
        <f aca="false">IF(V47="","",V47*$AV47)</f>
        <v>16.8562638747856</v>
      </c>
      <c r="BB47" s="17" t="n">
        <f aca="false">IF(AC47="","",AC47*$AX47)</f>
        <v>16.1163004477515</v>
      </c>
      <c r="BC47" s="17" t="n">
        <f aca="false">IF(AJ47="","",AJ47*$AZ47)</f>
        <v>15.6416819318982</v>
      </c>
      <c r="BD47" s="17" t="n">
        <f aca="false">N(BA47)+N(BB47)</f>
        <v>32.972564322537</v>
      </c>
      <c r="BE47" s="17" t="n">
        <f aca="false">BD47+N($M47)*N(BC47)</f>
        <v>40.7339668971449</v>
      </c>
      <c r="BF47" s="17" t="n">
        <f aca="false">IF(W47="","",W47*$AV47)</f>
        <v>5.91534460120154</v>
      </c>
      <c r="BG47" s="17" t="n">
        <f aca="false">IF(AD47="","",AD47*$AX47)</f>
        <v>6.40696198709247</v>
      </c>
      <c r="BH47" s="17" t="n">
        <f aca="false">IF(AK47="","",AK47*$AZ47)</f>
        <v>5.2883104640663</v>
      </c>
      <c r="BI47" s="17" t="n">
        <f aca="false">IF(BF47="","",N(BF47)+N(BG47))</f>
        <v>12.322306588294</v>
      </c>
      <c r="BJ47" s="17" t="n">
        <f aca="false">IF(BI47="","",BI47+N($M47)*N(BH47))</f>
        <v>14.9463662405637</v>
      </c>
      <c r="BK47" s="13" t="n">
        <f aca="false">IFERROR(BD47/AL47,1)</f>
        <v>1.01981122446813</v>
      </c>
    </row>
    <row r="48" customFormat="false" ht="15" hidden="false" customHeight="false" outlineLevel="0" collapsed="false">
      <c r="A48" s="0" t="s">
        <v>1410</v>
      </c>
      <c r="B48" s="0" t="s">
        <v>1139</v>
      </c>
      <c r="C48" s="0" t="s">
        <v>1215</v>
      </c>
      <c r="D48" s="0" t="s">
        <v>1221</v>
      </c>
      <c r="E48" s="0" t="s">
        <v>1409</v>
      </c>
      <c r="F48" s="0" t="s">
        <v>1705</v>
      </c>
      <c r="G48" s="0" t="str">
        <f aca="false">IFERROR(IF(INDEX(Matches!$W$5:$W$23,MATCH($C48,Matches!$A$5:$A$23,0))="","",INDEX(Matches!$W$5:$W$23,MATCH($C48,Matches!$A$5:$A$23,0))),"")</f>
        <v>Mirage</v>
      </c>
      <c r="H48" s="0" t="str">
        <f aca="false">IFERROR(IF(INDEX(Matches!$X$5:$X$23,MATCH($C48,Matches!$A$5:$A$23,0))="","",INDEX(Matches!$X$5:$X$23,MATCH($C48,Matches!$A$5:$A$23,0))),"")</f>
        <v>Nuke</v>
      </c>
      <c r="I48" s="0" t="str">
        <f aca="false">IFERROR(IF(INDEX(Matches!$Y$5:$Y$23,MATCH($C48,Matches!$A$5:$A$23,0))="","",INDEX(Matches!$Y$5:$Y$23,MATCH($C48,Matches!$A$5:$A$23,0))),"")</f>
        <v>Ancient</v>
      </c>
      <c r="J48" s="11" t="n">
        <f aca="false">IFERROR(IF(INDEX(Matches!$Z$5:$Z$23,MATCH($C48,Matches!$A$5:$A$23,0))="","",INDEX(Matches!$Z$5:$Z$23,MATCH($C48,Matches!$A$5:$A$23,0))),"")</f>
        <v>21.42</v>
      </c>
      <c r="K48" s="11" t="n">
        <f aca="false">IFERROR(IF(INDEX(Matches!$AA$5:$AA$23,MATCH($C48,Matches!$A$5:$A$23,0))="","",INDEX(Matches!$AA$5:$AA$23,MATCH($C48,Matches!$A$5:$A$23,0))),"")</f>
        <v>21.5</v>
      </c>
      <c r="L48" s="11" t="n">
        <f aca="false">IFERROR(IF(INDEX(Matches!$AB$5:$AB$23,MATCH($C48,Matches!$A$5:$A$23,0))="","",INDEX(Matches!$AB$5:$AB$23,MATCH($C48,Matches!$A$5:$A$23,0))),"")</f>
        <v>21.5</v>
      </c>
      <c r="M48" s="10" t="n">
        <f aca="false">IFERROR(IF(INDEX(Matches!$AC$5:$AC$23,MATCH($C48,Matches!$A$5:$A$23,0))="","",INDEX(Matches!$AC$5:$AC$23,MATCH($C48,Matches!$A$5:$A$23,0))),"")</f>
        <v>0.4962</v>
      </c>
      <c r="N48" s="9" t="n">
        <f aca="false">IFERROR(INDEX(Players!$F$2:$F$137,MATCH($F48,Players!$A$2:$A$137,0)),0)</f>
        <v>37</v>
      </c>
      <c r="O48" s="13" t="n">
        <f aca="false">IFERROR(1/(1/INDEX(Players!$H$2:$H$137,MATCH($F48,Players!$A$2:$A$137,0))),"")</f>
        <v>0.7</v>
      </c>
      <c r="P48" s="10" t="n">
        <f aca="false">IFERROR(1/(1/INDEX(Players!$I$2:$I$137,MATCH($F48,Players!$A$2:$A$137,0))),"")</f>
        <v>0.589</v>
      </c>
      <c r="Q48" s="9" t="n">
        <f aca="false">IF($G48="",0,SUMIFS(Map_Stats!$F$2:$F$850,Map_Stats!$A$2:$A$850,$F48&amp;"|"&amp;$G48))</f>
        <v>9</v>
      </c>
      <c r="R48" s="13" t="n">
        <f aca="false">IF($G48="","",IFERROR(1/(1/INDEX(Map_Stats!$K$2:$K$850,MATCH($F48&amp;"|"&amp;$G48,Map_Stats!$A$2:$A$850,0))),$O48))</f>
        <v>0.63</v>
      </c>
      <c r="S48" s="10" t="n">
        <f aca="false">IF(OR($G48="",$P48=""),"",IFERROR(1/(1/INDEX(Map_Stats!$I$2:$I$850,MATCH($F48&amp;"|"&amp;$G48,Map_Stats!$A$2:$A$850,0))),$P48))</f>
        <v>0.569</v>
      </c>
      <c r="T48" s="13" t="n">
        <f aca="false">IF(OR($G48="",R48=""),"",IF($O48="",R48,(Q48*R48+Config!$B$4*$O48)/(Q48+Config!$B$4)))</f>
        <v>0.655</v>
      </c>
      <c r="U48" s="10" t="n">
        <f aca="false">IF(S48="","",(Q48*S48+Config!$B$4*$P48)/(Q48+Config!$B$4))</f>
        <v>0.576142857142857</v>
      </c>
      <c r="V48" s="17" t="n">
        <f aca="false">IF(OR(T48="",$J48=""),"",T48*$J48*($J48/Config!$B$10)^Config!$B$9)</f>
        <v>14.0301</v>
      </c>
      <c r="W48" s="17" t="n">
        <f aca="false">IF(OR(V48="",U48=""),"",V48*U48)</f>
        <v>8.0833419</v>
      </c>
      <c r="X48" s="9" t="n">
        <f aca="false">IF($H48="",0,SUMIFS(Map_Stats!$F$2:$F$850,Map_Stats!$A$2:$A$850,$F48&amp;"|"&amp;$H48))</f>
        <v>6</v>
      </c>
      <c r="Y48" s="13" t="n">
        <f aca="false">IF($H48="","",IFERROR(1/(1/INDEX(Map_Stats!$K$2:$K$850,MATCH($F48&amp;"|"&amp;$H48,Map_Stats!$A$2:$A$850,0))),$O48))</f>
        <v>0.7</v>
      </c>
      <c r="Z48" s="10" t="n">
        <f aca="false">IF(OR($H48="",$P48=""),"",IFERROR(1/(1/INDEX(Map_Stats!$I$2:$I$850,MATCH($F48&amp;"|"&amp;$H48,Map_Stats!$A$2:$A$850,0))),$P48))</f>
        <v>0.613</v>
      </c>
      <c r="AA48" s="13" t="n">
        <f aca="false">IF(OR($H48="",Y48=""),"",IF($O48="",Y48,(X48*Y48+Config!$B$4*$O48)/(X48+Config!$B$4)))</f>
        <v>0.7</v>
      </c>
      <c r="AB48" s="10" t="n">
        <f aca="false">IF(Z48="","",(X48*Z48+Config!$B$4*$P48)/(X48+Config!$B$4))</f>
        <v>0.602090909090909</v>
      </c>
      <c r="AC48" s="17" t="n">
        <f aca="false">IF(OR(AA48="",$K48=""),"",AA48*$K48*($K48/Config!$B$10)^Config!$B$9)</f>
        <v>15.05</v>
      </c>
      <c r="AD48" s="17" t="n">
        <f aca="false">IF(OR(AC48="",AB48=""),"",AC48*AB48)</f>
        <v>9.06146818181818</v>
      </c>
      <c r="AE48" s="9" t="n">
        <f aca="false">IF($I48="",0,SUMIFS(Map_Stats!$F$2:$F$850,Map_Stats!$A$2:$A$850,$F48&amp;"|"&amp;$I48))</f>
        <v>6</v>
      </c>
      <c r="AF48" s="13" t="n">
        <f aca="false">IF($I48="","",IFERROR(1/(1/INDEX(Map_Stats!$K$2:$K$850,MATCH($F48&amp;"|"&amp;$I48,Map_Stats!$A$2:$A$850,0))),$O48))</f>
        <v>0.7</v>
      </c>
      <c r="AG48" s="10" t="n">
        <f aca="false">IF(OR($I48="",$P48=""),"",IFERROR(1/(1/INDEX(Map_Stats!$I$2:$I$850,MATCH($F48&amp;"|"&amp;$I48,Map_Stats!$A$2:$A$850,0))),$P48))</f>
        <v>0.66</v>
      </c>
      <c r="AH48" s="13" t="n">
        <f aca="false">IF(OR($I48="",AF48=""),"",IF($O48="",AF48,(AE48*AF48+Config!$B$4*$O48)/(AE48+Config!$B$4)))</f>
        <v>0.7</v>
      </c>
      <c r="AI48" s="10" t="n">
        <f aca="false">IF(AG48="","",(AE48*AG48+Config!$B$4*$P48)/(AE48+Config!$B$4))</f>
        <v>0.627727272727273</v>
      </c>
      <c r="AJ48" s="17" t="n">
        <f aca="false">IF(OR(AH48="",$L48=""),"",AH48*$L48*($L48/Config!$B$10)^Config!$B$9)</f>
        <v>15.05</v>
      </c>
      <c r="AK48" s="17" t="n">
        <f aca="false">IF(OR(AJ48="",AI48=""),"",AJ48*AI48)</f>
        <v>9.44729545454545</v>
      </c>
      <c r="AL48" s="17" t="n">
        <f aca="false">N(V48)+N(AC48)</f>
        <v>29.0801</v>
      </c>
      <c r="AM48" s="17" t="n">
        <f aca="false">AL48+N($M48)*N(AJ48)</f>
        <v>36.54791</v>
      </c>
      <c r="AN48" s="17" t="n">
        <f aca="false">IF(W48="","",N(W48)+N(AD48))</f>
        <v>17.1448100818182</v>
      </c>
      <c r="AO48" s="17" t="n">
        <f aca="false">IF(AN48="","",AN48+N($M48)*N(AK48))</f>
        <v>21.8325580863636</v>
      </c>
      <c r="AP48" s="10" t="n">
        <f aca="false">IFERROR(AN48/AL48,"")</f>
        <v>0.589571909375077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IF($C48=Board!$B$2,COUNTIFS($C$2:$C$137,Board!$B$2,$AL$2:$AL$137,"&gt;"&amp;$AL48)+COUNTIFS($C$1:$C47,Board!$B$2,$AL$1:$AL47,$AL48)+1,"")</f>
        <v/>
      </c>
      <c r="AS48" s="0" t="str">
        <f aca="false">IFERROR(IF($D48=INDEX(Matches!$AD$5:$AD$23,MATCH($C48,Matches!$A$5:$A$23,0)),"A",IF($D48=INDEX(Matches!$AE$5:$AE$23,MATCH($C48,Matches!$A$5:$A$23,0)),"B","")),"")</f>
        <v>B</v>
      </c>
      <c r="AT48" s="10" t="n">
        <f aca="false">IF($AS48="","",IFERROR(IF($AS48="A",INDEX(Matches!$AI$5:$AI$23,MATCH($C48,Matches!$A$5:$A$23,0)),INDEX(Matches!$AJ$5:$AJ$23,MATCH($C48,Matches!$A$5:$A$23,0))),""))</f>
        <v>0.532105570388234</v>
      </c>
      <c r="AU48" s="10" t="n">
        <f aca="false">IF($AS48="","",IFERROR(IF(INDEX(Matches!$AP$5:$AP$23,MATCH($C48,Matches!$A$5:$A$23,0))="","",IF($AS48="A",INDEX(Matches!$AP$5:$AP$23,MATCH($C48,Matches!$A$5:$A$23,0)),1-INDEX(Matches!$AP$5:$AP$23,MATCH($C48,Matches!$A$5:$A$23,0)))),""))</f>
        <v>0.554166599294859</v>
      </c>
      <c r="AV48" s="13" t="n">
        <f aca="false">IF(OR($AU48="",$AT48=""),1,((Config!$B$14*$AU48+Config!$B$15*(1-$AU48))/(Config!$B$14*$AT48+Config!$B$15*(1-$AT48)))^Config!$B$13)</f>
        <v>1.01916428596044</v>
      </c>
      <c r="AW48" s="10" t="n">
        <f aca="false">IF($AS48="","",IFERROR(IF(INDEX(Matches!$AV$5:$AV$23,MATCH($C48,Matches!$A$5:$A$23,0))="","",IF($AS48="A",INDEX(Matches!$AV$5:$AV$23,MATCH($C48,Matches!$A$5:$A$23,0)),1-INDEX(Matches!$AV$5:$AV$23,MATCH($C48,Matches!$A$5:$A$23,0)))),""))</f>
        <v>0.555691255495848</v>
      </c>
      <c r="AX48" s="13" t="n">
        <f aca="false">IF(OR($AW48="",$AT48=""),1,((Config!$B$14*$AW48+Config!$B$15*(1-$AW48))/(Config!$B$14*$AT48+Config!$B$15*(1-$AT48)))^Config!$B$13)</f>
        <v>1.02048874582815</v>
      </c>
      <c r="AY48" s="10" t="n">
        <f aca="false">IF($AS48="","",IFERROR(IF(INDEX(Matches!$BB$5:$BB$23,MATCH($C48,Matches!$A$5:$A$23,0))="","",IF($AS48="A",INDEX(Matches!$BB$5:$BB$23,MATCH($C48,Matches!$A$5:$A$23,0)),1-INDEX(Matches!$BB$5:$BB$23,MATCH($C48,Matches!$A$5:$A$23,0)))),""))</f>
        <v>0.521095671791105</v>
      </c>
      <c r="AZ48" s="13" t="n">
        <f aca="false">IF(OR($AY48="",$AT48=""),1,((Config!$B$14*$AY48+Config!$B$15*(1-$AY48))/(Config!$B$14*$AT48+Config!$B$15*(1-$AT48)))^Config!$B$13)</f>
        <v>0.990435765892701</v>
      </c>
      <c r="BA48" s="17" t="n">
        <f aca="false">IF(V48="","",V48*$AV48)</f>
        <v>14.2989768484536</v>
      </c>
      <c r="BB48" s="17" t="n">
        <f aca="false">IF(AC48="","",AC48*$AX48)</f>
        <v>15.3583556247136</v>
      </c>
      <c r="BC48" s="17" t="n">
        <f aca="false">IF(AJ48="","",AJ48*$AZ48)</f>
        <v>14.9060582766851</v>
      </c>
      <c r="BD48" s="17" t="n">
        <f aca="false">N(BA48)+N(BB48)</f>
        <v>29.6573324731673</v>
      </c>
      <c r="BE48" s="17" t="n">
        <f aca="false">BD48+N($M48)*N(BC48)</f>
        <v>37.0537185900584</v>
      </c>
      <c r="BF48" s="17" t="n">
        <f aca="false">IF(W48="","",W48*$AV48)</f>
        <v>8.23825337568764</v>
      </c>
      <c r="BG48" s="17" t="n">
        <f aca="false">IF(AD48="","",AD48*$AX48)</f>
        <v>9.24712630022531</v>
      </c>
      <c r="BH48" s="17" t="n">
        <f aca="false">IF(AK48="","",AK48*$AZ48)</f>
        <v>9.35693930913736</v>
      </c>
      <c r="BI48" s="17" t="n">
        <f aca="false">IF(BF48="","",N(BF48)+N(BG48))</f>
        <v>17.485379675913</v>
      </c>
      <c r="BJ48" s="17" t="n">
        <f aca="false">IF(BI48="","",BI48+N($M48)*N(BH48))</f>
        <v>22.1282929611069</v>
      </c>
      <c r="BK48" s="13" t="n">
        <f aca="false">IFERROR(BD48/AL48,1)</f>
        <v>1.01984974168477</v>
      </c>
    </row>
    <row r="49" customFormat="false" ht="15" hidden="false" customHeight="false" outlineLevel="0" collapsed="false">
      <c r="A49" s="0" t="s">
        <v>1412</v>
      </c>
      <c r="B49" s="0" t="s">
        <v>1139</v>
      </c>
      <c r="C49" s="0" t="s">
        <v>1215</v>
      </c>
      <c r="D49" s="0" t="s">
        <v>1221</v>
      </c>
      <c r="E49" s="0" t="s">
        <v>1411</v>
      </c>
      <c r="F49" s="0" t="s">
        <v>1706</v>
      </c>
      <c r="G49" s="0" t="str">
        <f aca="false">IFERROR(IF(INDEX(Matches!$W$5:$W$23,MATCH($C49,Matches!$A$5:$A$23,0))="","",INDEX(Matches!$W$5:$W$23,MATCH($C49,Matches!$A$5:$A$23,0))),"")</f>
        <v>Mirage</v>
      </c>
      <c r="H49" s="0" t="str">
        <f aca="false">IFERROR(IF(INDEX(Matches!$X$5:$X$23,MATCH($C49,Matches!$A$5:$A$23,0))="","",INDEX(Matches!$X$5:$X$23,MATCH($C49,Matches!$A$5:$A$23,0))),"")</f>
        <v>Nuke</v>
      </c>
      <c r="I49" s="0" t="str">
        <f aca="false">IFERROR(IF(INDEX(Matches!$Y$5:$Y$23,MATCH($C49,Matches!$A$5:$A$23,0))="","",INDEX(Matches!$Y$5:$Y$23,MATCH($C49,Matches!$A$5:$A$23,0))),"")</f>
        <v>Ancient</v>
      </c>
      <c r="J49" s="11" t="n">
        <f aca="false">IFERROR(IF(INDEX(Matches!$Z$5:$Z$23,MATCH($C49,Matches!$A$5:$A$23,0))="","",INDEX(Matches!$Z$5:$Z$23,MATCH($C49,Matches!$A$5:$A$23,0))),"")</f>
        <v>21.42</v>
      </c>
      <c r="K49" s="11" t="n">
        <f aca="false">IFERROR(IF(INDEX(Matches!$AA$5:$AA$23,MATCH($C49,Matches!$A$5:$A$23,0))="","",INDEX(Matches!$AA$5:$AA$23,MATCH($C49,Matches!$A$5:$A$23,0))),"")</f>
        <v>21.5</v>
      </c>
      <c r="L49" s="11" t="n">
        <f aca="false">IFERROR(IF(INDEX(Matches!$AB$5:$AB$23,MATCH($C49,Matches!$A$5:$A$23,0))="","",INDEX(Matches!$AB$5:$AB$23,MATCH($C49,Matches!$A$5:$A$23,0))),"")</f>
        <v>21.5</v>
      </c>
      <c r="M49" s="10" t="n">
        <f aca="false">IFERROR(IF(INDEX(Matches!$AC$5:$AC$23,MATCH($C49,Matches!$A$5:$A$23,0))="","",INDEX(Matches!$AC$5:$AC$23,MATCH($C49,Matches!$A$5:$A$23,0))),"")</f>
        <v>0.4962</v>
      </c>
      <c r="N49" s="9" t="n">
        <f aca="false">IFERROR(INDEX(Players!$F$2:$F$137,MATCH($F49,Players!$A$2:$A$137,0)),0)</f>
        <v>37</v>
      </c>
      <c r="O49" s="13" t="n">
        <f aca="false">IFERROR(1/(1/INDEX(Players!$H$2:$H$137,MATCH($F49,Players!$A$2:$A$137,0))),"")</f>
        <v>0.62</v>
      </c>
      <c r="P49" s="10" t="n">
        <f aca="false">IFERROR(1/(1/INDEX(Players!$I$2:$I$137,MATCH($F49,Players!$A$2:$A$137,0))),"")</f>
        <v>0.461</v>
      </c>
      <c r="Q49" s="9" t="n">
        <f aca="false">IF($G49="",0,SUMIFS(Map_Stats!$F$2:$F$850,Map_Stats!$A$2:$A$850,$F49&amp;"|"&amp;$G49))</f>
        <v>9</v>
      </c>
      <c r="R49" s="13" t="n">
        <f aca="false">IF($G49="","",IFERROR(1/(1/INDEX(Map_Stats!$K$2:$K$850,MATCH($F49&amp;"|"&amp;$G49,Map_Stats!$A$2:$A$850,0))),$O49))</f>
        <v>0.61</v>
      </c>
      <c r="S49" s="10" t="n">
        <f aca="false">IF(OR($G49="",$P49=""),"",IFERROR(1/(1/INDEX(Map_Stats!$I$2:$I$850,MATCH($F49&amp;"|"&amp;$G49,Map_Stats!$A$2:$A$850,0))),$P49))</f>
        <v>0.513</v>
      </c>
      <c r="T49" s="13" t="n">
        <f aca="false">IF(OR($G49="",R49=""),"",IF($O49="",R49,(Q49*R49+Config!$B$4*$O49)/(Q49+Config!$B$4)))</f>
        <v>0.613571428571429</v>
      </c>
      <c r="U49" s="10" t="n">
        <f aca="false">IF(S49="","",(Q49*S49+Config!$B$4*$P49)/(Q49+Config!$B$4))</f>
        <v>0.494428571428571</v>
      </c>
      <c r="V49" s="17" t="n">
        <f aca="false">IF(OR(T49="",$J49=""),"",T49*$J49*($J49/Config!$B$10)^Config!$B$9)</f>
        <v>13.1427</v>
      </c>
      <c r="W49" s="17" t="n">
        <f aca="false">IF(OR(V49="",U49=""),"",V49*U49)</f>
        <v>6.49812638571429</v>
      </c>
      <c r="X49" s="9" t="n">
        <f aca="false">IF($H49="",0,SUMIFS(Map_Stats!$F$2:$F$850,Map_Stats!$A$2:$A$850,$F49&amp;"|"&amp;$H49))</f>
        <v>6</v>
      </c>
      <c r="Y49" s="13" t="n">
        <f aca="false">IF($H49="","",IFERROR(1/(1/INDEX(Map_Stats!$K$2:$K$850,MATCH($F49&amp;"|"&amp;$H49,Map_Stats!$A$2:$A$850,0))),$O49))</f>
        <v>0.62</v>
      </c>
      <c r="Z49" s="10" t="n">
        <f aca="false">IF(OR($H49="",$P49=""),"",IFERROR(1/(1/INDEX(Map_Stats!$I$2:$I$850,MATCH($F49&amp;"|"&amp;$H49,Map_Stats!$A$2:$A$850,0))),$P49))</f>
        <v>0.415</v>
      </c>
      <c r="AA49" s="13" t="n">
        <f aca="false">IF(OR($H49="",Y49=""),"",IF($O49="",Y49,(X49*Y49+Config!$B$4*$O49)/(X49+Config!$B$4)))</f>
        <v>0.62</v>
      </c>
      <c r="AB49" s="10" t="n">
        <f aca="false">IF(Z49="","",(X49*Z49+Config!$B$4*$P49)/(X49+Config!$B$4))</f>
        <v>0.435909090909091</v>
      </c>
      <c r="AC49" s="17" t="n">
        <f aca="false">IF(OR(AA49="",$K49=""),"",AA49*$K49*($K49/Config!$B$10)^Config!$B$9)</f>
        <v>13.33</v>
      </c>
      <c r="AD49" s="17" t="n">
        <f aca="false">IF(OR(AC49="",AB49=""),"",AC49*AB49)</f>
        <v>5.81066818181818</v>
      </c>
      <c r="AE49" s="9" t="n">
        <f aca="false">IF($I49="",0,SUMIFS(Map_Stats!$F$2:$F$850,Map_Stats!$A$2:$A$850,$F49&amp;"|"&amp;$I49))</f>
        <v>6</v>
      </c>
      <c r="AF49" s="13" t="n">
        <f aca="false">IF($I49="","",IFERROR(1/(1/INDEX(Map_Stats!$K$2:$K$850,MATCH($F49&amp;"|"&amp;$I49,Map_Stats!$A$2:$A$850,0))),$O49))</f>
        <v>0.64</v>
      </c>
      <c r="AG49" s="10" t="n">
        <f aca="false">IF(OR($I49="",$P49=""),"",IFERROR(1/(1/INDEX(Map_Stats!$I$2:$I$850,MATCH($F49&amp;"|"&amp;$I49,Map_Stats!$A$2:$A$850,0))),$P49))</f>
        <v>0.402</v>
      </c>
      <c r="AH49" s="13" t="n">
        <f aca="false">IF(OR($I49="",AF49=""),"",IF($O49="",AF49,(AE49*AF49+Config!$B$4*$O49)/(AE49+Config!$B$4)))</f>
        <v>0.630909090909091</v>
      </c>
      <c r="AI49" s="10" t="n">
        <f aca="false">IF(AG49="","",(AE49*AG49+Config!$B$4*$P49)/(AE49+Config!$B$4))</f>
        <v>0.428818181818182</v>
      </c>
      <c r="AJ49" s="17" t="n">
        <f aca="false">IF(OR(AH49="",$L49=""),"",AH49*$L49*($L49/Config!$B$10)^Config!$B$9)</f>
        <v>13.5645454545455</v>
      </c>
      <c r="AK49" s="17" t="n">
        <f aca="false">IF(OR(AJ49="",AI49=""),"",AJ49*AI49)</f>
        <v>5.81672371900826</v>
      </c>
      <c r="AL49" s="17" t="n">
        <f aca="false">N(V49)+N(AC49)</f>
        <v>26.4727</v>
      </c>
      <c r="AM49" s="17" t="n">
        <f aca="false">AL49+N($M49)*N(AJ49)</f>
        <v>33.2034274545455</v>
      </c>
      <c r="AN49" s="17" t="n">
        <f aca="false">IF(W49="","",N(W49)+N(AD49))</f>
        <v>12.3087945675325</v>
      </c>
      <c r="AO49" s="17" t="n">
        <f aca="false">IF(AN49="","",AN49+N($M49)*N(AK49))</f>
        <v>15.1950528769044</v>
      </c>
      <c r="AP49" s="10" t="n">
        <f aca="false">IFERROR(AN49/AL49,"")</f>
        <v>0.464961812264426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IF($C49=Board!$B$2,COUNTIFS($C$2:$C$137,Board!$B$2,$AL$2:$AL$137,"&gt;"&amp;$AL49)+COUNTIFS($C$1:$C48,Board!$B$2,$AL$1:$AL48,$AL49)+1,"")</f>
        <v/>
      </c>
      <c r="AS49" s="0" t="str">
        <f aca="false">IFERROR(IF($D49=INDEX(Matches!$AD$5:$AD$23,MATCH($C49,Matches!$A$5:$A$23,0)),"A",IF($D49=INDEX(Matches!$AE$5:$AE$23,MATCH($C49,Matches!$A$5:$A$23,0)),"B","")),"")</f>
        <v>B</v>
      </c>
      <c r="AT49" s="10" t="n">
        <f aca="false">IF($AS49="","",IFERROR(IF($AS49="A",INDEX(Matches!$AI$5:$AI$23,MATCH($C49,Matches!$A$5:$A$23,0)),INDEX(Matches!$AJ$5:$AJ$23,MATCH($C49,Matches!$A$5:$A$23,0))),""))</f>
        <v>0.532105570388234</v>
      </c>
      <c r="AU49" s="10" t="n">
        <f aca="false">IF($AS49="","",IFERROR(IF(INDEX(Matches!$AP$5:$AP$23,MATCH($C49,Matches!$A$5:$A$23,0))="","",IF($AS49="A",INDEX(Matches!$AP$5:$AP$23,MATCH($C49,Matches!$A$5:$A$23,0)),1-INDEX(Matches!$AP$5:$AP$23,MATCH($C49,Matches!$A$5:$A$23,0)))),""))</f>
        <v>0.554166599294859</v>
      </c>
      <c r="AV49" s="13" t="n">
        <f aca="false">IF(OR($AU49="",$AT49=""),1,((Config!$B$14*$AU49+Config!$B$15*(1-$AU49))/(Config!$B$14*$AT49+Config!$B$15*(1-$AT49)))^Config!$B$13)</f>
        <v>1.01916428596044</v>
      </c>
      <c r="AW49" s="10" t="n">
        <f aca="false">IF($AS49="","",IFERROR(IF(INDEX(Matches!$AV$5:$AV$23,MATCH($C49,Matches!$A$5:$A$23,0))="","",IF($AS49="A",INDEX(Matches!$AV$5:$AV$23,MATCH($C49,Matches!$A$5:$A$23,0)),1-INDEX(Matches!$AV$5:$AV$23,MATCH($C49,Matches!$A$5:$A$23,0)))),""))</f>
        <v>0.555691255495848</v>
      </c>
      <c r="AX49" s="13" t="n">
        <f aca="false">IF(OR($AW49="",$AT49=""),1,((Config!$B$14*$AW49+Config!$B$15*(1-$AW49))/(Config!$B$14*$AT49+Config!$B$15*(1-$AT49)))^Config!$B$13)</f>
        <v>1.02048874582815</v>
      </c>
      <c r="AY49" s="10" t="n">
        <f aca="false">IF($AS49="","",IFERROR(IF(INDEX(Matches!$BB$5:$BB$23,MATCH($C49,Matches!$A$5:$A$23,0))="","",IF($AS49="A",INDEX(Matches!$BB$5:$BB$23,MATCH($C49,Matches!$A$5:$A$23,0)),1-INDEX(Matches!$BB$5:$BB$23,MATCH($C49,Matches!$A$5:$A$23,0)))),""))</f>
        <v>0.521095671791105</v>
      </c>
      <c r="AZ49" s="13" t="n">
        <f aca="false">IF(OR($AY49="",$AT49=""),1,((Config!$B$14*$AY49+Config!$B$15*(1-$AY49))/(Config!$B$14*$AT49+Config!$B$15*(1-$AT49)))^Config!$B$13)</f>
        <v>0.990435765892701</v>
      </c>
      <c r="BA49" s="17" t="n">
        <f aca="false">IF(V49="","",V49*$AV49)</f>
        <v>13.3945704610923</v>
      </c>
      <c r="BB49" s="17" t="n">
        <f aca="false">IF(AC49="","",AC49*$AX49)</f>
        <v>13.6031149818892</v>
      </c>
      <c r="BC49" s="17" t="n">
        <f aca="false">IF(AJ49="","",AJ49*$AZ49)</f>
        <v>13.4348109662591</v>
      </c>
      <c r="BD49" s="17" t="n">
        <f aca="false">N(BA49)+N(BB49)</f>
        <v>26.9976854429816</v>
      </c>
      <c r="BE49" s="17" t="n">
        <f aca="false">BD49+N($M49)*N(BC49)</f>
        <v>33.6640386444393</v>
      </c>
      <c r="BF49" s="17" t="n">
        <f aca="false">IF(W49="","",W49*$AV49)</f>
        <v>6.62265833797722</v>
      </c>
      <c r="BG49" s="17" t="n">
        <f aca="false">IF(AD49="","",AD49*$AX49)</f>
        <v>5.92972148528717</v>
      </c>
      <c r="BH49" s="17" t="n">
        <f aca="false">IF(AK49="","",AK49*$AZ49)</f>
        <v>5.76109121162219</v>
      </c>
      <c r="BI49" s="17" t="n">
        <f aca="false">IF(BF49="","",N(BF49)+N(BG49))</f>
        <v>12.5523798232644</v>
      </c>
      <c r="BJ49" s="17" t="n">
        <f aca="false">IF(BI49="","",BI49+N($M49)*N(BH49))</f>
        <v>15.4110332824713</v>
      </c>
      <c r="BK49" s="13" t="n">
        <f aca="false">IFERROR(BD49/AL49,1)</f>
        <v>1.01983120131235</v>
      </c>
    </row>
    <row r="50" customFormat="false" ht="15" hidden="false" customHeight="false" outlineLevel="0" collapsed="false">
      <c r="A50" s="0" t="s">
        <v>1414</v>
      </c>
      <c r="B50" s="0" t="s">
        <v>1139</v>
      </c>
      <c r="C50" s="0" t="s">
        <v>1235</v>
      </c>
      <c r="D50" s="0" t="s">
        <v>1237</v>
      </c>
      <c r="E50" s="0" t="s">
        <v>1413</v>
      </c>
      <c r="F50" s="0" t="s">
        <v>1707</v>
      </c>
      <c r="G50" s="0" t="str">
        <f aca="false">IFERROR(IF(INDEX(Matches!$W$5:$W$23,MATCH($C50,Matches!$A$5:$A$23,0))="","",INDEX(Matches!$W$5:$W$23,MATCH($C50,Matches!$A$5:$A$23,0))),"")</f>
        <v>Cache</v>
      </c>
      <c r="H50" s="0" t="str">
        <f aca="false">IFERROR(IF(INDEX(Matches!$X$5:$X$23,MATCH($C50,Matches!$A$5:$A$23,0))="","",INDEX(Matches!$X$5:$X$23,MATCH($C50,Matches!$A$5:$A$23,0))),"")</f>
        <v>Mirage</v>
      </c>
      <c r="I50" s="0" t="str">
        <f aca="false">IFERROR(IF(INDEX(Matches!$Y$5:$Y$23,MATCH($C50,Matches!$A$5:$A$23,0))="","",INDEX(Matches!$Y$5:$Y$23,MATCH($C50,Matches!$A$5:$A$23,0))),"")</f>
        <v>Ancient</v>
      </c>
      <c r="J50" s="11" t="n">
        <f aca="false">IFERROR(IF(INDEX(Matches!$Z$5:$Z$23,MATCH($C50,Matches!$A$5:$A$23,0))="","",INDEX(Matches!$Z$5:$Z$23,MATCH($C50,Matches!$A$5:$A$23,0))),"")</f>
        <v>19.34</v>
      </c>
      <c r="K50" s="11" t="n">
        <f aca="false">IFERROR(IF(INDEX(Matches!$AA$5:$AA$23,MATCH($C50,Matches!$A$5:$A$23,0))="","",INDEX(Matches!$AA$5:$AA$23,MATCH($C50,Matches!$A$5:$A$23,0))),"")</f>
        <v>19.34</v>
      </c>
      <c r="L50" s="11" t="n">
        <f aca="false">IFERROR(IF(INDEX(Matches!$AB$5:$AB$23,MATCH($C50,Matches!$A$5:$A$23,0))="","",INDEX(Matches!$AB$5:$AB$23,MATCH($C50,Matches!$A$5:$A$23,0))),"")</f>
        <v>21.5</v>
      </c>
      <c r="M50" s="10" t="n">
        <f aca="false">IFERROR(IF(INDEX(Matches!$AC$5:$AC$23,MATCH($C50,Matches!$A$5:$A$23,0))="","",INDEX(Matches!$AC$5:$AC$23,MATCH($C50,Matches!$A$5:$A$23,0))),"")</f>
        <v>0.2452</v>
      </c>
      <c r="N50" s="9" t="n">
        <f aca="false">IFERROR(INDEX(Players!$F$2:$F$137,MATCH($F50,Players!$A$2:$A$137,0)),0)</f>
        <v>35</v>
      </c>
      <c r="O50" s="13" t="n">
        <f aca="false">IFERROR(1/(1/INDEX(Players!$H$2:$H$137,MATCH($F50,Players!$A$2:$A$137,0))),"")</f>
        <v>0.75</v>
      </c>
      <c r="P50" s="10" t="n">
        <f aca="false">IFERROR(1/(1/INDEX(Players!$I$2:$I$137,MATCH($F50,Players!$A$2:$A$137,0))),"")</f>
        <v>0.576</v>
      </c>
      <c r="Q50" s="9" t="n">
        <f aca="false">IF($G50="",0,SUMIFS(Map_Stats!$F$2:$F$850,Map_Stats!$A$2:$A$850,$F50&amp;"|"&amp;$G50))</f>
        <v>6</v>
      </c>
      <c r="R50" s="13" t="n">
        <f aca="false">IF($G50="","",IFERROR(1/(1/INDEX(Map_Stats!$K$2:$K$850,MATCH($F50&amp;"|"&amp;$G50,Map_Stats!$A$2:$A$850,0))),$O50))</f>
        <v>0.74</v>
      </c>
      <c r="S50" s="10" t="n">
        <f aca="false">IF(OR($G50="",$P50=""),"",IFERROR(1/(1/INDEX(Map_Stats!$I$2:$I$850,MATCH($F50&amp;"|"&amp;$G50,Map_Stats!$A$2:$A$850,0))),$P50))</f>
        <v>0.574</v>
      </c>
      <c r="T50" s="13" t="n">
        <f aca="false">IF(OR($G50="",R50=""),"",IF($O50="",R50,(Q50*R50+Config!$B$4*$O50)/(Q50+Config!$B$4)))</f>
        <v>0.744545454545455</v>
      </c>
      <c r="U50" s="10" t="n">
        <f aca="false">IF(S50="","",(Q50*S50+Config!$B$4*$P50)/(Q50+Config!$B$4))</f>
        <v>0.574909090909091</v>
      </c>
      <c r="V50" s="17" t="n">
        <f aca="false">IF(OR(T50="",$J50=""),"",T50*$J50*($J50/Config!$B$10)^Config!$B$9)</f>
        <v>14.3995090909091</v>
      </c>
      <c r="W50" s="17" t="n">
        <f aca="false">IF(OR(V50="",U50=""),"",V50*U50)</f>
        <v>8.27840868099174</v>
      </c>
      <c r="X50" s="9" t="n">
        <f aca="false">IF($H50="",0,SUMIFS(Map_Stats!$F$2:$F$850,Map_Stats!$A$2:$A$850,$F50&amp;"|"&amp;$H50))</f>
        <v>7</v>
      </c>
      <c r="Y50" s="13" t="n">
        <f aca="false">IF($H50="","",IFERROR(1/(1/INDEX(Map_Stats!$K$2:$K$850,MATCH($F50&amp;"|"&amp;$H50,Map_Stats!$A$2:$A$850,0))),$O50))</f>
        <v>0.72</v>
      </c>
      <c r="Z50" s="10" t="n">
        <f aca="false">IF(OR($H50="",$P50=""),"",IFERROR(1/(1/INDEX(Map_Stats!$I$2:$I$850,MATCH($F50&amp;"|"&amp;$H50,Map_Stats!$A$2:$A$850,0))),$P50))</f>
        <v>0.57</v>
      </c>
      <c r="AA50" s="13" t="n">
        <f aca="false">IF(OR($H50="",Y50=""),"",IF($O50="",Y50,(X50*Y50+Config!$B$4*$O50)/(X50+Config!$B$4)))</f>
        <v>0.7325</v>
      </c>
      <c r="AB50" s="10" t="n">
        <f aca="false">IF(Z50="","",(X50*Z50+Config!$B$4*$P50)/(X50+Config!$B$4))</f>
        <v>0.5725</v>
      </c>
      <c r="AC50" s="17" t="n">
        <f aca="false">IF(OR(AA50="",$K50=""),"",AA50*$K50*($K50/Config!$B$10)^Config!$B$9)</f>
        <v>14.16655</v>
      </c>
      <c r="AD50" s="17" t="n">
        <f aca="false">IF(OR(AC50="",AB50=""),"",AC50*AB50)</f>
        <v>8.110349875</v>
      </c>
      <c r="AE50" s="9" t="n">
        <f aca="false">IF($I50="",0,SUMIFS(Map_Stats!$F$2:$F$850,Map_Stats!$A$2:$A$850,$F50&amp;"|"&amp;$I50))</f>
        <v>6</v>
      </c>
      <c r="AF50" s="13" t="n">
        <f aca="false">IF($I50="","",IFERROR(1/(1/INDEX(Map_Stats!$K$2:$K$850,MATCH($F50&amp;"|"&amp;$I50,Map_Stats!$A$2:$A$850,0))),$O50))</f>
        <v>0.8</v>
      </c>
      <c r="AG50" s="10" t="n">
        <f aca="false">IF(OR($I50="",$P50=""),"",IFERROR(1/(1/INDEX(Map_Stats!$I$2:$I$850,MATCH($F50&amp;"|"&amp;$I50,Map_Stats!$A$2:$A$850,0))),$P50))</f>
        <v>0.477</v>
      </c>
      <c r="AH50" s="13" t="n">
        <f aca="false">IF(OR($I50="",AF50=""),"",IF($O50="",AF50,(AE50*AF50+Config!$B$4*$O50)/(AE50+Config!$B$4)))</f>
        <v>0.777272727272727</v>
      </c>
      <c r="AI50" s="10" t="n">
        <f aca="false">IF(AG50="","",(AE50*AG50+Config!$B$4*$P50)/(AE50+Config!$B$4))</f>
        <v>0.522</v>
      </c>
      <c r="AJ50" s="17" t="n">
        <f aca="false">IF(OR(AH50="",$L50=""),"",AH50*$L50*($L50/Config!$B$10)^Config!$B$9)</f>
        <v>16.7113636363636</v>
      </c>
      <c r="AK50" s="17" t="n">
        <f aca="false">IF(OR(AJ50="",AI50=""),"",AJ50*AI50)</f>
        <v>8.72333181818182</v>
      </c>
      <c r="AL50" s="17" t="n">
        <f aca="false">N(V50)+N(AC50)</f>
        <v>28.5660590909091</v>
      </c>
      <c r="AM50" s="17" t="n">
        <f aca="false">AL50+N($M50)*N(AJ50)</f>
        <v>32.6636854545455</v>
      </c>
      <c r="AN50" s="17" t="n">
        <f aca="false">IF(W50="","",N(W50)+N(AD50))</f>
        <v>16.3887585559917</v>
      </c>
      <c r="AO50" s="17" t="n">
        <f aca="false">IF(AN50="","",AN50+N($M50)*N(AK50))</f>
        <v>18.5277195178099</v>
      </c>
      <c r="AP50" s="10" t="n">
        <f aca="false">IFERROR(AN50/AL50,"")</f>
        <v>0.573714368644127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IF($C50=Board!$B$2,COUNTIFS($C$2:$C$137,Board!$B$2,$AL$2:$AL$137,"&gt;"&amp;$AL50)+COUNTIFS($C$1:$C49,Board!$B$2,$AL$1:$AL49,$AL50)+1,"")</f>
        <v/>
      </c>
      <c r="AS50" s="0" t="str">
        <f aca="false">IFERROR(IF($D50=INDEX(Matches!$AD$5:$AD$23,MATCH($C50,Matches!$A$5:$A$23,0)),"A",IF($D50=INDEX(Matches!$AE$5:$AE$23,MATCH($C50,Matches!$A$5:$A$23,0)),"B","")),"")</f>
        <v>A</v>
      </c>
      <c r="AT50" s="10" t="n">
        <f aca="false">IF($AS50="","",IFERROR(IF($AS50="A",INDEX(Matches!$AI$5:$AI$23,MATCH($C50,Matches!$A$5:$A$23,0)),INDEX(Matches!$AJ$5:$AJ$23,MATCH($C50,Matches!$A$5:$A$23,0))),""))</f>
        <v>0.520088972606857</v>
      </c>
      <c r="AU50" s="10" t="n">
        <f aca="false">IF($AS50="","",IFERROR(IF(INDEX(Matches!$AP$5:$AP$23,MATCH($C50,Matches!$A$5:$A$23,0))="","",IF($AS50="A",INDEX(Matches!$AP$5:$AP$23,MATCH($C50,Matches!$A$5:$A$23,0)),1-INDEX(Matches!$AP$5:$AP$23,MATCH($C50,Matches!$A$5:$A$23,0)))),""))</f>
        <v>0.634297554791098</v>
      </c>
      <c r="AV50" s="13" t="n">
        <f aca="false">IF(OR($AU50="",$AT50=""),1,((Config!$B$14*$AU50+Config!$B$15*(1-$AU50))/(Config!$B$14*$AT50+Config!$B$15*(1-$AT50)))^Config!$B$13)</f>
        <v>1.1002589004874</v>
      </c>
      <c r="AW50" s="10" t="n">
        <f aca="false">IF($AS50="","",IFERROR(IF(INDEX(Matches!$AV$5:$AV$23,MATCH($C50,Matches!$A$5:$A$23,0))="","",IF($AS50="A",INDEX(Matches!$AV$5:$AV$23,MATCH($C50,Matches!$A$5:$A$23,0)),1-INDEX(Matches!$AV$5:$AV$23,MATCH($C50,Matches!$A$5:$A$23,0)))),""))</f>
        <v>0.557449679626216</v>
      </c>
      <c r="AX50" s="13" t="n">
        <f aca="false">IF(OR($AW50="",$AT50=""),1,((Config!$B$14*$AW50+Config!$B$15*(1-$AW50))/(Config!$B$14*$AT50+Config!$B$15*(1-$AT50)))^Config!$B$13)</f>
        <v>1.03279738996453</v>
      </c>
      <c r="AY50" s="10" t="n">
        <f aca="false">IF($AS50="","",IFERROR(IF(INDEX(Matches!$BB$5:$BB$23,MATCH($C50,Matches!$A$5:$A$23,0))="","",IF($AS50="A",INDEX(Matches!$BB$5:$BB$23,MATCH($C50,Matches!$A$5:$A$23,0)),1-INDEX(Matches!$BB$5:$BB$23,MATCH($C50,Matches!$A$5:$A$23,0)))),""))</f>
        <v>0.535745039968737</v>
      </c>
      <c r="AZ50" s="13" t="n">
        <f aca="false">IF(OR($AY50="",$AT50=""),1,((Config!$B$14*$AY50+Config!$B$15*(1-$AY50))/(Config!$B$14*$AT50+Config!$B$15*(1-$AT50)))^Config!$B$13)</f>
        <v>1.01374380164467</v>
      </c>
      <c r="BA50" s="17" t="n">
        <f aca="false">IF(V50="","",V50*$AV50)</f>
        <v>15.8431880399219</v>
      </c>
      <c r="BB50" s="17" t="n">
        <f aca="false">IF(AC50="","",AC50*$AX50)</f>
        <v>14.631175864802</v>
      </c>
      <c r="BC50" s="17" t="n">
        <f aca="false">IF(AJ50="","",AJ50*$AZ50)</f>
        <v>16.9410413033937</v>
      </c>
      <c r="BD50" s="17" t="n">
        <f aca="false">N(BA50)+N(BB50)</f>
        <v>30.474363904724</v>
      </c>
      <c r="BE50" s="17" t="n">
        <f aca="false">BD50+N($M50)*N(BC50)</f>
        <v>34.6283072323161</v>
      </c>
      <c r="BF50" s="17" t="n">
        <f aca="false">IF(W50="","",W50*$AV50)</f>
        <v>9.1083928331333</v>
      </c>
      <c r="BG50" s="17" t="n">
        <f aca="false">IF(AD50="","",AD50*$AX50)</f>
        <v>8.37634818259916</v>
      </c>
      <c r="BH50" s="17" t="n">
        <f aca="false">IF(AK50="","",AK50*$AZ50)</f>
        <v>8.84322356037152</v>
      </c>
      <c r="BI50" s="17" t="n">
        <f aca="false">IF(BF50="","",N(BF50)+N(BG50))</f>
        <v>17.4847410157325</v>
      </c>
      <c r="BJ50" s="17" t="n">
        <f aca="false">IF(BI50="","",BI50+N($M50)*N(BH50))</f>
        <v>19.6530994327356</v>
      </c>
      <c r="BK50" s="13" t="n">
        <f aca="false">IFERROR(BD50/AL50,1)</f>
        <v>1.06680322293467</v>
      </c>
    </row>
    <row r="51" customFormat="false" ht="15" hidden="false" customHeight="false" outlineLevel="0" collapsed="false">
      <c r="A51" s="0" t="s">
        <v>1416</v>
      </c>
      <c r="B51" s="0" t="s">
        <v>1139</v>
      </c>
      <c r="C51" s="0" t="s">
        <v>1235</v>
      </c>
      <c r="D51" s="0" t="s">
        <v>1237</v>
      </c>
      <c r="E51" s="0" t="s">
        <v>1415</v>
      </c>
      <c r="F51" s="0" t="s">
        <v>1708</v>
      </c>
      <c r="G51" s="0" t="str">
        <f aca="false">IFERROR(IF(INDEX(Matches!$W$5:$W$23,MATCH($C51,Matches!$A$5:$A$23,0))="","",INDEX(Matches!$W$5:$W$23,MATCH($C51,Matches!$A$5:$A$23,0))),"")</f>
        <v>Cache</v>
      </c>
      <c r="H51" s="0" t="str">
        <f aca="false">IFERROR(IF(INDEX(Matches!$X$5:$X$23,MATCH($C51,Matches!$A$5:$A$23,0))="","",INDEX(Matches!$X$5:$X$23,MATCH($C51,Matches!$A$5:$A$23,0))),"")</f>
        <v>Mirage</v>
      </c>
      <c r="I51" s="0" t="str">
        <f aca="false">IFERROR(IF(INDEX(Matches!$Y$5:$Y$23,MATCH($C51,Matches!$A$5:$A$23,0))="","",INDEX(Matches!$Y$5:$Y$23,MATCH($C51,Matches!$A$5:$A$23,0))),"")</f>
        <v>Ancient</v>
      </c>
      <c r="J51" s="11" t="n">
        <f aca="false">IFERROR(IF(INDEX(Matches!$Z$5:$Z$23,MATCH($C51,Matches!$A$5:$A$23,0))="","",INDEX(Matches!$Z$5:$Z$23,MATCH($C51,Matches!$A$5:$A$23,0))),"")</f>
        <v>19.34</v>
      </c>
      <c r="K51" s="11" t="n">
        <f aca="false">IFERROR(IF(INDEX(Matches!$AA$5:$AA$23,MATCH($C51,Matches!$A$5:$A$23,0))="","",INDEX(Matches!$AA$5:$AA$23,MATCH($C51,Matches!$A$5:$A$23,0))),"")</f>
        <v>19.34</v>
      </c>
      <c r="L51" s="11" t="n">
        <f aca="false">IFERROR(IF(INDEX(Matches!$AB$5:$AB$23,MATCH($C51,Matches!$A$5:$A$23,0))="","",INDEX(Matches!$AB$5:$AB$23,MATCH($C51,Matches!$A$5:$A$23,0))),"")</f>
        <v>21.5</v>
      </c>
      <c r="M51" s="10" t="n">
        <f aca="false">IFERROR(IF(INDEX(Matches!$AC$5:$AC$23,MATCH($C51,Matches!$A$5:$A$23,0))="","",INDEX(Matches!$AC$5:$AC$23,MATCH($C51,Matches!$A$5:$A$23,0))),"")</f>
        <v>0.2452</v>
      </c>
      <c r="N51" s="9" t="n">
        <f aca="false">IFERROR(INDEX(Players!$F$2:$F$137,MATCH($F51,Players!$A$2:$A$137,0)),0)</f>
        <v>35</v>
      </c>
      <c r="O51" s="13" t="n">
        <f aca="false">IFERROR(1/(1/INDEX(Players!$H$2:$H$137,MATCH($F51,Players!$A$2:$A$137,0))),"")</f>
        <v>0.56</v>
      </c>
      <c r="P51" s="10" t="n">
        <f aca="false">IFERROR(1/(1/INDEX(Players!$I$2:$I$137,MATCH($F51,Players!$A$2:$A$137,0))),"")</f>
        <v>0.455</v>
      </c>
      <c r="Q51" s="9" t="n">
        <f aca="false">IF($G51="",0,SUMIFS(Map_Stats!$F$2:$F$850,Map_Stats!$A$2:$A$850,$F51&amp;"|"&amp;$G51))</f>
        <v>6</v>
      </c>
      <c r="R51" s="13" t="n">
        <f aca="false">IF($G51="","",IFERROR(1/(1/INDEX(Map_Stats!$K$2:$K$850,MATCH($F51&amp;"|"&amp;$G51,Map_Stats!$A$2:$A$850,0))),$O51))</f>
        <v>0.63</v>
      </c>
      <c r="S51" s="10" t="n">
        <f aca="false">IF(OR($G51="",$P51=""),"",IFERROR(1/(1/INDEX(Map_Stats!$I$2:$I$850,MATCH($F51&amp;"|"&amp;$G51,Map_Stats!$A$2:$A$850,0))),$P51))</f>
        <v>0.488</v>
      </c>
      <c r="T51" s="13" t="n">
        <f aca="false">IF(OR($G51="",R51=""),"",IF($O51="",R51,(Q51*R51+Config!$B$4*$O51)/(Q51+Config!$B$4)))</f>
        <v>0.598181818181818</v>
      </c>
      <c r="U51" s="10" t="n">
        <f aca="false">IF(S51="","",(Q51*S51+Config!$B$4*$P51)/(Q51+Config!$B$4))</f>
        <v>0.473</v>
      </c>
      <c r="V51" s="17" t="n">
        <f aca="false">IF(OR(T51="",$J51=""),"",T51*$J51*($J51/Config!$B$10)^Config!$B$9)</f>
        <v>11.5688363636364</v>
      </c>
      <c r="W51" s="17" t="n">
        <f aca="false">IF(OR(V51="",U51=""),"",V51*U51)</f>
        <v>5.4720596</v>
      </c>
      <c r="X51" s="9" t="n">
        <f aca="false">IF($H51="",0,SUMIFS(Map_Stats!$F$2:$F$850,Map_Stats!$A$2:$A$850,$F51&amp;"|"&amp;$H51))</f>
        <v>7</v>
      </c>
      <c r="Y51" s="13" t="n">
        <f aca="false">IF($H51="","",IFERROR(1/(1/INDEX(Map_Stats!$K$2:$K$850,MATCH($F51&amp;"|"&amp;$H51,Map_Stats!$A$2:$A$850,0))),$O51))</f>
        <v>0.56</v>
      </c>
      <c r="Z51" s="10" t="n">
        <f aca="false">IF(OR($H51="",$P51=""),"",IFERROR(1/(1/INDEX(Map_Stats!$I$2:$I$850,MATCH($F51&amp;"|"&amp;$H51,Map_Stats!$A$2:$A$850,0))),$P51))</f>
        <v>0.368</v>
      </c>
      <c r="AA51" s="13" t="n">
        <f aca="false">IF(OR($H51="",Y51=""),"",IF($O51="",Y51,(X51*Y51+Config!$B$4*$O51)/(X51+Config!$B$4)))</f>
        <v>0.56</v>
      </c>
      <c r="AB51" s="10" t="n">
        <f aca="false">IF(Z51="","",(X51*Z51+Config!$B$4*$P51)/(X51+Config!$B$4))</f>
        <v>0.40425</v>
      </c>
      <c r="AC51" s="17" t="n">
        <f aca="false">IF(OR(AA51="",$K51=""),"",AA51*$K51*($K51/Config!$B$10)^Config!$B$9)</f>
        <v>10.8304</v>
      </c>
      <c r="AD51" s="17" t="n">
        <f aca="false">IF(OR(AC51="",AB51=""),"",AC51*AB51)</f>
        <v>4.3781892</v>
      </c>
      <c r="AE51" s="9" t="n">
        <f aca="false">IF($I51="",0,SUMIFS(Map_Stats!$F$2:$F$850,Map_Stats!$A$2:$A$850,$F51&amp;"|"&amp;$I51))</f>
        <v>6</v>
      </c>
      <c r="AF51" s="13" t="n">
        <f aca="false">IF($I51="","",IFERROR(1/(1/INDEX(Map_Stats!$K$2:$K$850,MATCH($F51&amp;"|"&amp;$I51,Map_Stats!$A$2:$A$850,0))),$O51))</f>
        <v>0.63</v>
      </c>
      <c r="AG51" s="10" t="n">
        <f aca="false">IF(OR($I51="",$P51=""),"",IFERROR(1/(1/INDEX(Map_Stats!$I$2:$I$850,MATCH($F51&amp;"|"&amp;$I51,Map_Stats!$A$2:$A$850,0))),$P51))</f>
        <v>0.424</v>
      </c>
      <c r="AH51" s="13" t="n">
        <f aca="false">IF(OR($I51="",AF51=""),"",IF($O51="",AF51,(AE51*AF51+Config!$B$4*$O51)/(AE51+Config!$B$4)))</f>
        <v>0.598181818181818</v>
      </c>
      <c r="AI51" s="10" t="n">
        <f aca="false">IF(AG51="","",(AE51*AG51+Config!$B$4*$P51)/(AE51+Config!$B$4))</f>
        <v>0.438090909090909</v>
      </c>
      <c r="AJ51" s="17" t="n">
        <f aca="false">IF(OR(AH51="",$L51=""),"",AH51*$L51*($L51/Config!$B$10)^Config!$B$9)</f>
        <v>12.8609090909091</v>
      </c>
      <c r="AK51" s="17" t="n">
        <f aca="false">IF(OR(AJ51="",AI51=""),"",AJ51*AI51)</f>
        <v>5.6342473553719</v>
      </c>
      <c r="AL51" s="17" t="n">
        <f aca="false">N(V51)+N(AC51)</f>
        <v>22.3992363636364</v>
      </c>
      <c r="AM51" s="17" t="n">
        <f aca="false">AL51+N($M51)*N(AJ51)</f>
        <v>25.5527312727273</v>
      </c>
      <c r="AN51" s="17" t="n">
        <f aca="false">IF(W51="","",N(W51)+N(AD51))</f>
        <v>9.8502488</v>
      </c>
      <c r="AO51" s="17" t="n">
        <f aca="false">IF(AN51="","",AN51+N($M51)*N(AK51))</f>
        <v>11.2317662515372</v>
      </c>
      <c r="AP51" s="10" t="n">
        <f aca="false">IFERROR(AN51/AL51,"")</f>
        <v>0.439758241758242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IF($C51=Board!$B$2,COUNTIFS($C$2:$C$137,Board!$B$2,$AL$2:$AL$137,"&gt;"&amp;$AL51)+COUNTIFS($C$1:$C50,Board!$B$2,$AL$1:$AL50,$AL51)+1,"")</f>
        <v/>
      </c>
      <c r="AS51" s="0" t="str">
        <f aca="false">IFERROR(IF($D51=INDEX(Matches!$AD$5:$AD$23,MATCH($C51,Matches!$A$5:$A$23,0)),"A",IF($D51=INDEX(Matches!$AE$5:$AE$23,MATCH($C51,Matches!$A$5:$A$23,0)),"B","")),"")</f>
        <v>A</v>
      </c>
      <c r="AT51" s="10" t="n">
        <f aca="false">IF($AS51="","",IFERROR(IF($AS51="A",INDEX(Matches!$AI$5:$AI$23,MATCH($C51,Matches!$A$5:$A$23,0)),INDEX(Matches!$AJ$5:$AJ$23,MATCH($C51,Matches!$A$5:$A$23,0))),""))</f>
        <v>0.520088972606857</v>
      </c>
      <c r="AU51" s="10" t="n">
        <f aca="false">IF($AS51="","",IFERROR(IF(INDEX(Matches!$AP$5:$AP$23,MATCH($C51,Matches!$A$5:$A$23,0))="","",IF($AS51="A",INDEX(Matches!$AP$5:$AP$23,MATCH($C51,Matches!$A$5:$A$23,0)),1-INDEX(Matches!$AP$5:$AP$23,MATCH($C51,Matches!$A$5:$A$23,0)))),""))</f>
        <v>0.634297554791098</v>
      </c>
      <c r="AV51" s="13" t="n">
        <f aca="false">IF(OR($AU51="",$AT51=""),1,((Config!$B$14*$AU51+Config!$B$15*(1-$AU51))/(Config!$B$14*$AT51+Config!$B$15*(1-$AT51)))^Config!$B$13)</f>
        <v>1.1002589004874</v>
      </c>
      <c r="AW51" s="10" t="n">
        <f aca="false">IF($AS51="","",IFERROR(IF(INDEX(Matches!$AV$5:$AV$23,MATCH($C51,Matches!$A$5:$A$23,0))="","",IF($AS51="A",INDEX(Matches!$AV$5:$AV$23,MATCH($C51,Matches!$A$5:$A$23,0)),1-INDEX(Matches!$AV$5:$AV$23,MATCH($C51,Matches!$A$5:$A$23,0)))),""))</f>
        <v>0.557449679626216</v>
      </c>
      <c r="AX51" s="13" t="n">
        <f aca="false">IF(OR($AW51="",$AT51=""),1,((Config!$B$14*$AW51+Config!$B$15*(1-$AW51))/(Config!$B$14*$AT51+Config!$B$15*(1-$AT51)))^Config!$B$13)</f>
        <v>1.03279738996453</v>
      </c>
      <c r="AY51" s="10" t="n">
        <f aca="false">IF($AS51="","",IFERROR(IF(INDEX(Matches!$BB$5:$BB$23,MATCH($C51,Matches!$A$5:$A$23,0))="","",IF($AS51="A",INDEX(Matches!$BB$5:$BB$23,MATCH($C51,Matches!$A$5:$A$23,0)),1-INDEX(Matches!$BB$5:$BB$23,MATCH($C51,Matches!$A$5:$A$23,0)))),""))</f>
        <v>0.535745039968737</v>
      </c>
      <c r="AZ51" s="13" t="n">
        <f aca="false">IF(OR($AY51="",$AT51=""),1,((Config!$B$14*$AY51+Config!$B$15*(1-$AY51))/(Config!$B$14*$AT51+Config!$B$15*(1-$AT51)))^Config!$B$13)</f>
        <v>1.01374380164467</v>
      </c>
      <c r="BA51" s="17" t="n">
        <f aca="false">IF(V51="","",V51*$AV51)</f>
        <v>12.7287151773732</v>
      </c>
      <c r="BB51" s="17" t="n">
        <f aca="false">IF(AC51="","",AC51*$AX51)</f>
        <v>11.1856088522719</v>
      </c>
      <c r="BC51" s="17" t="n">
        <f aca="false">IF(AJ51="","",AJ51*$AZ51)</f>
        <v>13.0376668744246</v>
      </c>
      <c r="BD51" s="17" t="n">
        <f aca="false">N(BA51)+N(BB51)</f>
        <v>23.914324029645</v>
      </c>
      <c r="BE51" s="17" t="n">
        <f aca="false">BD51+N($M51)*N(BC51)</f>
        <v>27.111159947254</v>
      </c>
      <c r="BF51" s="17" t="n">
        <f aca="false">IF(W51="","",W51*$AV51)</f>
        <v>6.02068227889752</v>
      </c>
      <c r="BG51" s="17" t="n">
        <f aca="false">IF(AD51="","",AD51*$AX51)</f>
        <v>4.5217823785309</v>
      </c>
      <c r="BH51" s="17" t="n">
        <f aca="false">IF(AK51="","",AK51*$AZ51)</f>
        <v>5.71168333344112</v>
      </c>
      <c r="BI51" s="17" t="n">
        <f aca="false">IF(BF51="","",N(BF51)+N(BG51))</f>
        <v>10.5424646574284</v>
      </c>
      <c r="BJ51" s="17" t="n">
        <f aca="false">IF(BI51="","",BI51+N($M51)*N(BH51))</f>
        <v>11.9429694107882</v>
      </c>
      <c r="BK51" s="13" t="n">
        <f aca="false">IFERROR(BD51/AL51,1)</f>
        <v>1.06764014814667</v>
      </c>
    </row>
    <row r="52" customFormat="false" ht="15" hidden="false" customHeight="false" outlineLevel="0" collapsed="false">
      <c r="A52" s="0" t="s">
        <v>1418</v>
      </c>
      <c r="B52" s="0" t="s">
        <v>1139</v>
      </c>
      <c r="C52" s="0" t="s">
        <v>1235</v>
      </c>
      <c r="D52" s="0" t="s">
        <v>1237</v>
      </c>
      <c r="E52" s="0" t="s">
        <v>1417</v>
      </c>
      <c r="F52" s="0" t="s">
        <v>1709</v>
      </c>
      <c r="G52" s="0" t="str">
        <f aca="false">IFERROR(IF(INDEX(Matches!$W$5:$W$23,MATCH($C52,Matches!$A$5:$A$23,0))="","",INDEX(Matches!$W$5:$W$23,MATCH($C52,Matches!$A$5:$A$23,0))),"")</f>
        <v>Cache</v>
      </c>
      <c r="H52" s="0" t="str">
        <f aca="false">IFERROR(IF(INDEX(Matches!$X$5:$X$23,MATCH($C52,Matches!$A$5:$A$23,0))="","",INDEX(Matches!$X$5:$X$23,MATCH($C52,Matches!$A$5:$A$23,0))),"")</f>
        <v>Mirage</v>
      </c>
      <c r="I52" s="0" t="str">
        <f aca="false">IFERROR(IF(INDEX(Matches!$Y$5:$Y$23,MATCH($C52,Matches!$A$5:$A$23,0))="","",INDEX(Matches!$Y$5:$Y$23,MATCH($C52,Matches!$A$5:$A$23,0))),"")</f>
        <v>Ancient</v>
      </c>
      <c r="J52" s="11" t="n">
        <f aca="false">IFERROR(IF(INDEX(Matches!$Z$5:$Z$23,MATCH($C52,Matches!$A$5:$A$23,0))="","",INDEX(Matches!$Z$5:$Z$23,MATCH($C52,Matches!$A$5:$A$23,0))),"")</f>
        <v>19.34</v>
      </c>
      <c r="K52" s="11" t="n">
        <f aca="false">IFERROR(IF(INDEX(Matches!$AA$5:$AA$23,MATCH($C52,Matches!$A$5:$A$23,0))="","",INDEX(Matches!$AA$5:$AA$23,MATCH($C52,Matches!$A$5:$A$23,0))),"")</f>
        <v>19.34</v>
      </c>
      <c r="L52" s="11" t="n">
        <f aca="false">IFERROR(IF(INDEX(Matches!$AB$5:$AB$23,MATCH($C52,Matches!$A$5:$A$23,0))="","",INDEX(Matches!$AB$5:$AB$23,MATCH($C52,Matches!$A$5:$A$23,0))),"")</f>
        <v>21.5</v>
      </c>
      <c r="M52" s="10" t="n">
        <f aca="false">IFERROR(IF(INDEX(Matches!$AC$5:$AC$23,MATCH($C52,Matches!$A$5:$A$23,0))="","",INDEX(Matches!$AC$5:$AC$23,MATCH($C52,Matches!$A$5:$A$23,0))),"")</f>
        <v>0.2452</v>
      </c>
      <c r="N52" s="9" t="n">
        <f aca="false">IFERROR(INDEX(Players!$F$2:$F$137,MATCH($F52,Players!$A$2:$A$137,0)),0)</f>
        <v>35</v>
      </c>
      <c r="O52" s="13" t="n">
        <f aca="false">IFERROR(1/(1/INDEX(Players!$H$2:$H$137,MATCH($F52,Players!$A$2:$A$137,0))),"")</f>
        <v>0.71</v>
      </c>
      <c r="P52" s="10" t="n">
        <f aca="false">IFERROR(1/(1/INDEX(Players!$I$2:$I$137,MATCH($F52,Players!$A$2:$A$137,0))),"")</f>
        <v>0.502</v>
      </c>
      <c r="Q52" s="9" t="n">
        <f aca="false">IF($G52="",0,SUMIFS(Map_Stats!$F$2:$F$850,Map_Stats!$A$2:$A$850,$F52&amp;"|"&amp;$G52))</f>
        <v>6</v>
      </c>
      <c r="R52" s="13" t="n">
        <f aca="false">IF($G52="","",IFERROR(1/(1/INDEX(Map_Stats!$K$2:$K$850,MATCH($F52&amp;"|"&amp;$G52,Map_Stats!$A$2:$A$850,0))),$O52))</f>
        <v>0.54</v>
      </c>
      <c r="S52" s="10" t="n">
        <f aca="false">IF(OR($G52="",$P52=""),"",IFERROR(1/(1/INDEX(Map_Stats!$I$2:$I$850,MATCH($F52&amp;"|"&amp;$G52,Map_Stats!$A$2:$A$850,0))),$P52))</f>
        <v>0.473</v>
      </c>
      <c r="T52" s="13" t="n">
        <f aca="false">IF(OR($G52="",R52=""),"",IF($O52="",R52,(Q52*R52+Config!$B$4*$O52)/(Q52+Config!$B$4)))</f>
        <v>0.617272727272727</v>
      </c>
      <c r="U52" s="10" t="n">
        <f aca="false">IF(S52="","",(Q52*S52+Config!$B$4*$P52)/(Q52+Config!$B$4))</f>
        <v>0.486181818181818</v>
      </c>
      <c r="V52" s="17" t="n">
        <f aca="false">IF(OR(T52="",$J52=""),"",T52*$J52*($J52/Config!$B$10)^Config!$B$9)</f>
        <v>11.9380545454545</v>
      </c>
      <c r="W52" s="17" t="n">
        <f aca="false">IF(OR(V52="",U52=""),"",V52*U52)</f>
        <v>5.80406506446281</v>
      </c>
      <c r="X52" s="9" t="n">
        <f aca="false">IF($H52="",0,SUMIFS(Map_Stats!$F$2:$F$850,Map_Stats!$A$2:$A$850,$F52&amp;"|"&amp;$H52))</f>
        <v>7</v>
      </c>
      <c r="Y52" s="13" t="n">
        <f aca="false">IF($H52="","",IFERROR(1/(1/INDEX(Map_Stats!$K$2:$K$850,MATCH($F52&amp;"|"&amp;$H52,Map_Stats!$A$2:$A$850,0))),$O52))</f>
        <v>0.63</v>
      </c>
      <c r="Z52" s="10" t="n">
        <f aca="false">IF(OR($H52="",$P52=""),"",IFERROR(1/(1/INDEX(Map_Stats!$I$2:$I$850,MATCH($F52&amp;"|"&amp;$H52,Map_Stats!$A$2:$A$850,0))),$P52))</f>
        <v>0.514</v>
      </c>
      <c r="AA52" s="13" t="n">
        <f aca="false">IF(OR($H52="",Y52=""),"",IF($O52="",Y52,(X52*Y52+Config!$B$4*$O52)/(X52+Config!$B$4)))</f>
        <v>0.663333333333333</v>
      </c>
      <c r="AB52" s="10" t="n">
        <f aca="false">IF(Z52="","",(X52*Z52+Config!$B$4*$P52)/(X52+Config!$B$4))</f>
        <v>0.509</v>
      </c>
      <c r="AC52" s="17" t="n">
        <f aca="false">IF(OR(AA52="",$K52=""),"",AA52*$K52*($K52/Config!$B$10)^Config!$B$9)</f>
        <v>12.8288666666667</v>
      </c>
      <c r="AD52" s="17" t="n">
        <f aca="false">IF(OR(AC52="",AB52=""),"",AC52*AB52)</f>
        <v>6.52989313333333</v>
      </c>
      <c r="AE52" s="9" t="n">
        <f aca="false">IF($I52="",0,SUMIFS(Map_Stats!$F$2:$F$850,Map_Stats!$A$2:$A$850,$F52&amp;"|"&amp;$I52))</f>
        <v>6</v>
      </c>
      <c r="AF52" s="13" t="n">
        <f aca="false">IF($I52="","",IFERROR(1/(1/INDEX(Map_Stats!$K$2:$K$850,MATCH($F52&amp;"|"&amp;$I52,Map_Stats!$A$2:$A$850,0))),$O52))</f>
        <v>0.76</v>
      </c>
      <c r="AG52" s="10" t="n">
        <f aca="false">IF(OR($I52="",$P52=""),"",IFERROR(1/(1/INDEX(Map_Stats!$I$2:$I$850,MATCH($F52&amp;"|"&amp;$I52,Map_Stats!$A$2:$A$850,0))),$P52))</f>
        <v>0.549</v>
      </c>
      <c r="AH52" s="13" t="n">
        <f aca="false">IF(OR($I52="",AF52=""),"",IF($O52="",AF52,(AE52*AF52+Config!$B$4*$O52)/(AE52+Config!$B$4)))</f>
        <v>0.737272727272727</v>
      </c>
      <c r="AI52" s="10" t="n">
        <f aca="false">IF(AG52="","",(AE52*AG52+Config!$B$4*$P52)/(AE52+Config!$B$4))</f>
        <v>0.527636363636364</v>
      </c>
      <c r="AJ52" s="17" t="n">
        <f aca="false">IF(OR(AH52="",$L52=""),"",AH52*$L52*($L52/Config!$B$10)^Config!$B$9)</f>
        <v>15.8513636363636</v>
      </c>
      <c r="AK52" s="17" t="n">
        <f aca="false">IF(OR(AJ52="",AI52=""),"",AJ52*AI52)</f>
        <v>8.36375586776859</v>
      </c>
      <c r="AL52" s="17" t="n">
        <f aca="false">N(V52)+N(AC52)</f>
        <v>24.7669212121212</v>
      </c>
      <c r="AM52" s="17" t="n">
        <f aca="false">AL52+N($M52)*N(AJ52)</f>
        <v>28.6536755757576</v>
      </c>
      <c r="AN52" s="17" t="n">
        <f aca="false">IF(W52="","",N(W52)+N(AD52))</f>
        <v>12.3339581977961</v>
      </c>
      <c r="AO52" s="17" t="n">
        <f aca="false">IF(AN52="","",AN52+N($M52)*N(AK52))</f>
        <v>14.384751136573</v>
      </c>
      <c r="AP52" s="10" t="n">
        <f aca="false">IFERROR(AN52/AL52,"")</f>
        <v>0.498001269199329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IF($C52=Board!$B$2,COUNTIFS($C$2:$C$137,Board!$B$2,$AL$2:$AL$137,"&gt;"&amp;$AL52)+COUNTIFS($C$1:$C51,Board!$B$2,$AL$1:$AL51,$AL52)+1,"")</f>
        <v/>
      </c>
      <c r="AS52" s="0" t="str">
        <f aca="false">IFERROR(IF($D52=INDEX(Matches!$AD$5:$AD$23,MATCH($C52,Matches!$A$5:$A$23,0)),"A",IF($D52=INDEX(Matches!$AE$5:$AE$23,MATCH($C52,Matches!$A$5:$A$23,0)),"B","")),"")</f>
        <v>A</v>
      </c>
      <c r="AT52" s="10" t="n">
        <f aca="false">IF($AS52="","",IFERROR(IF($AS52="A",INDEX(Matches!$AI$5:$AI$23,MATCH($C52,Matches!$A$5:$A$23,0)),INDEX(Matches!$AJ$5:$AJ$23,MATCH($C52,Matches!$A$5:$A$23,0))),""))</f>
        <v>0.520088972606857</v>
      </c>
      <c r="AU52" s="10" t="n">
        <f aca="false">IF($AS52="","",IFERROR(IF(INDEX(Matches!$AP$5:$AP$23,MATCH($C52,Matches!$A$5:$A$23,0))="","",IF($AS52="A",INDEX(Matches!$AP$5:$AP$23,MATCH($C52,Matches!$A$5:$A$23,0)),1-INDEX(Matches!$AP$5:$AP$23,MATCH($C52,Matches!$A$5:$A$23,0)))),""))</f>
        <v>0.634297554791098</v>
      </c>
      <c r="AV52" s="13" t="n">
        <f aca="false">IF(OR($AU52="",$AT52=""),1,((Config!$B$14*$AU52+Config!$B$15*(1-$AU52))/(Config!$B$14*$AT52+Config!$B$15*(1-$AT52)))^Config!$B$13)</f>
        <v>1.1002589004874</v>
      </c>
      <c r="AW52" s="10" t="n">
        <f aca="false">IF($AS52="","",IFERROR(IF(INDEX(Matches!$AV$5:$AV$23,MATCH($C52,Matches!$A$5:$A$23,0))="","",IF($AS52="A",INDEX(Matches!$AV$5:$AV$23,MATCH($C52,Matches!$A$5:$A$23,0)),1-INDEX(Matches!$AV$5:$AV$23,MATCH($C52,Matches!$A$5:$A$23,0)))),""))</f>
        <v>0.557449679626216</v>
      </c>
      <c r="AX52" s="13" t="n">
        <f aca="false">IF(OR($AW52="",$AT52=""),1,((Config!$B$14*$AW52+Config!$B$15*(1-$AW52))/(Config!$B$14*$AT52+Config!$B$15*(1-$AT52)))^Config!$B$13)</f>
        <v>1.03279738996453</v>
      </c>
      <c r="AY52" s="10" t="n">
        <f aca="false">IF($AS52="","",IFERROR(IF(INDEX(Matches!$BB$5:$BB$23,MATCH($C52,Matches!$A$5:$A$23,0))="","",IF($AS52="A",INDEX(Matches!$BB$5:$BB$23,MATCH($C52,Matches!$A$5:$A$23,0)),1-INDEX(Matches!$BB$5:$BB$23,MATCH($C52,Matches!$A$5:$A$23,0)))),""))</f>
        <v>0.535745039968737</v>
      </c>
      <c r="AZ52" s="13" t="n">
        <f aca="false">IF(OR($AY52="",$AT52=""),1,((Config!$B$14*$AY52+Config!$B$15*(1-$AY52))/(Config!$B$14*$AT52+Config!$B$15*(1-$AT52)))^Config!$B$13)</f>
        <v>1.01374380164467</v>
      </c>
      <c r="BA52" s="17" t="n">
        <f aca="false">IF(V52="","",V52*$AV52)</f>
        <v>13.1349507681404</v>
      </c>
      <c r="BB52" s="17" t="n">
        <f aca="false">IF(AC52="","",AC52*$AX52)</f>
        <v>13.2496200095363</v>
      </c>
      <c r="BC52" s="17" t="n">
        <f aca="false">IF(AJ52="","",AJ52*$AZ52)</f>
        <v>16.0692216339793</v>
      </c>
      <c r="BD52" s="17" t="n">
        <f aca="false">N(BA52)+N(BB52)</f>
        <v>26.3845707776767</v>
      </c>
      <c r="BE52" s="17" t="n">
        <f aca="false">BD52+N($M52)*N(BC52)</f>
        <v>30.3247439223284</v>
      </c>
      <c r="BF52" s="17" t="n">
        <f aca="false">IF(W52="","",W52*$AV52)</f>
        <v>6.38597424618317</v>
      </c>
      <c r="BG52" s="17" t="n">
        <f aca="false">IF(AD52="","",AD52*$AX52)</f>
        <v>6.74405658485398</v>
      </c>
      <c r="BH52" s="17" t="n">
        <f aca="false">IF(AK52="","",AK52*$AZ52)</f>
        <v>8.47870566941962</v>
      </c>
      <c r="BI52" s="17" t="n">
        <f aca="false">IF(BF52="","",N(BF52)+N(BG52))</f>
        <v>13.1300308310372</v>
      </c>
      <c r="BJ52" s="17" t="n">
        <f aca="false">IF(BI52="","",BI52+N($M52)*N(BH52))</f>
        <v>15.2090094611788</v>
      </c>
      <c r="BK52" s="13" t="n">
        <f aca="false">IFERROR(BD52/AL52,1)</f>
        <v>1.06531492355068</v>
      </c>
    </row>
    <row r="53" customFormat="false" ht="15" hidden="false" customHeight="false" outlineLevel="0" collapsed="false">
      <c r="A53" s="0" t="s">
        <v>1420</v>
      </c>
      <c r="B53" s="0" t="s">
        <v>1139</v>
      </c>
      <c r="C53" s="0" t="s">
        <v>1235</v>
      </c>
      <c r="D53" s="0" t="s">
        <v>1237</v>
      </c>
      <c r="E53" s="0" t="s">
        <v>1419</v>
      </c>
      <c r="F53" s="0" t="s">
        <v>1710</v>
      </c>
      <c r="G53" s="0" t="str">
        <f aca="false">IFERROR(IF(INDEX(Matches!$W$5:$W$23,MATCH($C53,Matches!$A$5:$A$23,0))="","",INDEX(Matches!$W$5:$W$23,MATCH($C53,Matches!$A$5:$A$23,0))),"")</f>
        <v>Cache</v>
      </c>
      <c r="H53" s="0" t="str">
        <f aca="false">IFERROR(IF(INDEX(Matches!$X$5:$X$23,MATCH($C53,Matches!$A$5:$A$23,0))="","",INDEX(Matches!$X$5:$X$23,MATCH($C53,Matches!$A$5:$A$23,0))),"")</f>
        <v>Mirage</v>
      </c>
      <c r="I53" s="0" t="str">
        <f aca="false">IFERROR(IF(INDEX(Matches!$Y$5:$Y$23,MATCH($C53,Matches!$A$5:$A$23,0))="","",INDEX(Matches!$Y$5:$Y$23,MATCH($C53,Matches!$A$5:$A$23,0))),"")</f>
        <v>Ancient</v>
      </c>
      <c r="J53" s="11" t="n">
        <f aca="false">IFERROR(IF(INDEX(Matches!$Z$5:$Z$23,MATCH($C53,Matches!$A$5:$A$23,0))="","",INDEX(Matches!$Z$5:$Z$23,MATCH($C53,Matches!$A$5:$A$23,0))),"")</f>
        <v>19.34</v>
      </c>
      <c r="K53" s="11" t="n">
        <f aca="false">IFERROR(IF(INDEX(Matches!$AA$5:$AA$23,MATCH($C53,Matches!$A$5:$A$23,0))="","",INDEX(Matches!$AA$5:$AA$23,MATCH($C53,Matches!$A$5:$A$23,0))),"")</f>
        <v>19.34</v>
      </c>
      <c r="L53" s="11" t="n">
        <f aca="false">IFERROR(IF(INDEX(Matches!$AB$5:$AB$23,MATCH($C53,Matches!$A$5:$A$23,0))="","",INDEX(Matches!$AB$5:$AB$23,MATCH($C53,Matches!$A$5:$A$23,0))),"")</f>
        <v>21.5</v>
      </c>
      <c r="M53" s="10" t="n">
        <f aca="false">IFERROR(IF(INDEX(Matches!$AC$5:$AC$23,MATCH($C53,Matches!$A$5:$A$23,0))="","",INDEX(Matches!$AC$5:$AC$23,MATCH($C53,Matches!$A$5:$A$23,0))),"")</f>
        <v>0.2452</v>
      </c>
      <c r="N53" s="9" t="n">
        <f aca="false">IFERROR(INDEX(Players!$F$2:$F$137,MATCH($F53,Players!$A$2:$A$137,0)),0)</f>
        <v>35</v>
      </c>
      <c r="O53" s="13" t="n">
        <f aca="false">IFERROR(1/(1/INDEX(Players!$H$2:$H$137,MATCH($F53,Players!$A$2:$A$137,0))),"")</f>
        <v>0.64</v>
      </c>
      <c r="P53" s="10" t="n">
        <f aca="false">IFERROR(1/(1/INDEX(Players!$I$2:$I$137,MATCH($F53,Players!$A$2:$A$137,0))),"")</f>
        <v>0.294</v>
      </c>
      <c r="Q53" s="9" t="n">
        <f aca="false">IF($G53="",0,SUMIFS(Map_Stats!$F$2:$F$850,Map_Stats!$A$2:$A$850,$F53&amp;"|"&amp;$G53))</f>
        <v>6</v>
      </c>
      <c r="R53" s="13" t="n">
        <f aca="false">IF($G53="","",IFERROR(1/(1/INDEX(Map_Stats!$K$2:$K$850,MATCH($F53&amp;"|"&amp;$G53,Map_Stats!$A$2:$A$850,0))),$O53))</f>
        <v>0.56</v>
      </c>
      <c r="S53" s="10" t="n">
        <f aca="false">IF(OR($G53="",$P53=""),"",IFERROR(1/(1/INDEX(Map_Stats!$I$2:$I$850,MATCH($F53&amp;"|"&amp;$G53,Map_Stats!$A$2:$A$850,0))),$P53))</f>
        <v>0.224</v>
      </c>
      <c r="T53" s="13" t="n">
        <f aca="false">IF(OR($G53="",R53=""),"",IF($O53="",R53,(Q53*R53+Config!$B$4*$O53)/(Q53+Config!$B$4)))</f>
        <v>0.596363636363636</v>
      </c>
      <c r="U53" s="10" t="n">
        <f aca="false">IF(S53="","",(Q53*S53+Config!$B$4*$P53)/(Q53+Config!$B$4))</f>
        <v>0.255818181818182</v>
      </c>
      <c r="V53" s="17" t="n">
        <f aca="false">IF(OR(T53="",$J53=""),"",T53*$J53*($J53/Config!$B$10)^Config!$B$9)</f>
        <v>11.5336727272727</v>
      </c>
      <c r="W53" s="17" t="n">
        <f aca="false">IF(OR(V53="",U53=""),"",V53*U53)</f>
        <v>2.95052318677686</v>
      </c>
      <c r="X53" s="9" t="n">
        <f aca="false">IF($H53="",0,SUMIFS(Map_Stats!$F$2:$F$850,Map_Stats!$A$2:$A$850,$F53&amp;"|"&amp;$H53))</f>
        <v>7</v>
      </c>
      <c r="Y53" s="13" t="n">
        <f aca="false">IF($H53="","",IFERROR(1/(1/INDEX(Map_Stats!$K$2:$K$850,MATCH($F53&amp;"|"&amp;$H53,Map_Stats!$A$2:$A$850,0))),$O53))</f>
        <v>0.67</v>
      </c>
      <c r="Z53" s="10" t="n">
        <f aca="false">IF(OR($H53="",$P53=""),"",IFERROR(1/(1/INDEX(Map_Stats!$I$2:$I$850,MATCH($F53&amp;"|"&amp;$H53,Map_Stats!$A$2:$A$850,0))),$P53))</f>
        <v>0.272</v>
      </c>
      <c r="AA53" s="13" t="n">
        <f aca="false">IF(OR($H53="",Y53=""),"",IF($O53="",Y53,(X53*Y53+Config!$B$4*$O53)/(X53+Config!$B$4)))</f>
        <v>0.6575</v>
      </c>
      <c r="AB53" s="10" t="n">
        <f aca="false">IF(Z53="","",(X53*Z53+Config!$B$4*$P53)/(X53+Config!$B$4))</f>
        <v>0.281166666666667</v>
      </c>
      <c r="AC53" s="17" t="n">
        <f aca="false">IF(OR(AA53="",$K53=""),"",AA53*$K53*($K53/Config!$B$10)^Config!$B$9)</f>
        <v>12.71605</v>
      </c>
      <c r="AD53" s="17" t="n">
        <f aca="false">IF(OR(AC53="",AB53=""),"",AC53*AB53)</f>
        <v>3.57532939166667</v>
      </c>
      <c r="AE53" s="9" t="n">
        <f aca="false">IF($I53="",0,SUMIFS(Map_Stats!$F$2:$F$850,Map_Stats!$A$2:$A$850,$F53&amp;"|"&amp;$I53))</f>
        <v>6</v>
      </c>
      <c r="AF53" s="13" t="n">
        <f aca="false">IF($I53="","",IFERROR(1/(1/INDEX(Map_Stats!$K$2:$K$850,MATCH($F53&amp;"|"&amp;$I53,Map_Stats!$A$2:$A$850,0))),$O53))</f>
        <v>0.78</v>
      </c>
      <c r="AG53" s="10" t="n">
        <f aca="false">IF(OR($I53="",$P53=""),"",IFERROR(1/(1/INDEX(Map_Stats!$I$2:$I$850,MATCH($F53&amp;"|"&amp;$I53,Map_Stats!$A$2:$A$850,0))),$P53))</f>
        <v>0.229</v>
      </c>
      <c r="AH53" s="13" t="n">
        <f aca="false">IF(OR($I53="",AF53=""),"",IF($O53="",AF53,(AE53*AF53+Config!$B$4*$O53)/(AE53+Config!$B$4)))</f>
        <v>0.716363636363636</v>
      </c>
      <c r="AI53" s="10" t="n">
        <f aca="false">IF(AG53="","",(AE53*AG53+Config!$B$4*$P53)/(AE53+Config!$B$4))</f>
        <v>0.258545454545455</v>
      </c>
      <c r="AJ53" s="17" t="n">
        <f aca="false">IF(OR(AH53="",$L53=""),"",AH53*$L53*($L53/Config!$B$10)^Config!$B$9)</f>
        <v>15.4018181818182</v>
      </c>
      <c r="AK53" s="17" t="n">
        <f aca="false">IF(OR(AJ53="",AI53=""),"",AJ53*AI53)</f>
        <v>3.98207008264463</v>
      </c>
      <c r="AL53" s="17" t="n">
        <f aca="false">N(V53)+N(AC53)</f>
        <v>24.2497227272727</v>
      </c>
      <c r="AM53" s="17" t="n">
        <f aca="false">AL53+N($M53)*N(AJ53)</f>
        <v>28.0262485454545</v>
      </c>
      <c r="AN53" s="17" t="n">
        <f aca="false">IF(W53="","",N(W53)+N(AD53))</f>
        <v>6.52585257844353</v>
      </c>
      <c r="AO53" s="17" t="n">
        <f aca="false">IF(AN53="","",AN53+N($M53)*N(AK53))</f>
        <v>7.50225616270799</v>
      </c>
      <c r="AP53" s="10" t="n">
        <f aca="false">IFERROR(AN53/AL53,"")</f>
        <v>0.269110399811052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IF($C53=Board!$B$2,COUNTIFS($C$2:$C$137,Board!$B$2,$AL$2:$AL$137,"&gt;"&amp;$AL53)+COUNTIFS($C$1:$C52,Board!$B$2,$AL$1:$AL52,$AL53)+1,"")</f>
        <v/>
      </c>
      <c r="AS53" s="0" t="str">
        <f aca="false">IFERROR(IF($D53=INDEX(Matches!$AD$5:$AD$23,MATCH($C53,Matches!$A$5:$A$23,0)),"A",IF($D53=INDEX(Matches!$AE$5:$AE$23,MATCH($C53,Matches!$A$5:$A$23,0)),"B","")),"")</f>
        <v>A</v>
      </c>
      <c r="AT53" s="10" t="n">
        <f aca="false">IF($AS53="","",IFERROR(IF($AS53="A",INDEX(Matches!$AI$5:$AI$23,MATCH($C53,Matches!$A$5:$A$23,0)),INDEX(Matches!$AJ$5:$AJ$23,MATCH($C53,Matches!$A$5:$A$23,0))),""))</f>
        <v>0.520088972606857</v>
      </c>
      <c r="AU53" s="10" t="n">
        <f aca="false">IF($AS53="","",IFERROR(IF(INDEX(Matches!$AP$5:$AP$23,MATCH($C53,Matches!$A$5:$A$23,0))="","",IF($AS53="A",INDEX(Matches!$AP$5:$AP$23,MATCH($C53,Matches!$A$5:$A$23,0)),1-INDEX(Matches!$AP$5:$AP$23,MATCH($C53,Matches!$A$5:$A$23,0)))),""))</f>
        <v>0.634297554791098</v>
      </c>
      <c r="AV53" s="13" t="n">
        <f aca="false">IF(OR($AU53="",$AT53=""),1,((Config!$B$14*$AU53+Config!$B$15*(1-$AU53))/(Config!$B$14*$AT53+Config!$B$15*(1-$AT53)))^Config!$B$13)</f>
        <v>1.1002589004874</v>
      </c>
      <c r="AW53" s="10" t="n">
        <f aca="false">IF($AS53="","",IFERROR(IF(INDEX(Matches!$AV$5:$AV$23,MATCH($C53,Matches!$A$5:$A$23,0))="","",IF($AS53="A",INDEX(Matches!$AV$5:$AV$23,MATCH($C53,Matches!$A$5:$A$23,0)),1-INDEX(Matches!$AV$5:$AV$23,MATCH($C53,Matches!$A$5:$A$23,0)))),""))</f>
        <v>0.557449679626216</v>
      </c>
      <c r="AX53" s="13" t="n">
        <f aca="false">IF(OR($AW53="",$AT53=""),1,((Config!$B$14*$AW53+Config!$B$15*(1-$AW53))/(Config!$B$14*$AT53+Config!$B$15*(1-$AT53)))^Config!$B$13)</f>
        <v>1.03279738996453</v>
      </c>
      <c r="AY53" s="10" t="n">
        <f aca="false">IF($AS53="","",IFERROR(IF(INDEX(Matches!$BB$5:$BB$23,MATCH($C53,Matches!$A$5:$A$23,0))="","",IF($AS53="A",INDEX(Matches!$BB$5:$BB$23,MATCH($C53,Matches!$A$5:$A$23,0)),1-INDEX(Matches!$BB$5:$BB$23,MATCH($C53,Matches!$A$5:$A$23,0)))),""))</f>
        <v>0.535745039968737</v>
      </c>
      <c r="AZ53" s="13" t="n">
        <f aca="false">IF(OR($AY53="",$AT53=""),1,((Config!$B$14*$AY53+Config!$B$15*(1-$AY53))/(Config!$B$14*$AT53+Config!$B$15*(1-$AT53)))^Config!$B$13)</f>
        <v>1.01374380164467</v>
      </c>
      <c r="BA53" s="17" t="n">
        <f aca="false">IF(V53="","",V53*$AV53)</f>
        <v>12.6900260734906</v>
      </c>
      <c r="BB53" s="17" t="n">
        <f aca="false">IF(AC53="","",AC53*$AX53)</f>
        <v>13.1331032506585</v>
      </c>
      <c r="BC53" s="17" t="n">
        <f aca="false">IF(AJ53="","",AJ53*$AZ53)</f>
        <v>15.6134977158763</v>
      </c>
      <c r="BD53" s="17" t="n">
        <f aca="false">N(BA53)+N(BB53)</f>
        <v>25.8231293241491</v>
      </c>
      <c r="BE53" s="17" t="n">
        <f aca="false">BD53+N($M53)*N(BC53)</f>
        <v>29.6515589640819</v>
      </c>
      <c r="BF53" s="17" t="n">
        <f aca="false">IF(W53="","",W53*$AV53)</f>
        <v>3.24633939734568</v>
      </c>
      <c r="BG53" s="17" t="n">
        <f aca="false">IF(AD53="","",AD53*$AX53)</f>
        <v>3.69259086397681</v>
      </c>
      <c r="BH53" s="17" t="n">
        <f aca="false">IF(AK53="","",AK53*$AZ53)</f>
        <v>4.03679886399565</v>
      </c>
      <c r="BI53" s="17" t="n">
        <f aca="false">IF(BF53="","",N(BF53)+N(BG53))</f>
        <v>6.93893026132249</v>
      </c>
      <c r="BJ53" s="17" t="n">
        <f aca="false">IF(BI53="","",BI53+N($M53)*N(BH53))</f>
        <v>7.92875334277423</v>
      </c>
      <c r="BK53" s="13" t="n">
        <f aca="false">IFERROR(BD53/AL53,1)</f>
        <v>1.064883488136</v>
      </c>
    </row>
    <row r="54" customFormat="false" ht="15" hidden="false" customHeight="false" outlineLevel="0" collapsed="false">
      <c r="A54" s="0" t="s">
        <v>1422</v>
      </c>
      <c r="B54" s="0" t="s">
        <v>1139</v>
      </c>
      <c r="C54" s="0" t="s">
        <v>1235</v>
      </c>
      <c r="D54" s="0" t="s">
        <v>1237</v>
      </c>
      <c r="E54" s="0" t="s">
        <v>1421</v>
      </c>
      <c r="F54" s="0" t="s">
        <v>1711</v>
      </c>
      <c r="G54" s="0" t="str">
        <f aca="false">IFERROR(IF(INDEX(Matches!$W$5:$W$23,MATCH($C54,Matches!$A$5:$A$23,0))="","",INDEX(Matches!$W$5:$W$23,MATCH($C54,Matches!$A$5:$A$23,0))),"")</f>
        <v>Cache</v>
      </c>
      <c r="H54" s="0" t="str">
        <f aca="false">IFERROR(IF(INDEX(Matches!$X$5:$X$23,MATCH($C54,Matches!$A$5:$A$23,0))="","",INDEX(Matches!$X$5:$X$23,MATCH($C54,Matches!$A$5:$A$23,0))),"")</f>
        <v>Mirage</v>
      </c>
      <c r="I54" s="0" t="str">
        <f aca="false">IFERROR(IF(INDEX(Matches!$Y$5:$Y$23,MATCH($C54,Matches!$A$5:$A$23,0))="","",INDEX(Matches!$Y$5:$Y$23,MATCH($C54,Matches!$A$5:$A$23,0))),"")</f>
        <v>Ancient</v>
      </c>
      <c r="J54" s="11" t="n">
        <f aca="false">IFERROR(IF(INDEX(Matches!$Z$5:$Z$23,MATCH($C54,Matches!$A$5:$A$23,0))="","",INDEX(Matches!$Z$5:$Z$23,MATCH($C54,Matches!$A$5:$A$23,0))),"")</f>
        <v>19.34</v>
      </c>
      <c r="K54" s="11" t="n">
        <f aca="false">IFERROR(IF(INDEX(Matches!$AA$5:$AA$23,MATCH($C54,Matches!$A$5:$A$23,0))="","",INDEX(Matches!$AA$5:$AA$23,MATCH($C54,Matches!$A$5:$A$23,0))),"")</f>
        <v>19.34</v>
      </c>
      <c r="L54" s="11" t="n">
        <f aca="false">IFERROR(IF(INDEX(Matches!$AB$5:$AB$23,MATCH($C54,Matches!$A$5:$A$23,0))="","",INDEX(Matches!$AB$5:$AB$23,MATCH($C54,Matches!$A$5:$A$23,0))),"")</f>
        <v>21.5</v>
      </c>
      <c r="M54" s="10" t="n">
        <f aca="false">IFERROR(IF(INDEX(Matches!$AC$5:$AC$23,MATCH($C54,Matches!$A$5:$A$23,0))="","",INDEX(Matches!$AC$5:$AC$23,MATCH($C54,Matches!$A$5:$A$23,0))),"")</f>
        <v>0.2452</v>
      </c>
      <c r="N54" s="9" t="n">
        <f aca="false">IFERROR(INDEX(Players!$F$2:$F$137,MATCH($F54,Players!$A$2:$A$137,0)),0)</f>
        <v>35</v>
      </c>
      <c r="O54" s="13" t="n">
        <f aca="false">IFERROR(1/(1/INDEX(Players!$H$2:$H$137,MATCH($F54,Players!$A$2:$A$137,0))),"")</f>
        <v>0.69</v>
      </c>
      <c r="P54" s="10" t="n">
        <f aca="false">IFERROR(1/(1/INDEX(Players!$I$2:$I$137,MATCH($F54,Players!$A$2:$A$137,0))),"")</f>
        <v>0.579</v>
      </c>
      <c r="Q54" s="9" t="n">
        <f aca="false">IF($G54="",0,SUMIFS(Map_Stats!$F$2:$F$850,Map_Stats!$A$2:$A$850,$F54&amp;"|"&amp;$G54))</f>
        <v>6</v>
      </c>
      <c r="R54" s="13" t="n">
        <f aca="false">IF($G54="","",IFERROR(1/(1/INDEX(Map_Stats!$K$2:$K$850,MATCH($F54&amp;"|"&amp;$G54,Map_Stats!$A$2:$A$850,0))),$O54))</f>
        <v>0.85</v>
      </c>
      <c r="S54" s="10" t="n">
        <f aca="false">IF(OR($G54="",$P54=""),"",IFERROR(1/(1/INDEX(Map_Stats!$I$2:$I$850,MATCH($F54&amp;"|"&amp;$G54,Map_Stats!$A$2:$A$850,0))),$P54))</f>
        <v>0.609</v>
      </c>
      <c r="T54" s="13" t="n">
        <f aca="false">IF(OR($G54="",R54=""),"",IF($O54="",R54,(Q54*R54+Config!$B$4*$O54)/(Q54+Config!$B$4)))</f>
        <v>0.777272727272727</v>
      </c>
      <c r="U54" s="10" t="n">
        <f aca="false">IF(S54="","",(Q54*S54+Config!$B$4*$P54)/(Q54+Config!$B$4))</f>
        <v>0.595363636363636</v>
      </c>
      <c r="V54" s="17" t="n">
        <f aca="false">IF(OR(T54="",$J54=""),"",T54*$J54*($J54/Config!$B$10)^Config!$B$9)</f>
        <v>15.0324545454545</v>
      </c>
      <c r="W54" s="17" t="n">
        <f aca="false">IF(OR(V54="",U54=""),"",V54*U54)</f>
        <v>8.94977680165289</v>
      </c>
      <c r="X54" s="9" t="n">
        <f aca="false">IF($H54="",0,SUMIFS(Map_Stats!$F$2:$F$850,Map_Stats!$A$2:$A$850,$F54&amp;"|"&amp;$H54))</f>
        <v>7</v>
      </c>
      <c r="Y54" s="13" t="n">
        <f aca="false">IF($H54="","",IFERROR(1/(1/INDEX(Map_Stats!$K$2:$K$850,MATCH($F54&amp;"|"&amp;$H54,Map_Stats!$A$2:$A$850,0))),$O54))</f>
        <v>0.75</v>
      </c>
      <c r="Z54" s="10" t="n">
        <f aca="false">IF(OR($H54="",$P54=""),"",IFERROR(1/(1/INDEX(Map_Stats!$I$2:$I$850,MATCH($F54&amp;"|"&amp;$H54,Map_Stats!$A$2:$A$850,0))),$P54))</f>
        <v>0.508</v>
      </c>
      <c r="AA54" s="13" t="n">
        <f aca="false">IF(OR($H54="",Y54=""),"",IF($O54="",Y54,(X54*Y54+Config!$B$4*$O54)/(X54+Config!$B$4)))</f>
        <v>0.725</v>
      </c>
      <c r="AB54" s="10" t="n">
        <f aca="false">IF(Z54="","",(X54*Z54+Config!$B$4*$P54)/(X54+Config!$B$4))</f>
        <v>0.537583333333333</v>
      </c>
      <c r="AC54" s="17" t="n">
        <f aca="false">IF(OR(AA54="",$K54=""),"",AA54*$K54*($K54/Config!$B$10)^Config!$B$9)</f>
        <v>14.0215</v>
      </c>
      <c r="AD54" s="17" t="n">
        <f aca="false">IF(OR(AC54="",AB54=""),"",AC54*AB54)</f>
        <v>7.53772470833333</v>
      </c>
      <c r="AE54" s="9" t="n">
        <f aca="false">IF($I54="",0,SUMIFS(Map_Stats!$F$2:$F$850,Map_Stats!$A$2:$A$850,$F54&amp;"|"&amp;$I54))</f>
        <v>6</v>
      </c>
      <c r="AF54" s="13" t="n">
        <f aca="false">IF($I54="","",IFERROR(1/(1/INDEX(Map_Stats!$K$2:$K$850,MATCH($F54&amp;"|"&amp;$I54,Map_Stats!$A$2:$A$850,0))),$O54))</f>
        <v>0.57</v>
      </c>
      <c r="AG54" s="10" t="n">
        <f aca="false">IF(OR($I54="",$P54=""),"",IFERROR(1/(1/INDEX(Map_Stats!$I$2:$I$850,MATCH($F54&amp;"|"&amp;$I54,Map_Stats!$A$2:$A$850,0))),$P54))</f>
        <v>0.579</v>
      </c>
      <c r="AH54" s="13" t="n">
        <f aca="false">IF(OR($I54="",AF54=""),"",IF($O54="",AF54,(AE54*AF54+Config!$B$4*$O54)/(AE54+Config!$B$4)))</f>
        <v>0.624545454545455</v>
      </c>
      <c r="AI54" s="10" t="n">
        <f aca="false">IF(AG54="","",(AE54*AG54+Config!$B$4*$P54)/(AE54+Config!$B$4))</f>
        <v>0.579</v>
      </c>
      <c r="AJ54" s="17" t="n">
        <f aca="false">IF(OR(AH54="",$L54=""),"",AH54*$L54*($L54/Config!$B$10)^Config!$B$9)</f>
        <v>13.4277272727273</v>
      </c>
      <c r="AK54" s="17" t="n">
        <f aca="false">IF(OR(AJ54="",AI54=""),"",AJ54*AI54)</f>
        <v>7.77465409090909</v>
      </c>
      <c r="AL54" s="17" t="n">
        <f aca="false">N(V54)+N(AC54)</f>
        <v>29.0539545454545</v>
      </c>
      <c r="AM54" s="17" t="n">
        <f aca="false">AL54+N($M54)*N(AJ54)</f>
        <v>32.3464332727273</v>
      </c>
      <c r="AN54" s="17" t="n">
        <f aca="false">IF(W54="","",N(W54)+N(AD54))</f>
        <v>16.4875015099862</v>
      </c>
      <c r="AO54" s="17" t="n">
        <f aca="false">IF(AN54="","",AN54+N($M54)*N(AK54))</f>
        <v>18.3938466930771</v>
      </c>
      <c r="AP54" s="10" t="n">
        <f aca="false">IFERROR(AN54/AL54,"")</f>
        <v>0.567478739742355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IF($C54=Board!$B$2,COUNTIFS($C$2:$C$137,Board!$B$2,$AL$2:$AL$137,"&gt;"&amp;$AL54)+COUNTIFS($C$1:$C53,Board!$B$2,$AL$1:$AL53,$AL54)+1,"")</f>
        <v/>
      </c>
      <c r="AS54" s="0" t="str">
        <f aca="false">IFERROR(IF($D54=INDEX(Matches!$AD$5:$AD$23,MATCH($C54,Matches!$A$5:$A$23,0)),"A",IF($D54=INDEX(Matches!$AE$5:$AE$23,MATCH($C54,Matches!$A$5:$A$23,0)),"B","")),"")</f>
        <v>A</v>
      </c>
      <c r="AT54" s="10" t="n">
        <f aca="false">IF($AS54="","",IFERROR(IF($AS54="A",INDEX(Matches!$AI$5:$AI$23,MATCH($C54,Matches!$A$5:$A$23,0)),INDEX(Matches!$AJ$5:$AJ$23,MATCH($C54,Matches!$A$5:$A$23,0))),""))</f>
        <v>0.520088972606857</v>
      </c>
      <c r="AU54" s="10" t="n">
        <f aca="false">IF($AS54="","",IFERROR(IF(INDEX(Matches!$AP$5:$AP$23,MATCH($C54,Matches!$A$5:$A$23,0))="","",IF($AS54="A",INDEX(Matches!$AP$5:$AP$23,MATCH($C54,Matches!$A$5:$A$23,0)),1-INDEX(Matches!$AP$5:$AP$23,MATCH($C54,Matches!$A$5:$A$23,0)))),""))</f>
        <v>0.634297554791098</v>
      </c>
      <c r="AV54" s="13" t="n">
        <f aca="false">IF(OR($AU54="",$AT54=""),1,((Config!$B$14*$AU54+Config!$B$15*(1-$AU54))/(Config!$B$14*$AT54+Config!$B$15*(1-$AT54)))^Config!$B$13)</f>
        <v>1.1002589004874</v>
      </c>
      <c r="AW54" s="10" t="n">
        <f aca="false">IF($AS54="","",IFERROR(IF(INDEX(Matches!$AV$5:$AV$23,MATCH($C54,Matches!$A$5:$A$23,0))="","",IF($AS54="A",INDEX(Matches!$AV$5:$AV$23,MATCH($C54,Matches!$A$5:$A$23,0)),1-INDEX(Matches!$AV$5:$AV$23,MATCH($C54,Matches!$A$5:$A$23,0)))),""))</f>
        <v>0.557449679626216</v>
      </c>
      <c r="AX54" s="13" t="n">
        <f aca="false">IF(OR($AW54="",$AT54=""),1,((Config!$B$14*$AW54+Config!$B$15*(1-$AW54))/(Config!$B$14*$AT54+Config!$B$15*(1-$AT54)))^Config!$B$13)</f>
        <v>1.03279738996453</v>
      </c>
      <c r="AY54" s="10" t="n">
        <f aca="false">IF($AS54="","",IFERROR(IF(INDEX(Matches!$BB$5:$BB$23,MATCH($C54,Matches!$A$5:$A$23,0))="","",IF($AS54="A",INDEX(Matches!$BB$5:$BB$23,MATCH($C54,Matches!$A$5:$A$23,0)),1-INDEX(Matches!$BB$5:$BB$23,MATCH($C54,Matches!$A$5:$A$23,0)))),""))</f>
        <v>0.535745039968737</v>
      </c>
      <c r="AZ54" s="13" t="n">
        <f aca="false">IF(OR($AY54="",$AT54=""),1,((Config!$B$14*$AY54+Config!$B$15*(1-$AY54))/(Config!$B$14*$AT54+Config!$B$15*(1-$AT54)))^Config!$B$13)</f>
        <v>1.01374380164467</v>
      </c>
      <c r="BA54" s="17" t="n">
        <f aca="false">IF(V54="","",V54*$AV54)</f>
        <v>16.5395919098086</v>
      </c>
      <c r="BB54" s="17" t="n">
        <f aca="false">IF(AC54="","",AC54*$AX54)</f>
        <v>14.4813686033877</v>
      </c>
      <c r="BC54" s="17" t="n">
        <f aca="false">IF(AJ54="","",AJ54*$AZ54)</f>
        <v>13.6122752929023</v>
      </c>
      <c r="BD54" s="17" t="n">
        <f aca="false">N(BA54)+N(BB54)</f>
        <v>31.0209605131963</v>
      </c>
      <c r="BE54" s="17" t="n">
        <f aca="false">BD54+N($M54)*N(BC54)</f>
        <v>34.3586904150159</v>
      </c>
      <c r="BF54" s="17" t="n">
        <f aca="false">IF(W54="","",W54*$AV54)</f>
        <v>9.84707158339424</v>
      </c>
      <c r="BG54" s="17" t="n">
        <f aca="false">IF(AD54="","",AD54*$AX54)</f>
        <v>7.78494240503782</v>
      </c>
      <c r="BH54" s="17" t="n">
        <f aca="false">IF(AK54="","",AK54*$AZ54)</f>
        <v>7.88150739459043</v>
      </c>
      <c r="BI54" s="17" t="n">
        <f aca="false">IF(BF54="","",N(BF54)+N(BG54))</f>
        <v>17.6320139884321</v>
      </c>
      <c r="BJ54" s="17" t="n">
        <f aca="false">IF(BI54="","",BI54+N($M54)*N(BH54))</f>
        <v>19.5645596015856</v>
      </c>
      <c r="BK54" s="13" t="n">
        <f aca="false">IFERROR(BD54/AL54,1)</f>
        <v>1.06770183262538</v>
      </c>
    </row>
    <row r="55" customFormat="false" ht="15" hidden="false" customHeight="false" outlineLevel="0" collapsed="false">
      <c r="A55" s="0" t="s">
        <v>1424</v>
      </c>
      <c r="B55" s="0" t="s">
        <v>1139</v>
      </c>
      <c r="C55" s="0" t="s">
        <v>1154</v>
      </c>
      <c r="D55" s="0" t="s">
        <v>1160</v>
      </c>
      <c r="E55" s="0" t="s">
        <v>1423</v>
      </c>
      <c r="F55" s="0" t="s">
        <v>1712</v>
      </c>
      <c r="G55" s="0" t="str">
        <f aca="false">IFERROR(IF(INDEX(Matches!$W$5:$W$23,MATCH($C55,Matches!$A$5:$A$23,0))="","",INDEX(Matches!$W$5:$W$23,MATCH($C55,Matches!$A$5:$A$23,0))),"")</f>
        <v>Cache</v>
      </c>
      <c r="H55" s="0" t="str">
        <f aca="false">IFERROR(IF(INDEX(Matches!$X$5:$X$23,MATCH($C55,Matches!$A$5:$A$23,0))="","",INDEX(Matches!$X$5:$X$23,MATCH($C55,Matches!$A$5:$A$23,0))),"")</f>
        <v>Ancient</v>
      </c>
      <c r="I55" s="0" t="str">
        <f aca="false">IFERROR(IF(INDEX(Matches!$Y$5:$Y$23,MATCH($C55,Matches!$A$5:$A$23,0))="","",INDEX(Matches!$Y$5:$Y$23,MATCH($C55,Matches!$A$5:$A$23,0))),"")</f>
        <v>Mirage</v>
      </c>
      <c r="J55" s="11" t="n">
        <f aca="false">IFERROR(IF(INDEX(Matches!$Z$5:$Z$23,MATCH($C55,Matches!$A$5:$A$23,0))="","",INDEX(Matches!$Z$5:$Z$23,MATCH($C55,Matches!$A$5:$A$23,0))),"")</f>
        <v>21.5</v>
      </c>
      <c r="K55" s="11" t="n">
        <f aca="false">IFERROR(IF(INDEX(Matches!$AA$5:$AA$23,MATCH($C55,Matches!$A$5:$A$23,0))="","",INDEX(Matches!$AA$5:$AA$23,MATCH($C55,Matches!$A$5:$A$23,0))),"")</f>
        <v>21.42</v>
      </c>
      <c r="L55" s="11" t="n">
        <f aca="false">IFERROR(IF(INDEX(Matches!$AB$5:$AB$23,MATCH($C55,Matches!$A$5:$A$23,0))="","",INDEX(Matches!$AB$5:$AB$23,MATCH($C55,Matches!$A$5:$A$23,0))),"")</f>
        <v>21.5</v>
      </c>
      <c r="M55" s="10" t="n">
        <f aca="false">IFERROR(IF(INDEX(Matches!$AC$5:$AC$23,MATCH($C55,Matches!$A$5:$A$23,0))="","",INDEX(Matches!$AC$5:$AC$23,MATCH($C55,Matches!$A$5:$A$23,0))),"")</f>
        <v>0.4962</v>
      </c>
      <c r="N55" s="9" t="n">
        <f aca="false">IFERROR(INDEX(Players!$F$2:$F$137,MATCH($F55,Players!$A$2:$A$137,0)),0)</f>
        <v>38</v>
      </c>
      <c r="O55" s="13" t="n">
        <f aca="false">IFERROR(1/(1/INDEX(Players!$H$2:$H$137,MATCH($F55,Players!$A$2:$A$137,0))),"")</f>
        <v>0.75</v>
      </c>
      <c r="P55" s="10" t="n">
        <f aca="false">IFERROR(1/(1/INDEX(Players!$I$2:$I$137,MATCH($F55,Players!$A$2:$A$137,0))),"")</f>
        <v>0.462</v>
      </c>
      <c r="Q55" s="9" t="n">
        <f aca="false">IF($G55="",0,SUMIFS(Map_Stats!$F$2:$F$850,Map_Stats!$A$2:$A$850,$F55&amp;"|"&amp;$G55))</f>
        <v>12</v>
      </c>
      <c r="R55" s="13" t="n">
        <f aca="false">IF($G55="","",IFERROR(1/(1/INDEX(Map_Stats!$K$2:$K$850,MATCH($F55&amp;"|"&amp;$G55,Map_Stats!$A$2:$A$850,0))),$O55))</f>
        <v>0.77</v>
      </c>
      <c r="S55" s="10" t="n">
        <f aca="false">IF(OR($G55="",$P55=""),"",IFERROR(1/(1/INDEX(Map_Stats!$I$2:$I$850,MATCH($F55&amp;"|"&amp;$G55,Map_Stats!$A$2:$A$850,0))),$P55))</f>
        <v>0.414</v>
      </c>
      <c r="T55" s="13" t="n">
        <f aca="false">IF(OR($G55="",R55=""),"",IF($O55="",R55,(Q55*R55+Config!$B$4*$O55)/(Q55+Config!$B$4)))</f>
        <v>0.764117647058824</v>
      </c>
      <c r="U55" s="10" t="n">
        <f aca="false">IF(S55="","",(Q55*S55+Config!$B$4*$P55)/(Q55+Config!$B$4))</f>
        <v>0.428117647058824</v>
      </c>
      <c r="V55" s="17" t="n">
        <f aca="false">IF(OR(T55="",$J55=""),"",T55*$J55*($J55/Config!$B$10)^Config!$B$9)</f>
        <v>16.4285294117647</v>
      </c>
      <c r="W55" s="17" t="n">
        <f aca="false">IF(OR(V55="",U55=""),"",V55*U55)</f>
        <v>7.03334335640139</v>
      </c>
      <c r="X55" s="9" t="n">
        <f aca="false">IF($H55="",0,SUMIFS(Map_Stats!$F$2:$F$850,Map_Stats!$A$2:$A$850,$F55&amp;"|"&amp;$H55))</f>
        <v>6</v>
      </c>
      <c r="Y55" s="13" t="n">
        <f aca="false">IF($H55="","",IFERROR(1/(1/INDEX(Map_Stats!$K$2:$K$850,MATCH($F55&amp;"|"&amp;$H55,Map_Stats!$A$2:$A$850,0))),$O55))</f>
        <v>0.75</v>
      </c>
      <c r="Z55" s="10" t="n">
        <f aca="false">IF(OR($H55="",$P55=""),"",IFERROR(1/(1/INDEX(Map_Stats!$I$2:$I$850,MATCH($F55&amp;"|"&amp;$H55,Map_Stats!$A$2:$A$850,0))),$P55))</f>
        <v>0.471</v>
      </c>
      <c r="AA55" s="13" t="n">
        <f aca="false">IF(OR($H55="",Y55=""),"",IF($O55="",Y55,(X55*Y55+Config!$B$4*$O55)/(X55+Config!$B$4)))</f>
        <v>0.75</v>
      </c>
      <c r="AB55" s="10" t="n">
        <f aca="false">IF(Z55="","",(X55*Z55+Config!$B$4*$P55)/(X55+Config!$B$4))</f>
        <v>0.466909090909091</v>
      </c>
      <c r="AC55" s="17" t="n">
        <f aca="false">IF(OR(AA55="",$K55=""),"",AA55*$K55*($K55/Config!$B$10)^Config!$B$9)</f>
        <v>16.065</v>
      </c>
      <c r="AD55" s="17" t="n">
        <f aca="false">IF(OR(AC55="",AB55=""),"",AC55*AB55)</f>
        <v>7.50089454545455</v>
      </c>
      <c r="AE55" s="9" t="n">
        <f aca="false">IF($I55="",0,SUMIFS(Map_Stats!$F$2:$F$850,Map_Stats!$A$2:$A$850,$F55&amp;"|"&amp;$I55))</f>
        <v>10</v>
      </c>
      <c r="AF55" s="13" t="n">
        <f aca="false">IF($I55="","",IFERROR(1/(1/INDEX(Map_Stats!$K$2:$K$850,MATCH($F55&amp;"|"&amp;$I55,Map_Stats!$A$2:$A$850,0))),$O55))</f>
        <v>0.75</v>
      </c>
      <c r="AG55" s="10" t="n">
        <f aca="false">IF(OR($I55="",$P55=""),"",IFERROR(1/(1/INDEX(Map_Stats!$I$2:$I$850,MATCH($F55&amp;"|"&amp;$I55,Map_Stats!$A$2:$A$850,0))),$P55))</f>
        <v>0.415</v>
      </c>
      <c r="AH55" s="13" t="n">
        <f aca="false">IF(OR($I55="",AF55=""),"",IF($O55="",AF55,(AE55*AF55+Config!$B$4*$O55)/(AE55+Config!$B$4)))</f>
        <v>0.75</v>
      </c>
      <c r="AI55" s="10" t="n">
        <f aca="false">IF(AG55="","",(AE55*AG55+Config!$B$4*$P55)/(AE55+Config!$B$4))</f>
        <v>0.430666666666667</v>
      </c>
      <c r="AJ55" s="17" t="n">
        <f aca="false">IF(OR(AH55="",$L55=""),"",AH55*$L55*($L55/Config!$B$10)^Config!$B$9)</f>
        <v>16.125</v>
      </c>
      <c r="AK55" s="17" t="n">
        <f aca="false">IF(OR(AJ55="",AI55=""),"",AJ55*AI55)</f>
        <v>6.9445</v>
      </c>
      <c r="AL55" s="17" t="n">
        <f aca="false">N(V55)+N(AC55)</f>
        <v>32.4935294117647</v>
      </c>
      <c r="AM55" s="17" t="n">
        <f aca="false">AL55+N($M55)*N(AJ55)</f>
        <v>40.4947544117647</v>
      </c>
      <c r="AN55" s="17" t="n">
        <f aca="false">IF(W55="","",N(W55)+N(AD55))</f>
        <v>14.5342379018559</v>
      </c>
      <c r="AO55" s="17" t="n">
        <f aca="false">IF(AN55="","",AN55+N($M55)*N(AK55))</f>
        <v>17.9800988018559</v>
      </c>
      <c r="AP55" s="10" t="n">
        <f aca="false">IFERROR(AN55/AL55,"")</f>
        <v>0.447296374538914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IF($C55=Board!$B$2,COUNTIFS($C$2:$C$137,Board!$B$2,$AL$2:$AL$137,"&gt;"&amp;$AL55)+COUNTIFS($C$1:$C54,Board!$B$2,$AL$1:$AL54,$AL55)+1,"")</f>
        <v/>
      </c>
      <c r="AS55" s="0" t="str">
        <f aca="false">IFERROR(IF($D55=INDEX(Matches!$AD$5:$AD$23,MATCH($C55,Matches!$A$5:$A$23,0)),"A",IF($D55=INDEX(Matches!$AE$5:$AE$23,MATCH($C55,Matches!$A$5:$A$23,0)),"B","")),"")</f>
        <v>B</v>
      </c>
      <c r="AT55" s="10" t="n">
        <f aca="false">IF($AS55="","",IFERROR(IF($AS55="A",INDEX(Matches!$AI$5:$AI$23,MATCH($C55,Matches!$A$5:$A$23,0)),INDEX(Matches!$AJ$5:$AJ$23,MATCH($C55,Matches!$A$5:$A$23,0))),""))</f>
        <v>0.508391750778091</v>
      </c>
      <c r="AU55" s="10" t="n">
        <f aca="false">IF($AS55="","",IFERROR(IF(INDEX(Matches!$AP$5:$AP$23,MATCH($C55,Matches!$A$5:$A$23,0))="","",IF($AS55="A",INDEX(Matches!$AP$5:$AP$23,MATCH($C55,Matches!$A$5:$A$23,0)),1-INDEX(Matches!$AP$5:$AP$23,MATCH($C55,Matches!$A$5:$A$23,0)))),""))</f>
        <v>0.502940159114493</v>
      </c>
      <c r="AV55" s="13" t="n">
        <f aca="false">IF(OR($AU55="",$AT55=""),1,((Config!$B$14*$AU55+Config!$B$15*(1-$AU55))/(Config!$B$14*$AT55+Config!$B$15*(1-$AT55)))^Config!$B$13)</f>
        <v>0.995164625425099</v>
      </c>
      <c r="AW55" s="10" t="n">
        <f aca="false">IF($AS55="","",IFERROR(IF(INDEX(Matches!$AV$5:$AV$23,MATCH($C55,Matches!$A$5:$A$23,0))="","",IF($AS55="A",INDEX(Matches!$AV$5:$AV$23,MATCH($C55,Matches!$A$5:$A$23,0)),1-INDEX(Matches!$AV$5:$AV$23,MATCH($C55,Matches!$A$5:$A$23,0)))),""))</f>
        <v>0.52257911347702</v>
      </c>
      <c r="AX55" s="13" t="n">
        <f aca="false">IF(OR($AW55="",$AT55=""),1,((Config!$B$14*$AW55+Config!$B$15*(1-$AW55))/(Config!$B$14*$AT55+Config!$B$15*(1-$AT55)))^Config!$B$13)</f>
        <v>1.01258370345992</v>
      </c>
      <c r="AY55" s="10" t="n">
        <f aca="false">IF($AS55="","",IFERROR(IF(INDEX(Matches!$BB$5:$BB$23,MATCH($C55,Matches!$A$5:$A$23,0))="","",IF($AS55="A",INDEX(Matches!$BB$5:$BB$23,MATCH($C55,Matches!$A$5:$A$23,0)),1-INDEX(Matches!$BB$5:$BB$23,MATCH($C55,Matches!$A$5:$A$23,0)))),""))</f>
        <v>0.505306159844602</v>
      </c>
      <c r="AZ55" s="13" t="n">
        <f aca="false">IF(OR($AY55="",$AT55=""),1,((Config!$B$14*$AY55+Config!$B$15*(1-$AY55))/(Config!$B$14*$AT55+Config!$B$15*(1-$AT55)))^Config!$B$13)</f>
        <v>0.997263186814235</v>
      </c>
      <c r="BA55" s="17" t="n">
        <f aca="false">IF(V55="","",V55*$AV55)</f>
        <v>16.349091318344</v>
      </c>
      <c r="BB55" s="17" t="n">
        <f aca="false">IF(AC55="","",AC55*$AX55)</f>
        <v>16.2671571960837</v>
      </c>
      <c r="BC55" s="17" t="n">
        <f aca="false">IF(AJ55="","",AJ55*$AZ55)</f>
        <v>16.0808688873795</v>
      </c>
      <c r="BD55" s="17" t="n">
        <f aca="false">N(BA55)+N(BB55)</f>
        <v>32.6162485144277</v>
      </c>
      <c r="BE55" s="17" t="n">
        <f aca="false">BD55+N($M55)*N(BC55)</f>
        <v>40.5955756563454</v>
      </c>
      <c r="BF55" s="17" t="n">
        <f aca="false">IF(W55="","",W55*$AV55)</f>
        <v>6.99933450675929</v>
      </c>
      <c r="BG55" s="17" t="n">
        <f aca="false">IF(AD55="","",AD55*$AX55)</f>
        <v>7.59528357809869</v>
      </c>
      <c r="BH55" s="17" t="n">
        <f aca="false">IF(AK55="","",AK55*$AZ55)</f>
        <v>6.92549420083146</v>
      </c>
      <c r="BI55" s="17" t="n">
        <f aca="false">IF(BF55="","",N(BF55)+N(BG55))</f>
        <v>14.594618084858</v>
      </c>
      <c r="BJ55" s="17" t="n">
        <f aca="false">IF(BI55="","",BI55+N($M55)*N(BH55))</f>
        <v>18.0310483073106</v>
      </c>
      <c r="BK55" s="13" t="n">
        <f aca="false">IFERROR(BD55/AL55,1)</f>
        <v>1.00377672431664</v>
      </c>
    </row>
    <row r="56" customFormat="false" ht="15" hidden="false" customHeight="false" outlineLevel="0" collapsed="false">
      <c r="A56" s="0" t="s">
        <v>1426</v>
      </c>
      <c r="B56" s="0" t="s">
        <v>1139</v>
      </c>
      <c r="C56" s="0" t="s">
        <v>1154</v>
      </c>
      <c r="D56" s="0" t="s">
        <v>1160</v>
      </c>
      <c r="E56" s="0" t="s">
        <v>1425</v>
      </c>
      <c r="F56" s="0" t="s">
        <v>1713</v>
      </c>
      <c r="G56" s="0" t="str">
        <f aca="false">IFERROR(IF(INDEX(Matches!$W$5:$W$23,MATCH($C56,Matches!$A$5:$A$23,0))="","",INDEX(Matches!$W$5:$W$23,MATCH($C56,Matches!$A$5:$A$23,0))),"")</f>
        <v>Cache</v>
      </c>
      <c r="H56" s="0" t="str">
        <f aca="false">IFERROR(IF(INDEX(Matches!$X$5:$X$23,MATCH($C56,Matches!$A$5:$A$23,0))="","",INDEX(Matches!$X$5:$X$23,MATCH($C56,Matches!$A$5:$A$23,0))),"")</f>
        <v>Ancient</v>
      </c>
      <c r="I56" s="0" t="str">
        <f aca="false">IFERROR(IF(INDEX(Matches!$Y$5:$Y$23,MATCH($C56,Matches!$A$5:$A$23,0))="","",INDEX(Matches!$Y$5:$Y$23,MATCH($C56,Matches!$A$5:$A$23,0))),"")</f>
        <v>Mirage</v>
      </c>
      <c r="J56" s="11" t="n">
        <f aca="false">IFERROR(IF(INDEX(Matches!$Z$5:$Z$23,MATCH($C56,Matches!$A$5:$A$23,0))="","",INDEX(Matches!$Z$5:$Z$23,MATCH($C56,Matches!$A$5:$A$23,0))),"")</f>
        <v>21.5</v>
      </c>
      <c r="K56" s="11" t="n">
        <f aca="false">IFERROR(IF(INDEX(Matches!$AA$5:$AA$23,MATCH($C56,Matches!$A$5:$A$23,0))="","",INDEX(Matches!$AA$5:$AA$23,MATCH($C56,Matches!$A$5:$A$23,0))),"")</f>
        <v>21.42</v>
      </c>
      <c r="L56" s="11" t="n">
        <f aca="false">IFERROR(IF(INDEX(Matches!$AB$5:$AB$23,MATCH($C56,Matches!$A$5:$A$23,0))="","",INDEX(Matches!$AB$5:$AB$23,MATCH($C56,Matches!$A$5:$A$23,0))),"")</f>
        <v>21.5</v>
      </c>
      <c r="M56" s="10" t="n">
        <f aca="false">IFERROR(IF(INDEX(Matches!$AC$5:$AC$23,MATCH($C56,Matches!$A$5:$A$23,0))="","",INDEX(Matches!$AC$5:$AC$23,MATCH($C56,Matches!$A$5:$A$23,0))),"")</f>
        <v>0.4962</v>
      </c>
      <c r="N56" s="9" t="n">
        <f aca="false">IFERROR(INDEX(Players!$F$2:$F$137,MATCH($F56,Players!$A$2:$A$137,0)),0)</f>
        <v>38</v>
      </c>
      <c r="O56" s="13" t="n">
        <f aca="false">IFERROR(1/(1/INDEX(Players!$H$2:$H$137,MATCH($F56,Players!$A$2:$A$137,0))),"")</f>
        <v>0.66</v>
      </c>
      <c r="P56" s="10" t="n">
        <f aca="false">IFERROR(1/(1/INDEX(Players!$I$2:$I$137,MATCH($F56,Players!$A$2:$A$137,0))),"")</f>
        <v>0.574</v>
      </c>
      <c r="Q56" s="9" t="n">
        <f aca="false">IF($G56="",0,SUMIFS(Map_Stats!$F$2:$F$850,Map_Stats!$A$2:$A$850,$F56&amp;"|"&amp;$G56))</f>
        <v>12</v>
      </c>
      <c r="R56" s="13" t="n">
        <f aca="false">IF($G56="","",IFERROR(1/(1/INDEX(Map_Stats!$K$2:$K$850,MATCH($F56&amp;"|"&amp;$G56,Map_Stats!$A$2:$A$850,0))),$O56))</f>
        <v>0.65</v>
      </c>
      <c r="S56" s="10" t="n">
        <f aca="false">IF(OR($G56="",$P56=""),"",IFERROR(1/(1/INDEX(Map_Stats!$I$2:$I$850,MATCH($F56&amp;"|"&amp;$G56,Map_Stats!$A$2:$A$850,0))),$P56))</f>
        <v>0.575</v>
      </c>
      <c r="T56" s="13" t="n">
        <f aca="false">IF(OR($G56="",R56=""),"",IF($O56="",R56,(Q56*R56+Config!$B$4*$O56)/(Q56+Config!$B$4)))</f>
        <v>0.652941176470588</v>
      </c>
      <c r="U56" s="10" t="n">
        <f aca="false">IF(S56="","",(Q56*S56+Config!$B$4*$P56)/(Q56+Config!$B$4))</f>
        <v>0.574705882352941</v>
      </c>
      <c r="V56" s="17" t="n">
        <f aca="false">IF(OR(T56="",$J56=""),"",T56*$J56*($J56/Config!$B$10)^Config!$B$9)</f>
        <v>14.0382352941177</v>
      </c>
      <c r="W56" s="17" t="n">
        <f aca="false">IF(OR(V56="",U56=""),"",V56*U56)</f>
        <v>8.06785640138408</v>
      </c>
      <c r="X56" s="9" t="n">
        <f aca="false">IF($H56="",0,SUMIFS(Map_Stats!$F$2:$F$850,Map_Stats!$A$2:$A$850,$F56&amp;"|"&amp;$H56))</f>
        <v>6</v>
      </c>
      <c r="Y56" s="13" t="n">
        <f aca="false">IF($H56="","",IFERROR(1/(1/INDEX(Map_Stats!$K$2:$K$850,MATCH($F56&amp;"|"&amp;$H56,Map_Stats!$A$2:$A$850,0))),$O56))</f>
        <v>0.68</v>
      </c>
      <c r="Z56" s="10" t="n">
        <f aca="false">IF(OR($H56="",$P56=""),"",IFERROR(1/(1/INDEX(Map_Stats!$I$2:$I$850,MATCH($F56&amp;"|"&amp;$H56,Map_Stats!$A$2:$A$850,0))),$P56))</f>
        <v>0.645</v>
      </c>
      <c r="AA56" s="13" t="n">
        <f aca="false">IF(OR($H56="",Y56=""),"",IF($O56="",Y56,(X56*Y56+Config!$B$4*$O56)/(X56+Config!$B$4)))</f>
        <v>0.670909090909091</v>
      </c>
      <c r="AB56" s="10" t="n">
        <f aca="false">IF(Z56="","",(X56*Z56+Config!$B$4*$P56)/(X56+Config!$B$4))</f>
        <v>0.612727272727273</v>
      </c>
      <c r="AC56" s="17" t="n">
        <f aca="false">IF(OR(AA56="",$K56=""),"",AA56*$K56*($K56/Config!$B$10)^Config!$B$9)</f>
        <v>14.3708727272727</v>
      </c>
      <c r="AD56" s="17" t="n">
        <f aca="false">IF(OR(AC56="",AB56=""),"",AC56*AB56)</f>
        <v>8.80542565289257</v>
      </c>
      <c r="AE56" s="9" t="n">
        <f aca="false">IF($I56="",0,SUMIFS(Map_Stats!$F$2:$F$850,Map_Stats!$A$2:$A$850,$F56&amp;"|"&amp;$I56))</f>
        <v>10</v>
      </c>
      <c r="AF56" s="13" t="n">
        <f aca="false">IF($I56="","",IFERROR(1/(1/INDEX(Map_Stats!$K$2:$K$850,MATCH($F56&amp;"|"&amp;$I56,Map_Stats!$A$2:$A$850,0))),$O56))</f>
        <v>0.65</v>
      </c>
      <c r="AG56" s="10" t="n">
        <f aca="false">IF(OR($I56="",$P56=""),"",IFERROR(1/(1/INDEX(Map_Stats!$I$2:$I$850,MATCH($F56&amp;"|"&amp;$I56,Map_Stats!$A$2:$A$850,0))),$P56))</f>
        <v>0.551</v>
      </c>
      <c r="AH56" s="13" t="n">
        <f aca="false">IF(OR($I56="",AF56=""),"",IF($O56="",AF56,(AE56*AF56+Config!$B$4*$O56)/(AE56+Config!$B$4)))</f>
        <v>0.653333333333333</v>
      </c>
      <c r="AI56" s="10" t="n">
        <f aca="false">IF(AG56="","",(AE56*AG56+Config!$B$4*$P56)/(AE56+Config!$B$4))</f>
        <v>0.558666666666667</v>
      </c>
      <c r="AJ56" s="17" t="n">
        <f aca="false">IF(OR(AH56="",$L56=""),"",AH56*$L56*($L56/Config!$B$10)^Config!$B$9)</f>
        <v>14.0466666666667</v>
      </c>
      <c r="AK56" s="17" t="n">
        <f aca="false">IF(OR(AJ56="",AI56=""),"",AJ56*AI56)</f>
        <v>7.84740444444445</v>
      </c>
      <c r="AL56" s="17" t="n">
        <f aca="false">N(V56)+N(AC56)</f>
        <v>28.4091080213904</v>
      </c>
      <c r="AM56" s="17" t="n">
        <f aca="false">AL56+N($M56)*N(AJ56)</f>
        <v>35.3790640213904</v>
      </c>
      <c r="AN56" s="17" t="n">
        <f aca="false">IF(W56="","",N(W56)+N(AD56))</f>
        <v>16.8732820542767</v>
      </c>
      <c r="AO56" s="17" t="n">
        <f aca="false">IF(AN56="","",AN56+N($M56)*N(AK56))</f>
        <v>20.76716413961</v>
      </c>
      <c r="AP56" s="10" t="n">
        <f aca="false">IFERROR(AN56/AL56,"")</f>
        <v>0.593939170549532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IF($C56=Board!$B$2,COUNTIFS($C$2:$C$137,Board!$B$2,$AL$2:$AL$137,"&gt;"&amp;$AL56)+COUNTIFS($C$1:$C55,Board!$B$2,$AL$1:$AL55,$AL56)+1,"")</f>
        <v/>
      </c>
      <c r="AS56" s="0" t="str">
        <f aca="false">IFERROR(IF($D56=INDEX(Matches!$AD$5:$AD$23,MATCH($C56,Matches!$A$5:$A$23,0)),"A",IF($D56=INDEX(Matches!$AE$5:$AE$23,MATCH($C56,Matches!$A$5:$A$23,0)),"B","")),"")</f>
        <v>B</v>
      </c>
      <c r="AT56" s="10" t="n">
        <f aca="false">IF($AS56="","",IFERROR(IF($AS56="A",INDEX(Matches!$AI$5:$AI$23,MATCH($C56,Matches!$A$5:$A$23,0)),INDEX(Matches!$AJ$5:$AJ$23,MATCH($C56,Matches!$A$5:$A$23,0))),""))</f>
        <v>0.508391750778091</v>
      </c>
      <c r="AU56" s="10" t="n">
        <f aca="false">IF($AS56="","",IFERROR(IF(INDEX(Matches!$AP$5:$AP$23,MATCH($C56,Matches!$A$5:$A$23,0))="","",IF($AS56="A",INDEX(Matches!$AP$5:$AP$23,MATCH($C56,Matches!$A$5:$A$23,0)),1-INDEX(Matches!$AP$5:$AP$23,MATCH($C56,Matches!$A$5:$A$23,0)))),""))</f>
        <v>0.502940159114493</v>
      </c>
      <c r="AV56" s="13" t="n">
        <f aca="false">IF(OR($AU56="",$AT56=""),1,((Config!$B$14*$AU56+Config!$B$15*(1-$AU56))/(Config!$B$14*$AT56+Config!$B$15*(1-$AT56)))^Config!$B$13)</f>
        <v>0.995164625425099</v>
      </c>
      <c r="AW56" s="10" t="n">
        <f aca="false">IF($AS56="","",IFERROR(IF(INDEX(Matches!$AV$5:$AV$23,MATCH($C56,Matches!$A$5:$A$23,0))="","",IF($AS56="A",INDEX(Matches!$AV$5:$AV$23,MATCH($C56,Matches!$A$5:$A$23,0)),1-INDEX(Matches!$AV$5:$AV$23,MATCH($C56,Matches!$A$5:$A$23,0)))),""))</f>
        <v>0.52257911347702</v>
      </c>
      <c r="AX56" s="13" t="n">
        <f aca="false">IF(OR($AW56="",$AT56=""),1,((Config!$B$14*$AW56+Config!$B$15*(1-$AW56))/(Config!$B$14*$AT56+Config!$B$15*(1-$AT56)))^Config!$B$13)</f>
        <v>1.01258370345992</v>
      </c>
      <c r="AY56" s="10" t="n">
        <f aca="false">IF($AS56="","",IFERROR(IF(INDEX(Matches!$BB$5:$BB$23,MATCH($C56,Matches!$A$5:$A$23,0))="","",IF($AS56="A",INDEX(Matches!$BB$5:$BB$23,MATCH($C56,Matches!$A$5:$A$23,0)),1-INDEX(Matches!$BB$5:$BB$23,MATCH($C56,Matches!$A$5:$A$23,0)))),""))</f>
        <v>0.505306159844602</v>
      </c>
      <c r="AZ56" s="13" t="n">
        <f aca="false">IF(OR($AY56="",$AT56=""),1,((Config!$B$14*$AY56+Config!$B$15*(1-$AY56))/(Config!$B$14*$AT56+Config!$B$15*(1-$AT56)))^Config!$B$13)</f>
        <v>0.997263186814235</v>
      </c>
      <c r="BA56" s="17" t="n">
        <f aca="false">IF(V56="","",V56*$AV56)</f>
        <v>13.9703551681</v>
      </c>
      <c r="BB56" s="17" t="n">
        <f aca="false">IF(AC56="","",AC56*$AX56)</f>
        <v>14.551711528133</v>
      </c>
      <c r="BC56" s="17" t="n">
        <f aca="false">IF(AJ56="","",AJ56*$AZ56)</f>
        <v>14.0082235641173</v>
      </c>
      <c r="BD56" s="17" t="n">
        <f aca="false">N(BA56)+N(BB56)</f>
        <v>28.522066696233</v>
      </c>
      <c r="BE56" s="17" t="n">
        <f aca="false">BD56+N($M56)*N(BC56)</f>
        <v>35.472947228748</v>
      </c>
      <c r="BF56" s="17" t="n">
        <f aca="false">IF(W56="","",W56*$AV56)</f>
        <v>8.02884529366688</v>
      </c>
      <c r="BG56" s="17" t="n">
        <f aca="false">IF(AD56="","",AD56*$AX56)</f>
        <v>8.91623051814696</v>
      </c>
      <c r="BH56" s="17" t="n">
        <f aca="false">IF(AK56="","",AK56*$AZ56)</f>
        <v>7.82592756448686</v>
      </c>
      <c r="BI56" s="17" t="n">
        <f aca="false">IF(BF56="","",N(BF56)+N(BG56))</f>
        <v>16.9450758118138</v>
      </c>
      <c r="BJ56" s="17" t="n">
        <f aca="false">IF(BI56="","",BI56+N($M56)*N(BH56))</f>
        <v>20.8283010693122</v>
      </c>
      <c r="BK56" s="13" t="n">
        <f aca="false">IFERROR(BD56/AL56,1)</f>
        <v>1.00397614295942</v>
      </c>
    </row>
    <row r="57" customFormat="false" ht="15" hidden="false" customHeight="false" outlineLevel="0" collapsed="false">
      <c r="A57" s="0" t="s">
        <v>1428</v>
      </c>
      <c r="B57" s="0" t="s">
        <v>1139</v>
      </c>
      <c r="C57" s="0" t="s">
        <v>1154</v>
      </c>
      <c r="D57" s="0" t="s">
        <v>1160</v>
      </c>
      <c r="E57" s="0" t="s">
        <v>1427</v>
      </c>
      <c r="F57" s="0" t="s">
        <v>1714</v>
      </c>
      <c r="G57" s="0" t="str">
        <f aca="false">IFERROR(IF(INDEX(Matches!$W$5:$W$23,MATCH($C57,Matches!$A$5:$A$23,0))="","",INDEX(Matches!$W$5:$W$23,MATCH($C57,Matches!$A$5:$A$23,0))),"")</f>
        <v>Cache</v>
      </c>
      <c r="H57" s="0" t="str">
        <f aca="false">IFERROR(IF(INDEX(Matches!$X$5:$X$23,MATCH($C57,Matches!$A$5:$A$23,0))="","",INDEX(Matches!$X$5:$X$23,MATCH($C57,Matches!$A$5:$A$23,0))),"")</f>
        <v>Ancient</v>
      </c>
      <c r="I57" s="0" t="str">
        <f aca="false">IFERROR(IF(INDEX(Matches!$Y$5:$Y$23,MATCH($C57,Matches!$A$5:$A$23,0))="","",INDEX(Matches!$Y$5:$Y$23,MATCH($C57,Matches!$A$5:$A$23,0))),"")</f>
        <v>Mirage</v>
      </c>
      <c r="J57" s="11" t="n">
        <f aca="false">IFERROR(IF(INDEX(Matches!$Z$5:$Z$23,MATCH($C57,Matches!$A$5:$A$23,0))="","",INDEX(Matches!$Z$5:$Z$23,MATCH($C57,Matches!$A$5:$A$23,0))),"")</f>
        <v>21.5</v>
      </c>
      <c r="K57" s="11" t="n">
        <f aca="false">IFERROR(IF(INDEX(Matches!$AA$5:$AA$23,MATCH($C57,Matches!$A$5:$A$23,0))="","",INDEX(Matches!$AA$5:$AA$23,MATCH($C57,Matches!$A$5:$A$23,0))),"")</f>
        <v>21.42</v>
      </c>
      <c r="L57" s="11" t="n">
        <f aca="false">IFERROR(IF(INDEX(Matches!$AB$5:$AB$23,MATCH($C57,Matches!$A$5:$A$23,0))="","",INDEX(Matches!$AB$5:$AB$23,MATCH($C57,Matches!$A$5:$A$23,0))),"")</f>
        <v>21.5</v>
      </c>
      <c r="M57" s="10" t="n">
        <f aca="false">IFERROR(IF(INDEX(Matches!$AC$5:$AC$23,MATCH($C57,Matches!$A$5:$A$23,0))="","",INDEX(Matches!$AC$5:$AC$23,MATCH($C57,Matches!$A$5:$A$23,0))),"")</f>
        <v>0.4962</v>
      </c>
      <c r="N57" s="9" t="n">
        <f aca="false">IFERROR(INDEX(Players!$F$2:$F$137,MATCH($F57,Players!$A$2:$A$137,0)),0)</f>
        <v>38</v>
      </c>
      <c r="O57" s="13" t="n">
        <f aca="false">IFERROR(1/(1/INDEX(Players!$H$2:$H$137,MATCH($F57,Players!$A$2:$A$137,0))),"")</f>
        <v>0.66</v>
      </c>
      <c r="P57" s="10" t="n">
        <f aca="false">IFERROR(1/(1/INDEX(Players!$I$2:$I$137,MATCH($F57,Players!$A$2:$A$137,0))),"")</f>
        <v>0.275</v>
      </c>
      <c r="Q57" s="9" t="n">
        <f aca="false">IF($G57="",0,SUMIFS(Map_Stats!$F$2:$F$850,Map_Stats!$A$2:$A$850,$F57&amp;"|"&amp;$G57))</f>
        <v>12</v>
      </c>
      <c r="R57" s="13" t="n">
        <f aca="false">IF($G57="","",IFERROR(1/(1/INDEX(Map_Stats!$K$2:$K$850,MATCH($F57&amp;"|"&amp;$G57,Map_Stats!$A$2:$A$850,0))),$O57))</f>
        <v>0.63</v>
      </c>
      <c r="S57" s="10" t="n">
        <f aca="false">IF(OR($G57="",$P57=""),"",IFERROR(1/(1/INDEX(Map_Stats!$I$2:$I$850,MATCH($F57&amp;"|"&amp;$G57,Map_Stats!$A$2:$A$850,0))),$P57))</f>
        <v>0.261</v>
      </c>
      <c r="T57" s="13" t="n">
        <f aca="false">IF(OR($G57="",R57=""),"",IF($O57="",R57,(Q57*R57+Config!$B$4*$O57)/(Q57+Config!$B$4)))</f>
        <v>0.638823529411765</v>
      </c>
      <c r="U57" s="10" t="n">
        <f aca="false">IF(S57="","",(Q57*S57+Config!$B$4*$P57)/(Q57+Config!$B$4))</f>
        <v>0.265117647058824</v>
      </c>
      <c r="V57" s="17" t="n">
        <f aca="false">IF(OR(T57="",$J57=""),"",T57*$J57*($J57/Config!$B$10)^Config!$B$9)</f>
        <v>13.7347058823529</v>
      </c>
      <c r="W57" s="17" t="n">
        <f aca="false">IF(OR(V57="",U57=""),"",V57*U57)</f>
        <v>3.64131290657439</v>
      </c>
      <c r="X57" s="9" t="n">
        <f aca="false">IF($H57="",0,SUMIFS(Map_Stats!$F$2:$F$850,Map_Stats!$A$2:$A$850,$F57&amp;"|"&amp;$H57))</f>
        <v>6</v>
      </c>
      <c r="Y57" s="13" t="n">
        <f aca="false">IF($H57="","",IFERROR(1/(1/INDEX(Map_Stats!$K$2:$K$850,MATCH($F57&amp;"|"&amp;$H57,Map_Stats!$A$2:$A$850,0))),$O57))</f>
        <v>0.56</v>
      </c>
      <c r="Z57" s="10" t="n">
        <f aca="false">IF(OR($H57="",$P57=""),"",IFERROR(1/(1/INDEX(Map_Stats!$I$2:$I$850,MATCH($F57&amp;"|"&amp;$H57,Map_Stats!$A$2:$A$850,0))),$P57))</f>
        <v>0.329</v>
      </c>
      <c r="AA57" s="13" t="n">
        <f aca="false">IF(OR($H57="",Y57=""),"",IF($O57="",Y57,(X57*Y57+Config!$B$4*$O57)/(X57+Config!$B$4)))</f>
        <v>0.605454545454546</v>
      </c>
      <c r="AB57" s="10" t="n">
        <f aca="false">IF(Z57="","",(X57*Z57+Config!$B$4*$P57)/(X57+Config!$B$4))</f>
        <v>0.304454545454546</v>
      </c>
      <c r="AC57" s="17" t="n">
        <f aca="false">IF(OR(AA57="",$K57=""),"",AA57*$K57*($K57/Config!$B$10)^Config!$B$9)</f>
        <v>12.9688363636364</v>
      </c>
      <c r="AD57" s="17" t="n">
        <f aca="false">IF(OR(AC57="",AB57=""),"",AC57*AB57)</f>
        <v>3.94842118016529</v>
      </c>
      <c r="AE57" s="9" t="n">
        <f aca="false">IF($I57="",0,SUMIFS(Map_Stats!$F$2:$F$850,Map_Stats!$A$2:$A$850,$F57&amp;"|"&amp;$I57))</f>
        <v>10</v>
      </c>
      <c r="AF57" s="13" t="n">
        <f aca="false">IF($I57="","",IFERROR(1/(1/INDEX(Map_Stats!$K$2:$K$850,MATCH($F57&amp;"|"&amp;$I57,Map_Stats!$A$2:$A$850,0))),$O57))</f>
        <v>0.74</v>
      </c>
      <c r="AG57" s="10" t="n">
        <f aca="false">IF(OR($I57="",$P57=""),"",IFERROR(1/(1/INDEX(Map_Stats!$I$2:$I$850,MATCH($F57&amp;"|"&amp;$I57,Map_Stats!$A$2:$A$850,0))),$P57))</f>
        <v>0.247</v>
      </c>
      <c r="AH57" s="13" t="n">
        <f aca="false">IF(OR($I57="",AF57=""),"",IF($O57="",AF57,(AE57*AF57+Config!$B$4*$O57)/(AE57+Config!$B$4)))</f>
        <v>0.713333333333333</v>
      </c>
      <c r="AI57" s="10" t="n">
        <f aca="false">IF(AG57="","",(AE57*AG57+Config!$B$4*$P57)/(AE57+Config!$B$4))</f>
        <v>0.256333333333333</v>
      </c>
      <c r="AJ57" s="17" t="n">
        <f aca="false">IF(OR(AH57="",$L57=""),"",AH57*$L57*($L57/Config!$B$10)^Config!$B$9)</f>
        <v>15.3366666666667</v>
      </c>
      <c r="AK57" s="17" t="n">
        <f aca="false">IF(OR(AJ57="",AI57=""),"",AJ57*AI57)</f>
        <v>3.93129888888889</v>
      </c>
      <c r="AL57" s="17" t="n">
        <f aca="false">N(V57)+N(AC57)</f>
        <v>26.7035422459893</v>
      </c>
      <c r="AM57" s="17" t="n">
        <f aca="false">AL57+N($M57)*N(AJ57)</f>
        <v>34.3135962459893</v>
      </c>
      <c r="AN57" s="17" t="n">
        <f aca="false">IF(W57="","",N(W57)+N(AD57))</f>
        <v>7.58973408673969</v>
      </c>
      <c r="AO57" s="17" t="n">
        <f aca="false">IF(AN57="","",AN57+N($M57)*N(AK57))</f>
        <v>9.54044459540635</v>
      </c>
      <c r="AP57" s="10" t="n">
        <f aca="false">IFERROR(AN57/AL57,"")</f>
        <v>0.284221996348803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IF($C57=Board!$B$2,COUNTIFS($C$2:$C$137,Board!$B$2,$AL$2:$AL$137,"&gt;"&amp;$AL57)+COUNTIFS($C$1:$C56,Board!$B$2,$AL$1:$AL56,$AL57)+1,"")</f>
        <v/>
      </c>
      <c r="AS57" s="0" t="str">
        <f aca="false">IFERROR(IF($D57=INDEX(Matches!$AD$5:$AD$23,MATCH($C57,Matches!$A$5:$A$23,0)),"A",IF($D57=INDEX(Matches!$AE$5:$AE$23,MATCH($C57,Matches!$A$5:$A$23,0)),"B","")),"")</f>
        <v>B</v>
      </c>
      <c r="AT57" s="10" t="n">
        <f aca="false">IF($AS57="","",IFERROR(IF($AS57="A",INDEX(Matches!$AI$5:$AI$23,MATCH($C57,Matches!$A$5:$A$23,0)),INDEX(Matches!$AJ$5:$AJ$23,MATCH($C57,Matches!$A$5:$A$23,0))),""))</f>
        <v>0.508391750778091</v>
      </c>
      <c r="AU57" s="10" t="n">
        <f aca="false">IF($AS57="","",IFERROR(IF(INDEX(Matches!$AP$5:$AP$23,MATCH($C57,Matches!$A$5:$A$23,0))="","",IF($AS57="A",INDEX(Matches!$AP$5:$AP$23,MATCH($C57,Matches!$A$5:$A$23,0)),1-INDEX(Matches!$AP$5:$AP$23,MATCH($C57,Matches!$A$5:$A$23,0)))),""))</f>
        <v>0.502940159114493</v>
      </c>
      <c r="AV57" s="13" t="n">
        <f aca="false">IF(OR($AU57="",$AT57=""),1,((Config!$B$14*$AU57+Config!$B$15*(1-$AU57))/(Config!$B$14*$AT57+Config!$B$15*(1-$AT57)))^Config!$B$13)</f>
        <v>0.995164625425099</v>
      </c>
      <c r="AW57" s="10" t="n">
        <f aca="false">IF($AS57="","",IFERROR(IF(INDEX(Matches!$AV$5:$AV$23,MATCH($C57,Matches!$A$5:$A$23,0))="","",IF($AS57="A",INDEX(Matches!$AV$5:$AV$23,MATCH($C57,Matches!$A$5:$A$23,0)),1-INDEX(Matches!$AV$5:$AV$23,MATCH($C57,Matches!$A$5:$A$23,0)))),""))</f>
        <v>0.52257911347702</v>
      </c>
      <c r="AX57" s="13" t="n">
        <f aca="false">IF(OR($AW57="",$AT57=""),1,((Config!$B$14*$AW57+Config!$B$15*(1-$AW57))/(Config!$B$14*$AT57+Config!$B$15*(1-$AT57)))^Config!$B$13)</f>
        <v>1.01258370345992</v>
      </c>
      <c r="AY57" s="10" t="n">
        <f aca="false">IF($AS57="","",IFERROR(IF(INDEX(Matches!$BB$5:$BB$23,MATCH($C57,Matches!$A$5:$A$23,0))="","",IF($AS57="A",INDEX(Matches!$BB$5:$BB$23,MATCH($C57,Matches!$A$5:$A$23,0)),1-INDEX(Matches!$BB$5:$BB$23,MATCH($C57,Matches!$A$5:$A$23,0)))),""))</f>
        <v>0.505306159844602</v>
      </c>
      <c r="AZ57" s="13" t="n">
        <f aca="false">IF(OR($AY57="",$AT57=""),1,((Config!$B$14*$AY57+Config!$B$15*(1-$AY57))/(Config!$B$14*$AT57+Config!$B$15*(1-$AT57)))^Config!$B$13)</f>
        <v>0.997263186814235</v>
      </c>
      <c r="BA57" s="17" t="n">
        <f aca="false">IF(V57="","",V57*$AV57)</f>
        <v>13.6682934347357</v>
      </c>
      <c r="BB57" s="17" t="n">
        <f aca="false">IF(AC57="","",AC57*$AX57)</f>
        <v>13.1320323546566</v>
      </c>
      <c r="BC57" s="17" t="n">
        <f aca="false">IF(AJ57="","",AJ57*$AZ57)</f>
        <v>15.2946930751077</v>
      </c>
      <c r="BD57" s="17" t="n">
        <f aca="false">N(BA57)+N(BB57)</f>
        <v>26.8003257893923</v>
      </c>
      <c r="BE57" s="17" t="n">
        <f aca="false">BD57+N($M57)*N(BC57)</f>
        <v>34.3895524932607</v>
      </c>
      <c r="BF57" s="17" t="n">
        <f aca="false">IF(W57="","",W57*$AV57)</f>
        <v>3.62370579472669</v>
      </c>
      <c r="BG57" s="17" t="n">
        <f aca="false">IF(AD57="","",AD57*$AX57)</f>
        <v>3.99810694143137</v>
      </c>
      <c r="BH57" s="17" t="n">
        <f aca="false">IF(AK57="","",AK57*$AZ57)</f>
        <v>3.9205396582526</v>
      </c>
      <c r="BI57" s="17" t="n">
        <f aca="false">IF(BF57="","",N(BF57)+N(BG57))</f>
        <v>7.62181273615805</v>
      </c>
      <c r="BJ57" s="17" t="n">
        <f aca="false">IF(BI57="","",BI57+N($M57)*N(BH57))</f>
        <v>9.56718451458299</v>
      </c>
      <c r="BK57" s="13" t="n">
        <f aca="false">IFERROR(BD57/AL57,1)</f>
        <v>1.00362437097339</v>
      </c>
    </row>
    <row r="58" customFormat="false" ht="15" hidden="false" customHeight="false" outlineLevel="0" collapsed="false">
      <c r="A58" s="0" t="s">
        <v>1430</v>
      </c>
      <c r="B58" s="0" t="s">
        <v>1139</v>
      </c>
      <c r="C58" s="0" t="s">
        <v>1154</v>
      </c>
      <c r="D58" s="0" t="s">
        <v>1160</v>
      </c>
      <c r="E58" s="0" t="s">
        <v>1429</v>
      </c>
      <c r="F58" s="0" t="s">
        <v>1715</v>
      </c>
      <c r="G58" s="0" t="str">
        <f aca="false">IFERROR(IF(INDEX(Matches!$W$5:$W$23,MATCH($C58,Matches!$A$5:$A$23,0))="","",INDEX(Matches!$W$5:$W$23,MATCH($C58,Matches!$A$5:$A$23,0))),"")</f>
        <v>Cache</v>
      </c>
      <c r="H58" s="0" t="str">
        <f aca="false">IFERROR(IF(INDEX(Matches!$X$5:$X$23,MATCH($C58,Matches!$A$5:$A$23,0))="","",INDEX(Matches!$X$5:$X$23,MATCH($C58,Matches!$A$5:$A$23,0))),"")</f>
        <v>Ancient</v>
      </c>
      <c r="I58" s="0" t="str">
        <f aca="false">IFERROR(IF(INDEX(Matches!$Y$5:$Y$23,MATCH($C58,Matches!$A$5:$A$23,0))="","",INDEX(Matches!$Y$5:$Y$23,MATCH($C58,Matches!$A$5:$A$23,0))),"")</f>
        <v>Mirage</v>
      </c>
      <c r="J58" s="11" t="n">
        <f aca="false">IFERROR(IF(INDEX(Matches!$Z$5:$Z$23,MATCH($C58,Matches!$A$5:$A$23,0))="","",INDEX(Matches!$Z$5:$Z$23,MATCH($C58,Matches!$A$5:$A$23,0))),"")</f>
        <v>21.5</v>
      </c>
      <c r="K58" s="11" t="n">
        <f aca="false">IFERROR(IF(INDEX(Matches!$AA$5:$AA$23,MATCH($C58,Matches!$A$5:$A$23,0))="","",INDEX(Matches!$AA$5:$AA$23,MATCH($C58,Matches!$A$5:$A$23,0))),"")</f>
        <v>21.42</v>
      </c>
      <c r="L58" s="11" t="n">
        <f aca="false">IFERROR(IF(INDEX(Matches!$AB$5:$AB$23,MATCH($C58,Matches!$A$5:$A$23,0))="","",INDEX(Matches!$AB$5:$AB$23,MATCH($C58,Matches!$A$5:$A$23,0))),"")</f>
        <v>21.5</v>
      </c>
      <c r="M58" s="10" t="n">
        <f aca="false">IFERROR(IF(INDEX(Matches!$AC$5:$AC$23,MATCH($C58,Matches!$A$5:$A$23,0))="","",INDEX(Matches!$AC$5:$AC$23,MATCH($C58,Matches!$A$5:$A$23,0))),"")</f>
        <v>0.4962</v>
      </c>
      <c r="N58" s="9" t="n">
        <f aca="false">IFERROR(INDEX(Players!$F$2:$F$137,MATCH($F58,Players!$A$2:$A$137,0)),0)</f>
        <v>38</v>
      </c>
      <c r="O58" s="13" t="n">
        <f aca="false">IFERROR(1/(1/INDEX(Players!$H$2:$H$137,MATCH($F58,Players!$A$2:$A$137,0))),"")</f>
        <v>0.62</v>
      </c>
      <c r="P58" s="10" t="n">
        <f aca="false">IFERROR(1/(1/INDEX(Players!$I$2:$I$137,MATCH($F58,Players!$A$2:$A$137,0))),"")</f>
        <v>0.533</v>
      </c>
      <c r="Q58" s="9" t="n">
        <f aca="false">IF($G58="",0,SUMIFS(Map_Stats!$F$2:$F$850,Map_Stats!$A$2:$A$850,$F58&amp;"|"&amp;$G58))</f>
        <v>12</v>
      </c>
      <c r="R58" s="13" t="n">
        <f aca="false">IF($G58="","",IFERROR(1/(1/INDEX(Map_Stats!$K$2:$K$850,MATCH($F58&amp;"|"&amp;$G58,Map_Stats!$A$2:$A$850,0))),$O58))</f>
        <v>0.7</v>
      </c>
      <c r="S58" s="10" t="n">
        <f aca="false">IF(OR($G58="",$P58=""),"",IFERROR(1/(1/INDEX(Map_Stats!$I$2:$I$850,MATCH($F58&amp;"|"&amp;$G58,Map_Stats!$A$2:$A$850,0))),$P58))</f>
        <v>0.517</v>
      </c>
      <c r="T58" s="13" t="n">
        <f aca="false">IF(OR($G58="",R58=""),"",IF($O58="",R58,(Q58*R58+Config!$B$4*$O58)/(Q58+Config!$B$4)))</f>
        <v>0.676470588235294</v>
      </c>
      <c r="U58" s="10" t="n">
        <f aca="false">IF(S58="","",(Q58*S58+Config!$B$4*$P58)/(Q58+Config!$B$4))</f>
        <v>0.521705882352941</v>
      </c>
      <c r="V58" s="17" t="n">
        <f aca="false">IF(OR(T58="",$J58=""),"",T58*$J58*($J58/Config!$B$10)^Config!$B$9)</f>
        <v>14.5441176470588</v>
      </c>
      <c r="W58" s="17" t="n">
        <f aca="false">IF(OR(V58="",U58=""),"",V58*U58)</f>
        <v>7.58775173010381</v>
      </c>
      <c r="X58" s="9" t="n">
        <f aca="false">IF($H58="",0,SUMIFS(Map_Stats!$F$2:$F$850,Map_Stats!$A$2:$A$850,$F58&amp;"|"&amp;$H58))</f>
        <v>6</v>
      </c>
      <c r="Y58" s="13" t="n">
        <f aca="false">IF($H58="","",IFERROR(1/(1/INDEX(Map_Stats!$K$2:$K$850,MATCH($F58&amp;"|"&amp;$H58,Map_Stats!$A$2:$A$850,0))),$O58))</f>
        <v>0.42</v>
      </c>
      <c r="Z58" s="10" t="n">
        <f aca="false">IF(OR($H58="",$P58=""),"",IFERROR(1/(1/INDEX(Map_Stats!$I$2:$I$850,MATCH($F58&amp;"|"&amp;$H58,Map_Stats!$A$2:$A$850,0))),$P58))</f>
        <v>0.632</v>
      </c>
      <c r="AA58" s="13" t="n">
        <f aca="false">IF(OR($H58="",Y58=""),"",IF($O58="",Y58,(X58*Y58+Config!$B$4*$O58)/(X58+Config!$B$4)))</f>
        <v>0.510909090909091</v>
      </c>
      <c r="AB58" s="10" t="n">
        <f aca="false">IF(Z58="","",(X58*Z58+Config!$B$4*$P58)/(X58+Config!$B$4))</f>
        <v>0.587</v>
      </c>
      <c r="AC58" s="17" t="n">
        <f aca="false">IF(OR(AA58="",$K58=""),"",AA58*$K58*($K58/Config!$B$10)^Config!$B$9)</f>
        <v>10.9436727272727</v>
      </c>
      <c r="AD58" s="17" t="n">
        <f aca="false">IF(OR(AC58="",AB58=""),"",AC58*AB58)</f>
        <v>6.42393589090909</v>
      </c>
      <c r="AE58" s="9" t="n">
        <f aca="false">IF($I58="",0,SUMIFS(Map_Stats!$F$2:$F$850,Map_Stats!$A$2:$A$850,$F58&amp;"|"&amp;$I58))</f>
        <v>10</v>
      </c>
      <c r="AF58" s="13" t="n">
        <f aca="false">IF($I58="","",IFERROR(1/(1/INDEX(Map_Stats!$K$2:$K$850,MATCH($F58&amp;"|"&amp;$I58,Map_Stats!$A$2:$A$850,0))),$O58))</f>
        <v>0.68</v>
      </c>
      <c r="AG58" s="10" t="n">
        <f aca="false">IF(OR($I58="",$P58=""),"",IFERROR(1/(1/INDEX(Map_Stats!$I$2:$I$850,MATCH($F58&amp;"|"&amp;$I58,Map_Stats!$A$2:$A$850,0))),$P58))</f>
        <v>0.486</v>
      </c>
      <c r="AH58" s="13" t="n">
        <f aca="false">IF(OR($I58="",AF58=""),"",IF($O58="",AF58,(AE58*AF58+Config!$B$4*$O58)/(AE58+Config!$B$4)))</f>
        <v>0.66</v>
      </c>
      <c r="AI58" s="10" t="n">
        <f aca="false">IF(AG58="","",(AE58*AG58+Config!$B$4*$P58)/(AE58+Config!$B$4))</f>
        <v>0.501666666666667</v>
      </c>
      <c r="AJ58" s="17" t="n">
        <f aca="false">IF(OR(AH58="",$L58=""),"",AH58*$L58*($L58/Config!$B$10)^Config!$B$9)</f>
        <v>14.19</v>
      </c>
      <c r="AK58" s="17" t="n">
        <f aca="false">IF(OR(AJ58="",AI58=""),"",AJ58*AI58)</f>
        <v>7.11865</v>
      </c>
      <c r="AL58" s="17" t="n">
        <f aca="false">N(V58)+N(AC58)</f>
        <v>25.4877903743316</v>
      </c>
      <c r="AM58" s="17" t="n">
        <f aca="false">AL58+N($M58)*N(AJ58)</f>
        <v>32.5288683743316</v>
      </c>
      <c r="AN58" s="17" t="n">
        <f aca="false">IF(W58="","",N(W58)+N(AD58))</f>
        <v>14.0116876210129</v>
      </c>
      <c r="AO58" s="17" t="n">
        <f aca="false">IF(AN58="","",AN58+N($M58)*N(AK58))</f>
        <v>17.5439617510129</v>
      </c>
      <c r="AP58" s="10" t="n">
        <f aca="false">IFERROR(AN58/AL58,"")</f>
        <v>0.549741166857834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IF($C58=Board!$B$2,COUNTIFS($C$2:$C$137,Board!$B$2,$AL$2:$AL$137,"&gt;"&amp;$AL58)+COUNTIFS($C$1:$C57,Board!$B$2,$AL$1:$AL57,$AL58)+1,"")</f>
        <v/>
      </c>
      <c r="AS58" s="0" t="str">
        <f aca="false">IFERROR(IF($D58=INDEX(Matches!$AD$5:$AD$23,MATCH($C58,Matches!$A$5:$A$23,0)),"A",IF($D58=INDEX(Matches!$AE$5:$AE$23,MATCH($C58,Matches!$A$5:$A$23,0)),"B","")),"")</f>
        <v>B</v>
      </c>
      <c r="AT58" s="10" t="n">
        <f aca="false">IF($AS58="","",IFERROR(IF($AS58="A",INDEX(Matches!$AI$5:$AI$23,MATCH($C58,Matches!$A$5:$A$23,0)),INDEX(Matches!$AJ$5:$AJ$23,MATCH($C58,Matches!$A$5:$A$23,0))),""))</f>
        <v>0.508391750778091</v>
      </c>
      <c r="AU58" s="10" t="n">
        <f aca="false">IF($AS58="","",IFERROR(IF(INDEX(Matches!$AP$5:$AP$23,MATCH($C58,Matches!$A$5:$A$23,0))="","",IF($AS58="A",INDEX(Matches!$AP$5:$AP$23,MATCH($C58,Matches!$A$5:$A$23,0)),1-INDEX(Matches!$AP$5:$AP$23,MATCH($C58,Matches!$A$5:$A$23,0)))),""))</f>
        <v>0.502940159114493</v>
      </c>
      <c r="AV58" s="13" t="n">
        <f aca="false">IF(OR($AU58="",$AT58=""),1,((Config!$B$14*$AU58+Config!$B$15*(1-$AU58))/(Config!$B$14*$AT58+Config!$B$15*(1-$AT58)))^Config!$B$13)</f>
        <v>0.995164625425099</v>
      </c>
      <c r="AW58" s="10" t="n">
        <f aca="false">IF($AS58="","",IFERROR(IF(INDEX(Matches!$AV$5:$AV$23,MATCH($C58,Matches!$A$5:$A$23,0))="","",IF($AS58="A",INDEX(Matches!$AV$5:$AV$23,MATCH($C58,Matches!$A$5:$A$23,0)),1-INDEX(Matches!$AV$5:$AV$23,MATCH($C58,Matches!$A$5:$A$23,0)))),""))</f>
        <v>0.52257911347702</v>
      </c>
      <c r="AX58" s="13" t="n">
        <f aca="false">IF(OR($AW58="",$AT58=""),1,((Config!$B$14*$AW58+Config!$B$15*(1-$AW58))/(Config!$B$14*$AT58+Config!$B$15*(1-$AT58)))^Config!$B$13)</f>
        <v>1.01258370345992</v>
      </c>
      <c r="AY58" s="10" t="n">
        <f aca="false">IF($AS58="","",IFERROR(IF(INDEX(Matches!$BB$5:$BB$23,MATCH($C58,Matches!$A$5:$A$23,0))="","",IF($AS58="A",INDEX(Matches!$BB$5:$BB$23,MATCH($C58,Matches!$A$5:$A$23,0)),1-INDEX(Matches!$BB$5:$BB$23,MATCH($C58,Matches!$A$5:$A$23,0)))),""))</f>
        <v>0.505306159844602</v>
      </c>
      <c r="AZ58" s="13" t="n">
        <f aca="false">IF(OR($AY58="",$AT58=""),1,((Config!$B$14*$AY58+Config!$B$15*(1-$AY58))/(Config!$B$14*$AT58+Config!$B$15*(1-$AT58)))^Config!$B$13)</f>
        <v>0.997263186814235</v>
      </c>
      <c r="BA58" s="17" t="n">
        <f aca="false">IF(V58="","",V58*$AV58)</f>
        <v>14.4737913903739</v>
      </c>
      <c r="BB58" s="17" t="n">
        <f aca="false">IF(AC58="","",AC58*$AX58)</f>
        <v>11.0813846596352</v>
      </c>
      <c r="BC58" s="17" t="n">
        <f aca="false">IF(AJ58="","",AJ58*$AZ58)</f>
        <v>14.151164620894</v>
      </c>
      <c r="BD58" s="17" t="n">
        <f aca="false">N(BA58)+N(BB58)</f>
        <v>25.555176050009</v>
      </c>
      <c r="BE58" s="17" t="n">
        <f aca="false">BD58+N($M58)*N(BC58)</f>
        <v>32.5769839348966</v>
      </c>
      <c r="BF58" s="17" t="n">
        <f aca="false">IF(W58="","",W58*$AV58)</f>
        <v>7.5510621083074</v>
      </c>
      <c r="BG58" s="17" t="n">
        <f aca="false">IF(AD58="","",AD58*$AX58)</f>
        <v>6.50477279520584</v>
      </c>
      <c r="BH58" s="17" t="n">
        <f aca="false">IF(AK58="","",AK58*$AZ58)</f>
        <v>7.09916758481516</v>
      </c>
      <c r="BI58" s="17" t="n">
        <f aca="false">IF(BF58="","",N(BF58)+N(BG58))</f>
        <v>14.0558349035132</v>
      </c>
      <c r="BJ58" s="17" t="n">
        <f aca="false">IF(BI58="","",BI58+N($M58)*N(BH58))</f>
        <v>17.5784418590985</v>
      </c>
      <c r="BK58" s="13" t="n">
        <f aca="false">IFERROR(BD58/AL58,1)</f>
        <v>1.00264384141143</v>
      </c>
    </row>
    <row r="59" customFormat="false" ht="15" hidden="false" customHeight="false" outlineLevel="0" collapsed="false">
      <c r="A59" s="0" t="s">
        <v>1432</v>
      </c>
      <c r="B59" s="0" t="s">
        <v>1139</v>
      </c>
      <c r="C59" s="0" t="s">
        <v>1154</v>
      </c>
      <c r="D59" s="0" t="s">
        <v>1160</v>
      </c>
      <c r="E59" s="0" t="s">
        <v>1431</v>
      </c>
      <c r="F59" s="0" t="s">
        <v>1716</v>
      </c>
      <c r="G59" s="0" t="str">
        <f aca="false">IFERROR(IF(INDEX(Matches!$W$5:$W$23,MATCH($C59,Matches!$A$5:$A$23,0))="","",INDEX(Matches!$W$5:$W$23,MATCH($C59,Matches!$A$5:$A$23,0))),"")</f>
        <v>Cache</v>
      </c>
      <c r="H59" s="0" t="str">
        <f aca="false">IFERROR(IF(INDEX(Matches!$X$5:$X$23,MATCH($C59,Matches!$A$5:$A$23,0))="","",INDEX(Matches!$X$5:$X$23,MATCH($C59,Matches!$A$5:$A$23,0))),"")</f>
        <v>Ancient</v>
      </c>
      <c r="I59" s="0" t="str">
        <f aca="false">IFERROR(IF(INDEX(Matches!$Y$5:$Y$23,MATCH($C59,Matches!$A$5:$A$23,0))="","",INDEX(Matches!$Y$5:$Y$23,MATCH($C59,Matches!$A$5:$A$23,0))),"")</f>
        <v>Mirage</v>
      </c>
      <c r="J59" s="11" t="n">
        <f aca="false">IFERROR(IF(INDEX(Matches!$Z$5:$Z$23,MATCH($C59,Matches!$A$5:$A$23,0))="","",INDEX(Matches!$Z$5:$Z$23,MATCH($C59,Matches!$A$5:$A$23,0))),"")</f>
        <v>21.5</v>
      </c>
      <c r="K59" s="11" t="n">
        <f aca="false">IFERROR(IF(INDEX(Matches!$AA$5:$AA$23,MATCH($C59,Matches!$A$5:$A$23,0))="","",INDEX(Matches!$AA$5:$AA$23,MATCH($C59,Matches!$A$5:$A$23,0))),"")</f>
        <v>21.42</v>
      </c>
      <c r="L59" s="11" t="n">
        <f aca="false">IFERROR(IF(INDEX(Matches!$AB$5:$AB$23,MATCH($C59,Matches!$A$5:$A$23,0))="","",INDEX(Matches!$AB$5:$AB$23,MATCH($C59,Matches!$A$5:$A$23,0))),"")</f>
        <v>21.5</v>
      </c>
      <c r="M59" s="10" t="n">
        <f aca="false">IFERROR(IF(INDEX(Matches!$AC$5:$AC$23,MATCH($C59,Matches!$A$5:$A$23,0))="","",INDEX(Matches!$AC$5:$AC$23,MATCH($C59,Matches!$A$5:$A$23,0))),"")</f>
        <v>0.4962</v>
      </c>
      <c r="N59" s="9" t="n">
        <f aca="false">IFERROR(INDEX(Players!$F$2:$F$137,MATCH($F59,Players!$A$2:$A$137,0)),0)</f>
        <v>38</v>
      </c>
      <c r="O59" s="13" t="n">
        <f aca="false">IFERROR(1/(1/INDEX(Players!$H$2:$H$137,MATCH($F59,Players!$A$2:$A$137,0))),"")</f>
        <v>0.6</v>
      </c>
      <c r="P59" s="10" t="n">
        <f aca="false">IFERROR(1/(1/INDEX(Players!$I$2:$I$137,MATCH($F59,Players!$A$2:$A$137,0))),"")</f>
        <v>0.47</v>
      </c>
      <c r="Q59" s="9" t="n">
        <f aca="false">IF($G59="",0,SUMIFS(Map_Stats!$F$2:$F$850,Map_Stats!$A$2:$A$850,$F59&amp;"|"&amp;$G59))</f>
        <v>12</v>
      </c>
      <c r="R59" s="13" t="n">
        <f aca="false">IF($G59="","",IFERROR(1/(1/INDEX(Map_Stats!$K$2:$K$850,MATCH($F59&amp;"|"&amp;$G59,Map_Stats!$A$2:$A$850,0))),$O59))</f>
        <v>0.64</v>
      </c>
      <c r="S59" s="10" t="n">
        <f aca="false">IF(OR($G59="",$P59=""),"",IFERROR(1/(1/INDEX(Map_Stats!$I$2:$I$850,MATCH($F59&amp;"|"&amp;$G59,Map_Stats!$A$2:$A$850,0))),$P59))</f>
        <v>0.402</v>
      </c>
      <c r="T59" s="13" t="n">
        <f aca="false">IF(OR($G59="",R59=""),"",IF($O59="",R59,(Q59*R59+Config!$B$4*$O59)/(Q59+Config!$B$4)))</f>
        <v>0.628235294117647</v>
      </c>
      <c r="U59" s="10" t="n">
        <f aca="false">IF(S59="","",(Q59*S59+Config!$B$4*$P59)/(Q59+Config!$B$4))</f>
        <v>0.422</v>
      </c>
      <c r="V59" s="17" t="n">
        <f aca="false">IF(OR(T59="",$J59=""),"",T59*$J59*($J59/Config!$B$10)^Config!$B$9)</f>
        <v>13.5070588235294</v>
      </c>
      <c r="W59" s="17" t="n">
        <f aca="false">IF(OR(V59="",U59=""),"",V59*U59)</f>
        <v>5.69997882352941</v>
      </c>
      <c r="X59" s="9" t="n">
        <f aca="false">IF($H59="",0,SUMIFS(Map_Stats!$F$2:$F$850,Map_Stats!$A$2:$A$850,$F59&amp;"|"&amp;$H59))</f>
        <v>6</v>
      </c>
      <c r="Y59" s="13" t="n">
        <f aca="false">IF($H59="","",IFERROR(1/(1/INDEX(Map_Stats!$K$2:$K$850,MATCH($F59&amp;"|"&amp;$H59,Map_Stats!$A$2:$A$850,0))),$O59))</f>
        <v>0.61</v>
      </c>
      <c r="Z59" s="10" t="n">
        <f aca="false">IF(OR($H59="",$P59=""),"",IFERROR(1/(1/INDEX(Map_Stats!$I$2:$I$850,MATCH($F59&amp;"|"&amp;$H59,Map_Stats!$A$2:$A$850,0))),$P59))</f>
        <v>0.506</v>
      </c>
      <c r="AA59" s="13" t="n">
        <f aca="false">IF(OR($H59="",Y59=""),"",IF($O59="",Y59,(X59*Y59+Config!$B$4*$O59)/(X59+Config!$B$4)))</f>
        <v>0.605454545454546</v>
      </c>
      <c r="AB59" s="10" t="n">
        <f aca="false">IF(Z59="","",(X59*Z59+Config!$B$4*$P59)/(X59+Config!$B$4))</f>
        <v>0.489636363636364</v>
      </c>
      <c r="AC59" s="17" t="n">
        <f aca="false">IF(OR(AA59="",$K59=""),"",AA59*$K59*($K59/Config!$B$10)^Config!$B$9)</f>
        <v>12.9688363636364</v>
      </c>
      <c r="AD59" s="17" t="n">
        <f aca="false">IF(OR(AC59="",AB59=""),"",AC59*AB59)</f>
        <v>6.35001387768595</v>
      </c>
      <c r="AE59" s="9" t="n">
        <f aca="false">IF($I59="",0,SUMIFS(Map_Stats!$F$2:$F$850,Map_Stats!$A$2:$A$850,$F59&amp;"|"&amp;$I59))</f>
        <v>10</v>
      </c>
      <c r="AF59" s="13" t="n">
        <f aca="false">IF($I59="","",IFERROR(1/(1/INDEX(Map_Stats!$K$2:$K$850,MATCH($F59&amp;"|"&amp;$I59,Map_Stats!$A$2:$A$850,0))),$O59))</f>
        <v>0.56</v>
      </c>
      <c r="AG59" s="10" t="n">
        <f aca="false">IF(OR($I59="",$P59=""),"",IFERROR(1/(1/INDEX(Map_Stats!$I$2:$I$850,MATCH($F59&amp;"|"&amp;$I59,Map_Stats!$A$2:$A$850,0))),$P59))</f>
        <v>0.475</v>
      </c>
      <c r="AH59" s="13" t="n">
        <f aca="false">IF(OR($I59="",AF59=""),"",IF($O59="",AF59,(AE59*AF59+Config!$B$4*$O59)/(AE59+Config!$B$4)))</f>
        <v>0.573333333333334</v>
      </c>
      <c r="AI59" s="10" t="n">
        <f aca="false">IF(AG59="","",(AE59*AG59+Config!$B$4*$P59)/(AE59+Config!$B$4))</f>
        <v>0.473333333333333</v>
      </c>
      <c r="AJ59" s="17" t="n">
        <f aca="false">IF(OR(AH59="",$L59=""),"",AH59*$L59*($L59/Config!$B$10)^Config!$B$9)</f>
        <v>12.3266666666667</v>
      </c>
      <c r="AK59" s="17" t="n">
        <f aca="false">IF(OR(AJ59="",AI59=""),"",AJ59*AI59)</f>
        <v>5.83462222222222</v>
      </c>
      <c r="AL59" s="17" t="n">
        <f aca="false">N(V59)+N(AC59)</f>
        <v>26.4758951871658</v>
      </c>
      <c r="AM59" s="17" t="n">
        <f aca="false">AL59+N($M59)*N(AJ59)</f>
        <v>32.5923871871658</v>
      </c>
      <c r="AN59" s="17" t="n">
        <f aca="false">IF(W59="","",N(W59)+N(AD59))</f>
        <v>12.0499927012154</v>
      </c>
      <c r="AO59" s="17" t="n">
        <f aca="false">IF(AN59="","",AN59+N($M59)*N(AK59))</f>
        <v>14.945132247882</v>
      </c>
      <c r="AP59" s="10" t="n">
        <f aca="false">IFERROR(AN59/AL59,"")</f>
        <v>0.455130699680992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IF($C59=Board!$B$2,COUNTIFS($C$2:$C$137,Board!$B$2,$AL$2:$AL$137,"&gt;"&amp;$AL59)+COUNTIFS($C$1:$C58,Board!$B$2,$AL$1:$AL58,$AL59)+1,"")</f>
        <v/>
      </c>
      <c r="AS59" s="0" t="str">
        <f aca="false">IFERROR(IF($D59=INDEX(Matches!$AD$5:$AD$23,MATCH($C59,Matches!$A$5:$A$23,0)),"A",IF($D59=INDEX(Matches!$AE$5:$AE$23,MATCH($C59,Matches!$A$5:$A$23,0)),"B","")),"")</f>
        <v>B</v>
      </c>
      <c r="AT59" s="10" t="n">
        <f aca="false">IF($AS59="","",IFERROR(IF($AS59="A",INDEX(Matches!$AI$5:$AI$23,MATCH($C59,Matches!$A$5:$A$23,0)),INDEX(Matches!$AJ$5:$AJ$23,MATCH($C59,Matches!$A$5:$A$23,0))),""))</f>
        <v>0.508391750778091</v>
      </c>
      <c r="AU59" s="10" t="n">
        <f aca="false">IF($AS59="","",IFERROR(IF(INDEX(Matches!$AP$5:$AP$23,MATCH($C59,Matches!$A$5:$A$23,0))="","",IF($AS59="A",INDEX(Matches!$AP$5:$AP$23,MATCH($C59,Matches!$A$5:$A$23,0)),1-INDEX(Matches!$AP$5:$AP$23,MATCH($C59,Matches!$A$5:$A$23,0)))),""))</f>
        <v>0.502940159114493</v>
      </c>
      <c r="AV59" s="13" t="n">
        <f aca="false">IF(OR($AU59="",$AT59=""),1,((Config!$B$14*$AU59+Config!$B$15*(1-$AU59))/(Config!$B$14*$AT59+Config!$B$15*(1-$AT59)))^Config!$B$13)</f>
        <v>0.995164625425099</v>
      </c>
      <c r="AW59" s="10" t="n">
        <f aca="false">IF($AS59="","",IFERROR(IF(INDEX(Matches!$AV$5:$AV$23,MATCH($C59,Matches!$A$5:$A$23,0))="","",IF($AS59="A",INDEX(Matches!$AV$5:$AV$23,MATCH($C59,Matches!$A$5:$A$23,0)),1-INDEX(Matches!$AV$5:$AV$23,MATCH($C59,Matches!$A$5:$A$23,0)))),""))</f>
        <v>0.52257911347702</v>
      </c>
      <c r="AX59" s="13" t="n">
        <f aca="false">IF(OR($AW59="",$AT59=""),1,((Config!$B$14*$AW59+Config!$B$15*(1-$AW59))/(Config!$B$14*$AT59+Config!$B$15*(1-$AT59)))^Config!$B$13)</f>
        <v>1.01258370345992</v>
      </c>
      <c r="AY59" s="10" t="n">
        <f aca="false">IF($AS59="","",IFERROR(IF(INDEX(Matches!$BB$5:$BB$23,MATCH($C59,Matches!$A$5:$A$23,0))="","",IF($AS59="A",INDEX(Matches!$BB$5:$BB$23,MATCH($C59,Matches!$A$5:$A$23,0)),1-INDEX(Matches!$BB$5:$BB$23,MATCH($C59,Matches!$A$5:$A$23,0)))),""))</f>
        <v>0.505306159844602</v>
      </c>
      <c r="AZ59" s="13" t="n">
        <f aca="false">IF(OR($AY59="",$AT59=""),1,((Config!$B$14*$AY59+Config!$B$15*(1-$AY59))/(Config!$B$14*$AT59+Config!$B$15*(1-$AT59)))^Config!$B$13)</f>
        <v>0.997263186814235</v>
      </c>
      <c r="BA59" s="17" t="n">
        <f aca="false">IF(V59="","",V59*$AV59)</f>
        <v>13.4417471347124</v>
      </c>
      <c r="BB59" s="17" t="n">
        <f aca="false">IF(AC59="","",AC59*$AX59)</f>
        <v>13.1320323546566</v>
      </c>
      <c r="BC59" s="17" t="n">
        <f aca="false">IF(AJ59="","",AJ59*$AZ59)</f>
        <v>12.2929308827968</v>
      </c>
      <c r="BD59" s="17" t="n">
        <f aca="false">N(BA59)+N(BB59)</f>
        <v>26.573779489369</v>
      </c>
      <c r="BE59" s="17" t="n">
        <f aca="false">BD59+N($M59)*N(BC59)</f>
        <v>32.6735317934128</v>
      </c>
      <c r="BF59" s="17" t="n">
        <f aca="false">IF(W59="","",W59*$AV59)</f>
        <v>5.67241729084864</v>
      </c>
      <c r="BG59" s="17" t="n">
        <f aca="false">IF(AD59="","",AD59*$AX59)</f>
        <v>6.42992056928914</v>
      </c>
      <c r="BH59" s="17" t="n">
        <f aca="false">IF(AK59="","",AK59*$AZ59)</f>
        <v>5.81865395119049</v>
      </c>
      <c r="BI59" s="17" t="n">
        <f aca="false">IF(BF59="","",N(BF59)+N(BG59))</f>
        <v>12.1023378601378</v>
      </c>
      <c r="BJ59" s="17" t="n">
        <f aca="false">IF(BI59="","",BI59+N($M59)*N(BH59))</f>
        <v>14.9895539507185</v>
      </c>
      <c r="BK59" s="13" t="n">
        <f aca="false">IFERROR(BD59/AL59,1)</f>
        <v>1.00369711020199</v>
      </c>
    </row>
    <row r="60" customFormat="false" ht="15" hidden="false" customHeight="false" outlineLevel="0" collapsed="false">
      <c r="A60" s="0" t="s">
        <v>1435</v>
      </c>
      <c r="B60" s="0" t="s">
        <v>1139</v>
      </c>
      <c r="C60" s="0" t="s">
        <v>1154</v>
      </c>
      <c r="D60" s="0" t="s">
        <v>1159</v>
      </c>
      <c r="E60" s="0" t="s">
        <v>1433</v>
      </c>
      <c r="F60" s="0" t="s">
        <v>1717</v>
      </c>
      <c r="G60" s="0" t="str">
        <f aca="false">IFERROR(IF(INDEX(Matches!$W$5:$W$23,MATCH($C60,Matches!$A$5:$A$23,0))="","",INDEX(Matches!$W$5:$W$23,MATCH($C60,Matches!$A$5:$A$23,0))),"")</f>
        <v>Cache</v>
      </c>
      <c r="H60" s="0" t="str">
        <f aca="false">IFERROR(IF(INDEX(Matches!$X$5:$X$23,MATCH($C60,Matches!$A$5:$A$23,0))="","",INDEX(Matches!$X$5:$X$23,MATCH($C60,Matches!$A$5:$A$23,0))),"")</f>
        <v>Ancient</v>
      </c>
      <c r="I60" s="0" t="str">
        <f aca="false">IFERROR(IF(INDEX(Matches!$Y$5:$Y$23,MATCH($C60,Matches!$A$5:$A$23,0))="","",INDEX(Matches!$Y$5:$Y$23,MATCH($C60,Matches!$A$5:$A$23,0))),"")</f>
        <v>Mirage</v>
      </c>
      <c r="J60" s="11" t="n">
        <f aca="false">IFERROR(IF(INDEX(Matches!$Z$5:$Z$23,MATCH($C60,Matches!$A$5:$A$23,0))="","",INDEX(Matches!$Z$5:$Z$23,MATCH($C60,Matches!$A$5:$A$23,0))),"")</f>
        <v>21.5</v>
      </c>
      <c r="K60" s="11" t="n">
        <f aca="false">IFERROR(IF(INDEX(Matches!$AA$5:$AA$23,MATCH($C60,Matches!$A$5:$A$23,0))="","",INDEX(Matches!$AA$5:$AA$23,MATCH($C60,Matches!$A$5:$A$23,0))),"")</f>
        <v>21.42</v>
      </c>
      <c r="L60" s="11" t="n">
        <f aca="false">IFERROR(IF(INDEX(Matches!$AB$5:$AB$23,MATCH($C60,Matches!$A$5:$A$23,0))="","",INDEX(Matches!$AB$5:$AB$23,MATCH($C60,Matches!$A$5:$A$23,0))),"")</f>
        <v>21.5</v>
      </c>
      <c r="M60" s="10" t="n">
        <f aca="false">IFERROR(IF(INDEX(Matches!$AC$5:$AC$23,MATCH($C60,Matches!$A$5:$A$23,0))="","",INDEX(Matches!$AC$5:$AC$23,MATCH($C60,Matches!$A$5:$A$23,0))),"")</f>
        <v>0.4962</v>
      </c>
      <c r="N60" s="9" t="n">
        <f aca="false">IFERROR(INDEX(Players!$F$2:$F$137,MATCH($F60,Players!$A$2:$A$137,0)),0)</f>
        <v>39</v>
      </c>
      <c r="O60" s="13" t="n">
        <f aca="false">IFERROR(1/(1/INDEX(Players!$H$2:$H$137,MATCH($F60,Players!$A$2:$A$137,0))),"")</f>
        <v>0.78</v>
      </c>
      <c r="P60" s="10" t="n">
        <f aca="false">IFERROR(1/(1/INDEX(Players!$I$2:$I$137,MATCH($F60,Players!$A$2:$A$137,0))),"")</f>
        <v>0.578</v>
      </c>
      <c r="Q60" s="9" t="n">
        <f aca="false">IF($G60="",0,SUMIFS(Map_Stats!$F$2:$F$850,Map_Stats!$A$2:$A$850,$F60&amp;"|"&amp;$G60))</f>
        <v>9</v>
      </c>
      <c r="R60" s="13" t="n">
        <f aca="false">IF($G60="","",IFERROR(1/(1/INDEX(Map_Stats!$K$2:$K$850,MATCH($F60&amp;"|"&amp;$G60,Map_Stats!$A$2:$A$850,0))),$O60))</f>
        <v>0.76</v>
      </c>
      <c r="S60" s="10" t="n">
        <f aca="false">IF(OR($G60="",$P60=""),"",IFERROR(1/(1/INDEX(Map_Stats!$I$2:$I$850,MATCH($F60&amp;"|"&amp;$G60,Map_Stats!$A$2:$A$850,0))),$P60))</f>
        <v>0.56</v>
      </c>
      <c r="T60" s="13" t="n">
        <f aca="false">IF(OR($G60="",R60=""),"",IF($O60="",R60,(Q60*R60+Config!$B$4*$O60)/(Q60+Config!$B$4)))</f>
        <v>0.767142857142857</v>
      </c>
      <c r="U60" s="10" t="n">
        <f aca="false">IF(S60="","",(Q60*S60+Config!$B$4*$P60)/(Q60+Config!$B$4))</f>
        <v>0.566428571428572</v>
      </c>
      <c r="V60" s="17" t="n">
        <f aca="false">IF(OR(T60="",$J60=""),"",T60*$J60*($J60/Config!$B$10)^Config!$B$9)</f>
        <v>16.4935714285714</v>
      </c>
      <c r="W60" s="17" t="n">
        <f aca="false">IF(OR(V60="",U60=""),"",V60*U60)</f>
        <v>9.34243010204082</v>
      </c>
      <c r="X60" s="9" t="n">
        <f aca="false">IF($H60="",0,SUMIFS(Map_Stats!$F$2:$F$850,Map_Stats!$A$2:$A$850,$F60&amp;"|"&amp;$H60))</f>
        <v>9</v>
      </c>
      <c r="Y60" s="13" t="n">
        <f aca="false">IF($H60="","",IFERROR(1/(1/INDEX(Map_Stats!$K$2:$K$850,MATCH($F60&amp;"|"&amp;$H60,Map_Stats!$A$2:$A$850,0))),$O60))</f>
        <v>0.82</v>
      </c>
      <c r="Z60" s="10" t="n">
        <f aca="false">IF(OR($H60="",$P60=""),"",IFERROR(1/(1/INDEX(Map_Stats!$I$2:$I$850,MATCH($F60&amp;"|"&amp;$H60,Map_Stats!$A$2:$A$850,0))),$P60))</f>
        <v>0.519</v>
      </c>
      <c r="AA60" s="13" t="n">
        <f aca="false">IF(OR($H60="",Y60=""),"",IF($O60="",Y60,(X60*Y60+Config!$B$4*$O60)/(X60+Config!$B$4)))</f>
        <v>0.805714285714286</v>
      </c>
      <c r="AB60" s="10" t="n">
        <f aca="false">IF(Z60="","",(X60*Z60+Config!$B$4*$P60)/(X60+Config!$B$4))</f>
        <v>0.540071428571429</v>
      </c>
      <c r="AC60" s="17" t="n">
        <f aca="false">IF(OR(AA60="",$K60=""),"",AA60*$K60*($K60/Config!$B$10)^Config!$B$9)</f>
        <v>17.2584</v>
      </c>
      <c r="AD60" s="17" t="n">
        <f aca="false">IF(OR(AC60="",AB60=""),"",AC60*AB60)</f>
        <v>9.32076874285715</v>
      </c>
      <c r="AE60" s="9" t="n">
        <f aca="false">IF($I60="",0,SUMIFS(Map_Stats!$F$2:$F$850,Map_Stats!$A$2:$A$850,$F60&amp;"|"&amp;$I60))</f>
        <v>7</v>
      </c>
      <c r="AF60" s="13" t="n">
        <f aca="false">IF($I60="","",IFERROR(1/(1/INDEX(Map_Stats!$K$2:$K$850,MATCH($F60&amp;"|"&amp;$I60,Map_Stats!$A$2:$A$850,0))),$O60))</f>
        <v>0.8</v>
      </c>
      <c r="AG60" s="10" t="n">
        <f aca="false">IF(OR($I60="",$P60=""),"",IFERROR(1/(1/INDEX(Map_Stats!$I$2:$I$850,MATCH($F60&amp;"|"&amp;$I60,Map_Stats!$A$2:$A$850,0))),$P60))</f>
        <v>0.632</v>
      </c>
      <c r="AH60" s="13" t="n">
        <f aca="false">IF(OR($I60="",AF60=""),"",IF($O60="",AF60,(AE60*AF60+Config!$B$4*$O60)/(AE60+Config!$B$4)))</f>
        <v>0.791666666666667</v>
      </c>
      <c r="AI60" s="10" t="n">
        <f aca="false">IF(AG60="","",(AE60*AG60+Config!$B$4*$P60)/(AE60+Config!$B$4))</f>
        <v>0.6095</v>
      </c>
      <c r="AJ60" s="17" t="n">
        <f aca="false">IF(OR(AH60="",$L60=""),"",AH60*$L60*($L60/Config!$B$10)^Config!$B$9)</f>
        <v>17.0208333333333</v>
      </c>
      <c r="AK60" s="17" t="n">
        <f aca="false">IF(OR(AJ60="",AI60=""),"",AJ60*AI60)</f>
        <v>10.3741979166667</v>
      </c>
      <c r="AL60" s="17" t="n">
        <f aca="false">N(V60)+N(AC60)</f>
        <v>33.7519714285714</v>
      </c>
      <c r="AM60" s="17" t="n">
        <f aca="false">AL60+N($M60)*N(AJ60)</f>
        <v>42.1977089285714</v>
      </c>
      <c r="AN60" s="17" t="n">
        <f aca="false">IF(W60="","",N(W60)+N(AD60))</f>
        <v>18.663198844898</v>
      </c>
      <c r="AO60" s="17" t="n">
        <f aca="false">IF(AN60="","",AN60+N($M60)*N(AK60))</f>
        <v>23.810875851148</v>
      </c>
      <c r="AP60" s="10" t="n">
        <f aca="false">IFERROR(AN60/AL60,"")</f>
        <v>0.55295137009684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IF($C60=Board!$B$2,COUNTIFS($C$2:$C$137,Board!$B$2,$AL$2:$AL$137,"&gt;"&amp;$AL60)+COUNTIFS($C$1:$C59,Board!$B$2,$AL$1:$AL59,$AL60)+1,"")</f>
        <v/>
      </c>
      <c r="AS60" s="0" t="str">
        <f aca="false">IFERROR(IF($D60=INDEX(Matches!$AD$5:$AD$23,MATCH($C60,Matches!$A$5:$A$23,0)),"A",IF($D60=INDEX(Matches!$AE$5:$AE$23,MATCH($C60,Matches!$A$5:$A$23,0)),"B","")),"")</f>
        <v>A</v>
      </c>
      <c r="AT60" s="10" t="n">
        <f aca="false">IF($AS60="","",IFERROR(IF($AS60="A",INDEX(Matches!$AI$5:$AI$23,MATCH($C60,Matches!$A$5:$A$23,0)),INDEX(Matches!$AJ$5:$AJ$23,MATCH($C60,Matches!$A$5:$A$23,0))),""))</f>
        <v>0.516823308322326</v>
      </c>
      <c r="AU60" s="10" t="n">
        <f aca="false">IF($AS60="","",IFERROR(IF(INDEX(Matches!$AP$5:$AP$23,MATCH($C60,Matches!$A$5:$A$23,0))="","",IF($AS60="A",INDEX(Matches!$AP$5:$AP$23,MATCH($C60,Matches!$A$5:$A$23,0)),1-INDEX(Matches!$AP$5:$AP$23,MATCH($C60,Matches!$A$5:$A$23,0)))),""))</f>
        <v>0.497059840885507</v>
      </c>
      <c r="AV60" s="13" t="n">
        <f aca="false">IF(OR($AU60="",$AT60=""),1,((Config!$B$14*$AU60+Config!$B$15*(1-$AU60))/(Config!$B$14*$AT60+Config!$B$15*(1-$AT60)))^Config!$B$13)</f>
        <v>0.982600604557614</v>
      </c>
      <c r="AW60" s="10" t="n">
        <f aca="false">IF($AS60="","",IFERROR(IF(INDEX(Matches!$AV$5:$AV$23,MATCH($C60,Matches!$A$5:$A$23,0))="","",IF($AS60="A",INDEX(Matches!$AV$5:$AV$23,MATCH($C60,Matches!$A$5:$A$23,0)),1-INDEX(Matches!$AV$5:$AV$23,MATCH($C60,Matches!$A$5:$A$23,0)))),""))</f>
        <v>0.477420886522981</v>
      </c>
      <c r="AX60" s="13" t="n">
        <f aca="false">IF(OR($AW60="",$AT60=""),1,((Config!$B$14*$AW60+Config!$B$15*(1-$AW60))/(Config!$B$14*$AT60+Config!$B$15*(1-$AT60)))^Config!$B$13)</f>
        <v>0.965310828149656</v>
      </c>
      <c r="AY60" s="10" t="n">
        <f aca="false">IF($AS60="","",IFERROR(IF(INDEX(Matches!$BB$5:$BB$23,MATCH($C60,Matches!$A$5:$A$23,0))="","",IF($AS60="A",INDEX(Matches!$BB$5:$BB$23,MATCH($C60,Matches!$A$5:$A$23,0)),1-INDEX(Matches!$BB$5:$BB$23,MATCH($C60,Matches!$A$5:$A$23,0)))),""))</f>
        <v>0.494693840155398</v>
      </c>
      <c r="AZ60" s="13" t="n">
        <f aca="false">IF(OR($AY60="",$AT60=""),1,((Config!$B$14*$AY60+Config!$B$15*(1-$AY60))/(Config!$B$14*$AT60+Config!$B$15*(1-$AT60)))^Config!$B$13)</f>
        <v>0.980517620766853</v>
      </c>
      <c r="BA60" s="17" t="n">
        <f aca="false">IF(V60="","",V60*$AV60)</f>
        <v>16.2065932570285</v>
      </c>
      <c r="BB60" s="17" t="n">
        <f aca="false">IF(AC60="","",AC60*$AX60)</f>
        <v>16.659720396538</v>
      </c>
      <c r="BC60" s="17" t="n">
        <f aca="false">IF(AJ60="","",AJ60*$AZ60)</f>
        <v>16.6892270034691</v>
      </c>
      <c r="BD60" s="17" t="n">
        <f aca="false">N(BA60)+N(BB60)</f>
        <v>32.8663136535665</v>
      </c>
      <c r="BE60" s="17" t="n">
        <f aca="false">BD60+N($M60)*N(BC60)</f>
        <v>41.1475080926879</v>
      </c>
      <c r="BF60" s="17" t="n">
        <f aca="false">IF(W60="","",W60*$AV60)</f>
        <v>9.17987746630256</v>
      </c>
      <c r="BG60" s="17" t="n">
        <f aca="false">IF(AD60="","",AD60*$AX60)</f>
        <v>8.99743899415886</v>
      </c>
      <c r="BH60" s="17" t="n">
        <f aca="false">IF(AK60="","",AK60*$AZ60)</f>
        <v>10.1720838586144</v>
      </c>
      <c r="BI60" s="17" t="n">
        <f aca="false">IF(BF60="","",N(BF60)+N(BG60))</f>
        <v>18.1773164604614</v>
      </c>
      <c r="BJ60" s="17" t="n">
        <f aca="false">IF(BI60="","",BI60+N($M60)*N(BH60))</f>
        <v>23.2247044711059</v>
      </c>
      <c r="BK60" s="13" t="n">
        <f aca="false">IFERROR(BD60/AL60,1)</f>
        <v>0.97375982090767</v>
      </c>
    </row>
    <row r="61" customFormat="false" ht="15" hidden="false" customHeight="false" outlineLevel="0" collapsed="false">
      <c r="A61" s="0" t="s">
        <v>1438</v>
      </c>
      <c r="B61" s="0" t="s">
        <v>1139</v>
      </c>
      <c r="C61" s="0" t="s">
        <v>1154</v>
      </c>
      <c r="D61" s="0" t="s">
        <v>1159</v>
      </c>
      <c r="E61" s="0" t="s">
        <v>1437</v>
      </c>
      <c r="F61" s="0" t="s">
        <v>1718</v>
      </c>
      <c r="G61" s="0" t="str">
        <f aca="false">IFERROR(IF(INDEX(Matches!$W$5:$W$23,MATCH($C61,Matches!$A$5:$A$23,0))="","",INDEX(Matches!$W$5:$W$23,MATCH($C61,Matches!$A$5:$A$23,0))),"")</f>
        <v>Cache</v>
      </c>
      <c r="H61" s="0" t="str">
        <f aca="false">IFERROR(IF(INDEX(Matches!$X$5:$X$23,MATCH($C61,Matches!$A$5:$A$23,0))="","",INDEX(Matches!$X$5:$X$23,MATCH($C61,Matches!$A$5:$A$23,0))),"")</f>
        <v>Ancient</v>
      </c>
      <c r="I61" s="0" t="str">
        <f aca="false">IFERROR(IF(INDEX(Matches!$Y$5:$Y$23,MATCH($C61,Matches!$A$5:$A$23,0))="","",INDEX(Matches!$Y$5:$Y$23,MATCH($C61,Matches!$A$5:$A$23,0))),"")</f>
        <v>Mirage</v>
      </c>
      <c r="J61" s="11" t="n">
        <f aca="false">IFERROR(IF(INDEX(Matches!$Z$5:$Z$23,MATCH($C61,Matches!$A$5:$A$23,0))="","",INDEX(Matches!$Z$5:$Z$23,MATCH($C61,Matches!$A$5:$A$23,0))),"")</f>
        <v>21.5</v>
      </c>
      <c r="K61" s="11" t="n">
        <f aca="false">IFERROR(IF(INDEX(Matches!$AA$5:$AA$23,MATCH($C61,Matches!$A$5:$A$23,0))="","",INDEX(Matches!$AA$5:$AA$23,MATCH($C61,Matches!$A$5:$A$23,0))),"")</f>
        <v>21.42</v>
      </c>
      <c r="L61" s="11" t="n">
        <f aca="false">IFERROR(IF(INDEX(Matches!$AB$5:$AB$23,MATCH($C61,Matches!$A$5:$A$23,0))="","",INDEX(Matches!$AB$5:$AB$23,MATCH($C61,Matches!$A$5:$A$23,0))),"")</f>
        <v>21.5</v>
      </c>
      <c r="M61" s="10" t="n">
        <f aca="false">IFERROR(IF(INDEX(Matches!$AC$5:$AC$23,MATCH($C61,Matches!$A$5:$A$23,0))="","",INDEX(Matches!$AC$5:$AC$23,MATCH($C61,Matches!$A$5:$A$23,0))),"")</f>
        <v>0.4962</v>
      </c>
      <c r="N61" s="9" t="n">
        <f aca="false">IFERROR(INDEX(Players!$F$2:$F$137,MATCH($F61,Players!$A$2:$A$137,0)),0)</f>
        <v>39</v>
      </c>
      <c r="O61" s="13" t="n">
        <f aca="false">IFERROR(1/(1/INDEX(Players!$H$2:$H$137,MATCH($F61,Players!$A$2:$A$137,0))),"")</f>
        <v>0.7</v>
      </c>
      <c r="P61" s="10" t="n">
        <f aca="false">IFERROR(1/(1/INDEX(Players!$I$2:$I$137,MATCH($F61,Players!$A$2:$A$137,0))),"")</f>
        <v>0.573</v>
      </c>
      <c r="Q61" s="9" t="n">
        <f aca="false">IF($G61="",0,SUMIFS(Map_Stats!$F$2:$F$850,Map_Stats!$A$2:$A$850,$F61&amp;"|"&amp;$G61))</f>
        <v>9</v>
      </c>
      <c r="R61" s="13" t="n">
        <f aca="false">IF($G61="","",IFERROR(1/(1/INDEX(Map_Stats!$K$2:$K$850,MATCH($F61&amp;"|"&amp;$G61,Map_Stats!$A$2:$A$850,0))),$O61))</f>
        <v>0.78</v>
      </c>
      <c r="S61" s="10" t="n">
        <f aca="false">IF(OR($G61="",$P61=""),"",IFERROR(1/(1/INDEX(Map_Stats!$I$2:$I$850,MATCH($F61&amp;"|"&amp;$G61,Map_Stats!$A$2:$A$850,0))),$P61))</f>
        <v>0.526</v>
      </c>
      <c r="T61" s="13" t="n">
        <f aca="false">IF(OR($G61="",R61=""),"",IF($O61="",R61,(Q61*R61+Config!$B$4*$O61)/(Q61+Config!$B$4)))</f>
        <v>0.751428571428571</v>
      </c>
      <c r="U61" s="10" t="n">
        <f aca="false">IF(S61="","",(Q61*S61+Config!$B$4*$P61)/(Q61+Config!$B$4))</f>
        <v>0.542785714285714</v>
      </c>
      <c r="V61" s="17" t="n">
        <f aca="false">IF(OR(T61="",$J61=""),"",T61*$J61*($J61/Config!$B$10)^Config!$B$9)</f>
        <v>16.1557142857143</v>
      </c>
      <c r="W61" s="17" t="n">
        <f aca="false">IF(OR(V61="",U61=""),"",V61*U61)</f>
        <v>8.76909091836735</v>
      </c>
      <c r="X61" s="9" t="n">
        <f aca="false">IF($H61="",0,SUMIFS(Map_Stats!$F$2:$F$850,Map_Stats!$A$2:$A$850,$F61&amp;"|"&amp;$H61))</f>
        <v>9</v>
      </c>
      <c r="Y61" s="13" t="n">
        <f aca="false">IF($H61="","",IFERROR(1/(1/INDEX(Map_Stats!$K$2:$K$850,MATCH($F61&amp;"|"&amp;$H61,Map_Stats!$A$2:$A$850,0))),$O61))</f>
        <v>0.7</v>
      </c>
      <c r="Z61" s="10" t="n">
        <f aca="false">IF(OR($H61="",$P61=""),"",IFERROR(1/(1/INDEX(Map_Stats!$I$2:$I$850,MATCH($F61&amp;"|"&amp;$H61,Map_Stats!$A$2:$A$850,0))),$P61))</f>
        <v>0.594</v>
      </c>
      <c r="AA61" s="13" t="n">
        <f aca="false">IF(OR($H61="",Y61=""),"",IF($O61="",Y61,(X61*Y61+Config!$B$4*$O61)/(X61+Config!$B$4)))</f>
        <v>0.7</v>
      </c>
      <c r="AB61" s="10" t="n">
        <f aca="false">IF(Z61="","",(X61*Z61+Config!$B$4*$P61)/(X61+Config!$B$4))</f>
        <v>0.5865</v>
      </c>
      <c r="AC61" s="17" t="n">
        <f aca="false">IF(OR(AA61="",$K61=""),"",AA61*$K61*($K61/Config!$B$10)^Config!$B$9)</f>
        <v>14.994</v>
      </c>
      <c r="AD61" s="17" t="n">
        <f aca="false">IF(OR(AC61="",AB61=""),"",AC61*AB61)</f>
        <v>8.793981</v>
      </c>
      <c r="AE61" s="9" t="n">
        <f aca="false">IF($I61="",0,SUMIFS(Map_Stats!$F$2:$F$850,Map_Stats!$A$2:$A$850,$F61&amp;"|"&amp;$I61))</f>
        <v>7</v>
      </c>
      <c r="AF61" s="13" t="n">
        <f aca="false">IF($I61="","",IFERROR(1/(1/INDEX(Map_Stats!$K$2:$K$850,MATCH($F61&amp;"|"&amp;$I61,Map_Stats!$A$2:$A$850,0))),$O61))</f>
        <v>0.59</v>
      </c>
      <c r="AG61" s="10" t="n">
        <f aca="false">IF(OR($I61="",$P61=""),"",IFERROR(1/(1/INDEX(Map_Stats!$I$2:$I$850,MATCH($F61&amp;"|"&amp;$I61,Map_Stats!$A$2:$A$850,0))),$P61))</f>
        <v>0.559</v>
      </c>
      <c r="AH61" s="13" t="n">
        <f aca="false">IF(OR($I61="",AF61=""),"",IF($O61="",AF61,(AE61*AF61+Config!$B$4*$O61)/(AE61+Config!$B$4)))</f>
        <v>0.635833333333333</v>
      </c>
      <c r="AI61" s="10" t="n">
        <f aca="false">IF(AG61="","",(AE61*AG61+Config!$B$4*$P61)/(AE61+Config!$B$4))</f>
        <v>0.564833333333333</v>
      </c>
      <c r="AJ61" s="17" t="n">
        <f aca="false">IF(OR(AH61="",$L61=""),"",AH61*$L61*($L61/Config!$B$10)^Config!$B$9)</f>
        <v>13.6704166666667</v>
      </c>
      <c r="AK61" s="17" t="n">
        <f aca="false">IF(OR(AJ61="",AI61=""),"",AJ61*AI61)</f>
        <v>7.72150701388889</v>
      </c>
      <c r="AL61" s="17" t="n">
        <f aca="false">N(V61)+N(AC61)</f>
        <v>31.1497142857143</v>
      </c>
      <c r="AM61" s="17" t="n">
        <f aca="false">AL61+N($M61)*N(AJ61)</f>
        <v>37.9329750357143</v>
      </c>
      <c r="AN61" s="17" t="n">
        <f aca="false">IF(W61="","",N(W61)+N(AD61))</f>
        <v>17.5630719183674</v>
      </c>
      <c r="AO61" s="17" t="n">
        <f aca="false">IF(AN61="","",AN61+N($M61)*N(AK61))</f>
        <v>21.394483698659</v>
      </c>
      <c r="AP61" s="10" t="n">
        <f aca="false">IFERROR(AN61/AL61,"")</f>
        <v>0.563827705040044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IF($C61=Board!$B$2,COUNTIFS($C$2:$C$137,Board!$B$2,$AL$2:$AL$137,"&gt;"&amp;$AL61)+COUNTIFS($C$1:$C60,Board!$B$2,$AL$1:$AL60,$AL61)+1,"")</f>
        <v/>
      </c>
      <c r="AS61" s="0" t="str">
        <f aca="false">IFERROR(IF($D61=INDEX(Matches!$AD$5:$AD$23,MATCH($C61,Matches!$A$5:$A$23,0)),"A",IF($D61=INDEX(Matches!$AE$5:$AE$23,MATCH($C61,Matches!$A$5:$A$23,0)),"B","")),"")</f>
        <v>A</v>
      </c>
      <c r="AT61" s="10" t="n">
        <f aca="false">IF($AS61="","",IFERROR(IF($AS61="A",INDEX(Matches!$AI$5:$AI$23,MATCH($C61,Matches!$A$5:$A$23,0)),INDEX(Matches!$AJ$5:$AJ$23,MATCH($C61,Matches!$A$5:$A$23,0))),""))</f>
        <v>0.516823308322326</v>
      </c>
      <c r="AU61" s="10" t="n">
        <f aca="false">IF($AS61="","",IFERROR(IF(INDEX(Matches!$AP$5:$AP$23,MATCH($C61,Matches!$A$5:$A$23,0))="","",IF($AS61="A",INDEX(Matches!$AP$5:$AP$23,MATCH($C61,Matches!$A$5:$A$23,0)),1-INDEX(Matches!$AP$5:$AP$23,MATCH($C61,Matches!$A$5:$A$23,0)))),""))</f>
        <v>0.497059840885507</v>
      </c>
      <c r="AV61" s="13" t="n">
        <f aca="false">IF(OR($AU61="",$AT61=""),1,((Config!$B$14*$AU61+Config!$B$15*(1-$AU61))/(Config!$B$14*$AT61+Config!$B$15*(1-$AT61)))^Config!$B$13)</f>
        <v>0.982600604557614</v>
      </c>
      <c r="AW61" s="10" t="n">
        <f aca="false">IF($AS61="","",IFERROR(IF(INDEX(Matches!$AV$5:$AV$23,MATCH($C61,Matches!$A$5:$A$23,0))="","",IF($AS61="A",INDEX(Matches!$AV$5:$AV$23,MATCH($C61,Matches!$A$5:$A$23,0)),1-INDEX(Matches!$AV$5:$AV$23,MATCH($C61,Matches!$A$5:$A$23,0)))),""))</f>
        <v>0.477420886522981</v>
      </c>
      <c r="AX61" s="13" t="n">
        <f aca="false">IF(OR($AW61="",$AT61=""),1,((Config!$B$14*$AW61+Config!$B$15*(1-$AW61))/(Config!$B$14*$AT61+Config!$B$15*(1-$AT61)))^Config!$B$13)</f>
        <v>0.965310828149656</v>
      </c>
      <c r="AY61" s="10" t="n">
        <f aca="false">IF($AS61="","",IFERROR(IF(INDEX(Matches!$BB$5:$BB$23,MATCH($C61,Matches!$A$5:$A$23,0))="","",IF($AS61="A",INDEX(Matches!$BB$5:$BB$23,MATCH($C61,Matches!$A$5:$A$23,0)),1-INDEX(Matches!$BB$5:$BB$23,MATCH($C61,Matches!$A$5:$A$23,0)))),""))</f>
        <v>0.494693840155398</v>
      </c>
      <c r="AZ61" s="13" t="n">
        <f aca="false">IF(OR($AY61="",$AT61=""),1,((Config!$B$14*$AY61+Config!$B$15*(1-$AY61))/(Config!$B$14*$AT61+Config!$B$15*(1-$AT61)))^Config!$B$13)</f>
        <v>0.980517620766853</v>
      </c>
      <c r="BA61" s="17" t="n">
        <f aca="false">IF(V61="","",V61*$AV61)</f>
        <v>15.8746146242029</v>
      </c>
      <c r="BB61" s="17" t="n">
        <f aca="false">IF(AC61="","",AC61*$AX61)</f>
        <v>14.473870557276</v>
      </c>
      <c r="BC61" s="17" t="n">
        <f aca="false">IF(AJ61="","",AJ61*$AZ61)</f>
        <v>13.4040844248915</v>
      </c>
      <c r="BD61" s="17" t="n">
        <f aca="false">N(BA61)+N(BB61)</f>
        <v>30.3484851814789</v>
      </c>
      <c r="BE61" s="17" t="n">
        <f aca="false">BD61+N($M61)*N(BC61)</f>
        <v>36.9995918731101</v>
      </c>
      <c r="BF61" s="17" t="n">
        <f aca="false">IF(W61="","",W61*$AV61)</f>
        <v>8.61651403780844</v>
      </c>
      <c r="BG61" s="17" t="n">
        <f aca="false">IF(AD61="","",AD61*$AX61)</f>
        <v>8.48892508184235</v>
      </c>
      <c r="BH61" s="17" t="n">
        <f aca="false">IF(AK61="","",AK61*$AZ61)</f>
        <v>7.5710736859929</v>
      </c>
      <c r="BI61" s="17" t="n">
        <f aca="false">IF(BF61="","",N(BF61)+N(BG61))</f>
        <v>17.1054391196508</v>
      </c>
      <c r="BJ61" s="17" t="n">
        <f aca="false">IF(BI61="","",BI61+N($M61)*N(BH61))</f>
        <v>20.8622058826405</v>
      </c>
      <c r="BK61" s="13" t="n">
        <f aca="false">IFERROR(BD61/AL61,1)</f>
        <v>0.974278123488187</v>
      </c>
    </row>
    <row r="62" customFormat="false" ht="15" hidden="false" customHeight="false" outlineLevel="0" collapsed="false">
      <c r="A62" s="0" t="s">
        <v>1441</v>
      </c>
      <c r="B62" s="0" t="s">
        <v>1139</v>
      </c>
      <c r="C62" s="0" t="s">
        <v>1154</v>
      </c>
      <c r="D62" s="0" t="s">
        <v>1159</v>
      </c>
      <c r="E62" s="0" t="s">
        <v>1440</v>
      </c>
      <c r="F62" s="0" t="s">
        <v>1719</v>
      </c>
      <c r="G62" s="0" t="str">
        <f aca="false">IFERROR(IF(INDEX(Matches!$W$5:$W$23,MATCH($C62,Matches!$A$5:$A$23,0))="","",INDEX(Matches!$W$5:$W$23,MATCH($C62,Matches!$A$5:$A$23,0))),"")</f>
        <v>Cache</v>
      </c>
      <c r="H62" s="0" t="str">
        <f aca="false">IFERROR(IF(INDEX(Matches!$X$5:$X$23,MATCH($C62,Matches!$A$5:$A$23,0))="","",INDEX(Matches!$X$5:$X$23,MATCH($C62,Matches!$A$5:$A$23,0))),"")</f>
        <v>Ancient</v>
      </c>
      <c r="I62" s="0" t="str">
        <f aca="false">IFERROR(IF(INDEX(Matches!$Y$5:$Y$23,MATCH($C62,Matches!$A$5:$A$23,0))="","",INDEX(Matches!$Y$5:$Y$23,MATCH($C62,Matches!$A$5:$A$23,0))),"")</f>
        <v>Mirage</v>
      </c>
      <c r="J62" s="11" t="n">
        <f aca="false">IFERROR(IF(INDEX(Matches!$Z$5:$Z$23,MATCH($C62,Matches!$A$5:$A$23,0))="","",INDEX(Matches!$Z$5:$Z$23,MATCH($C62,Matches!$A$5:$A$23,0))),"")</f>
        <v>21.5</v>
      </c>
      <c r="K62" s="11" t="n">
        <f aca="false">IFERROR(IF(INDEX(Matches!$AA$5:$AA$23,MATCH($C62,Matches!$A$5:$A$23,0))="","",INDEX(Matches!$AA$5:$AA$23,MATCH($C62,Matches!$A$5:$A$23,0))),"")</f>
        <v>21.42</v>
      </c>
      <c r="L62" s="11" t="n">
        <f aca="false">IFERROR(IF(INDEX(Matches!$AB$5:$AB$23,MATCH($C62,Matches!$A$5:$A$23,0))="","",INDEX(Matches!$AB$5:$AB$23,MATCH($C62,Matches!$A$5:$A$23,0))),"")</f>
        <v>21.5</v>
      </c>
      <c r="M62" s="10" t="n">
        <f aca="false">IFERROR(IF(INDEX(Matches!$AC$5:$AC$23,MATCH($C62,Matches!$A$5:$A$23,0))="","",INDEX(Matches!$AC$5:$AC$23,MATCH($C62,Matches!$A$5:$A$23,0))),"")</f>
        <v>0.4962</v>
      </c>
      <c r="N62" s="9" t="n">
        <f aca="false">IFERROR(INDEX(Players!$F$2:$F$137,MATCH($F62,Players!$A$2:$A$137,0)),0)</f>
        <v>39</v>
      </c>
      <c r="O62" s="13" t="n">
        <f aca="false">IFERROR(1/(1/INDEX(Players!$H$2:$H$137,MATCH($F62,Players!$A$2:$A$137,0))),"")</f>
        <v>0.62</v>
      </c>
      <c r="P62" s="10" t="n">
        <f aca="false">IFERROR(1/(1/INDEX(Players!$I$2:$I$137,MATCH($F62,Players!$A$2:$A$137,0))),"")</f>
        <v>0.525</v>
      </c>
      <c r="Q62" s="9" t="n">
        <f aca="false">IF($G62="",0,SUMIFS(Map_Stats!$F$2:$F$850,Map_Stats!$A$2:$A$850,$F62&amp;"|"&amp;$G62))</f>
        <v>9</v>
      </c>
      <c r="R62" s="13" t="n">
        <f aca="false">IF($G62="","",IFERROR(1/(1/INDEX(Map_Stats!$K$2:$K$850,MATCH($F62&amp;"|"&amp;$G62,Map_Stats!$A$2:$A$850,0))),$O62))</f>
        <v>0.64</v>
      </c>
      <c r="S62" s="10" t="n">
        <f aca="false">IF(OR($G62="",$P62=""),"",IFERROR(1/(1/INDEX(Map_Stats!$I$2:$I$850,MATCH($F62&amp;"|"&amp;$G62,Map_Stats!$A$2:$A$850,0))),$P62))</f>
        <v>0.496</v>
      </c>
      <c r="T62" s="13" t="n">
        <f aca="false">IF(OR($G62="",R62=""),"",IF($O62="",R62,(Q62*R62+Config!$B$4*$O62)/(Q62+Config!$B$4)))</f>
        <v>0.632857142857143</v>
      </c>
      <c r="U62" s="10" t="n">
        <f aca="false">IF(S62="","",(Q62*S62+Config!$B$4*$P62)/(Q62+Config!$B$4))</f>
        <v>0.506357142857143</v>
      </c>
      <c r="V62" s="17" t="n">
        <f aca="false">IF(OR(T62="",$J62=""),"",T62*$J62*($J62/Config!$B$10)^Config!$B$9)</f>
        <v>13.6064285714286</v>
      </c>
      <c r="W62" s="17" t="n">
        <f aca="false">IF(OR(V62="",U62=""),"",V62*U62)</f>
        <v>6.88971229591837</v>
      </c>
      <c r="X62" s="9" t="n">
        <f aca="false">IF($H62="",0,SUMIFS(Map_Stats!$F$2:$F$850,Map_Stats!$A$2:$A$850,$F62&amp;"|"&amp;$H62))</f>
        <v>9</v>
      </c>
      <c r="Y62" s="13" t="n">
        <f aca="false">IF($H62="","",IFERROR(1/(1/INDEX(Map_Stats!$K$2:$K$850,MATCH($F62&amp;"|"&amp;$H62,Map_Stats!$A$2:$A$850,0))),$O62))</f>
        <v>0.67</v>
      </c>
      <c r="Z62" s="10" t="n">
        <f aca="false">IF(OR($H62="",$P62=""),"",IFERROR(1/(1/INDEX(Map_Stats!$I$2:$I$850,MATCH($F62&amp;"|"&amp;$H62,Map_Stats!$A$2:$A$850,0))),$P62))</f>
        <v>0.503</v>
      </c>
      <c r="AA62" s="13" t="n">
        <f aca="false">IF(OR($H62="",Y62=""),"",IF($O62="",Y62,(X62*Y62+Config!$B$4*$O62)/(X62+Config!$B$4)))</f>
        <v>0.652142857142857</v>
      </c>
      <c r="AB62" s="10" t="n">
        <f aca="false">IF(Z62="","",(X62*Z62+Config!$B$4*$P62)/(X62+Config!$B$4))</f>
        <v>0.510857142857143</v>
      </c>
      <c r="AC62" s="17" t="n">
        <f aca="false">IF(OR(AA62="",$K62=""),"",AA62*$K62*($K62/Config!$B$10)^Config!$B$9)</f>
        <v>13.9689</v>
      </c>
      <c r="AD62" s="17" t="n">
        <f aca="false">IF(OR(AC62="",AB62=""),"",AC62*AB62)</f>
        <v>7.13611234285715</v>
      </c>
      <c r="AE62" s="9" t="n">
        <f aca="false">IF($I62="",0,SUMIFS(Map_Stats!$F$2:$F$850,Map_Stats!$A$2:$A$850,$F62&amp;"|"&amp;$I62))</f>
        <v>7</v>
      </c>
      <c r="AF62" s="13" t="n">
        <f aca="false">IF($I62="","",IFERROR(1/(1/INDEX(Map_Stats!$K$2:$K$850,MATCH($F62&amp;"|"&amp;$I62,Map_Stats!$A$2:$A$850,0))),$O62))</f>
        <v>0.59</v>
      </c>
      <c r="AG62" s="10" t="n">
        <f aca="false">IF(OR($I62="",$P62=""),"",IFERROR(1/(1/INDEX(Map_Stats!$I$2:$I$850,MATCH($F62&amp;"|"&amp;$I62,Map_Stats!$A$2:$A$850,0))),$P62))</f>
        <v>0.587</v>
      </c>
      <c r="AH62" s="13" t="n">
        <f aca="false">IF(OR($I62="",AF62=""),"",IF($O62="",AF62,(AE62*AF62+Config!$B$4*$O62)/(AE62+Config!$B$4)))</f>
        <v>0.6025</v>
      </c>
      <c r="AI62" s="10" t="n">
        <f aca="false">IF(AG62="","",(AE62*AG62+Config!$B$4*$P62)/(AE62+Config!$B$4))</f>
        <v>0.561166666666667</v>
      </c>
      <c r="AJ62" s="17" t="n">
        <f aca="false">IF(OR(AH62="",$L62=""),"",AH62*$L62*($L62/Config!$B$10)^Config!$B$9)</f>
        <v>12.95375</v>
      </c>
      <c r="AK62" s="17" t="n">
        <f aca="false">IF(OR(AJ62="",AI62=""),"",AJ62*AI62)</f>
        <v>7.26921270833334</v>
      </c>
      <c r="AL62" s="17" t="n">
        <f aca="false">N(V62)+N(AC62)</f>
        <v>27.5753285714286</v>
      </c>
      <c r="AM62" s="17" t="n">
        <f aca="false">AL62+N($M62)*N(AJ62)</f>
        <v>34.0029793214286</v>
      </c>
      <c r="AN62" s="17" t="n">
        <f aca="false">IF(W62="","",N(W62)+N(AD62))</f>
        <v>14.0258246387755</v>
      </c>
      <c r="AO62" s="17" t="n">
        <f aca="false">IF(AN62="","",AN62+N($M62)*N(AK62))</f>
        <v>17.6328079846505</v>
      </c>
      <c r="AP62" s="10" t="n">
        <f aca="false">IFERROR(AN62/AL62,"")</f>
        <v>0.508636718595911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IF($C62=Board!$B$2,COUNTIFS($C$2:$C$137,Board!$B$2,$AL$2:$AL$137,"&gt;"&amp;$AL62)+COUNTIFS($C$1:$C61,Board!$B$2,$AL$1:$AL61,$AL62)+1,"")</f>
        <v/>
      </c>
      <c r="AS62" s="0" t="str">
        <f aca="false">IFERROR(IF($D62=INDEX(Matches!$AD$5:$AD$23,MATCH($C62,Matches!$A$5:$A$23,0)),"A",IF($D62=INDEX(Matches!$AE$5:$AE$23,MATCH($C62,Matches!$A$5:$A$23,0)),"B","")),"")</f>
        <v>A</v>
      </c>
      <c r="AT62" s="10" t="n">
        <f aca="false">IF($AS62="","",IFERROR(IF($AS62="A",INDEX(Matches!$AI$5:$AI$23,MATCH($C62,Matches!$A$5:$A$23,0)),INDEX(Matches!$AJ$5:$AJ$23,MATCH($C62,Matches!$A$5:$A$23,0))),""))</f>
        <v>0.516823308322326</v>
      </c>
      <c r="AU62" s="10" t="n">
        <f aca="false">IF($AS62="","",IFERROR(IF(INDEX(Matches!$AP$5:$AP$23,MATCH($C62,Matches!$A$5:$A$23,0))="","",IF($AS62="A",INDEX(Matches!$AP$5:$AP$23,MATCH($C62,Matches!$A$5:$A$23,0)),1-INDEX(Matches!$AP$5:$AP$23,MATCH($C62,Matches!$A$5:$A$23,0)))),""))</f>
        <v>0.497059840885507</v>
      </c>
      <c r="AV62" s="13" t="n">
        <f aca="false">IF(OR($AU62="",$AT62=""),1,((Config!$B$14*$AU62+Config!$B$15*(1-$AU62))/(Config!$B$14*$AT62+Config!$B$15*(1-$AT62)))^Config!$B$13)</f>
        <v>0.982600604557614</v>
      </c>
      <c r="AW62" s="10" t="n">
        <f aca="false">IF($AS62="","",IFERROR(IF(INDEX(Matches!$AV$5:$AV$23,MATCH($C62,Matches!$A$5:$A$23,0))="","",IF($AS62="A",INDEX(Matches!$AV$5:$AV$23,MATCH($C62,Matches!$A$5:$A$23,0)),1-INDEX(Matches!$AV$5:$AV$23,MATCH($C62,Matches!$A$5:$A$23,0)))),""))</f>
        <v>0.477420886522981</v>
      </c>
      <c r="AX62" s="13" t="n">
        <f aca="false">IF(OR($AW62="",$AT62=""),1,((Config!$B$14*$AW62+Config!$B$15*(1-$AW62))/(Config!$B$14*$AT62+Config!$B$15*(1-$AT62)))^Config!$B$13)</f>
        <v>0.965310828149656</v>
      </c>
      <c r="AY62" s="10" t="n">
        <f aca="false">IF($AS62="","",IFERROR(IF(INDEX(Matches!$BB$5:$BB$23,MATCH($C62,Matches!$A$5:$A$23,0))="","",IF($AS62="A",INDEX(Matches!$BB$5:$BB$23,MATCH($C62,Matches!$A$5:$A$23,0)),1-INDEX(Matches!$BB$5:$BB$23,MATCH($C62,Matches!$A$5:$A$23,0)))),""))</f>
        <v>0.494693840155398</v>
      </c>
      <c r="AZ62" s="13" t="n">
        <f aca="false">IF(OR($AY62="",$AT62=""),1,((Config!$B$14*$AY62+Config!$B$15*(1-$AY62))/(Config!$B$14*$AT62+Config!$B$15*(1-$AT62)))^Config!$B$13)</f>
        <v>0.980517620766853</v>
      </c>
      <c r="BA62" s="17" t="n">
        <f aca="false">IF(V62="","",V62*$AV62)</f>
        <v>13.3696849401557</v>
      </c>
      <c r="BB62" s="17" t="n">
        <f aca="false">IF(AC62="","",AC62*$AX62)</f>
        <v>13.4843304273397</v>
      </c>
      <c r="BC62" s="17" t="n">
        <f aca="false">IF(AJ62="","",AJ62*$AZ62)</f>
        <v>12.7013801300086</v>
      </c>
      <c r="BD62" s="17" t="n">
        <f aca="false">N(BA62)+N(BB62)</f>
        <v>26.8540153674955</v>
      </c>
      <c r="BE62" s="17" t="n">
        <f aca="false">BD62+N($M62)*N(BC62)</f>
        <v>33.1564401880057</v>
      </c>
      <c r="BF62" s="17" t="n">
        <f aca="false">IF(W62="","",W62*$AV62)</f>
        <v>6.76983546719742</v>
      </c>
      <c r="BG62" s="17" t="n">
        <f aca="false">IF(AD62="","",AD62*$AX62)</f>
        <v>6.88856651545242</v>
      </c>
      <c r="BH62" s="17" t="n">
        <f aca="false">IF(AK62="","",AK62*$AZ62)</f>
        <v>7.12759114962317</v>
      </c>
      <c r="BI62" s="17" t="n">
        <f aca="false">IF(BF62="","",N(BF62)+N(BG62))</f>
        <v>13.6584019826498</v>
      </c>
      <c r="BJ62" s="17" t="n">
        <f aca="false">IF(BI62="","",BI62+N($M62)*N(BH62))</f>
        <v>17.1951127110929</v>
      </c>
      <c r="BK62" s="13" t="n">
        <f aca="false">IFERROR(BD62/AL62,1)</f>
        <v>0.973842081262434</v>
      </c>
    </row>
    <row r="63" customFormat="false" ht="15" hidden="false" customHeight="false" outlineLevel="0" collapsed="false">
      <c r="A63" s="0" t="s">
        <v>1443</v>
      </c>
      <c r="B63" s="0" t="s">
        <v>1139</v>
      </c>
      <c r="C63" s="0" t="s">
        <v>1154</v>
      </c>
      <c r="D63" s="0" t="s">
        <v>1159</v>
      </c>
      <c r="E63" s="0" t="s">
        <v>1442</v>
      </c>
      <c r="F63" s="0" t="s">
        <v>1720</v>
      </c>
      <c r="G63" s="0" t="str">
        <f aca="false">IFERROR(IF(INDEX(Matches!$W$5:$W$23,MATCH($C63,Matches!$A$5:$A$23,0))="","",INDEX(Matches!$W$5:$W$23,MATCH($C63,Matches!$A$5:$A$23,0))),"")</f>
        <v>Cache</v>
      </c>
      <c r="H63" s="0" t="str">
        <f aca="false">IFERROR(IF(INDEX(Matches!$X$5:$X$23,MATCH($C63,Matches!$A$5:$A$23,0))="","",INDEX(Matches!$X$5:$X$23,MATCH($C63,Matches!$A$5:$A$23,0))),"")</f>
        <v>Ancient</v>
      </c>
      <c r="I63" s="0" t="str">
        <f aca="false">IFERROR(IF(INDEX(Matches!$Y$5:$Y$23,MATCH($C63,Matches!$A$5:$A$23,0))="","",INDEX(Matches!$Y$5:$Y$23,MATCH($C63,Matches!$A$5:$A$23,0))),"")</f>
        <v>Mirage</v>
      </c>
      <c r="J63" s="11" t="n">
        <f aca="false">IFERROR(IF(INDEX(Matches!$Z$5:$Z$23,MATCH($C63,Matches!$A$5:$A$23,0))="","",INDEX(Matches!$Z$5:$Z$23,MATCH($C63,Matches!$A$5:$A$23,0))),"")</f>
        <v>21.5</v>
      </c>
      <c r="K63" s="11" t="n">
        <f aca="false">IFERROR(IF(INDEX(Matches!$AA$5:$AA$23,MATCH($C63,Matches!$A$5:$A$23,0))="","",INDEX(Matches!$AA$5:$AA$23,MATCH($C63,Matches!$A$5:$A$23,0))),"")</f>
        <v>21.42</v>
      </c>
      <c r="L63" s="11" t="n">
        <f aca="false">IFERROR(IF(INDEX(Matches!$AB$5:$AB$23,MATCH($C63,Matches!$A$5:$A$23,0))="","",INDEX(Matches!$AB$5:$AB$23,MATCH($C63,Matches!$A$5:$A$23,0))),"")</f>
        <v>21.5</v>
      </c>
      <c r="M63" s="10" t="n">
        <f aca="false">IFERROR(IF(INDEX(Matches!$AC$5:$AC$23,MATCH($C63,Matches!$A$5:$A$23,0))="","",INDEX(Matches!$AC$5:$AC$23,MATCH($C63,Matches!$A$5:$A$23,0))),"")</f>
        <v>0.4962</v>
      </c>
      <c r="N63" s="9" t="n">
        <f aca="false">IFERROR(INDEX(Players!$F$2:$F$137,MATCH($F63,Players!$A$2:$A$137,0)),0)</f>
        <v>39</v>
      </c>
      <c r="O63" s="13" t="n">
        <f aca="false">IFERROR(1/(1/INDEX(Players!$H$2:$H$137,MATCH($F63,Players!$A$2:$A$137,0))),"")</f>
        <v>0.68</v>
      </c>
      <c r="P63" s="10" t="n">
        <f aca="false">IFERROR(1/(1/INDEX(Players!$I$2:$I$137,MATCH($F63,Players!$A$2:$A$137,0))),"")</f>
        <v>0.391</v>
      </c>
      <c r="Q63" s="9" t="n">
        <f aca="false">IF($G63="",0,SUMIFS(Map_Stats!$F$2:$F$850,Map_Stats!$A$2:$A$850,$F63&amp;"|"&amp;$G63))</f>
        <v>9</v>
      </c>
      <c r="R63" s="13" t="n">
        <f aca="false">IF($G63="","",IFERROR(1/(1/INDEX(Map_Stats!$K$2:$K$850,MATCH($F63&amp;"|"&amp;$G63,Map_Stats!$A$2:$A$850,0))),$O63))</f>
        <v>0.62</v>
      </c>
      <c r="S63" s="10" t="n">
        <f aca="false">IF(OR($G63="",$P63=""),"",IFERROR(1/(1/INDEX(Map_Stats!$I$2:$I$850,MATCH($F63&amp;"|"&amp;$G63,Map_Stats!$A$2:$A$850,0))),$P63))</f>
        <v>0.356</v>
      </c>
      <c r="T63" s="13" t="n">
        <f aca="false">IF(OR($G63="",R63=""),"",IF($O63="",R63,(Q63*R63+Config!$B$4*$O63)/(Q63+Config!$B$4)))</f>
        <v>0.641428571428572</v>
      </c>
      <c r="U63" s="10" t="n">
        <f aca="false">IF(S63="","",(Q63*S63+Config!$B$4*$P63)/(Q63+Config!$B$4))</f>
        <v>0.3685</v>
      </c>
      <c r="V63" s="17" t="n">
        <f aca="false">IF(OR(T63="",$J63=""),"",T63*$J63*($J63/Config!$B$10)^Config!$B$9)</f>
        <v>13.7907142857143</v>
      </c>
      <c r="W63" s="17" t="n">
        <f aca="false">IF(OR(V63="",U63=""),"",V63*U63)</f>
        <v>5.08187821428572</v>
      </c>
      <c r="X63" s="9" t="n">
        <f aca="false">IF($H63="",0,SUMIFS(Map_Stats!$F$2:$F$850,Map_Stats!$A$2:$A$850,$F63&amp;"|"&amp;$H63))</f>
        <v>9</v>
      </c>
      <c r="Y63" s="13" t="n">
        <f aca="false">IF($H63="","",IFERROR(1/(1/INDEX(Map_Stats!$K$2:$K$850,MATCH($F63&amp;"|"&amp;$H63,Map_Stats!$A$2:$A$850,0))),$O63))</f>
        <v>0.83</v>
      </c>
      <c r="Z63" s="10" t="n">
        <f aca="false">IF(OR($H63="",$P63=""),"",IFERROR(1/(1/INDEX(Map_Stats!$I$2:$I$850,MATCH($F63&amp;"|"&amp;$H63,Map_Stats!$A$2:$A$850,0))),$P63))</f>
        <v>0.356</v>
      </c>
      <c r="AA63" s="13" t="n">
        <f aca="false">IF(OR($H63="",Y63=""),"",IF($O63="",Y63,(X63*Y63+Config!$B$4*$O63)/(X63+Config!$B$4)))</f>
        <v>0.776428571428572</v>
      </c>
      <c r="AB63" s="10" t="n">
        <f aca="false">IF(Z63="","",(X63*Z63+Config!$B$4*$P63)/(X63+Config!$B$4))</f>
        <v>0.3685</v>
      </c>
      <c r="AC63" s="17" t="n">
        <f aca="false">IF(OR(AA63="",$K63=""),"",AA63*$K63*($K63/Config!$B$10)^Config!$B$9)</f>
        <v>16.6311</v>
      </c>
      <c r="AD63" s="17" t="n">
        <f aca="false">IF(OR(AC63="",AB63=""),"",AC63*AB63)</f>
        <v>6.12856035</v>
      </c>
      <c r="AE63" s="9" t="n">
        <f aca="false">IF($I63="",0,SUMIFS(Map_Stats!$F$2:$F$850,Map_Stats!$A$2:$A$850,$F63&amp;"|"&amp;$I63))</f>
        <v>7</v>
      </c>
      <c r="AF63" s="13" t="n">
        <f aca="false">IF($I63="","",IFERROR(1/(1/INDEX(Map_Stats!$K$2:$K$850,MATCH($F63&amp;"|"&amp;$I63,Map_Stats!$A$2:$A$850,0))),$O63))</f>
        <v>0.59</v>
      </c>
      <c r="AG63" s="10" t="n">
        <f aca="false">IF(OR($I63="",$P63=""),"",IFERROR(1/(1/INDEX(Map_Stats!$I$2:$I$850,MATCH($F63&amp;"|"&amp;$I63,Map_Stats!$A$2:$A$850,0))),$P63))</f>
        <v>0.462</v>
      </c>
      <c r="AH63" s="13" t="n">
        <f aca="false">IF(OR($I63="",AF63=""),"",IF($O63="",AF63,(AE63*AF63+Config!$B$4*$O63)/(AE63+Config!$B$4)))</f>
        <v>0.6275</v>
      </c>
      <c r="AI63" s="10" t="n">
        <f aca="false">IF(AG63="","",(AE63*AG63+Config!$B$4*$P63)/(AE63+Config!$B$4))</f>
        <v>0.432416666666667</v>
      </c>
      <c r="AJ63" s="17" t="n">
        <f aca="false">IF(OR(AH63="",$L63=""),"",AH63*$L63*($L63/Config!$B$10)^Config!$B$9)</f>
        <v>13.49125</v>
      </c>
      <c r="AK63" s="17" t="n">
        <f aca="false">IF(OR(AJ63="",AI63=""),"",AJ63*AI63)</f>
        <v>5.83384135416667</v>
      </c>
      <c r="AL63" s="17" t="n">
        <f aca="false">N(V63)+N(AC63)</f>
        <v>30.4218142857143</v>
      </c>
      <c r="AM63" s="17" t="n">
        <f aca="false">AL63+N($M63)*N(AJ63)</f>
        <v>37.1161725357143</v>
      </c>
      <c r="AN63" s="17" t="n">
        <f aca="false">IF(W63="","",N(W63)+N(AD63))</f>
        <v>11.2104385642857</v>
      </c>
      <c r="AO63" s="17" t="n">
        <f aca="false">IF(AN63="","",AN63+N($M63)*N(AK63))</f>
        <v>14.1051906442232</v>
      </c>
      <c r="AP63" s="10" t="n">
        <f aca="false">IFERROR(AN63/AL63,"")</f>
        <v>0.3685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IF($C63=Board!$B$2,COUNTIFS($C$2:$C$137,Board!$B$2,$AL$2:$AL$137,"&gt;"&amp;$AL63)+COUNTIFS($C$1:$C62,Board!$B$2,$AL$1:$AL62,$AL63)+1,"")</f>
        <v/>
      </c>
      <c r="AS63" s="0" t="str">
        <f aca="false">IFERROR(IF($D63=INDEX(Matches!$AD$5:$AD$23,MATCH($C63,Matches!$A$5:$A$23,0)),"A",IF($D63=INDEX(Matches!$AE$5:$AE$23,MATCH($C63,Matches!$A$5:$A$23,0)),"B","")),"")</f>
        <v>A</v>
      </c>
      <c r="AT63" s="10" t="n">
        <f aca="false">IF($AS63="","",IFERROR(IF($AS63="A",INDEX(Matches!$AI$5:$AI$23,MATCH($C63,Matches!$A$5:$A$23,0)),INDEX(Matches!$AJ$5:$AJ$23,MATCH($C63,Matches!$A$5:$A$23,0))),""))</f>
        <v>0.516823308322326</v>
      </c>
      <c r="AU63" s="10" t="n">
        <f aca="false">IF($AS63="","",IFERROR(IF(INDEX(Matches!$AP$5:$AP$23,MATCH($C63,Matches!$A$5:$A$23,0))="","",IF($AS63="A",INDEX(Matches!$AP$5:$AP$23,MATCH($C63,Matches!$A$5:$A$23,0)),1-INDEX(Matches!$AP$5:$AP$23,MATCH($C63,Matches!$A$5:$A$23,0)))),""))</f>
        <v>0.497059840885507</v>
      </c>
      <c r="AV63" s="13" t="n">
        <f aca="false">IF(OR($AU63="",$AT63=""),1,((Config!$B$14*$AU63+Config!$B$15*(1-$AU63))/(Config!$B$14*$AT63+Config!$B$15*(1-$AT63)))^Config!$B$13)</f>
        <v>0.982600604557614</v>
      </c>
      <c r="AW63" s="10" t="n">
        <f aca="false">IF($AS63="","",IFERROR(IF(INDEX(Matches!$AV$5:$AV$23,MATCH($C63,Matches!$A$5:$A$23,0))="","",IF($AS63="A",INDEX(Matches!$AV$5:$AV$23,MATCH($C63,Matches!$A$5:$A$23,0)),1-INDEX(Matches!$AV$5:$AV$23,MATCH($C63,Matches!$A$5:$A$23,0)))),""))</f>
        <v>0.477420886522981</v>
      </c>
      <c r="AX63" s="13" t="n">
        <f aca="false">IF(OR($AW63="",$AT63=""),1,((Config!$B$14*$AW63+Config!$B$15*(1-$AW63))/(Config!$B$14*$AT63+Config!$B$15*(1-$AT63)))^Config!$B$13)</f>
        <v>0.965310828149656</v>
      </c>
      <c r="AY63" s="10" t="n">
        <f aca="false">IF($AS63="","",IFERROR(IF(INDEX(Matches!$BB$5:$BB$23,MATCH($C63,Matches!$A$5:$A$23,0))="","",IF($AS63="A",INDEX(Matches!$BB$5:$BB$23,MATCH($C63,Matches!$A$5:$A$23,0)),1-INDEX(Matches!$BB$5:$BB$23,MATCH($C63,Matches!$A$5:$A$23,0)))),""))</f>
        <v>0.494693840155398</v>
      </c>
      <c r="AZ63" s="13" t="n">
        <f aca="false">IF(OR($AY63="",$AT63=""),1,((Config!$B$14*$AY63+Config!$B$15*(1-$AY63))/(Config!$B$14*$AT63+Config!$B$15*(1-$AT63)))^Config!$B$13)</f>
        <v>0.980517620766853</v>
      </c>
      <c r="BA63" s="17" t="n">
        <f aca="false">IF(V63="","",V63*$AV63)</f>
        <v>13.5507641944242</v>
      </c>
      <c r="BB63" s="17" t="n">
        <f aca="false">IF(AC63="","",AC63*$AX63)</f>
        <v>16.0541809140398</v>
      </c>
      <c r="BC63" s="17" t="n">
        <f aca="false">IF(AJ63="","",AJ63*$AZ63)</f>
        <v>13.2284083511708</v>
      </c>
      <c r="BD63" s="17" t="n">
        <f aca="false">N(BA63)+N(BB63)</f>
        <v>29.6049451084639</v>
      </c>
      <c r="BE63" s="17" t="n">
        <f aca="false">BD63+N($M63)*N(BC63)</f>
        <v>36.1688813323149</v>
      </c>
      <c r="BF63" s="17" t="n">
        <f aca="false">IF(W63="","",W63*$AV63)</f>
        <v>4.99345660564531</v>
      </c>
      <c r="BG63" s="17" t="n">
        <f aca="false">IF(AD63="","",AD63*$AX63)</f>
        <v>5.91596566682365</v>
      </c>
      <c r="BH63" s="17" t="n">
        <f aca="false">IF(AK63="","",AK63*$AZ63)</f>
        <v>5.72018424451878</v>
      </c>
      <c r="BI63" s="17" t="n">
        <f aca="false">IF(BF63="","",N(BF63)+N(BG63))</f>
        <v>10.909422272469</v>
      </c>
      <c r="BJ63" s="17" t="n">
        <f aca="false">IF(BI63="","",BI63+N($M63)*N(BH63))</f>
        <v>13.7477776945992</v>
      </c>
      <c r="BK63" s="13" t="n">
        <f aca="false">IFERROR(BD63/AL63,1)</f>
        <v>0.97314857129892</v>
      </c>
    </row>
    <row r="64" customFormat="false" ht="15" hidden="false" customHeight="false" outlineLevel="0" collapsed="false">
      <c r="A64" s="0" t="s">
        <v>1445</v>
      </c>
      <c r="B64" s="0" t="s">
        <v>1139</v>
      </c>
      <c r="C64" s="0" t="s">
        <v>1154</v>
      </c>
      <c r="D64" s="0" t="s">
        <v>1159</v>
      </c>
      <c r="E64" s="0" t="s">
        <v>1444</v>
      </c>
      <c r="F64" s="0" t="s">
        <v>1721</v>
      </c>
      <c r="G64" s="0" t="str">
        <f aca="false">IFERROR(IF(INDEX(Matches!$W$5:$W$23,MATCH($C64,Matches!$A$5:$A$23,0))="","",INDEX(Matches!$W$5:$W$23,MATCH($C64,Matches!$A$5:$A$23,0))),"")</f>
        <v>Cache</v>
      </c>
      <c r="H64" s="0" t="str">
        <f aca="false">IFERROR(IF(INDEX(Matches!$X$5:$X$23,MATCH($C64,Matches!$A$5:$A$23,0))="","",INDEX(Matches!$X$5:$X$23,MATCH($C64,Matches!$A$5:$A$23,0))),"")</f>
        <v>Ancient</v>
      </c>
      <c r="I64" s="0" t="str">
        <f aca="false">IFERROR(IF(INDEX(Matches!$Y$5:$Y$23,MATCH($C64,Matches!$A$5:$A$23,0))="","",INDEX(Matches!$Y$5:$Y$23,MATCH($C64,Matches!$A$5:$A$23,0))),"")</f>
        <v>Mirage</v>
      </c>
      <c r="J64" s="11" t="n">
        <f aca="false">IFERROR(IF(INDEX(Matches!$Z$5:$Z$23,MATCH($C64,Matches!$A$5:$A$23,0))="","",INDEX(Matches!$Z$5:$Z$23,MATCH($C64,Matches!$A$5:$A$23,0))),"")</f>
        <v>21.5</v>
      </c>
      <c r="K64" s="11" t="n">
        <f aca="false">IFERROR(IF(INDEX(Matches!$AA$5:$AA$23,MATCH($C64,Matches!$A$5:$A$23,0))="","",INDEX(Matches!$AA$5:$AA$23,MATCH($C64,Matches!$A$5:$A$23,0))),"")</f>
        <v>21.42</v>
      </c>
      <c r="L64" s="11" t="n">
        <f aca="false">IFERROR(IF(INDEX(Matches!$AB$5:$AB$23,MATCH($C64,Matches!$A$5:$A$23,0))="","",INDEX(Matches!$AB$5:$AB$23,MATCH($C64,Matches!$A$5:$A$23,0))),"")</f>
        <v>21.5</v>
      </c>
      <c r="M64" s="10" t="n">
        <f aca="false">IFERROR(IF(INDEX(Matches!$AC$5:$AC$23,MATCH($C64,Matches!$A$5:$A$23,0))="","",INDEX(Matches!$AC$5:$AC$23,MATCH($C64,Matches!$A$5:$A$23,0))),"")</f>
        <v>0.4962</v>
      </c>
      <c r="N64" s="9" t="n">
        <f aca="false">IFERROR(INDEX(Players!$F$2:$F$137,MATCH($F64,Players!$A$2:$A$137,0)),0)</f>
        <v>39</v>
      </c>
      <c r="O64" s="13" t="n">
        <f aca="false">IFERROR(1/(1/INDEX(Players!$H$2:$H$137,MATCH($F64,Players!$A$2:$A$137,0))),"")</f>
        <v>0.63</v>
      </c>
      <c r="P64" s="10" t="n">
        <f aca="false">IFERROR(1/(1/INDEX(Players!$I$2:$I$137,MATCH($F64,Players!$A$2:$A$137,0))),"")</f>
        <v>0.515</v>
      </c>
      <c r="Q64" s="9" t="n">
        <f aca="false">IF($G64="",0,SUMIFS(Map_Stats!$F$2:$F$850,Map_Stats!$A$2:$A$850,$F64&amp;"|"&amp;$G64))</f>
        <v>9</v>
      </c>
      <c r="R64" s="13" t="n">
        <f aca="false">IF($G64="","",IFERROR(1/(1/INDEX(Map_Stats!$K$2:$K$850,MATCH($F64&amp;"|"&amp;$G64,Map_Stats!$A$2:$A$850,0))),$O64))</f>
        <v>0.69</v>
      </c>
      <c r="S64" s="10" t="n">
        <f aca="false">IF(OR($G64="",$P64=""),"",IFERROR(1/(1/INDEX(Map_Stats!$I$2:$I$850,MATCH($F64&amp;"|"&amp;$G64,Map_Stats!$A$2:$A$850,0))),$P64))</f>
        <v>0.576</v>
      </c>
      <c r="T64" s="13" t="n">
        <f aca="false">IF(OR($G64="",R64=""),"",IF($O64="",R64,(Q64*R64+Config!$B$4*$O64)/(Q64+Config!$B$4)))</f>
        <v>0.668571428571429</v>
      </c>
      <c r="U64" s="10" t="n">
        <f aca="false">IF(S64="","",(Q64*S64+Config!$B$4*$P64)/(Q64+Config!$B$4))</f>
        <v>0.554214285714286</v>
      </c>
      <c r="V64" s="17" t="n">
        <f aca="false">IF(OR(T64="",$J64=""),"",T64*$J64*($J64/Config!$B$10)^Config!$B$9)</f>
        <v>14.3742857142857</v>
      </c>
      <c r="W64" s="17" t="n">
        <f aca="false">IF(OR(V64="",U64=""),"",V64*U64)</f>
        <v>7.96643448979592</v>
      </c>
      <c r="X64" s="9" t="n">
        <f aca="false">IF($H64="",0,SUMIFS(Map_Stats!$F$2:$F$850,Map_Stats!$A$2:$A$850,$F64&amp;"|"&amp;$H64))</f>
        <v>9</v>
      </c>
      <c r="Y64" s="13" t="n">
        <f aca="false">IF($H64="","",IFERROR(1/(1/INDEX(Map_Stats!$K$2:$K$850,MATCH($F64&amp;"|"&amp;$H64,Map_Stats!$A$2:$A$850,0))),$O64))</f>
        <v>0.63</v>
      </c>
      <c r="Z64" s="10" t="n">
        <f aca="false">IF(OR($H64="",$P64=""),"",IFERROR(1/(1/INDEX(Map_Stats!$I$2:$I$850,MATCH($F64&amp;"|"&amp;$H64,Map_Stats!$A$2:$A$850,0))),$P64))</f>
        <v>0.459</v>
      </c>
      <c r="AA64" s="13" t="n">
        <f aca="false">IF(OR($H64="",Y64=""),"",IF($O64="",Y64,(X64*Y64+Config!$B$4*$O64)/(X64+Config!$B$4)))</f>
        <v>0.63</v>
      </c>
      <c r="AB64" s="10" t="n">
        <f aca="false">IF(Z64="","",(X64*Z64+Config!$B$4*$P64)/(X64+Config!$B$4))</f>
        <v>0.479</v>
      </c>
      <c r="AC64" s="17" t="n">
        <f aca="false">IF(OR(AA64="",$K64=""),"",AA64*$K64*($K64/Config!$B$10)^Config!$B$9)</f>
        <v>13.4946</v>
      </c>
      <c r="AD64" s="17" t="n">
        <f aca="false">IF(OR(AC64="",AB64=""),"",AC64*AB64)</f>
        <v>6.4639134</v>
      </c>
      <c r="AE64" s="9" t="n">
        <f aca="false">IF($I64="",0,SUMIFS(Map_Stats!$F$2:$F$850,Map_Stats!$A$2:$A$850,$F64&amp;"|"&amp;$I64))</f>
        <v>7</v>
      </c>
      <c r="AF64" s="13" t="n">
        <f aca="false">IF($I64="","",IFERROR(1/(1/INDEX(Map_Stats!$K$2:$K$850,MATCH($F64&amp;"|"&amp;$I64,Map_Stats!$A$2:$A$850,0))),$O64))</f>
        <v>0.63</v>
      </c>
      <c r="AG64" s="10" t="n">
        <f aca="false">IF(OR($I64="",$P64=""),"",IFERROR(1/(1/INDEX(Map_Stats!$I$2:$I$850,MATCH($F64&amp;"|"&amp;$I64,Map_Stats!$A$2:$A$850,0))),$P64))</f>
        <v>0.576</v>
      </c>
      <c r="AH64" s="13" t="n">
        <f aca="false">IF(OR($I64="",AF64=""),"",IF($O64="",AF64,(AE64*AF64+Config!$B$4*$O64)/(AE64+Config!$B$4)))</f>
        <v>0.63</v>
      </c>
      <c r="AI64" s="10" t="n">
        <f aca="false">IF(AG64="","",(AE64*AG64+Config!$B$4*$P64)/(AE64+Config!$B$4))</f>
        <v>0.550583333333333</v>
      </c>
      <c r="AJ64" s="17" t="n">
        <f aca="false">IF(OR(AH64="",$L64=""),"",AH64*$L64*($L64/Config!$B$10)^Config!$B$9)</f>
        <v>13.545</v>
      </c>
      <c r="AK64" s="17" t="n">
        <f aca="false">IF(OR(AJ64="",AI64=""),"",AJ64*AI64)</f>
        <v>7.45765125</v>
      </c>
      <c r="AL64" s="17" t="n">
        <f aca="false">N(V64)+N(AC64)</f>
        <v>27.8688857142857</v>
      </c>
      <c r="AM64" s="17" t="n">
        <f aca="false">AL64+N($M64)*N(AJ64)</f>
        <v>34.5899147142857</v>
      </c>
      <c r="AN64" s="17" t="n">
        <f aca="false">IF(W64="","",N(W64)+N(AD64))</f>
        <v>14.4303478897959</v>
      </c>
      <c r="AO64" s="17" t="n">
        <f aca="false">IF(AN64="","",AN64+N($M64)*N(AK64))</f>
        <v>18.1308344400459</v>
      </c>
      <c r="AP64" s="10" t="n">
        <f aca="false">IFERROR(AN64/AL64,"")</f>
        <v>0.517794218173526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IF($C64=Board!$B$2,COUNTIFS($C$2:$C$137,Board!$B$2,$AL$2:$AL$137,"&gt;"&amp;$AL64)+COUNTIFS($C$1:$C63,Board!$B$2,$AL$1:$AL63,$AL64)+1,"")</f>
        <v/>
      </c>
      <c r="AS64" s="0" t="str">
        <f aca="false">IFERROR(IF($D64=INDEX(Matches!$AD$5:$AD$23,MATCH($C64,Matches!$A$5:$A$23,0)),"A",IF($D64=INDEX(Matches!$AE$5:$AE$23,MATCH($C64,Matches!$A$5:$A$23,0)),"B","")),"")</f>
        <v>A</v>
      </c>
      <c r="AT64" s="10" t="n">
        <f aca="false">IF($AS64="","",IFERROR(IF($AS64="A",INDEX(Matches!$AI$5:$AI$23,MATCH($C64,Matches!$A$5:$A$23,0)),INDEX(Matches!$AJ$5:$AJ$23,MATCH($C64,Matches!$A$5:$A$23,0))),""))</f>
        <v>0.516823308322326</v>
      </c>
      <c r="AU64" s="10" t="n">
        <f aca="false">IF($AS64="","",IFERROR(IF(INDEX(Matches!$AP$5:$AP$23,MATCH($C64,Matches!$A$5:$A$23,0))="","",IF($AS64="A",INDEX(Matches!$AP$5:$AP$23,MATCH($C64,Matches!$A$5:$A$23,0)),1-INDEX(Matches!$AP$5:$AP$23,MATCH($C64,Matches!$A$5:$A$23,0)))),""))</f>
        <v>0.497059840885507</v>
      </c>
      <c r="AV64" s="13" t="n">
        <f aca="false">IF(OR($AU64="",$AT64=""),1,((Config!$B$14*$AU64+Config!$B$15*(1-$AU64))/(Config!$B$14*$AT64+Config!$B$15*(1-$AT64)))^Config!$B$13)</f>
        <v>0.982600604557614</v>
      </c>
      <c r="AW64" s="10" t="n">
        <f aca="false">IF($AS64="","",IFERROR(IF(INDEX(Matches!$AV$5:$AV$23,MATCH($C64,Matches!$A$5:$A$23,0))="","",IF($AS64="A",INDEX(Matches!$AV$5:$AV$23,MATCH($C64,Matches!$A$5:$A$23,0)),1-INDEX(Matches!$AV$5:$AV$23,MATCH($C64,Matches!$A$5:$A$23,0)))),""))</f>
        <v>0.477420886522981</v>
      </c>
      <c r="AX64" s="13" t="n">
        <f aca="false">IF(OR($AW64="",$AT64=""),1,((Config!$B$14*$AW64+Config!$B$15*(1-$AW64))/(Config!$B$14*$AT64+Config!$B$15*(1-$AT64)))^Config!$B$13)</f>
        <v>0.965310828149656</v>
      </c>
      <c r="AY64" s="10" t="n">
        <f aca="false">IF($AS64="","",IFERROR(IF(INDEX(Matches!$BB$5:$BB$23,MATCH($C64,Matches!$A$5:$A$23,0))="","",IF($AS64="A",INDEX(Matches!$BB$5:$BB$23,MATCH($C64,Matches!$A$5:$A$23,0)),1-INDEX(Matches!$BB$5:$BB$23,MATCH($C64,Matches!$A$5:$A$23,0)))),""))</f>
        <v>0.494693840155398</v>
      </c>
      <c r="AZ64" s="13" t="n">
        <f aca="false">IF(OR($AY64="",$AT64=""),1,((Config!$B$14*$AY64+Config!$B$15*(1-$AY64))/(Config!$B$14*$AT64+Config!$B$15*(1-$AT64)))^Config!$B$13)</f>
        <v>0.980517620766853</v>
      </c>
      <c r="BA64" s="17" t="n">
        <f aca="false">IF(V64="","",V64*$AV64)</f>
        <v>14.124181832941</v>
      </c>
      <c r="BB64" s="17" t="n">
        <f aca="false">IF(AC64="","",AC64*$AX64)</f>
        <v>13.0264835015484</v>
      </c>
      <c r="BC64" s="17" t="n">
        <f aca="false">IF(AJ64="","",AJ64*$AZ64)</f>
        <v>13.281111173287</v>
      </c>
      <c r="BD64" s="17" t="n">
        <f aca="false">N(BA64)+N(BB64)</f>
        <v>27.1506653344894</v>
      </c>
      <c r="BE64" s="17" t="n">
        <f aca="false">BD64+N($M64)*N(BC64)</f>
        <v>33.7407526986744</v>
      </c>
      <c r="BF64" s="17" t="n">
        <f aca="false">IF(W64="","",W64*$AV64)</f>
        <v>7.8278233458421</v>
      </c>
      <c r="BG64" s="17" t="n">
        <f aca="false">IF(AD64="","",AD64*$AX64)</f>
        <v>6.23968559724166</v>
      </c>
      <c r="BH64" s="17" t="n">
        <f aca="false">IF(AK64="","",AK64*$AZ64)</f>
        <v>7.31235846015895</v>
      </c>
      <c r="BI64" s="17" t="n">
        <f aca="false">IF(BF64="","",N(BF64)+N(BG64))</f>
        <v>14.0675089430838</v>
      </c>
      <c r="BJ64" s="17" t="n">
        <f aca="false">IF(BI64="","",BI64+N($M64)*N(BH64))</f>
        <v>17.6959012110146</v>
      </c>
      <c r="BK64" s="13" t="n">
        <f aca="false">IFERROR(BD64/AL64,1)</f>
        <v>0.974228593595036</v>
      </c>
    </row>
    <row r="65" customFormat="false" ht="15" hidden="false" customHeight="false" outlineLevel="0" collapsed="false">
      <c r="A65" s="0" t="s">
        <v>1447</v>
      </c>
      <c r="B65" s="0" t="s">
        <v>1139</v>
      </c>
      <c r="C65" s="0" t="s">
        <v>1056</v>
      </c>
      <c r="D65" s="0" t="s">
        <v>1145</v>
      </c>
      <c r="E65" s="0" t="s">
        <v>1446</v>
      </c>
      <c r="F65" s="0" t="s">
        <v>1722</v>
      </c>
      <c r="G65" s="0" t="str">
        <f aca="false">IFERROR(IF(INDEX(Matches!$W$5:$W$23,MATCH($C65,Matches!$A$5:$A$23,0))="","",INDEX(Matches!$W$5:$W$23,MATCH($C65,Matches!$A$5:$A$23,0))),"")</f>
        <v>Ancient</v>
      </c>
      <c r="H65" s="0" t="str">
        <f aca="false">IFERROR(IF(INDEX(Matches!$X$5:$X$23,MATCH($C65,Matches!$A$5:$A$23,0))="","",INDEX(Matches!$X$5:$X$23,MATCH($C65,Matches!$A$5:$A$23,0))),"")</f>
        <v>Dust2</v>
      </c>
      <c r="I65" s="0" t="str">
        <f aca="false">IFERROR(IF(INDEX(Matches!$Y$5:$Y$23,MATCH($C65,Matches!$A$5:$A$23,0))="","",INDEX(Matches!$Y$5:$Y$23,MATCH($C65,Matches!$A$5:$A$23,0))),"")</f>
        <v>Mirage</v>
      </c>
      <c r="J65" s="11" t="n">
        <f aca="false">IFERROR(IF(INDEX(Matches!$Z$5:$Z$23,MATCH($C65,Matches!$A$5:$A$23,0))="","",INDEX(Matches!$Z$5:$Z$23,MATCH($C65,Matches!$A$5:$A$23,0))),"")</f>
        <v>21.31</v>
      </c>
      <c r="K65" s="11" t="n">
        <f aca="false">IFERROR(IF(INDEX(Matches!$AA$5:$AA$23,MATCH($C65,Matches!$A$5:$A$23,0))="","",INDEX(Matches!$AA$5:$AA$23,MATCH($C65,Matches!$A$5:$A$23,0))),"")</f>
        <v>21.11</v>
      </c>
      <c r="L65" s="11" t="n">
        <f aca="false">IFERROR(IF(INDEX(Matches!$AB$5:$AB$23,MATCH($C65,Matches!$A$5:$A$23,0))="","",INDEX(Matches!$AB$5:$AB$23,MATCH($C65,Matches!$A$5:$A$23,0))),"")</f>
        <v>21.22</v>
      </c>
      <c r="M65" s="10" t="n">
        <f aca="false">IFERROR(IF(INDEX(Matches!$AC$5:$AC$23,MATCH($C65,Matches!$A$5:$A$23,0))="","",INDEX(Matches!$AC$5:$AC$23,MATCH($C65,Matches!$A$5:$A$23,0))),"")</f>
        <v>0.437</v>
      </c>
      <c r="N65" s="9" t="n">
        <f aca="false">IFERROR(INDEX(Players!$F$2:$F$137,MATCH($F65,Players!$A$2:$A$137,0)),0)</f>
        <v>37</v>
      </c>
      <c r="O65" s="13" t="n">
        <f aca="false">IFERROR(1/(1/INDEX(Players!$H$2:$H$137,MATCH($F65,Players!$A$2:$A$137,0))),"")</f>
        <v>0.76</v>
      </c>
      <c r="P65" s="10" t="n">
        <f aca="false">IFERROR(1/(1/INDEX(Players!$I$2:$I$137,MATCH($F65,Players!$A$2:$A$137,0))),"")</f>
        <v>0.658</v>
      </c>
      <c r="Q65" s="9" t="n">
        <f aca="false">IF($G65="",0,SUMIFS(Map_Stats!$F$2:$F$850,Map_Stats!$A$2:$A$850,$F65&amp;"|"&amp;$G65))</f>
        <v>10</v>
      </c>
      <c r="R65" s="13" t="n">
        <f aca="false">IF($G65="","",IFERROR(1/(1/INDEX(Map_Stats!$K$2:$K$850,MATCH($F65&amp;"|"&amp;$G65,Map_Stats!$A$2:$A$850,0))),$O65))</f>
        <v>0.78</v>
      </c>
      <c r="S65" s="10" t="n">
        <f aca="false">IF(OR($G65="",$P65=""),"",IFERROR(1/(1/INDEX(Map_Stats!$I$2:$I$850,MATCH($F65&amp;"|"&amp;$G65,Map_Stats!$A$2:$A$850,0))),$P65))</f>
        <v>0.693</v>
      </c>
      <c r="T65" s="13" t="n">
        <f aca="false">IF(OR($G65="",R65=""),"",IF($O65="",R65,(Q65*R65+Config!$B$4*$O65)/(Q65+Config!$B$4)))</f>
        <v>0.773333333333333</v>
      </c>
      <c r="U65" s="10" t="n">
        <f aca="false">IF(S65="","",(Q65*S65+Config!$B$4*$P65)/(Q65+Config!$B$4))</f>
        <v>0.681333333333333</v>
      </c>
      <c r="V65" s="17" t="n">
        <f aca="false">IF(OR(T65="",$J65=""),"",T65*$J65*($J65/Config!$B$10)^Config!$B$9)</f>
        <v>16.4797333333333</v>
      </c>
      <c r="W65" s="17" t="n">
        <f aca="false">IF(OR(V65="",U65=""),"",V65*U65)</f>
        <v>11.2281916444444</v>
      </c>
      <c r="X65" s="9" t="n">
        <f aca="false">IF($H65="",0,SUMIFS(Map_Stats!$F$2:$F$850,Map_Stats!$A$2:$A$850,$F65&amp;"|"&amp;$H65))</f>
        <v>9</v>
      </c>
      <c r="Y65" s="13" t="n">
        <f aca="false">IF($H65="","",IFERROR(1/(1/INDEX(Map_Stats!$K$2:$K$850,MATCH($F65&amp;"|"&amp;$H65,Map_Stats!$A$2:$A$850,0))),$O65))</f>
        <v>0.74</v>
      </c>
      <c r="Z65" s="10" t="n">
        <f aca="false">IF(OR($H65="",$P65=""),"",IFERROR(1/(1/INDEX(Map_Stats!$I$2:$I$850,MATCH($F65&amp;"|"&amp;$H65,Map_Stats!$A$2:$A$850,0))),$P65))</f>
        <v>0.696</v>
      </c>
      <c r="AA65" s="13" t="n">
        <f aca="false">IF(OR($H65="",Y65=""),"",IF($O65="",Y65,(X65*Y65+Config!$B$4*$O65)/(X65+Config!$B$4)))</f>
        <v>0.747142857142857</v>
      </c>
      <c r="AB65" s="10" t="n">
        <f aca="false">IF(Z65="","",(X65*Z65+Config!$B$4*$P65)/(X65+Config!$B$4))</f>
        <v>0.682428571428571</v>
      </c>
      <c r="AC65" s="17" t="n">
        <f aca="false">IF(OR(AA65="",$K65=""),"",AA65*$K65*($K65/Config!$B$10)^Config!$B$9)</f>
        <v>15.7721857142857</v>
      </c>
      <c r="AD65" s="17" t="n">
        <f aca="false">IF(OR(AC65="",AB65=""),"",AC65*AB65)</f>
        <v>10.7633901653061</v>
      </c>
      <c r="AE65" s="9" t="n">
        <f aca="false">IF($I65="",0,SUMIFS(Map_Stats!$F$2:$F$850,Map_Stats!$A$2:$A$850,$F65&amp;"|"&amp;$I65))</f>
        <v>6</v>
      </c>
      <c r="AF65" s="13" t="n">
        <f aca="false">IF($I65="","",IFERROR(1/(1/INDEX(Map_Stats!$K$2:$K$850,MATCH($F65&amp;"|"&amp;$I65,Map_Stats!$A$2:$A$850,0))),$O65))</f>
        <v>0.75</v>
      </c>
      <c r="AG65" s="10" t="n">
        <f aca="false">IF(OR($I65="",$P65=""),"",IFERROR(1/(1/INDEX(Map_Stats!$I$2:$I$850,MATCH($F65&amp;"|"&amp;$I65,Map_Stats!$A$2:$A$850,0))),$P65))</f>
        <v>0.58</v>
      </c>
      <c r="AH65" s="13" t="n">
        <f aca="false">IF(OR($I65="",AF65=""),"",IF($O65="",AF65,(AE65*AF65+Config!$B$4*$O65)/(AE65+Config!$B$4)))</f>
        <v>0.754545454545454</v>
      </c>
      <c r="AI65" s="10" t="n">
        <f aca="false">IF(AG65="","",(AE65*AG65+Config!$B$4*$P65)/(AE65+Config!$B$4))</f>
        <v>0.615454545454545</v>
      </c>
      <c r="AJ65" s="17" t="n">
        <f aca="false">IF(OR(AH65="",$L65=""),"",AH65*$L65*($L65/Config!$B$10)^Config!$B$9)</f>
        <v>16.0114545454545</v>
      </c>
      <c r="AK65" s="17" t="n">
        <f aca="false">IF(OR(AJ65="",AI65=""),"",AJ65*AI65)</f>
        <v>9.85432247933884</v>
      </c>
      <c r="AL65" s="17" t="n">
        <f aca="false">N(V65)+N(AC65)</f>
        <v>32.2519190476191</v>
      </c>
      <c r="AM65" s="17" t="n">
        <f aca="false">AL65+N($M65)*N(AJ65)</f>
        <v>39.2489246839827</v>
      </c>
      <c r="AN65" s="17" t="n">
        <f aca="false">IF(W65="","",N(W65)+N(AD65))</f>
        <v>21.9915818097506</v>
      </c>
      <c r="AO65" s="17" t="n">
        <f aca="false">IF(AN65="","",AN65+N($M65)*N(AK65))</f>
        <v>26.2979207332216</v>
      </c>
      <c r="AP65" s="10" t="n">
        <f aca="false">IFERROR(AN65/AL65,"")</f>
        <v>0.681868938629066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9" t="n">
        <f aca="false">IF($C65=Board!$B$2,COUNTIFS($C$2:$C$137,Board!$B$2,$AL$2:$AL$137,"&gt;"&amp;$AL65)+COUNTIFS($C$1:$C64,Board!$B$2,$AL$1:$AL64,$AL65)+1,"")</f>
        <v>1</v>
      </c>
      <c r="AS65" s="0" t="str">
        <f aca="false">IFERROR(IF($D65=INDEX(Matches!$AD$5:$AD$23,MATCH($C65,Matches!$A$5:$A$23,0)),"A",IF($D65=INDEX(Matches!$AE$5:$AE$23,MATCH($C65,Matches!$A$5:$A$23,0)),"B","")),"")</f>
        <v>A</v>
      </c>
      <c r="AT65" s="10" t="n">
        <f aca="false">IF($AS65="","",IFERROR(IF($AS65="A",INDEX(Matches!$AI$5:$AI$23,MATCH($C65,Matches!$A$5:$A$23,0)),INDEX(Matches!$AJ$5:$AJ$23,MATCH($C65,Matches!$A$5:$A$23,0))),""))</f>
        <v>0.544763382467029</v>
      </c>
      <c r="AU65" s="10" t="n">
        <f aca="false">IF($AS65="","",IFERROR(IF(INDEX(Matches!$AP$5:$AP$23,MATCH($C65,Matches!$A$5:$A$23,0))="","",IF($AS65="A",INDEX(Matches!$AP$5:$AP$23,MATCH($C65,Matches!$A$5:$A$23,0)),1-INDEX(Matches!$AP$5:$AP$23,MATCH($C65,Matches!$A$5:$A$23,0)))),""))</f>
        <v>0.534581148784685</v>
      </c>
      <c r="AV65" s="13" t="n">
        <f aca="false">IF(OR($AU65="",$AT65=""),1,((Config!$B$14*$AU65+Config!$B$15*(1-$AU65))/(Config!$B$14*$AT65+Config!$B$15*(1-$AT65)))^Config!$B$13)</f>
        <v>0.991250955980746</v>
      </c>
      <c r="AW65" s="10" t="n">
        <f aca="false">IF($AS65="","",IFERROR(IF(INDEX(Matches!$AV$5:$AV$23,MATCH($C65,Matches!$A$5:$A$23,0))="","",IF($AS65="A",INDEX(Matches!$AV$5:$AV$23,MATCH($C65,Matches!$A$5:$A$23,0)),1-INDEX(Matches!$AV$5:$AV$23,MATCH($C65,Matches!$A$5:$A$23,0)))),""))</f>
        <v>0.53079540467044</v>
      </c>
      <c r="AX65" s="13" t="n">
        <f aca="false">IF(OR($AW65="",$AT65=""),1,((Config!$B$14*$AW65+Config!$B$15*(1-$AW65))/(Config!$B$14*$AT65+Config!$B$15*(1-$AT65)))^Config!$B$13)</f>
        <v>0.987998070323781</v>
      </c>
      <c r="AY65" s="10" t="n">
        <f aca="false">IF($AS65="","",IFERROR(IF(INDEX(Matches!$BB$5:$BB$23,MATCH($C65,Matches!$A$5:$A$23,0))="","",IF($AS65="A",INDEX(Matches!$BB$5:$BB$23,MATCH($C65,Matches!$A$5:$A$23,0)),1-INDEX(Matches!$BB$5:$BB$23,MATCH($C65,Matches!$A$5:$A$23,0)))),""))</f>
        <v>0.517004513421917</v>
      </c>
      <c r="AZ65" s="13" t="n">
        <f aca="false">IF(OR($AY65="",$AT65=""),1,((Config!$B$14*$AY65+Config!$B$15*(1-$AY65))/(Config!$B$14*$AT65+Config!$B$15*(1-$AT65)))^Config!$B$13)</f>
        <v>0.976148301563583</v>
      </c>
      <c r="BA65" s="17" t="n">
        <f aca="false">IF(V65="","",V65*$AV65)</f>
        <v>16.3355514209744</v>
      </c>
      <c r="BB65" s="17" t="n">
        <f aca="false">IF(AC65="","",AC65*$AX65)</f>
        <v>15.5828890505026</v>
      </c>
      <c r="BC65" s="17" t="n">
        <f aca="false">IF(AJ65="","",AJ65*$AZ65)</f>
        <v>15.629554160108</v>
      </c>
      <c r="BD65" s="17" t="n">
        <f aca="false">N(BA65)+N(BB65)</f>
        <v>31.918440471477</v>
      </c>
      <c r="BE65" s="17" t="n">
        <f aca="false">BD65+N($M65)*N(BC65)</f>
        <v>38.7485556394442</v>
      </c>
      <c r="BF65" s="17" t="n">
        <f aca="false">IF(W65="","",W65*$AV65)</f>
        <v>11.1299557014906</v>
      </c>
      <c r="BG65" s="17" t="n">
        <f aca="false">IF(AD65="","",AD65*$AX65)</f>
        <v>10.6342087134644</v>
      </c>
      <c r="BH65" s="17" t="n">
        <f aca="false">IF(AK65="","",AK65*$AZ65)</f>
        <v>9.61928015126644</v>
      </c>
      <c r="BI65" s="17" t="n">
        <f aca="false">IF(BF65="","",N(BF65)+N(BG65))</f>
        <v>21.764164414955</v>
      </c>
      <c r="BJ65" s="17" t="n">
        <f aca="false">IF(BI65="","",BI65+N($M65)*N(BH65))</f>
        <v>25.9677898410584</v>
      </c>
      <c r="BK65" s="13" t="n">
        <f aca="false">IFERROR(BD65/AL65,1)</f>
        <v>0.989660194308139</v>
      </c>
    </row>
    <row r="66" customFormat="false" ht="15" hidden="false" customHeight="false" outlineLevel="0" collapsed="false">
      <c r="A66" s="0" t="s">
        <v>1449</v>
      </c>
      <c r="B66" s="0" t="s">
        <v>1139</v>
      </c>
      <c r="C66" s="0" t="s">
        <v>1056</v>
      </c>
      <c r="D66" s="0" t="s">
        <v>1145</v>
      </c>
      <c r="E66" s="0" t="s">
        <v>1448</v>
      </c>
      <c r="F66" s="0" t="s">
        <v>1723</v>
      </c>
      <c r="G66" s="0" t="str">
        <f aca="false">IFERROR(IF(INDEX(Matches!$W$5:$W$23,MATCH($C66,Matches!$A$5:$A$23,0))="","",INDEX(Matches!$W$5:$W$23,MATCH($C66,Matches!$A$5:$A$23,0))),"")</f>
        <v>Ancient</v>
      </c>
      <c r="H66" s="0" t="str">
        <f aca="false">IFERROR(IF(INDEX(Matches!$X$5:$X$23,MATCH($C66,Matches!$A$5:$A$23,0))="","",INDEX(Matches!$X$5:$X$23,MATCH($C66,Matches!$A$5:$A$23,0))),"")</f>
        <v>Dust2</v>
      </c>
      <c r="I66" s="0" t="str">
        <f aca="false">IFERROR(IF(INDEX(Matches!$Y$5:$Y$23,MATCH($C66,Matches!$A$5:$A$23,0))="","",INDEX(Matches!$Y$5:$Y$23,MATCH($C66,Matches!$A$5:$A$23,0))),"")</f>
        <v>Mirage</v>
      </c>
      <c r="J66" s="11" t="n">
        <f aca="false">IFERROR(IF(INDEX(Matches!$Z$5:$Z$23,MATCH($C66,Matches!$A$5:$A$23,0))="","",INDEX(Matches!$Z$5:$Z$23,MATCH($C66,Matches!$A$5:$A$23,0))),"")</f>
        <v>21.31</v>
      </c>
      <c r="K66" s="11" t="n">
        <f aca="false">IFERROR(IF(INDEX(Matches!$AA$5:$AA$23,MATCH($C66,Matches!$A$5:$A$23,0))="","",INDEX(Matches!$AA$5:$AA$23,MATCH($C66,Matches!$A$5:$A$23,0))),"")</f>
        <v>21.11</v>
      </c>
      <c r="L66" s="11" t="n">
        <f aca="false">IFERROR(IF(INDEX(Matches!$AB$5:$AB$23,MATCH($C66,Matches!$A$5:$A$23,0))="","",INDEX(Matches!$AB$5:$AB$23,MATCH($C66,Matches!$A$5:$A$23,0))),"")</f>
        <v>21.22</v>
      </c>
      <c r="M66" s="10" t="n">
        <f aca="false">IFERROR(IF(INDEX(Matches!$AC$5:$AC$23,MATCH($C66,Matches!$A$5:$A$23,0))="","",INDEX(Matches!$AC$5:$AC$23,MATCH($C66,Matches!$A$5:$A$23,0))),"")</f>
        <v>0.437</v>
      </c>
      <c r="N66" s="9" t="n">
        <f aca="false">IFERROR(INDEX(Players!$F$2:$F$137,MATCH($F66,Players!$A$2:$A$137,0)),0)</f>
        <v>37</v>
      </c>
      <c r="O66" s="13" t="n">
        <f aca="false">IFERROR(1/(1/INDEX(Players!$H$2:$H$137,MATCH($F66,Players!$A$2:$A$137,0))),"")</f>
        <v>0.62</v>
      </c>
      <c r="P66" s="10" t="n">
        <f aca="false">IFERROR(1/(1/INDEX(Players!$I$2:$I$137,MATCH($F66,Players!$A$2:$A$137,0))),"")</f>
        <v>0.569</v>
      </c>
      <c r="Q66" s="9" t="n">
        <f aca="false">IF($G66="",0,SUMIFS(Map_Stats!$F$2:$F$850,Map_Stats!$A$2:$A$850,$F66&amp;"|"&amp;$G66))</f>
        <v>10</v>
      </c>
      <c r="R66" s="13" t="n">
        <f aca="false">IF($G66="","",IFERROR(1/(1/INDEX(Map_Stats!$K$2:$K$850,MATCH($F66&amp;"|"&amp;$G66,Map_Stats!$A$2:$A$850,0))),$O66))</f>
        <v>0.63</v>
      </c>
      <c r="S66" s="10" t="n">
        <f aca="false">IF(OR($G66="",$P66=""),"",IFERROR(1/(1/INDEX(Map_Stats!$I$2:$I$850,MATCH($F66&amp;"|"&amp;$G66,Map_Stats!$A$2:$A$850,0))),$P66))</f>
        <v>0.57</v>
      </c>
      <c r="T66" s="13" t="n">
        <f aca="false">IF(OR($G66="",R66=""),"",IF($O66="",R66,(Q66*R66+Config!$B$4*$O66)/(Q66+Config!$B$4)))</f>
        <v>0.626666666666667</v>
      </c>
      <c r="U66" s="10" t="n">
        <f aca="false">IF(S66="","",(Q66*S66+Config!$B$4*$P66)/(Q66+Config!$B$4))</f>
        <v>0.569666666666667</v>
      </c>
      <c r="V66" s="17" t="n">
        <f aca="false">IF(OR(T66="",$J66=""),"",T66*$J66*($J66/Config!$B$10)^Config!$B$9)</f>
        <v>13.3542666666667</v>
      </c>
      <c r="W66" s="17" t="n">
        <f aca="false">IF(OR(V66="",U66=""),"",V66*U66)</f>
        <v>7.60748057777778</v>
      </c>
      <c r="X66" s="9" t="n">
        <f aca="false">IF($H66="",0,SUMIFS(Map_Stats!$F$2:$F$850,Map_Stats!$A$2:$A$850,$F66&amp;"|"&amp;$H66))</f>
        <v>9</v>
      </c>
      <c r="Y66" s="13" t="n">
        <f aca="false">IF($H66="","",IFERROR(1/(1/INDEX(Map_Stats!$K$2:$K$850,MATCH($F66&amp;"|"&amp;$H66,Map_Stats!$A$2:$A$850,0))),$O66))</f>
        <v>0.56</v>
      </c>
      <c r="Z66" s="10" t="n">
        <f aca="false">IF(OR($H66="",$P66=""),"",IFERROR(1/(1/INDEX(Map_Stats!$I$2:$I$850,MATCH($F66&amp;"|"&amp;$H66,Map_Stats!$A$2:$A$850,0))),$P66))</f>
        <v>0.533</v>
      </c>
      <c r="AA66" s="13" t="n">
        <f aca="false">IF(OR($H66="",Y66=""),"",IF($O66="",Y66,(X66*Y66+Config!$B$4*$O66)/(X66+Config!$B$4)))</f>
        <v>0.581428571428572</v>
      </c>
      <c r="AB66" s="10" t="n">
        <f aca="false">IF(Z66="","",(X66*Z66+Config!$B$4*$P66)/(X66+Config!$B$4))</f>
        <v>0.545857142857143</v>
      </c>
      <c r="AC66" s="17" t="n">
        <f aca="false">IF(OR(AA66="",$K66=""),"",AA66*$K66*($K66/Config!$B$10)^Config!$B$9)</f>
        <v>12.2739571428571</v>
      </c>
      <c r="AD66" s="17" t="n">
        <f aca="false">IF(OR(AC66="",AB66=""),"",AC66*AB66)</f>
        <v>6.69982717755102</v>
      </c>
      <c r="AE66" s="9" t="n">
        <f aca="false">IF($I66="",0,SUMIFS(Map_Stats!$F$2:$F$850,Map_Stats!$A$2:$A$850,$F66&amp;"|"&amp;$I66))</f>
        <v>6</v>
      </c>
      <c r="AF66" s="13" t="n">
        <f aca="false">IF($I66="","",IFERROR(1/(1/INDEX(Map_Stats!$K$2:$K$850,MATCH($F66&amp;"|"&amp;$I66,Map_Stats!$A$2:$A$850,0))),$O66))</f>
        <v>0.77</v>
      </c>
      <c r="AG66" s="10" t="n">
        <f aca="false">IF(OR($I66="",$P66=""),"",IFERROR(1/(1/INDEX(Map_Stats!$I$2:$I$850,MATCH($F66&amp;"|"&amp;$I66,Map_Stats!$A$2:$A$850,0))),$P66))</f>
        <v>0.583</v>
      </c>
      <c r="AH66" s="13" t="n">
        <f aca="false">IF(OR($I66="",AF66=""),"",IF($O66="",AF66,(AE66*AF66+Config!$B$4*$O66)/(AE66+Config!$B$4)))</f>
        <v>0.701818181818182</v>
      </c>
      <c r="AI66" s="10" t="n">
        <f aca="false">IF(AG66="","",(AE66*AG66+Config!$B$4*$P66)/(AE66+Config!$B$4))</f>
        <v>0.576636363636364</v>
      </c>
      <c r="AJ66" s="17" t="n">
        <f aca="false">IF(OR(AH66="",$L66=""),"",AH66*$L66*($L66/Config!$B$10)^Config!$B$9)</f>
        <v>14.8925818181818</v>
      </c>
      <c r="AK66" s="17" t="n">
        <f aca="false">IF(OR(AJ66="",AI66=""),"",AJ66*AI66)</f>
        <v>8.58760422479339</v>
      </c>
      <c r="AL66" s="17" t="n">
        <f aca="false">N(V66)+N(AC66)</f>
        <v>25.6282238095238</v>
      </c>
      <c r="AM66" s="17" t="n">
        <f aca="false">AL66+N($M66)*N(AJ66)</f>
        <v>32.1362820640693</v>
      </c>
      <c r="AN66" s="17" t="n">
        <f aca="false">IF(W66="","",N(W66)+N(AD66))</f>
        <v>14.3073077553288</v>
      </c>
      <c r="AO66" s="17" t="n">
        <f aca="false">IF(AN66="","",AN66+N($M66)*N(AK66))</f>
        <v>18.0600908015635</v>
      </c>
      <c r="AP66" s="10" t="n">
        <f aca="false">IFERROR(AN66/AL66,"")</f>
        <v>0.558263727586615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9" t="n">
        <f aca="false">IF($C66=Board!$B$2,COUNTIFS($C$2:$C$137,Board!$B$2,$AL$2:$AL$137,"&gt;"&amp;$AL66)+COUNTIFS($C$1:$C65,Board!$B$2,$AL$1:$AL65,$AL66)+1,"")</f>
        <v>10</v>
      </c>
      <c r="AS66" s="0" t="str">
        <f aca="false">IFERROR(IF($D66=INDEX(Matches!$AD$5:$AD$23,MATCH($C66,Matches!$A$5:$A$23,0)),"A",IF($D66=INDEX(Matches!$AE$5:$AE$23,MATCH($C66,Matches!$A$5:$A$23,0)),"B","")),"")</f>
        <v>A</v>
      </c>
      <c r="AT66" s="10" t="n">
        <f aca="false">IF($AS66="","",IFERROR(IF($AS66="A",INDEX(Matches!$AI$5:$AI$23,MATCH($C66,Matches!$A$5:$A$23,0)),INDEX(Matches!$AJ$5:$AJ$23,MATCH($C66,Matches!$A$5:$A$23,0))),""))</f>
        <v>0.544763382467029</v>
      </c>
      <c r="AU66" s="10" t="n">
        <f aca="false">IF($AS66="","",IFERROR(IF(INDEX(Matches!$AP$5:$AP$23,MATCH($C66,Matches!$A$5:$A$23,0))="","",IF($AS66="A",INDEX(Matches!$AP$5:$AP$23,MATCH($C66,Matches!$A$5:$A$23,0)),1-INDEX(Matches!$AP$5:$AP$23,MATCH($C66,Matches!$A$5:$A$23,0)))),""))</f>
        <v>0.534581148784685</v>
      </c>
      <c r="AV66" s="13" t="n">
        <f aca="false">IF(OR($AU66="",$AT66=""),1,((Config!$B$14*$AU66+Config!$B$15*(1-$AU66))/(Config!$B$14*$AT66+Config!$B$15*(1-$AT66)))^Config!$B$13)</f>
        <v>0.991250955980746</v>
      </c>
      <c r="AW66" s="10" t="n">
        <f aca="false">IF($AS66="","",IFERROR(IF(INDEX(Matches!$AV$5:$AV$23,MATCH($C66,Matches!$A$5:$A$23,0))="","",IF($AS66="A",INDEX(Matches!$AV$5:$AV$23,MATCH($C66,Matches!$A$5:$A$23,0)),1-INDEX(Matches!$AV$5:$AV$23,MATCH($C66,Matches!$A$5:$A$23,0)))),""))</f>
        <v>0.53079540467044</v>
      </c>
      <c r="AX66" s="13" t="n">
        <f aca="false">IF(OR($AW66="",$AT66=""),1,((Config!$B$14*$AW66+Config!$B$15*(1-$AW66))/(Config!$B$14*$AT66+Config!$B$15*(1-$AT66)))^Config!$B$13)</f>
        <v>0.987998070323781</v>
      </c>
      <c r="AY66" s="10" t="n">
        <f aca="false">IF($AS66="","",IFERROR(IF(INDEX(Matches!$BB$5:$BB$23,MATCH($C66,Matches!$A$5:$A$23,0))="","",IF($AS66="A",INDEX(Matches!$BB$5:$BB$23,MATCH($C66,Matches!$A$5:$A$23,0)),1-INDEX(Matches!$BB$5:$BB$23,MATCH($C66,Matches!$A$5:$A$23,0)))),""))</f>
        <v>0.517004513421917</v>
      </c>
      <c r="AZ66" s="13" t="n">
        <f aca="false">IF(OR($AY66="",$AT66=""),1,((Config!$B$14*$AY66+Config!$B$15*(1-$AY66))/(Config!$B$14*$AT66+Config!$B$15*(1-$AT66)))^Config!$B$13)</f>
        <v>0.976148301563583</v>
      </c>
      <c r="BA66" s="17" t="n">
        <f aca="false">IF(V66="","",V66*$AV66)</f>
        <v>13.2374295997551</v>
      </c>
      <c r="BB66" s="17" t="n">
        <f aca="false">IF(AC66="","",AC66*$AX66)</f>
        <v>12.1266459723797</v>
      </c>
      <c r="BC66" s="17" t="n">
        <f aca="false">IF(AJ66="","",AJ66*$AZ66)</f>
        <v>14.5373684477149</v>
      </c>
      <c r="BD66" s="17" t="n">
        <f aca="false">N(BA66)+N(BB66)</f>
        <v>25.3640755721348</v>
      </c>
      <c r="BE66" s="17" t="n">
        <f aca="false">BD66+N($M66)*N(BC66)</f>
        <v>31.7169055837862</v>
      </c>
      <c r="BF66" s="17" t="n">
        <f aca="false">IF(W66="","",W66*$AV66)</f>
        <v>7.54092239532718</v>
      </c>
      <c r="BG66" s="17" t="n">
        <f aca="false">IF(AD66="","",AD66*$AX66)</f>
        <v>6.61941632292323</v>
      </c>
      <c r="BH66" s="17" t="n">
        <f aca="false">IF(AK66="","",AK66*$AZ66)</f>
        <v>8.38277527853231</v>
      </c>
      <c r="BI66" s="17" t="n">
        <f aca="false">IF(BF66="","",N(BF66)+N(BG66))</f>
        <v>14.1603387182504</v>
      </c>
      <c r="BJ66" s="17" t="n">
        <f aca="false">IF(BI66="","",BI66+N($M66)*N(BH66))</f>
        <v>17.823611514969</v>
      </c>
      <c r="BK66" s="13" t="n">
        <f aca="false">IFERROR(BD66/AL66,1)</f>
        <v>0.989693072787555</v>
      </c>
    </row>
    <row r="67" customFormat="false" ht="15" hidden="false" customHeight="false" outlineLevel="0" collapsed="false">
      <c r="A67" s="0" t="s">
        <v>1451</v>
      </c>
      <c r="B67" s="0" t="s">
        <v>1139</v>
      </c>
      <c r="C67" s="0" t="s">
        <v>1056</v>
      </c>
      <c r="D67" s="0" t="s">
        <v>1145</v>
      </c>
      <c r="E67" s="0" t="s">
        <v>1450</v>
      </c>
      <c r="F67" s="0" t="s">
        <v>1724</v>
      </c>
      <c r="G67" s="0" t="str">
        <f aca="false">IFERROR(IF(INDEX(Matches!$W$5:$W$23,MATCH($C67,Matches!$A$5:$A$23,0))="","",INDEX(Matches!$W$5:$W$23,MATCH($C67,Matches!$A$5:$A$23,0))),"")</f>
        <v>Ancient</v>
      </c>
      <c r="H67" s="0" t="str">
        <f aca="false">IFERROR(IF(INDEX(Matches!$X$5:$X$23,MATCH($C67,Matches!$A$5:$A$23,0))="","",INDEX(Matches!$X$5:$X$23,MATCH($C67,Matches!$A$5:$A$23,0))),"")</f>
        <v>Dust2</v>
      </c>
      <c r="I67" s="0" t="str">
        <f aca="false">IFERROR(IF(INDEX(Matches!$Y$5:$Y$23,MATCH($C67,Matches!$A$5:$A$23,0))="","",INDEX(Matches!$Y$5:$Y$23,MATCH($C67,Matches!$A$5:$A$23,0))),"")</f>
        <v>Mirage</v>
      </c>
      <c r="J67" s="11" t="n">
        <f aca="false">IFERROR(IF(INDEX(Matches!$Z$5:$Z$23,MATCH($C67,Matches!$A$5:$A$23,0))="","",INDEX(Matches!$Z$5:$Z$23,MATCH($C67,Matches!$A$5:$A$23,0))),"")</f>
        <v>21.31</v>
      </c>
      <c r="K67" s="11" t="n">
        <f aca="false">IFERROR(IF(INDEX(Matches!$AA$5:$AA$23,MATCH($C67,Matches!$A$5:$A$23,0))="","",INDEX(Matches!$AA$5:$AA$23,MATCH($C67,Matches!$A$5:$A$23,0))),"")</f>
        <v>21.11</v>
      </c>
      <c r="L67" s="11" t="n">
        <f aca="false">IFERROR(IF(INDEX(Matches!$AB$5:$AB$23,MATCH($C67,Matches!$A$5:$A$23,0))="","",INDEX(Matches!$AB$5:$AB$23,MATCH($C67,Matches!$A$5:$A$23,0))),"")</f>
        <v>21.22</v>
      </c>
      <c r="M67" s="10" t="n">
        <f aca="false">IFERROR(IF(INDEX(Matches!$AC$5:$AC$23,MATCH($C67,Matches!$A$5:$A$23,0))="","",INDEX(Matches!$AC$5:$AC$23,MATCH($C67,Matches!$A$5:$A$23,0))),"")</f>
        <v>0.437</v>
      </c>
      <c r="N67" s="9" t="n">
        <f aca="false">IFERROR(INDEX(Players!$F$2:$F$137,MATCH($F67,Players!$A$2:$A$137,0)),0)</f>
        <v>37</v>
      </c>
      <c r="O67" s="13" t="n">
        <f aca="false">IFERROR(1/(1/INDEX(Players!$H$2:$H$137,MATCH($F67,Players!$A$2:$A$137,0))),"")</f>
        <v>0.71</v>
      </c>
      <c r="P67" s="10" t="n">
        <f aca="false">IFERROR(1/(1/INDEX(Players!$I$2:$I$137,MATCH($F67,Players!$A$2:$A$137,0))),"")</f>
        <v>0.555</v>
      </c>
      <c r="Q67" s="9" t="n">
        <f aca="false">IF($G67="",0,SUMIFS(Map_Stats!$F$2:$F$850,Map_Stats!$A$2:$A$850,$F67&amp;"|"&amp;$G67))</f>
        <v>10</v>
      </c>
      <c r="R67" s="13" t="n">
        <f aca="false">IF($G67="","",IFERROR(1/(1/INDEX(Map_Stats!$K$2:$K$850,MATCH($F67&amp;"|"&amp;$G67,Map_Stats!$A$2:$A$850,0))),$O67))</f>
        <v>0.76</v>
      </c>
      <c r="S67" s="10" t="n">
        <f aca="false">IF(OR($G67="",$P67=""),"",IFERROR(1/(1/INDEX(Map_Stats!$I$2:$I$850,MATCH($F67&amp;"|"&amp;$G67,Map_Stats!$A$2:$A$850,0))),$P67))</f>
        <v>0.54</v>
      </c>
      <c r="T67" s="13" t="n">
        <f aca="false">IF(OR($G67="",R67=""),"",IF($O67="",R67,(Q67*R67+Config!$B$4*$O67)/(Q67+Config!$B$4)))</f>
        <v>0.743333333333333</v>
      </c>
      <c r="U67" s="10" t="n">
        <f aca="false">IF(S67="","",(Q67*S67+Config!$B$4*$P67)/(Q67+Config!$B$4))</f>
        <v>0.545</v>
      </c>
      <c r="V67" s="17" t="n">
        <f aca="false">IF(OR(T67="",$J67=""),"",T67*$J67*($J67/Config!$B$10)^Config!$B$9)</f>
        <v>15.8404333333333</v>
      </c>
      <c r="W67" s="17" t="n">
        <f aca="false">IF(OR(V67="",U67=""),"",V67*U67)</f>
        <v>8.63303616666667</v>
      </c>
      <c r="X67" s="9" t="n">
        <f aca="false">IF($H67="",0,SUMIFS(Map_Stats!$F$2:$F$850,Map_Stats!$A$2:$A$850,$F67&amp;"|"&amp;$H67))</f>
        <v>9</v>
      </c>
      <c r="Y67" s="13" t="n">
        <f aca="false">IF($H67="","",IFERROR(1/(1/INDEX(Map_Stats!$K$2:$K$850,MATCH($F67&amp;"|"&amp;$H67,Map_Stats!$A$2:$A$850,0))),$O67))</f>
        <v>0.69</v>
      </c>
      <c r="Z67" s="10" t="n">
        <f aca="false">IF(OR($H67="",$P67=""),"",IFERROR(1/(1/INDEX(Map_Stats!$I$2:$I$850,MATCH($F67&amp;"|"&amp;$H67,Map_Stats!$A$2:$A$850,0))),$P67))</f>
        <v>0.575</v>
      </c>
      <c r="AA67" s="13" t="n">
        <f aca="false">IF(OR($H67="",Y67=""),"",IF($O67="",Y67,(X67*Y67+Config!$B$4*$O67)/(X67+Config!$B$4)))</f>
        <v>0.697142857142857</v>
      </c>
      <c r="AB67" s="10" t="n">
        <f aca="false">IF(Z67="","",(X67*Z67+Config!$B$4*$P67)/(X67+Config!$B$4))</f>
        <v>0.567857142857143</v>
      </c>
      <c r="AC67" s="17" t="n">
        <f aca="false">IF(OR(AA67="",$K67=""),"",AA67*$K67*($K67/Config!$B$10)^Config!$B$9)</f>
        <v>14.7166857142857</v>
      </c>
      <c r="AD67" s="17" t="n">
        <f aca="false">IF(OR(AC67="",AB67=""),"",AC67*AB67)</f>
        <v>8.35697510204081</v>
      </c>
      <c r="AE67" s="9" t="n">
        <f aca="false">IF($I67="",0,SUMIFS(Map_Stats!$F$2:$F$850,Map_Stats!$A$2:$A$850,$F67&amp;"|"&amp;$I67))</f>
        <v>6</v>
      </c>
      <c r="AF67" s="13" t="n">
        <f aca="false">IF($I67="","",IFERROR(1/(1/INDEX(Map_Stats!$K$2:$K$850,MATCH($F67&amp;"|"&amp;$I67,Map_Stats!$A$2:$A$850,0))),$O67))</f>
        <v>0.73</v>
      </c>
      <c r="AG67" s="10" t="n">
        <f aca="false">IF(OR($I67="",$P67=""),"",IFERROR(1/(1/INDEX(Map_Stats!$I$2:$I$850,MATCH($F67&amp;"|"&amp;$I67,Map_Stats!$A$2:$A$850,0))),$P67))</f>
        <v>0.474</v>
      </c>
      <c r="AH67" s="13" t="n">
        <f aca="false">IF(OR($I67="",AF67=""),"",IF($O67="",AF67,(AE67*AF67+Config!$B$4*$O67)/(AE67+Config!$B$4)))</f>
        <v>0.720909090909091</v>
      </c>
      <c r="AI67" s="10" t="n">
        <f aca="false">IF(AG67="","",(AE67*AG67+Config!$B$4*$P67)/(AE67+Config!$B$4))</f>
        <v>0.510818181818182</v>
      </c>
      <c r="AJ67" s="17" t="n">
        <f aca="false">IF(OR(AH67="",$L67=""),"",AH67*$L67*($L67/Config!$B$10)^Config!$B$9)</f>
        <v>15.2976909090909</v>
      </c>
      <c r="AK67" s="17" t="n">
        <f aca="false">IF(OR(AJ67="",AI67=""),"",AJ67*AI67)</f>
        <v>7.81433865619835</v>
      </c>
      <c r="AL67" s="17" t="n">
        <f aca="false">N(V67)+N(AC67)</f>
        <v>30.557119047619</v>
      </c>
      <c r="AM67" s="17" t="n">
        <f aca="false">AL67+N($M67)*N(AJ67)</f>
        <v>37.2422099748918</v>
      </c>
      <c r="AN67" s="17" t="n">
        <f aca="false">IF(W67="","",N(W67)+N(AD67))</f>
        <v>16.9900112687075</v>
      </c>
      <c r="AO67" s="17" t="n">
        <f aca="false">IF(AN67="","",AN67+N($M67)*N(AK67))</f>
        <v>20.4048772614662</v>
      </c>
      <c r="AP67" s="10" t="n">
        <f aca="false">IFERROR(AN67/AL67,"")</f>
        <v>0.55600828213651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9" t="n">
        <f aca="false">IF($C67=Board!$B$2,COUNTIFS($C$2:$C$137,Board!$B$2,$AL$2:$AL$137,"&gt;"&amp;$AL67)+COUNTIFS($C$1:$C66,Board!$B$2,$AL$1:$AL66,$AL67)+1,"")</f>
        <v>3</v>
      </c>
      <c r="AS67" s="0" t="str">
        <f aca="false">IFERROR(IF($D67=INDEX(Matches!$AD$5:$AD$23,MATCH($C67,Matches!$A$5:$A$23,0)),"A",IF($D67=INDEX(Matches!$AE$5:$AE$23,MATCH($C67,Matches!$A$5:$A$23,0)),"B","")),"")</f>
        <v>A</v>
      </c>
      <c r="AT67" s="10" t="n">
        <f aca="false">IF($AS67="","",IFERROR(IF($AS67="A",INDEX(Matches!$AI$5:$AI$23,MATCH($C67,Matches!$A$5:$A$23,0)),INDEX(Matches!$AJ$5:$AJ$23,MATCH($C67,Matches!$A$5:$A$23,0))),""))</f>
        <v>0.544763382467029</v>
      </c>
      <c r="AU67" s="10" t="n">
        <f aca="false">IF($AS67="","",IFERROR(IF(INDEX(Matches!$AP$5:$AP$23,MATCH($C67,Matches!$A$5:$A$23,0))="","",IF($AS67="A",INDEX(Matches!$AP$5:$AP$23,MATCH($C67,Matches!$A$5:$A$23,0)),1-INDEX(Matches!$AP$5:$AP$23,MATCH($C67,Matches!$A$5:$A$23,0)))),""))</f>
        <v>0.534581148784685</v>
      </c>
      <c r="AV67" s="13" t="n">
        <f aca="false">IF(OR($AU67="",$AT67=""),1,((Config!$B$14*$AU67+Config!$B$15*(1-$AU67))/(Config!$B$14*$AT67+Config!$B$15*(1-$AT67)))^Config!$B$13)</f>
        <v>0.991250955980746</v>
      </c>
      <c r="AW67" s="10" t="n">
        <f aca="false">IF($AS67="","",IFERROR(IF(INDEX(Matches!$AV$5:$AV$23,MATCH($C67,Matches!$A$5:$A$23,0))="","",IF($AS67="A",INDEX(Matches!$AV$5:$AV$23,MATCH($C67,Matches!$A$5:$A$23,0)),1-INDEX(Matches!$AV$5:$AV$23,MATCH($C67,Matches!$A$5:$A$23,0)))),""))</f>
        <v>0.53079540467044</v>
      </c>
      <c r="AX67" s="13" t="n">
        <f aca="false">IF(OR($AW67="",$AT67=""),1,((Config!$B$14*$AW67+Config!$B$15*(1-$AW67))/(Config!$B$14*$AT67+Config!$B$15*(1-$AT67)))^Config!$B$13)</f>
        <v>0.987998070323781</v>
      </c>
      <c r="AY67" s="10" t="n">
        <f aca="false">IF($AS67="","",IFERROR(IF(INDEX(Matches!$BB$5:$BB$23,MATCH($C67,Matches!$A$5:$A$23,0))="","",IF($AS67="A",INDEX(Matches!$BB$5:$BB$23,MATCH($C67,Matches!$A$5:$A$23,0)),1-INDEX(Matches!$BB$5:$BB$23,MATCH($C67,Matches!$A$5:$A$23,0)))),""))</f>
        <v>0.517004513421917</v>
      </c>
      <c r="AZ67" s="13" t="n">
        <f aca="false">IF(OR($AY67="",$AT67=""),1,((Config!$B$14*$AY67+Config!$B$15*(1-$AY67))/(Config!$B$14*$AT67+Config!$B$15*(1-$AT67)))^Config!$B$13)</f>
        <v>0.976148301563583</v>
      </c>
      <c r="BA67" s="17" t="n">
        <f aca="false">IF(V67="","",V67*$AV67)</f>
        <v>15.7018446848159</v>
      </c>
      <c r="BB67" s="17" t="n">
        <f aca="false">IF(AC67="","",AC67*$AX67)</f>
        <v>14.5400570872758</v>
      </c>
      <c r="BC67" s="17" t="n">
        <f aca="false">IF(AJ67="","",AJ67*$AZ67)</f>
        <v>14.9328149987538</v>
      </c>
      <c r="BD67" s="17" t="n">
        <f aca="false">N(BA67)+N(BB67)</f>
        <v>30.2419017720918</v>
      </c>
      <c r="BE67" s="17" t="n">
        <f aca="false">BD67+N($M67)*N(BC67)</f>
        <v>36.7675419265472</v>
      </c>
      <c r="BF67" s="17" t="n">
        <f aca="false">IF(W67="","",W67*$AV67)</f>
        <v>8.55750535322469</v>
      </c>
      <c r="BG67" s="17" t="n">
        <f aca="false">IF(AD67="","",AD67*$AX67)</f>
        <v>8.25667527456021</v>
      </c>
      <c r="BH67" s="17" t="n">
        <f aca="false">IF(AK67="","",AK67*$AZ67)</f>
        <v>7.62795340709067</v>
      </c>
      <c r="BI67" s="17" t="n">
        <f aca="false">IF(BF67="","",N(BF67)+N(BG67))</f>
        <v>16.8141806277849</v>
      </c>
      <c r="BJ67" s="17" t="n">
        <f aca="false">IF(BI67="","",BI67+N($M67)*N(BH67))</f>
        <v>20.1475962666835</v>
      </c>
      <c r="BK67" s="13" t="n">
        <f aca="false">IFERROR(BD67/AL67,1)</f>
        <v>0.989684326096448</v>
      </c>
    </row>
    <row r="68" customFormat="false" ht="15" hidden="false" customHeight="false" outlineLevel="0" collapsed="false">
      <c r="A68" s="0" t="s">
        <v>1453</v>
      </c>
      <c r="B68" s="0" t="s">
        <v>1139</v>
      </c>
      <c r="C68" s="0" t="s">
        <v>1056</v>
      </c>
      <c r="D68" s="0" t="s">
        <v>1145</v>
      </c>
      <c r="E68" s="0" t="s">
        <v>1452</v>
      </c>
      <c r="F68" s="0" t="s">
        <v>1725</v>
      </c>
      <c r="G68" s="0" t="str">
        <f aca="false">IFERROR(IF(INDEX(Matches!$W$5:$W$23,MATCH($C68,Matches!$A$5:$A$23,0))="","",INDEX(Matches!$W$5:$W$23,MATCH($C68,Matches!$A$5:$A$23,0))),"")</f>
        <v>Ancient</v>
      </c>
      <c r="H68" s="0" t="str">
        <f aca="false">IFERROR(IF(INDEX(Matches!$X$5:$X$23,MATCH($C68,Matches!$A$5:$A$23,0))="","",INDEX(Matches!$X$5:$X$23,MATCH($C68,Matches!$A$5:$A$23,0))),"")</f>
        <v>Dust2</v>
      </c>
      <c r="I68" s="0" t="str">
        <f aca="false">IFERROR(IF(INDEX(Matches!$Y$5:$Y$23,MATCH($C68,Matches!$A$5:$A$23,0))="","",INDEX(Matches!$Y$5:$Y$23,MATCH($C68,Matches!$A$5:$A$23,0))),"")</f>
        <v>Mirage</v>
      </c>
      <c r="J68" s="11" t="n">
        <f aca="false">IFERROR(IF(INDEX(Matches!$Z$5:$Z$23,MATCH($C68,Matches!$A$5:$A$23,0))="","",INDEX(Matches!$Z$5:$Z$23,MATCH($C68,Matches!$A$5:$A$23,0))),"")</f>
        <v>21.31</v>
      </c>
      <c r="K68" s="11" t="n">
        <f aca="false">IFERROR(IF(INDEX(Matches!$AA$5:$AA$23,MATCH($C68,Matches!$A$5:$A$23,0))="","",INDEX(Matches!$AA$5:$AA$23,MATCH($C68,Matches!$A$5:$A$23,0))),"")</f>
        <v>21.11</v>
      </c>
      <c r="L68" s="11" t="n">
        <f aca="false">IFERROR(IF(INDEX(Matches!$AB$5:$AB$23,MATCH($C68,Matches!$A$5:$A$23,0))="","",INDEX(Matches!$AB$5:$AB$23,MATCH($C68,Matches!$A$5:$A$23,0))),"")</f>
        <v>21.22</v>
      </c>
      <c r="M68" s="10" t="n">
        <f aca="false">IFERROR(IF(INDEX(Matches!$AC$5:$AC$23,MATCH($C68,Matches!$A$5:$A$23,0))="","",INDEX(Matches!$AC$5:$AC$23,MATCH($C68,Matches!$A$5:$A$23,0))),"")</f>
        <v>0.437</v>
      </c>
      <c r="N68" s="9" t="n">
        <f aca="false">IFERROR(INDEX(Players!$F$2:$F$137,MATCH($F68,Players!$A$2:$A$137,0)),0)</f>
        <v>34</v>
      </c>
      <c r="O68" s="13" t="n">
        <f aca="false">IFERROR(1/(1/INDEX(Players!$H$2:$H$137,MATCH($F68,Players!$A$2:$A$137,0))),"")</f>
        <v>0.69</v>
      </c>
      <c r="P68" s="10" t="n">
        <f aca="false">IFERROR(1/(1/INDEX(Players!$I$2:$I$137,MATCH($F68,Players!$A$2:$A$137,0))),"")</f>
        <v>0.345</v>
      </c>
      <c r="Q68" s="9" t="n">
        <f aca="false">IF($G68="",0,SUMIFS(Map_Stats!$F$2:$F$850,Map_Stats!$A$2:$A$850,$F68&amp;"|"&amp;$G68))</f>
        <v>6</v>
      </c>
      <c r="R68" s="13" t="n">
        <f aca="false">IF($G68="","",IFERROR(1/(1/INDEX(Map_Stats!$K$2:$K$850,MATCH($F68&amp;"|"&amp;$G68,Map_Stats!$A$2:$A$850,0))),$O68))</f>
        <v>0.67</v>
      </c>
      <c r="S68" s="10" t="n">
        <f aca="false">IF(OR($G68="",$P68=""),"",IFERROR(1/(1/INDEX(Map_Stats!$I$2:$I$850,MATCH($F68&amp;"|"&amp;$G68,Map_Stats!$A$2:$A$850,0))),$P68))</f>
        <v>0.341</v>
      </c>
      <c r="T68" s="13" t="n">
        <f aca="false">IF(OR($G68="",R68=""),"",IF($O68="",R68,(Q68*R68+Config!$B$4*$O68)/(Q68+Config!$B$4)))</f>
        <v>0.679090909090909</v>
      </c>
      <c r="U68" s="10" t="n">
        <f aca="false">IF(S68="","",(Q68*S68+Config!$B$4*$P68)/(Q68+Config!$B$4))</f>
        <v>0.342818181818182</v>
      </c>
      <c r="V68" s="17" t="n">
        <f aca="false">IF(OR(T68="",$J68=""),"",T68*$J68*($J68/Config!$B$10)^Config!$B$9)</f>
        <v>14.4714272727273</v>
      </c>
      <c r="W68" s="17" t="n">
        <f aca="false">IF(OR(V68="",U68=""),"",V68*U68)</f>
        <v>4.96106838595041</v>
      </c>
      <c r="X68" s="9" t="n">
        <f aca="false">IF($H68="",0,SUMIFS(Map_Stats!$F$2:$F$850,Map_Stats!$A$2:$A$850,$F68&amp;"|"&amp;$H68))</f>
        <v>8</v>
      </c>
      <c r="Y68" s="13" t="n">
        <f aca="false">IF($H68="","",IFERROR(1/(1/INDEX(Map_Stats!$K$2:$K$850,MATCH($F68&amp;"|"&amp;$H68,Map_Stats!$A$2:$A$850,0))),$O68))</f>
        <v>0.65</v>
      </c>
      <c r="Z68" s="10" t="n">
        <f aca="false">IF(OR($H68="",$P68=""),"",IFERROR(1/(1/INDEX(Map_Stats!$I$2:$I$850,MATCH($F68&amp;"|"&amp;$H68,Map_Stats!$A$2:$A$850,0))),$P68))</f>
        <v>0.336</v>
      </c>
      <c r="AA68" s="13" t="n">
        <f aca="false">IF(OR($H68="",Y68=""),"",IF($O68="",Y68,(X68*Y68+Config!$B$4*$O68)/(X68+Config!$B$4)))</f>
        <v>0.665384615384616</v>
      </c>
      <c r="AB68" s="10" t="n">
        <f aca="false">IF(Z68="","",(X68*Z68+Config!$B$4*$P68)/(X68+Config!$B$4))</f>
        <v>0.339461538461539</v>
      </c>
      <c r="AC68" s="17" t="n">
        <f aca="false">IF(OR(AA68="",$K68=""),"",AA68*$K68*($K68/Config!$B$10)^Config!$B$9)</f>
        <v>14.0462692307692</v>
      </c>
      <c r="AD68" s="17" t="n">
        <f aca="false">IF(OR(AC68="",AB68=""),"",AC68*AB68)</f>
        <v>4.76816816272189</v>
      </c>
      <c r="AE68" s="9" t="n">
        <f aca="false">IF($I68="",0,SUMIFS(Map_Stats!$F$2:$F$850,Map_Stats!$A$2:$A$850,$F68&amp;"|"&amp;$I68))</f>
        <v>7</v>
      </c>
      <c r="AF68" s="13" t="n">
        <f aca="false">IF($I68="","",IFERROR(1/(1/INDEX(Map_Stats!$K$2:$K$850,MATCH($F68&amp;"|"&amp;$I68,Map_Stats!$A$2:$A$850,0))),$O68))</f>
        <v>0.69</v>
      </c>
      <c r="AG68" s="10" t="n">
        <f aca="false">IF(OR($I68="",$P68=""),"",IFERROR(1/(1/INDEX(Map_Stats!$I$2:$I$850,MATCH($F68&amp;"|"&amp;$I68,Map_Stats!$A$2:$A$850,0))),$P68))</f>
        <v>0.348</v>
      </c>
      <c r="AH68" s="13" t="n">
        <f aca="false">IF(OR($I68="",AF68=""),"",IF($O68="",AF68,(AE68*AF68+Config!$B$4*$O68)/(AE68+Config!$B$4)))</f>
        <v>0.69</v>
      </c>
      <c r="AI68" s="10" t="n">
        <f aca="false">IF(AG68="","",(AE68*AG68+Config!$B$4*$P68)/(AE68+Config!$B$4))</f>
        <v>0.34675</v>
      </c>
      <c r="AJ68" s="17" t="n">
        <f aca="false">IF(OR(AH68="",$L68=""),"",AH68*$L68*($L68/Config!$B$10)^Config!$B$9)</f>
        <v>14.6418</v>
      </c>
      <c r="AK68" s="17" t="n">
        <f aca="false">IF(OR(AJ68="",AI68=""),"",AJ68*AI68)</f>
        <v>5.07704415</v>
      </c>
      <c r="AL68" s="17" t="n">
        <f aca="false">N(V68)+N(AC68)</f>
        <v>28.5176965034965</v>
      </c>
      <c r="AM68" s="17" t="n">
        <f aca="false">AL68+N($M68)*N(AJ68)</f>
        <v>34.9161631034965</v>
      </c>
      <c r="AN68" s="17" t="n">
        <f aca="false">IF(W68="","",N(W68)+N(AD68))</f>
        <v>9.72923654867231</v>
      </c>
      <c r="AO68" s="17" t="n">
        <f aca="false">IF(AN68="","",AN68+N($M68)*N(AK68))</f>
        <v>11.9479048422223</v>
      </c>
      <c r="AP68" s="10" t="n">
        <f aca="false">IFERROR(AN68/AL68,"")</f>
        <v>0.341164881514165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9" t="n">
        <f aca="false">IF($C68=Board!$B$2,COUNTIFS($C$2:$C$137,Board!$B$2,$AL$2:$AL$137,"&gt;"&amp;$AL68)+COUNTIFS($C$1:$C67,Board!$B$2,$AL$1:$AL67,$AL68)+1,"")</f>
        <v>9</v>
      </c>
      <c r="AS68" s="0" t="str">
        <f aca="false">IFERROR(IF($D68=INDEX(Matches!$AD$5:$AD$23,MATCH($C68,Matches!$A$5:$A$23,0)),"A",IF($D68=INDEX(Matches!$AE$5:$AE$23,MATCH($C68,Matches!$A$5:$A$23,0)),"B","")),"")</f>
        <v>A</v>
      </c>
      <c r="AT68" s="10" t="n">
        <f aca="false">IF($AS68="","",IFERROR(IF($AS68="A",INDEX(Matches!$AI$5:$AI$23,MATCH($C68,Matches!$A$5:$A$23,0)),INDEX(Matches!$AJ$5:$AJ$23,MATCH($C68,Matches!$A$5:$A$23,0))),""))</f>
        <v>0.544763382467029</v>
      </c>
      <c r="AU68" s="10" t="n">
        <f aca="false">IF($AS68="","",IFERROR(IF(INDEX(Matches!$AP$5:$AP$23,MATCH($C68,Matches!$A$5:$A$23,0))="","",IF($AS68="A",INDEX(Matches!$AP$5:$AP$23,MATCH($C68,Matches!$A$5:$A$23,0)),1-INDEX(Matches!$AP$5:$AP$23,MATCH($C68,Matches!$A$5:$A$23,0)))),""))</f>
        <v>0.534581148784685</v>
      </c>
      <c r="AV68" s="13" t="n">
        <f aca="false">IF(OR($AU68="",$AT68=""),1,((Config!$B$14*$AU68+Config!$B$15*(1-$AU68))/(Config!$B$14*$AT68+Config!$B$15*(1-$AT68)))^Config!$B$13)</f>
        <v>0.991250955980746</v>
      </c>
      <c r="AW68" s="10" t="n">
        <f aca="false">IF($AS68="","",IFERROR(IF(INDEX(Matches!$AV$5:$AV$23,MATCH($C68,Matches!$A$5:$A$23,0))="","",IF($AS68="A",INDEX(Matches!$AV$5:$AV$23,MATCH($C68,Matches!$A$5:$A$23,0)),1-INDEX(Matches!$AV$5:$AV$23,MATCH($C68,Matches!$A$5:$A$23,0)))),""))</f>
        <v>0.53079540467044</v>
      </c>
      <c r="AX68" s="13" t="n">
        <f aca="false">IF(OR($AW68="",$AT68=""),1,((Config!$B$14*$AW68+Config!$B$15*(1-$AW68))/(Config!$B$14*$AT68+Config!$B$15*(1-$AT68)))^Config!$B$13)</f>
        <v>0.987998070323781</v>
      </c>
      <c r="AY68" s="10" t="n">
        <f aca="false">IF($AS68="","",IFERROR(IF(INDEX(Matches!$BB$5:$BB$23,MATCH($C68,Matches!$A$5:$A$23,0))="","",IF($AS68="A",INDEX(Matches!$BB$5:$BB$23,MATCH($C68,Matches!$A$5:$A$23,0)),1-INDEX(Matches!$BB$5:$BB$23,MATCH($C68,Matches!$A$5:$A$23,0)))),""))</f>
        <v>0.517004513421917</v>
      </c>
      <c r="AZ68" s="13" t="n">
        <f aca="false">IF(OR($AY68="",$AT68=""),1,((Config!$B$14*$AY68+Config!$B$15*(1-$AY68))/(Config!$B$14*$AT68+Config!$B$15*(1-$AT68)))^Config!$B$13)</f>
        <v>0.976148301563583</v>
      </c>
      <c r="BA68" s="17" t="n">
        <f aca="false">IF(V68="","",V68*$AV68)</f>
        <v>14.3448161184967</v>
      </c>
      <c r="BB68" s="17" t="n">
        <f aca="false">IF(AC68="","",AC68*$AX68)</f>
        <v>13.8776868952483</v>
      </c>
      <c r="BC68" s="17" t="n">
        <f aca="false">IF(AJ68="","",AJ68*$AZ68)</f>
        <v>14.2925682018337</v>
      </c>
      <c r="BD68" s="17" t="n">
        <f aca="false">N(BA68)+N(BB68)</f>
        <v>28.2225030137451</v>
      </c>
      <c r="BE68" s="17" t="n">
        <f aca="false">BD68+N($M68)*N(BC68)</f>
        <v>34.4683553179464</v>
      </c>
      <c r="BF68" s="17" t="n">
        <f aca="false">IF(W68="","",W68*$AV68)</f>
        <v>4.9176637802592</v>
      </c>
      <c r="BG68" s="17" t="n">
        <f aca="false">IF(AD68="","",AD68*$AX68)</f>
        <v>4.71094094374852</v>
      </c>
      <c r="BH68" s="17" t="n">
        <f aca="false">IF(AK68="","",AK68*$AZ68)</f>
        <v>4.95594802398582</v>
      </c>
      <c r="BI68" s="17" t="n">
        <f aca="false">IF(BF68="","",N(BF68)+N(BG68))</f>
        <v>9.62860472400772</v>
      </c>
      <c r="BJ68" s="17" t="n">
        <f aca="false">IF(BI68="","",BI68+N($M68)*N(BH68))</f>
        <v>11.7943540104895</v>
      </c>
      <c r="BK68" s="13" t="n">
        <f aca="false">IFERROR(BD68/AL68,1)</f>
        <v>0.989648761087164</v>
      </c>
    </row>
    <row r="69" customFormat="false" ht="15" hidden="false" customHeight="false" outlineLevel="0" collapsed="false">
      <c r="A69" s="0" t="s">
        <v>1457</v>
      </c>
      <c r="B69" s="0" t="s">
        <v>1139</v>
      </c>
      <c r="C69" s="0" t="s">
        <v>1056</v>
      </c>
      <c r="D69" s="0" t="s">
        <v>1145</v>
      </c>
      <c r="E69" s="0" t="s">
        <v>1455</v>
      </c>
      <c r="F69" s="0" t="s">
        <v>1726</v>
      </c>
      <c r="G69" s="0" t="str">
        <f aca="false">IFERROR(IF(INDEX(Matches!$W$5:$W$23,MATCH($C69,Matches!$A$5:$A$23,0))="","",INDEX(Matches!$W$5:$W$23,MATCH($C69,Matches!$A$5:$A$23,0))),"")</f>
        <v>Ancient</v>
      </c>
      <c r="H69" s="0" t="str">
        <f aca="false">IFERROR(IF(INDEX(Matches!$X$5:$X$23,MATCH($C69,Matches!$A$5:$A$23,0))="","",INDEX(Matches!$X$5:$X$23,MATCH($C69,Matches!$A$5:$A$23,0))),"")</f>
        <v>Dust2</v>
      </c>
      <c r="I69" s="0" t="str">
        <f aca="false">IFERROR(IF(INDEX(Matches!$Y$5:$Y$23,MATCH($C69,Matches!$A$5:$A$23,0))="","",INDEX(Matches!$Y$5:$Y$23,MATCH($C69,Matches!$A$5:$A$23,0))),"")</f>
        <v>Mirage</v>
      </c>
      <c r="J69" s="11" t="n">
        <f aca="false">IFERROR(IF(INDEX(Matches!$Z$5:$Z$23,MATCH($C69,Matches!$A$5:$A$23,0))="","",INDEX(Matches!$Z$5:$Z$23,MATCH($C69,Matches!$A$5:$A$23,0))),"")</f>
        <v>21.31</v>
      </c>
      <c r="K69" s="11" t="n">
        <f aca="false">IFERROR(IF(INDEX(Matches!$AA$5:$AA$23,MATCH($C69,Matches!$A$5:$A$23,0))="","",INDEX(Matches!$AA$5:$AA$23,MATCH($C69,Matches!$A$5:$A$23,0))),"")</f>
        <v>21.11</v>
      </c>
      <c r="L69" s="11" t="n">
        <f aca="false">IFERROR(IF(INDEX(Matches!$AB$5:$AB$23,MATCH($C69,Matches!$A$5:$A$23,0))="","",INDEX(Matches!$AB$5:$AB$23,MATCH($C69,Matches!$A$5:$A$23,0))),"")</f>
        <v>21.22</v>
      </c>
      <c r="M69" s="10" t="n">
        <f aca="false">IFERROR(IF(INDEX(Matches!$AC$5:$AC$23,MATCH($C69,Matches!$A$5:$A$23,0))="","",INDEX(Matches!$AC$5:$AC$23,MATCH($C69,Matches!$A$5:$A$23,0))),"")</f>
        <v>0.437</v>
      </c>
      <c r="N69" s="9" t="n">
        <f aca="false">IFERROR(INDEX(Players!$F$2:$F$137,MATCH($F69,Players!$A$2:$A$137,0)),0)</f>
        <v>37</v>
      </c>
      <c r="O69" s="13" t="n">
        <f aca="false">IFERROR(1/(1/INDEX(Players!$H$2:$H$137,MATCH($F69,Players!$A$2:$A$137,0))),"")</f>
        <v>0.68</v>
      </c>
      <c r="P69" s="10" t="n">
        <f aca="false">IFERROR(1/(1/INDEX(Players!$I$2:$I$137,MATCH($F69,Players!$A$2:$A$137,0))),"")</f>
        <v>0.56</v>
      </c>
      <c r="Q69" s="9" t="n">
        <f aca="false">IF($G69="",0,SUMIFS(Map_Stats!$F$2:$F$850,Map_Stats!$A$2:$A$850,$F69&amp;"|"&amp;$G69))</f>
        <v>10</v>
      </c>
      <c r="R69" s="13" t="n">
        <f aca="false">IF($G69="","",IFERROR(1/(1/INDEX(Map_Stats!$K$2:$K$850,MATCH($F69&amp;"|"&amp;$G69,Map_Stats!$A$2:$A$850,0))),$O69))</f>
        <v>0.71</v>
      </c>
      <c r="S69" s="10" t="n">
        <f aca="false">IF(OR($G69="",$P69=""),"",IFERROR(1/(1/INDEX(Map_Stats!$I$2:$I$850,MATCH($F69&amp;"|"&amp;$G69,Map_Stats!$A$2:$A$850,0))),$P69))</f>
        <v>0.546</v>
      </c>
      <c r="T69" s="13" t="n">
        <f aca="false">IF(OR($G69="",R69=""),"",IF($O69="",R69,(Q69*R69+Config!$B$4*$O69)/(Q69+Config!$B$4)))</f>
        <v>0.7</v>
      </c>
      <c r="U69" s="10" t="n">
        <f aca="false">IF(S69="","",(Q69*S69+Config!$B$4*$P69)/(Q69+Config!$B$4))</f>
        <v>0.550666666666667</v>
      </c>
      <c r="V69" s="17" t="n">
        <f aca="false">IF(OR(T69="",$J69=""),"",T69*$J69*($J69/Config!$B$10)^Config!$B$9)</f>
        <v>14.917</v>
      </c>
      <c r="W69" s="17" t="n">
        <f aca="false">IF(OR(V69="",U69=""),"",V69*U69)</f>
        <v>8.21429466666667</v>
      </c>
      <c r="X69" s="9" t="n">
        <f aca="false">IF($H69="",0,SUMIFS(Map_Stats!$F$2:$F$850,Map_Stats!$A$2:$A$850,$F69&amp;"|"&amp;$H69))</f>
        <v>9</v>
      </c>
      <c r="Y69" s="13" t="n">
        <f aca="false">IF($H69="","",IFERROR(1/(1/INDEX(Map_Stats!$K$2:$K$850,MATCH($F69&amp;"|"&amp;$H69,Map_Stats!$A$2:$A$850,0))),$O69))</f>
        <v>0.63</v>
      </c>
      <c r="Z69" s="10" t="n">
        <f aca="false">IF(OR($H69="",$P69=""),"",IFERROR(1/(1/INDEX(Map_Stats!$I$2:$I$850,MATCH($F69&amp;"|"&amp;$H69,Map_Stats!$A$2:$A$850,0))),$P69))</f>
        <v>0.578</v>
      </c>
      <c r="AA69" s="13" t="n">
        <f aca="false">IF(OR($H69="",Y69=""),"",IF($O69="",Y69,(X69*Y69+Config!$B$4*$O69)/(X69+Config!$B$4)))</f>
        <v>0.647857142857143</v>
      </c>
      <c r="AB69" s="10" t="n">
        <f aca="false">IF(Z69="","",(X69*Z69+Config!$B$4*$P69)/(X69+Config!$B$4))</f>
        <v>0.571571428571429</v>
      </c>
      <c r="AC69" s="17" t="n">
        <f aca="false">IF(OR(AA69="",$K69=""),"",AA69*$K69*($K69/Config!$B$10)^Config!$B$9)</f>
        <v>13.6762642857143</v>
      </c>
      <c r="AD69" s="17" t="n">
        <f aca="false">IF(OR(AC69="",AB69=""),"",AC69*AB69)</f>
        <v>7.81696191530612</v>
      </c>
      <c r="AE69" s="9" t="n">
        <f aca="false">IF($I69="",0,SUMIFS(Map_Stats!$F$2:$F$850,Map_Stats!$A$2:$A$850,$F69&amp;"|"&amp;$I69))</f>
        <v>6</v>
      </c>
      <c r="AF69" s="13" t="n">
        <f aca="false">IF($I69="","",IFERROR(1/(1/INDEX(Map_Stats!$K$2:$K$850,MATCH($F69&amp;"|"&amp;$I69,Map_Stats!$A$2:$A$850,0))),$O69))</f>
        <v>0.65</v>
      </c>
      <c r="AG69" s="10" t="n">
        <f aca="false">IF(OR($I69="",$P69=""),"",IFERROR(1/(1/INDEX(Map_Stats!$I$2:$I$850,MATCH($F69&amp;"|"&amp;$I69,Map_Stats!$A$2:$A$850,0))),$P69))</f>
        <v>0.586</v>
      </c>
      <c r="AH69" s="13" t="n">
        <f aca="false">IF(OR($I69="",AF69=""),"",IF($O69="",AF69,(AE69*AF69+Config!$B$4*$O69)/(AE69+Config!$B$4)))</f>
        <v>0.663636363636364</v>
      </c>
      <c r="AI69" s="10" t="n">
        <f aca="false">IF(AG69="","",(AE69*AG69+Config!$B$4*$P69)/(AE69+Config!$B$4))</f>
        <v>0.574181818181818</v>
      </c>
      <c r="AJ69" s="17" t="n">
        <f aca="false">IF(OR(AH69="",$L69=""),"",AH69*$L69*($L69/Config!$B$10)^Config!$B$9)</f>
        <v>14.0823636363636</v>
      </c>
      <c r="AK69" s="17" t="n">
        <f aca="false">IF(OR(AJ69="",AI69=""),"",AJ69*AI69)</f>
        <v>8.0858371570248</v>
      </c>
      <c r="AL69" s="17" t="n">
        <f aca="false">N(V69)+N(AC69)</f>
        <v>28.5932642857143</v>
      </c>
      <c r="AM69" s="17" t="n">
        <f aca="false">AL69+N($M69)*N(AJ69)</f>
        <v>34.7472571948052</v>
      </c>
      <c r="AN69" s="17" t="n">
        <f aca="false">IF(W69="","",N(W69)+N(AD69))</f>
        <v>16.0312565819728</v>
      </c>
      <c r="AO69" s="17" t="n">
        <f aca="false">IF(AN69="","",AN69+N($M69)*N(AK69))</f>
        <v>19.5647674195926</v>
      </c>
      <c r="AP69" s="10" t="n">
        <f aca="false">IFERROR(AN69/AL69,"")</f>
        <v>0.560665491766965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9" t="n">
        <f aca="false">IF($C69=Board!$B$2,COUNTIFS($C$2:$C$137,Board!$B$2,$AL$2:$AL$137,"&gt;"&amp;$AL69)+COUNTIFS($C$1:$C68,Board!$B$2,$AL$1:$AL68,$AL69)+1,"")</f>
        <v>8</v>
      </c>
      <c r="AS69" s="0" t="str">
        <f aca="false">IFERROR(IF($D69=INDEX(Matches!$AD$5:$AD$23,MATCH($C69,Matches!$A$5:$A$23,0)),"A",IF($D69=INDEX(Matches!$AE$5:$AE$23,MATCH($C69,Matches!$A$5:$A$23,0)),"B","")),"")</f>
        <v>A</v>
      </c>
      <c r="AT69" s="10" t="n">
        <f aca="false">IF($AS69="","",IFERROR(IF($AS69="A",INDEX(Matches!$AI$5:$AI$23,MATCH($C69,Matches!$A$5:$A$23,0)),INDEX(Matches!$AJ$5:$AJ$23,MATCH($C69,Matches!$A$5:$A$23,0))),""))</f>
        <v>0.544763382467029</v>
      </c>
      <c r="AU69" s="10" t="n">
        <f aca="false">IF($AS69="","",IFERROR(IF(INDEX(Matches!$AP$5:$AP$23,MATCH($C69,Matches!$A$5:$A$23,0))="","",IF($AS69="A",INDEX(Matches!$AP$5:$AP$23,MATCH($C69,Matches!$A$5:$A$23,0)),1-INDEX(Matches!$AP$5:$AP$23,MATCH($C69,Matches!$A$5:$A$23,0)))),""))</f>
        <v>0.534581148784685</v>
      </c>
      <c r="AV69" s="13" t="n">
        <f aca="false">IF(OR($AU69="",$AT69=""),1,((Config!$B$14*$AU69+Config!$B$15*(1-$AU69))/(Config!$B$14*$AT69+Config!$B$15*(1-$AT69)))^Config!$B$13)</f>
        <v>0.991250955980746</v>
      </c>
      <c r="AW69" s="10" t="n">
        <f aca="false">IF($AS69="","",IFERROR(IF(INDEX(Matches!$AV$5:$AV$23,MATCH($C69,Matches!$A$5:$A$23,0))="","",IF($AS69="A",INDEX(Matches!$AV$5:$AV$23,MATCH($C69,Matches!$A$5:$A$23,0)),1-INDEX(Matches!$AV$5:$AV$23,MATCH($C69,Matches!$A$5:$A$23,0)))),""))</f>
        <v>0.53079540467044</v>
      </c>
      <c r="AX69" s="13" t="n">
        <f aca="false">IF(OR($AW69="",$AT69=""),1,((Config!$B$14*$AW69+Config!$B$15*(1-$AW69))/(Config!$B$14*$AT69+Config!$B$15*(1-$AT69)))^Config!$B$13)</f>
        <v>0.987998070323781</v>
      </c>
      <c r="AY69" s="10" t="n">
        <f aca="false">IF($AS69="","",IFERROR(IF(INDEX(Matches!$BB$5:$BB$23,MATCH($C69,Matches!$A$5:$A$23,0))="","",IF($AS69="A",INDEX(Matches!$BB$5:$BB$23,MATCH($C69,Matches!$A$5:$A$23,0)),1-INDEX(Matches!$BB$5:$BB$23,MATCH($C69,Matches!$A$5:$A$23,0)))),""))</f>
        <v>0.517004513421917</v>
      </c>
      <c r="AZ69" s="13" t="n">
        <f aca="false">IF(OR($AY69="",$AT69=""),1,((Config!$B$14*$AY69+Config!$B$15*(1-$AY69))/(Config!$B$14*$AT69+Config!$B$15*(1-$AT69)))^Config!$B$13)</f>
        <v>0.976148301563583</v>
      </c>
      <c r="BA69" s="17" t="n">
        <f aca="false">IF(V69="","",V69*$AV69)</f>
        <v>14.7864905103648</v>
      </c>
      <c r="BB69" s="17" t="n">
        <f aca="false">IF(AC69="","",AC69*$AX69)</f>
        <v>13.5121227235238</v>
      </c>
      <c r="BC69" s="17" t="n">
        <f aca="false">IF(AJ69="","",AJ69*$AZ69)</f>
        <v>13.7464753456371</v>
      </c>
      <c r="BD69" s="17" t="n">
        <f aca="false">N(BA69)+N(BB69)</f>
        <v>28.2986132338885</v>
      </c>
      <c r="BE69" s="17" t="n">
        <f aca="false">BD69+N($M69)*N(BC69)</f>
        <v>34.305822959932</v>
      </c>
      <c r="BF69" s="17" t="n">
        <f aca="false">IF(W69="","",W69*$AV69)</f>
        <v>8.14242744104088</v>
      </c>
      <c r="BG69" s="17" t="n">
        <f aca="false">IF(AD69="","",AD69*$AX69)</f>
        <v>7.72314328811694</v>
      </c>
      <c r="BH69" s="17" t="n">
        <f aca="false">IF(AK69="","",AK69*$AZ69)</f>
        <v>7.89297620754946</v>
      </c>
      <c r="BI69" s="17" t="n">
        <f aca="false">IF(BF69="","",N(BF69)+N(BG69))</f>
        <v>15.8655707291578</v>
      </c>
      <c r="BJ69" s="17" t="n">
        <f aca="false">IF(BI69="","",BI69+N($M69)*N(BH69))</f>
        <v>19.3148013318569</v>
      </c>
      <c r="BK69" s="13" t="n">
        <f aca="false">IFERROR(BD69/AL69,1)</f>
        <v>0.989695088714549</v>
      </c>
    </row>
    <row r="70" customFormat="false" ht="15" hidden="false" customHeight="false" outlineLevel="0" collapsed="false">
      <c r="A70" s="0" t="s">
        <v>1459</v>
      </c>
      <c r="B70" s="0" t="s">
        <v>1139</v>
      </c>
      <c r="C70" s="0" t="s">
        <v>1056</v>
      </c>
      <c r="D70" s="0" t="s">
        <v>1146</v>
      </c>
      <c r="E70" s="0" t="s">
        <v>1458</v>
      </c>
      <c r="F70" s="0" t="s">
        <v>1727</v>
      </c>
      <c r="G70" s="0" t="str">
        <f aca="false">IFERROR(IF(INDEX(Matches!$W$5:$W$23,MATCH($C70,Matches!$A$5:$A$23,0))="","",INDEX(Matches!$W$5:$W$23,MATCH($C70,Matches!$A$5:$A$23,0))),"")</f>
        <v>Ancient</v>
      </c>
      <c r="H70" s="0" t="str">
        <f aca="false">IFERROR(IF(INDEX(Matches!$X$5:$X$23,MATCH($C70,Matches!$A$5:$A$23,0))="","",INDEX(Matches!$X$5:$X$23,MATCH($C70,Matches!$A$5:$A$23,0))),"")</f>
        <v>Dust2</v>
      </c>
      <c r="I70" s="0" t="str">
        <f aca="false">IFERROR(IF(INDEX(Matches!$Y$5:$Y$23,MATCH($C70,Matches!$A$5:$A$23,0))="","",INDEX(Matches!$Y$5:$Y$23,MATCH($C70,Matches!$A$5:$A$23,0))),"")</f>
        <v>Mirage</v>
      </c>
      <c r="J70" s="11" t="n">
        <f aca="false">IFERROR(IF(INDEX(Matches!$Z$5:$Z$23,MATCH($C70,Matches!$A$5:$A$23,0))="","",INDEX(Matches!$Z$5:$Z$23,MATCH($C70,Matches!$A$5:$A$23,0))),"")</f>
        <v>21.31</v>
      </c>
      <c r="K70" s="11" t="n">
        <f aca="false">IFERROR(IF(INDEX(Matches!$AA$5:$AA$23,MATCH($C70,Matches!$A$5:$A$23,0))="","",INDEX(Matches!$AA$5:$AA$23,MATCH($C70,Matches!$A$5:$A$23,0))),"")</f>
        <v>21.11</v>
      </c>
      <c r="L70" s="11" t="n">
        <f aca="false">IFERROR(IF(INDEX(Matches!$AB$5:$AB$23,MATCH($C70,Matches!$A$5:$A$23,0))="","",INDEX(Matches!$AB$5:$AB$23,MATCH($C70,Matches!$A$5:$A$23,0))),"")</f>
        <v>21.22</v>
      </c>
      <c r="M70" s="10" t="n">
        <f aca="false">IFERROR(IF(INDEX(Matches!$AC$5:$AC$23,MATCH($C70,Matches!$A$5:$A$23,0))="","",INDEX(Matches!$AC$5:$AC$23,MATCH($C70,Matches!$A$5:$A$23,0))),"")</f>
        <v>0.437</v>
      </c>
      <c r="N70" s="9" t="n">
        <f aca="false">IFERROR(INDEX(Players!$F$2:$F$137,MATCH($F70,Players!$A$2:$A$137,0)),0)</f>
        <v>35</v>
      </c>
      <c r="O70" s="13" t="n">
        <f aca="false">IFERROR(1/(1/INDEX(Players!$H$2:$H$137,MATCH($F70,Players!$A$2:$A$137,0))),"")</f>
        <v>0.72</v>
      </c>
      <c r="P70" s="10" t="n">
        <f aca="false">IFERROR(1/(1/INDEX(Players!$I$2:$I$137,MATCH($F70,Players!$A$2:$A$137,0))),"")</f>
        <v>0.613</v>
      </c>
      <c r="Q70" s="9" t="n">
        <f aca="false">IF($G70="",0,SUMIFS(Map_Stats!$F$2:$F$850,Map_Stats!$A$2:$A$850,$F70&amp;"|"&amp;$G70))</f>
        <v>6</v>
      </c>
      <c r="R70" s="13" t="n">
        <f aca="false">IF($G70="","",IFERROR(1/(1/INDEX(Map_Stats!$K$2:$K$850,MATCH($F70&amp;"|"&amp;$G70,Map_Stats!$A$2:$A$850,0))),$O70))</f>
        <v>0.68</v>
      </c>
      <c r="S70" s="10" t="n">
        <f aca="false">IF(OR($G70="",$P70=""),"",IFERROR(1/(1/INDEX(Map_Stats!$I$2:$I$850,MATCH($F70&amp;"|"&amp;$G70,Map_Stats!$A$2:$A$850,0))),$P70))</f>
        <v>0.551</v>
      </c>
      <c r="T70" s="13" t="n">
        <f aca="false">IF(OR($G70="",R70=""),"",IF($O70="",R70,(Q70*R70+Config!$B$4*$O70)/(Q70+Config!$B$4)))</f>
        <v>0.698181818181818</v>
      </c>
      <c r="U70" s="10" t="n">
        <f aca="false">IF(S70="","",(Q70*S70+Config!$B$4*$P70)/(Q70+Config!$B$4))</f>
        <v>0.579181818181818</v>
      </c>
      <c r="V70" s="17" t="n">
        <f aca="false">IF(OR(T70="",$J70=""),"",T70*$J70*($J70/Config!$B$10)^Config!$B$9)</f>
        <v>14.8782545454545</v>
      </c>
      <c r="W70" s="17" t="n">
        <f aca="false">IF(OR(V70="",U70=""),"",V70*U70)</f>
        <v>8.61721451900827</v>
      </c>
      <c r="X70" s="9" t="n">
        <f aca="false">IF($H70="",0,SUMIFS(Map_Stats!$F$2:$F$850,Map_Stats!$A$2:$A$850,$F70&amp;"|"&amp;$H70))</f>
        <v>7</v>
      </c>
      <c r="Y70" s="13" t="n">
        <f aca="false">IF($H70="","",IFERROR(1/(1/INDEX(Map_Stats!$K$2:$K$850,MATCH($F70&amp;"|"&amp;$H70,Map_Stats!$A$2:$A$850,0))),$O70))</f>
        <v>0.78</v>
      </c>
      <c r="Z70" s="10" t="n">
        <f aca="false">IF(OR($H70="",$P70=""),"",IFERROR(1/(1/INDEX(Map_Stats!$I$2:$I$850,MATCH($F70&amp;"|"&amp;$H70,Map_Stats!$A$2:$A$850,0))),$P70))</f>
        <v>0.633</v>
      </c>
      <c r="AA70" s="13" t="n">
        <f aca="false">IF(OR($H70="",Y70=""),"",IF($O70="",Y70,(X70*Y70+Config!$B$4*$O70)/(X70+Config!$B$4)))</f>
        <v>0.755</v>
      </c>
      <c r="AB70" s="10" t="n">
        <f aca="false">IF(Z70="","",(X70*Z70+Config!$B$4*$P70)/(X70+Config!$B$4))</f>
        <v>0.624666666666667</v>
      </c>
      <c r="AC70" s="17" t="n">
        <f aca="false">IF(OR(AA70="",$K70=""),"",AA70*$K70*($K70/Config!$B$10)^Config!$B$9)</f>
        <v>15.93805</v>
      </c>
      <c r="AD70" s="17" t="n">
        <f aca="false">IF(OR(AC70="",AB70=""),"",AC70*AB70)</f>
        <v>9.95596856666667</v>
      </c>
      <c r="AE70" s="9" t="n">
        <f aca="false">IF($I70="",0,SUMIFS(Map_Stats!$F$2:$F$850,Map_Stats!$A$2:$A$850,$F70&amp;"|"&amp;$I70))</f>
        <v>7</v>
      </c>
      <c r="AF70" s="13" t="n">
        <f aca="false">IF($I70="","",IFERROR(1/(1/INDEX(Map_Stats!$K$2:$K$850,MATCH($F70&amp;"|"&amp;$I70,Map_Stats!$A$2:$A$850,0))),$O70))</f>
        <v>0.73</v>
      </c>
      <c r="AG70" s="10" t="n">
        <f aca="false">IF(OR($I70="",$P70=""),"",IFERROR(1/(1/INDEX(Map_Stats!$I$2:$I$850,MATCH($F70&amp;"|"&amp;$I70,Map_Stats!$A$2:$A$850,0))),$P70))</f>
        <v>0.587</v>
      </c>
      <c r="AH70" s="13" t="n">
        <f aca="false">IF(OR($I70="",AF70=""),"",IF($O70="",AF70,(AE70*AF70+Config!$B$4*$O70)/(AE70+Config!$B$4)))</f>
        <v>0.725833333333333</v>
      </c>
      <c r="AI70" s="10" t="n">
        <f aca="false">IF(AG70="","",(AE70*AG70+Config!$B$4*$P70)/(AE70+Config!$B$4))</f>
        <v>0.597833333333333</v>
      </c>
      <c r="AJ70" s="17" t="n">
        <f aca="false">IF(OR(AH70="",$L70=""),"",AH70*$L70*($L70/Config!$B$10)^Config!$B$9)</f>
        <v>15.4021833333333</v>
      </c>
      <c r="AK70" s="17" t="n">
        <f aca="false">IF(OR(AJ70="",AI70=""),"",AJ70*AI70)</f>
        <v>9.20793860277778</v>
      </c>
      <c r="AL70" s="17" t="n">
        <f aca="false">N(V70)+N(AC70)</f>
        <v>30.8163045454545</v>
      </c>
      <c r="AM70" s="17" t="n">
        <f aca="false">AL70+N($M70)*N(AJ70)</f>
        <v>37.5470586621212</v>
      </c>
      <c r="AN70" s="17" t="n">
        <f aca="false">IF(W70="","",N(W70)+N(AD70))</f>
        <v>18.5731830856749</v>
      </c>
      <c r="AO70" s="17" t="n">
        <f aca="false">IF(AN70="","",AN70+N($M70)*N(AK70))</f>
        <v>22.5970522550888</v>
      </c>
      <c r="AP70" s="10" t="n">
        <f aca="false">IFERROR(AN70/AL70,"")</f>
        <v>0.602706371176959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9" t="n">
        <f aca="false">IF($C70=Board!$B$2,COUNTIFS($C$2:$C$137,Board!$B$2,$AL$2:$AL$137,"&gt;"&amp;$AL70)+COUNTIFS($C$1:$C69,Board!$B$2,$AL$1:$AL69,$AL70)+1,"")</f>
        <v>2</v>
      </c>
      <c r="AS70" s="0" t="str">
        <f aca="false">IFERROR(IF($D70=INDEX(Matches!$AD$5:$AD$23,MATCH($C70,Matches!$A$5:$A$23,0)),"A",IF($D70=INDEX(Matches!$AE$5:$AE$23,MATCH($C70,Matches!$A$5:$A$23,0)),"B","")),"")</f>
        <v>B</v>
      </c>
      <c r="AT70" s="10" t="n">
        <f aca="false">IF($AS70="","",IFERROR(IF($AS70="A",INDEX(Matches!$AI$5:$AI$23,MATCH($C70,Matches!$A$5:$A$23,0)),INDEX(Matches!$AJ$5:$AJ$23,MATCH($C70,Matches!$A$5:$A$23,0))),""))</f>
        <v>0.534688281487298</v>
      </c>
      <c r="AU70" s="10" t="n">
        <f aca="false">IF($AS70="","",IFERROR(IF(INDEX(Matches!$AP$5:$AP$23,MATCH($C70,Matches!$A$5:$A$23,0))="","",IF($AS70="A",INDEX(Matches!$AP$5:$AP$23,MATCH($C70,Matches!$A$5:$A$23,0)),1-INDEX(Matches!$AP$5:$AP$23,MATCH($C70,Matches!$A$5:$A$23,0)))),""))</f>
        <v>0.465418851215315</v>
      </c>
      <c r="AV70" s="13" t="n">
        <f aca="false">IF(OR($AU70="",$AT70=""),1,((Config!$B$14*$AU70+Config!$B$15*(1-$AU70))/(Config!$B$14*$AT70+Config!$B$15*(1-$AT70)))^Config!$B$13)</f>
        <v>0.939960756842301</v>
      </c>
      <c r="AW70" s="10" t="n">
        <f aca="false">IF($AS70="","",IFERROR(IF(INDEX(Matches!$AV$5:$AV$23,MATCH($C70,Matches!$A$5:$A$23,0))="","",IF($AS70="A",INDEX(Matches!$AV$5:$AV$23,MATCH($C70,Matches!$A$5:$A$23,0)),1-INDEX(Matches!$AV$5:$AV$23,MATCH($C70,Matches!$A$5:$A$23,0)))),""))</f>
        <v>0.46920459532956</v>
      </c>
      <c r="AX70" s="13" t="n">
        <f aca="false">IF(OR($AW70="",$AT70=""),1,((Config!$B$14*$AW70+Config!$B$15*(1-$AW70))/(Config!$B$14*$AT70+Config!$B$15*(1-$AT70)))^Config!$B$13)</f>
        <v>0.943242048611492</v>
      </c>
      <c r="AY70" s="10" t="n">
        <f aca="false">IF($AS70="","",IFERROR(IF(INDEX(Matches!$BB$5:$BB$23,MATCH($C70,Matches!$A$5:$A$23,0))="","",IF($AS70="A",INDEX(Matches!$BB$5:$BB$23,MATCH($C70,Matches!$A$5:$A$23,0)),1-INDEX(Matches!$BB$5:$BB$23,MATCH($C70,Matches!$A$5:$A$23,0)))),""))</f>
        <v>0.482995486578083</v>
      </c>
      <c r="AZ70" s="13" t="n">
        <f aca="false">IF(OR($AY70="",$AT70=""),1,((Config!$B$14*$AY70+Config!$B$15*(1-$AY70))/(Config!$B$14*$AT70+Config!$B$15*(1-$AT70)))^Config!$B$13)</f>
        <v>0.955195296527353</v>
      </c>
      <c r="BA70" s="17" t="n">
        <f aca="false">IF(V70="","",V70*$AV70)</f>
        <v>13.9849754030379</v>
      </c>
      <c r="BB70" s="17" t="n">
        <f aca="false">IF(AC70="","",AC70*$AX70)</f>
        <v>15.0334389328724</v>
      </c>
      <c r="BC70" s="17" t="n">
        <f aca="false">IF(AJ70="","",AJ70*$AZ70)</f>
        <v>14.712093076252</v>
      </c>
      <c r="BD70" s="17" t="n">
        <f aca="false">N(BA70)+N(BB70)</f>
        <v>29.0184143359102</v>
      </c>
      <c r="BE70" s="17" t="n">
        <f aca="false">BD70+N($M70)*N(BC70)</f>
        <v>35.4475990102324</v>
      </c>
      <c r="BF70" s="17" t="n">
        <f aca="false">IF(W70="","",W70*$AV70)</f>
        <v>8.09984348115948</v>
      </c>
      <c r="BG70" s="17" t="n">
        <f aca="false">IF(AD70="","",AD70*$AX70)</f>
        <v>9.39088818673428</v>
      </c>
      <c r="BH70" s="17" t="n">
        <f aca="false">IF(AK70="","",AK70*$AZ70)</f>
        <v>8.79537964408598</v>
      </c>
      <c r="BI70" s="17" t="n">
        <f aca="false">IF(BF70="","",N(BF70)+N(BG70))</f>
        <v>17.4907316678938</v>
      </c>
      <c r="BJ70" s="17" t="n">
        <f aca="false">IF(BI70="","",BI70+N($M70)*N(BH70))</f>
        <v>21.3343125723593</v>
      </c>
      <c r="BK70" s="13" t="n">
        <f aca="false">IFERROR(BD70/AL70,1)</f>
        <v>0.9416578257496</v>
      </c>
    </row>
    <row r="71" customFormat="false" ht="15" hidden="false" customHeight="false" outlineLevel="0" collapsed="false">
      <c r="A71" s="0" t="s">
        <v>1461</v>
      </c>
      <c r="B71" s="0" t="s">
        <v>1139</v>
      </c>
      <c r="C71" s="0" t="s">
        <v>1056</v>
      </c>
      <c r="D71" s="0" t="s">
        <v>1146</v>
      </c>
      <c r="E71" s="0" t="s">
        <v>1460</v>
      </c>
      <c r="F71" s="0" t="s">
        <v>1728</v>
      </c>
      <c r="G71" s="0" t="str">
        <f aca="false">IFERROR(IF(INDEX(Matches!$W$5:$W$23,MATCH($C71,Matches!$A$5:$A$23,0))="","",INDEX(Matches!$W$5:$W$23,MATCH($C71,Matches!$A$5:$A$23,0))),"")</f>
        <v>Ancient</v>
      </c>
      <c r="H71" s="0" t="str">
        <f aca="false">IFERROR(IF(INDEX(Matches!$X$5:$X$23,MATCH($C71,Matches!$A$5:$A$23,0))="","",INDEX(Matches!$X$5:$X$23,MATCH($C71,Matches!$A$5:$A$23,0))),"")</f>
        <v>Dust2</v>
      </c>
      <c r="I71" s="0" t="str">
        <f aca="false">IFERROR(IF(INDEX(Matches!$Y$5:$Y$23,MATCH($C71,Matches!$A$5:$A$23,0))="","",INDEX(Matches!$Y$5:$Y$23,MATCH($C71,Matches!$A$5:$A$23,0))),"")</f>
        <v>Mirage</v>
      </c>
      <c r="J71" s="11" t="n">
        <f aca="false">IFERROR(IF(INDEX(Matches!$Z$5:$Z$23,MATCH($C71,Matches!$A$5:$A$23,0))="","",INDEX(Matches!$Z$5:$Z$23,MATCH($C71,Matches!$A$5:$A$23,0))),"")</f>
        <v>21.31</v>
      </c>
      <c r="K71" s="11" t="n">
        <f aca="false">IFERROR(IF(INDEX(Matches!$AA$5:$AA$23,MATCH($C71,Matches!$A$5:$A$23,0))="","",INDEX(Matches!$AA$5:$AA$23,MATCH($C71,Matches!$A$5:$A$23,0))),"")</f>
        <v>21.11</v>
      </c>
      <c r="L71" s="11" t="n">
        <f aca="false">IFERROR(IF(INDEX(Matches!$AB$5:$AB$23,MATCH($C71,Matches!$A$5:$A$23,0))="","",INDEX(Matches!$AB$5:$AB$23,MATCH($C71,Matches!$A$5:$A$23,0))),"")</f>
        <v>21.22</v>
      </c>
      <c r="M71" s="10" t="n">
        <f aca="false">IFERROR(IF(INDEX(Matches!$AC$5:$AC$23,MATCH($C71,Matches!$A$5:$A$23,0))="","",INDEX(Matches!$AC$5:$AC$23,MATCH($C71,Matches!$A$5:$A$23,0))),"")</f>
        <v>0.437</v>
      </c>
      <c r="N71" s="9" t="n">
        <f aca="false">IFERROR(INDEX(Players!$F$2:$F$137,MATCH($F71,Players!$A$2:$A$137,0)),0)</f>
        <v>35</v>
      </c>
      <c r="O71" s="13" t="n">
        <f aca="false">IFERROR(1/(1/INDEX(Players!$H$2:$H$137,MATCH($F71,Players!$A$2:$A$137,0))),"")</f>
        <v>0.68</v>
      </c>
      <c r="P71" s="10" t="n">
        <f aca="false">IFERROR(1/(1/INDEX(Players!$I$2:$I$137,MATCH($F71,Players!$A$2:$A$137,0))),"")</f>
        <v>0.325</v>
      </c>
      <c r="Q71" s="9" t="n">
        <f aca="false">IF($G71="",0,SUMIFS(Map_Stats!$F$2:$F$850,Map_Stats!$A$2:$A$850,$F71&amp;"|"&amp;$G71))</f>
        <v>6</v>
      </c>
      <c r="R71" s="13" t="n">
        <f aca="false">IF($G71="","",IFERROR(1/(1/INDEX(Map_Stats!$K$2:$K$850,MATCH($F71&amp;"|"&amp;$G71,Map_Stats!$A$2:$A$850,0))),$O71))</f>
        <v>0.61</v>
      </c>
      <c r="S71" s="10" t="n">
        <f aca="false">IF(OR($G71="",$P71=""),"",IFERROR(1/(1/INDEX(Map_Stats!$I$2:$I$850,MATCH($F71&amp;"|"&amp;$G71,Map_Stats!$A$2:$A$850,0))),$P71))</f>
        <v>0.381</v>
      </c>
      <c r="T71" s="13" t="n">
        <f aca="false">IF(OR($G71="",R71=""),"",IF($O71="",R71,(Q71*R71+Config!$B$4*$O71)/(Q71+Config!$B$4)))</f>
        <v>0.641818181818182</v>
      </c>
      <c r="U71" s="10" t="n">
        <f aca="false">IF(S71="","",(Q71*S71+Config!$B$4*$P71)/(Q71+Config!$B$4))</f>
        <v>0.355545454545455</v>
      </c>
      <c r="V71" s="17" t="n">
        <f aca="false">IF(OR(T71="",$J71=""),"",T71*$J71*($J71/Config!$B$10)^Config!$B$9)</f>
        <v>13.6771454545455</v>
      </c>
      <c r="W71" s="17" t="n">
        <f aca="false">IF(OR(V71="",U71=""),"",V71*U71)</f>
        <v>4.86284689752066</v>
      </c>
      <c r="X71" s="9" t="n">
        <f aca="false">IF($H71="",0,SUMIFS(Map_Stats!$F$2:$F$850,Map_Stats!$A$2:$A$850,$F71&amp;"|"&amp;$H71))</f>
        <v>7</v>
      </c>
      <c r="Y71" s="13" t="n">
        <f aca="false">IF($H71="","",IFERROR(1/(1/INDEX(Map_Stats!$K$2:$K$850,MATCH($F71&amp;"|"&amp;$H71,Map_Stats!$A$2:$A$850,0))),$O71))</f>
        <v>0.74</v>
      </c>
      <c r="Z71" s="10" t="n">
        <f aca="false">IF(OR($H71="",$P71=""),"",IFERROR(1/(1/INDEX(Map_Stats!$I$2:$I$850,MATCH($F71&amp;"|"&amp;$H71,Map_Stats!$A$2:$A$850,0))),$P71))</f>
        <v>0.352</v>
      </c>
      <c r="AA71" s="13" t="n">
        <f aca="false">IF(OR($H71="",Y71=""),"",IF($O71="",Y71,(X71*Y71+Config!$B$4*$O71)/(X71+Config!$B$4)))</f>
        <v>0.715</v>
      </c>
      <c r="AB71" s="10" t="n">
        <f aca="false">IF(Z71="","",(X71*Z71+Config!$B$4*$P71)/(X71+Config!$B$4))</f>
        <v>0.34075</v>
      </c>
      <c r="AC71" s="17" t="n">
        <f aca="false">IF(OR(AA71="",$K71=""),"",AA71*$K71*($K71/Config!$B$10)^Config!$B$9)</f>
        <v>15.09365</v>
      </c>
      <c r="AD71" s="17" t="n">
        <f aca="false">IF(OR(AC71="",AB71=""),"",AC71*AB71)</f>
        <v>5.1431612375</v>
      </c>
      <c r="AE71" s="9" t="n">
        <f aca="false">IF($I71="",0,SUMIFS(Map_Stats!$F$2:$F$850,Map_Stats!$A$2:$A$850,$F71&amp;"|"&amp;$I71))</f>
        <v>7</v>
      </c>
      <c r="AF71" s="13" t="n">
        <f aca="false">IF($I71="","",IFERROR(1/(1/INDEX(Map_Stats!$K$2:$K$850,MATCH($F71&amp;"|"&amp;$I71,Map_Stats!$A$2:$A$850,0))),$O71))</f>
        <v>0.64</v>
      </c>
      <c r="AG71" s="10" t="n">
        <f aca="false">IF(OR($I71="",$P71=""),"",IFERROR(1/(1/INDEX(Map_Stats!$I$2:$I$850,MATCH($F71&amp;"|"&amp;$I71,Map_Stats!$A$2:$A$850,0))),$P71))</f>
        <v>0.215</v>
      </c>
      <c r="AH71" s="13" t="n">
        <f aca="false">IF(OR($I71="",AF71=""),"",IF($O71="",AF71,(AE71*AF71+Config!$B$4*$O71)/(AE71+Config!$B$4)))</f>
        <v>0.656666666666667</v>
      </c>
      <c r="AI71" s="10" t="n">
        <f aca="false">IF(AG71="","",(AE71*AG71+Config!$B$4*$P71)/(AE71+Config!$B$4))</f>
        <v>0.260833333333333</v>
      </c>
      <c r="AJ71" s="17" t="n">
        <f aca="false">IF(OR(AH71="",$L71=""),"",AH71*$L71*($L71/Config!$B$10)^Config!$B$9)</f>
        <v>13.9344666666667</v>
      </c>
      <c r="AK71" s="17" t="n">
        <f aca="false">IF(OR(AJ71="",AI71=""),"",AJ71*AI71)</f>
        <v>3.63457338888889</v>
      </c>
      <c r="AL71" s="17" t="n">
        <f aca="false">N(V71)+N(AC71)</f>
        <v>28.7707954545455</v>
      </c>
      <c r="AM71" s="17" t="n">
        <f aca="false">AL71+N($M71)*N(AJ71)</f>
        <v>34.8601573878788</v>
      </c>
      <c r="AN71" s="17" t="n">
        <f aca="false">IF(W71="","",N(W71)+N(AD71))</f>
        <v>10.0060081350207</v>
      </c>
      <c r="AO71" s="17" t="n">
        <f aca="false">IF(AN71="","",AN71+N($M71)*N(AK71))</f>
        <v>11.5943167059651</v>
      </c>
      <c r="AP71" s="10" t="n">
        <f aca="false">IFERROR(AN71/AL71,"")</f>
        <v>0.347783506744852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9" t="n">
        <f aca="false">IF($C71=Board!$B$2,COUNTIFS($C$2:$C$137,Board!$B$2,$AL$2:$AL$137,"&gt;"&amp;$AL71)+COUNTIFS($C$1:$C70,Board!$B$2,$AL$1:$AL70,$AL71)+1,"")</f>
        <v>7</v>
      </c>
      <c r="AS71" s="0" t="str">
        <f aca="false">IFERROR(IF($D71=INDEX(Matches!$AD$5:$AD$23,MATCH($C71,Matches!$A$5:$A$23,0)),"A",IF($D71=INDEX(Matches!$AE$5:$AE$23,MATCH($C71,Matches!$A$5:$A$23,0)),"B","")),"")</f>
        <v>B</v>
      </c>
      <c r="AT71" s="10" t="n">
        <f aca="false">IF($AS71="","",IFERROR(IF($AS71="A",INDEX(Matches!$AI$5:$AI$23,MATCH($C71,Matches!$A$5:$A$23,0)),INDEX(Matches!$AJ$5:$AJ$23,MATCH($C71,Matches!$A$5:$A$23,0))),""))</f>
        <v>0.534688281487298</v>
      </c>
      <c r="AU71" s="10" t="n">
        <f aca="false">IF($AS71="","",IFERROR(IF(INDEX(Matches!$AP$5:$AP$23,MATCH($C71,Matches!$A$5:$A$23,0))="","",IF($AS71="A",INDEX(Matches!$AP$5:$AP$23,MATCH($C71,Matches!$A$5:$A$23,0)),1-INDEX(Matches!$AP$5:$AP$23,MATCH($C71,Matches!$A$5:$A$23,0)))),""))</f>
        <v>0.465418851215315</v>
      </c>
      <c r="AV71" s="13" t="n">
        <f aca="false">IF(OR($AU71="",$AT71=""),1,((Config!$B$14*$AU71+Config!$B$15*(1-$AU71))/(Config!$B$14*$AT71+Config!$B$15*(1-$AT71)))^Config!$B$13)</f>
        <v>0.939960756842301</v>
      </c>
      <c r="AW71" s="10" t="n">
        <f aca="false">IF($AS71="","",IFERROR(IF(INDEX(Matches!$AV$5:$AV$23,MATCH($C71,Matches!$A$5:$A$23,0))="","",IF($AS71="A",INDEX(Matches!$AV$5:$AV$23,MATCH($C71,Matches!$A$5:$A$23,0)),1-INDEX(Matches!$AV$5:$AV$23,MATCH($C71,Matches!$A$5:$A$23,0)))),""))</f>
        <v>0.46920459532956</v>
      </c>
      <c r="AX71" s="13" t="n">
        <f aca="false">IF(OR($AW71="",$AT71=""),1,((Config!$B$14*$AW71+Config!$B$15*(1-$AW71))/(Config!$B$14*$AT71+Config!$B$15*(1-$AT71)))^Config!$B$13)</f>
        <v>0.943242048611492</v>
      </c>
      <c r="AY71" s="10" t="n">
        <f aca="false">IF($AS71="","",IFERROR(IF(INDEX(Matches!$BB$5:$BB$23,MATCH($C71,Matches!$A$5:$A$23,0))="","",IF($AS71="A",INDEX(Matches!$BB$5:$BB$23,MATCH($C71,Matches!$A$5:$A$23,0)),1-INDEX(Matches!$BB$5:$BB$23,MATCH($C71,Matches!$A$5:$A$23,0)))),""))</f>
        <v>0.482995486578083</v>
      </c>
      <c r="AZ71" s="13" t="n">
        <f aca="false">IF(OR($AY71="",$AT71=""),1,((Config!$B$14*$AY71+Config!$B$15*(1-$AY71))/(Config!$B$14*$AT71+Config!$B$15*(1-$AT71)))^Config!$B$13)</f>
        <v>0.955195296527353</v>
      </c>
      <c r="BA71" s="17" t="n">
        <f aca="false">IF(V71="","",V71*$AV71)</f>
        <v>12.8559799928968</v>
      </c>
      <c r="BB71" s="17" t="n">
        <f aca="false">IF(AC71="","",AC71*$AX71)</f>
        <v>14.2369653470248</v>
      </c>
      <c r="BC71" s="17" t="n">
        <f aca="false">IF(AJ71="","",AJ71*$AZ71)</f>
        <v>13.3101370196172</v>
      </c>
      <c r="BD71" s="17" t="n">
        <f aca="false">N(BA71)+N(BB71)</f>
        <v>27.0929453399216</v>
      </c>
      <c r="BE71" s="17" t="n">
        <f aca="false">BD71+N($M71)*N(BC71)</f>
        <v>32.9094752174943</v>
      </c>
      <c r="BF71" s="17" t="n">
        <f aca="false">IF(W71="","",W71*$AV71)</f>
        <v>4.57088525020176</v>
      </c>
      <c r="BG71" s="17" t="n">
        <f aca="false">IF(AD71="","",AD71*$AX71)</f>
        <v>4.85124594199872</v>
      </c>
      <c r="BH71" s="17" t="n">
        <f aca="false">IF(AK71="","",AK71*$AZ71)</f>
        <v>3.47172740595015</v>
      </c>
      <c r="BI71" s="17" t="n">
        <f aca="false">IF(BF71="","",N(BF71)+N(BG71))</f>
        <v>9.42213119220047</v>
      </c>
      <c r="BJ71" s="17" t="n">
        <f aca="false">IF(BI71="","",BI71+N($M71)*N(BH71))</f>
        <v>10.9392760686007</v>
      </c>
      <c r="BK71" s="13" t="n">
        <f aca="false">IFERROR(BD71/AL71,1)</f>
        <v>0.941682178468974</v>
      </c>
    </row>
    <row r="72" customFormat="false" ht="15" hidden="false" customHeight="false" outlineLevel="0" collapsed="false">
      <c r="A72" s="0" t="s">
        <v>1464</v>
      </c>
      <c r="B72" s="0" t="s">
        <v>1139</v>
      </c>
      <c r="C72" s="0" t="s">
        <v>1056</v>
      </c>
      <c r="D72" s="0" t="s">
        <v>1146</v>
      </c>
      <c r="E72" s="0" t="s">
        <v>1462</v>
      </c>
      <c r="F72" s="0" t="s">
        <v>1729</v>
      </c>
      <c r="G72" s="0" t="str">
        <f aca="false">IFERROR(IF(INDEX(Matches!$W$5:$W$23,MATCH($C72,Matches!$A$5:$A$23,0))="","",INDEX(Matches!$W$5:$W$23,MATCH($C72,Matches!$A$5:$A$23,0))),"")</f>
        <v>Ancient</v>
      </c>
      <c r="H72" s="0" t="str">
        <f aca="false">IFERROR(IF(INDEX(Matches!$X$5:$X$23,MATCH($C72,Matches!$A$5:$A$23,0))="","",INDEX(Matches!$X$5:$X$23,MATCH($C72,Matches!$A$5:$A$23,0))),"")</f>
        <v>Dust2</v>
      </c>
      <c r="I72" s="0" t="str">
        <f aca="false">IFERROR(IF(INDEX(Matches!$Y$5:$Y$23,MATCH($C72,Matches!$A$5:$A$23,0))="","",INDEX(Matches!$Y$5:$Y$23,MATCH($C72,Matches!$A$5:$A$23,0))),"")</f>
        <v>Mirage</v>
      </c>
      <c r="J72" s="11" t="n">
        <f aca="false">IFERROR(IF(INDEX(Matches!$Z$5:$Z$23,MATCH($C72,Matches!$A$5:$A$23,0))="","",INDEX(Matches!$Z$5:$Z$23,MATCH($C72,Matches!$A$5:$A$23,0))),"")</f>
        <v>21.31</v>
      </c>
      <c r="K72" s="11" t="n">
        <f aca="false">IFERROR(IF(INDEX(Matches!$AA$5:$AA$23,MATCH($C72,Matches!$A$5:$A$23,0))="","",INDEX(Matches!$AA$5:$AA$23,MATCH($C72,Matches!$A$5:$A$23,0))),"")</f>
        <v>21.11</v>
      </c>
      <c r="L72" s="11" t="n">
        <f aca="false">IFERROR(IF(INDEX(Matches!$AB$5:$AB$23,MATCH($C72,Matches!$A$5:$A$23,0))="","",INDEX(Matches!$AB$5:$AB$23,MATCH($C72,Matches!$A$5:$A$23,0))),"")</f>
        <v>21.22</v>
      </c>
      <c r="M72" s="10" t="n">
        <f aca="false">IFERROR(IF(INDEX(Matches!$AC$5:$AC$23,MATCH($C72,Matches!$A$5:$A$23,0))="","",INDEX(Matches!$AC$5:$AC$23,MATCH($C72,Matches!$A$5:$A$23,0))),"")</f>
        <v>0.437</v>
      </c>
      <c r="N72" s="9" t="n">
        <f aca="false">IFERROR(INDEX(Players!$F$2:$F$137,MATCH($F72,Players!$A$2:$A$137,0)),0)</f>
        <v>35</v>
      </c>
      <c r="O72" s="13" t="n">
        <f aca="false">IFERROR(1/(1/INDEX(Players!$H$2:$H$137,MATCH($F72,Players!$A$2:$A$137,0))),"")</f>
        <v>0.67</v>
      </c>
      <c r="P72" s="10" t="n">
        <f aca="false">IFERROR(1/(1/INDEX(Players!$I$2:$I$137,MATCH($F72,Players!$A$2:$A$137,0))),"")</f>
        <v>0.518</v>
      </c>
      <c r="Q72" s="9" t="n">
        <f aca="false">IF($G72="",0,SUMIFS(Map_Stats!$F$2:$F$850,Map_Stats!$A$2:$A$850,$F72&amp;"|"&amp;$G72))</f>
        <v>6</v>
      </c>
      <c r="R72" s="13" t="n">
        <f aca="false">IF($G72="","",IFERROR(1/(1/INDEX(Map_Stats!$K$2:$K$850,MATCH($F72&amp;"|"&amp;$G72,Map_Stats!$A$2:$A$850,0))),$O72))</f>
        <v>0.74</v>
      </c>
      <c r="S72" s="10" t="n">
        <f aca="false">IF(OR($G72="",$P72=""),"",IFERROR(1/(1/INDEX(Map_Stats!$I$2:$I$850,MATCH($F72&amp;"|"&amp;$G72,Map_Stats!$A$2:$A$850,0))),$P72))</f>
        <v>0.564</v>
      </c>
      <c r="T72" s="13" t="n">
        <f aca="false">IF(OR($G72="",R72=""),"",IF($O72="",R72,(Q72*R72+Config!$B$4*$O72)/(Q72+Config!$B$4)))</f>
        <v>0.708181818181818</v>
      </c>
      <c r="U72" s="10" t="n">
        <f aca="false">IF(S72="","",(Q72*S72+Config!$B$4*$P72)/(Q72+Config!$B$4))</f>
        <v>0.543090909090909</v>
      </c>
      <c r="V72" s="17" t="n">
        <f aca="false">IF(OR(T72="",$J72=""),"",T72*$J72*($J72/Config!$B$10)^Config!$B$9)</f>
        <v>15.0913545454545</v>
      </c>
      <c r="W72" s="17" t="n">
        <f aca="false">IF(OR(V72="",U72=""),"",V72*U72)</f>
        <v>8.19597745950413</v>
      </c>
      <c r="X72" s="9" t="n">
        <f aca="false">IF($H72="",0,SUMIFS(Map_Stats!$F$2:$F$850,Map_Stats!$A$2:$A$850,$F72&amp;"|"&amp;$H72))</f>
        <v>7</v>
      </c>
      <c r="Y72" s="13" t="n">
        <f aca="false">IF($H72="","",IFERROR(1/(1/INDEX(Map_Stats!$K$2:$K$850,MATCH($F72&amp;"|"&amp;$H72,Map_Stats!$A$2:$A$850,0))),$O72))</f>
        <v>0.7</v>
      </c>
      <c r="Z72" s="10" t="n">
        <f aca="false">IF(OR($H72="",$P72=""),"",IFERROR(1/(1/INDEX(Map_Stats!$I$2:$I$850,MATCH($F72&amp;"|"&amp;$H72,Map_Stats!$A$2:$A$850,0))),$P72))</f>
        <v>0.491</v>
      </c>
      <c r="AA72" s="13" t="n">
        <f aca="false">IF(OR($H72="",Y72=""),"",IF($O72="",Y72,(X72*Y72+Config!$B$4*$O72)/(X72+Config!$B$4)))</f>
        <v>0.6875</v>
      </c>
      <c r="AB72" s="10" t="n">
        <f aca="false">IF(Z72="","",(X72*Z72+Config!$B$4*$P72)/(X72+Config!$B$4))</f>
        <v>0.50225</v>
      </c>
      <c r="AC72" s="17" t="n">
        <f aca="false">IF(OR(AA72="",$K72=""),"",AA72*$K72*($K72/Config!$B$10)^Config!$B$9)</f>
        <v>14.513125</v>
      </c>
      <c r="AD72" s="17" t="n">
        <f aca="false">IF(OR(AC72="",AB72=""),"",AC72*AB72)</f>
        <v>7.28921703125</v>
      </c>
      <c r="AE72" s="9" t="n">
        <f aca="false">IF($I72="",0,SUMIFS(Map_Stats!$F$2:$F$850,Map_Stats!$A$2:$A$850,$F72&amp;"|"&amp;$I72))</f>
        <v>7</v>
      </c>
      <c r="AF72" s="13" t="n">
        <f aca="false">IF($I72="","",IFERROR(1/(1/INDEX(Map_Stats!$K$2:$K$850,MATCH($F72&amp;"|"&amp;$I72,Map_Stats!$A$2:$A$850,0))),$O72))</f>
        <v>0.63</v>
      </c>
      <c r="AG72" s="10" t="n">
        <f aca="false">IF(OR($I72="",$P72=""),"",IFERROR(1/(1/INDEX(Map_Stats!$I$2:$I$850,MATCH($F72&amp;"|"&amp;$I72,Map_Stats!$A$2:$A$850,0))),$P72))</f>
        <v>0.568</v>
      </c>
      <c r="AH72" s="13" t="n">
        <f aca="false">IF(OR($I72="",AF72=""),"",IF($O72="",AF72,(AE72*AF72+Config!$B$4*$O72)/(AE72+Config!$B$4)))</f>
        <v>0.646666666666667</v>
      </c>
      <c r="AI72" s="10" t="n">
        <f aca="false">IF(AG72="","",(AE72*AG72+Config!$B$4*$P72)/(AE72+Config!$B$4))</f>
        <v>0.547166666666667</v>
      </c>
      <c r="AJ72" s="17" t="n">
        <f aca="false">IF(OR(AH72="",$L72=""),"",AH72*$L72*($L72/Config!$B$10)^Config!$B$9)</f>
        <v>13.7222666666667</v>
      </c>
      <c r="AK72" s="17" t="n">
        <f aca="false">IF(OR(AJ72="",AI72=""),"",AJ72*AI72)</f>
        <v>7.50836691111111</v>
      </c>
      <c r="AL72" s="17" t="n">
        <f aca="false">N(V72)+N(AC72)</f>
        <v>29.6044795454545</v>
      </c>
      <c r="AM72" s="17" t="n">
        <f aca="false">AL72+N($M72)*N(AJ72)</f>
        <v>35.6011100787879</v>
      </c>
      <c r="AN72" s="17" t="n">
        <f aca="false">IF(W72="","",N(W72)+N(AD72))</f>
        <v>15.4851944907541</v>
      </c>
      <c r="AO72" s="17" t="n">
        <f aca="false">IF(AN72="","",AN72+N($M72)*N(AK72))</f>
        <v>18.7663508309097</v>
      </c>
      <c r="AP72" s="10" t="n">
        <f aca="false">IFERROR(AN72/AL72,"")</f>
        <v>0.523069303311962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9" t="n">
        <f aca="false">IF($C72=Board!$B$2,COUNTIFS($C$2:$C$137,Board!$B$2,$AL$2:$AL$137,"&gt;"&amp;$AL72)+COUNTIFS($C$1:$C71,Board!$B$2,$AL$1:$AL71,$AL72)+1,"")</f>
        <v>6</v>
      </c>
      <c r="AS72" s="0" t="str">
        <f aca="false">IFERROR(IF($D72=INDEX(Matches!$AD$5:$AD$23,MATCH($C72,Matches!$A$5:$A$23,0)),"A",IF($D72=INDEX(Matches!$AE$5:$AE$23,MATCH($C72,Matches!$A$5:$A$23,0)),"B","")),"")</f>
        <v>B</v>
      </c>
      <c r="AT72" s="10" t="n">
        <f aca="false">IF($AS72="","",IFERROR(IF($AS72="A",INDEX(Matches!$AI$5:$AI$23,MATCH($C72,Matches!$A$5:$A$23,0)),INDEX(Matches!$AJ$5:$AJ$23,MATCH($C72,Matches!$A$5:$A$23,0))),""))</f>
        <v>0.534688281487298</v>
      </c>
      <c r="AU72" s="10" t="n">
        <f aca="false">IF($AS72="","",IFERROR(IF(INDEX(Matches!$AP$5:$AP$23,MATCH($C72,Matches!$A$5:$A$23,0))="","",IF($AS72="A",INDEX(Matches!$AP$5:$AP$23,MATCH($C72,Matches!$A$5:$A$23,0)),1-INDEX(Matches!$AP$5:$AP$23,MATCH($C72,Matches!$A$5:$A$23,0)))),""))</f>
        <v>0.465418851215315</v>
      </c>
      <c r="AV72" s="13" t="n">
        <f aca="false">IF(OR($AU72="",$AT72=""),1,((Config!$B$14*$AU72+Config!$B$15*(1-$AU72))/(Config!$B$14*$AT72+Config!$B$15*(1-$AT72)))^Config!$B$13)</f>
        <v>0.939960756842301</v>
      </c>
      <c r="AW72" s="10" t="n">
        <f aca="false">IF($AS72="","",IFERROR(IF(INDEX(Matches!$AV$5:$AV$23,MATCH($C72,Matches!$A$5:$A$23,0))="","",IF($AS72="A",INDEX(Matches!$AV$5:$AV$23,MATCH($C72,Matches!$A$5:$A$23,0)),1-INDEX(Matches!$AV$5:$AV$23,MATCH($C72,Matches!$A$5:$A$23,0)))),""))</f>
        <v>0.46920459532956</v>
      </c>
      <c r="AX72" s="13" t="n">
        <f aca="false">IF(OR($AW72="",$AT72=""),1,((Config!$B$14*$AW72+Config!$B$15*(1-$AW72))/(Config!$B$14*$AT72+Config!$B$15*(1-$AT72)))^Config!$B$13)</f>
        <v>0.943242048611492</v>
      </c>
      <c r="AY72" s="10" t="n">
        <f aca="false">IF($AS72="","",IFERROR(IF(INDEX(Matches!$BB$5:$BB$23,MATCH($C72,Matches!$A$5:$A$23,0))="","",IF($AS72="A",INDEX(Matches!$BB$5:$BB$23,MATCH($C72,Matches!$A$5:$A$23,0)),1-INDEX(Matches!$BB$5:$BB$23,MATCH($C72,Matches!$A$5:$A$23,0)))),""))</f>
        <v>0.482995486578083</v>
      </c>
      <c r="AZ72" s="13" t="n">
        <f aca="false">IF(OR($AY72="",$AT72=""),1,((Config!$B$14*$AY72+Config!$B$15*(1-$AY72))/(Config!$B$14*$AT72+Config!$B$15*(1-$AT72)))^Config!$B$13)</f>
        <v>0.955195296527353</v>
      </c>
      <c r="BA72" s="17" t="n">
        <f aca="false">IF(V72="","",V72*$AV72)</f>
        <v>14.185281040321</v>
      </c>
      <c r="BB72" s="17" t="n">
        <f aca="false">IF(AC72="","",AC72*$AX72)</f>
        <v>13.6893897567547</v>
      </c>
      <c r="BC72" s="17" t="n">
        <f aca="false">IF(AJ72="","",AJ72*$AZ72)</f>
        <v>13.1074445776941</v>
      </c>
      <c r="BD72" s="17" t="n">
        <f aca="false">N(BA72)+N(BB72)</f>
        <v>27.8746707970756</v>
      </c>
      <c r="BE72" s="17" t="n">
        <f aca="false">BD72+N($M72)*N(BC72)</f>
        <v>33.6026240775279</v>
      </c>
      <c r="BF72" s="17" t="n">
        <f aca="false">IF(W72="","",W72*$AV72)</f>
        <v>7.70389717589794</v>
      </c>
      <c r="BG72" s="17" t="n">
        <f aca="false">IF(AD72="","",AD72*$AX72)</f>
        <v>6.87549600533002</v>
      </c>
      <c r="BH72" s="17" t="n">
        <f aca="false">IF(AK72="","",AK72*$AZ72)</f>
        <v>7.17195675809494</v>
      </c>
      <c r="BI72" s="17" t="n">
        <f aca="false">IF(BF72="","",N(BF72)+N(BG72))</f>
        <v>14.579393181228</v>
      </c>
      <c r="BJ72" s="17" t="n">
        <f aca="false">IF(BI72="","",BI72+N($M72)*N(BH72))</f>
        <v>17.7135382845155</v>
      </c>
      <c r="BK72" s="13" t="n">
        <f aca="false">IFERROR(BD72/AL72,1)</f>
        <v>0.941569357916832</v>
      </c>
    </row>
    <row r="73" customFormat="false" ht="15" hidden="false" customHeight="false" outlineLevel="0" collapsed="false">
      <c r="A73" s="0" t="s">
        <v>1467</v>
      </c>
      <c r="B73" s="0" t="s">
        <v>1139</v>
      </c>
      <c r="C73" s="0" t="s">
        <v>1056</v>
      </c>
      <c r="D73" s="0" t="s">
        <v>1146</v>
      </c>
      <c r="E73" s="0" t="s">
        <v>1465</v>
      </c>
      <c r="F73" s="0" t="s">
        <v>1730</v>
      </c>
      <c r="G73" s="0" t="str">
        <f aca="false">IFERROR(IF(INDEX(Matches!$W$5:$W$23,MATCH($C73,Matches!$A$5:$A$23,0))="","",INDEX(Matches!$W$5:$W$23,MATCH($C73,Matches!$A$5:$A$23,0))),"")</f>
        <v>Ancient</v>
      </c>
      <c r="H73" s="0" t="str">
        <f aca="false">IFERROR(IF(INDEX(Matches!$X$5:$X$23,MATCH($C73,Matches!$A$5:$A$23,0))="","",INDEX(Matches!$X$5:$X$23,MATCH($C73,Matches!$A$5:$A$23,0))),"")</f>
        <v>Dust2</v>
      </c>
      <c r="I73" s="0" t="str">
        <f aca="false">IFERROR(IF(INDEX(Matches!$Y$5:$Y$23,MATCH($C73,Matches!$A$5:$A$23,0))="","",INDEX(Matches!$Y$5:$Y$23,MATCH($C73,Matches!$A$5:$A$23,0))),"")</f>
        <v>Mirage</v>
      </c>
      <c r="J73" s="11" t="n">
        <f aca="false">IFERROR(IF(INDEX(Matches!$Z$5:$Z$23,MATCH($C73,Matches!$A$5:$A$23,0))="","",INDEX(Matches!$Z$5:$Z$23,MATCH($C73,Matches!$A$5:$A$23,0))),"")</f>
        <v>21.31</v>
      </c>
      <c r="K73" s="11" t="n">
        <f aca="false">IFERROR(IF(INDEX(Matches!$AA$5:$AA$23,MATCH($C73,Matches!$A$5:$A$23,0))="","",INDEX(Matches!$AA$5:$AA$23,MATCH($C73,Matches!$A$5:$A$23,0))),"")</f>
        <v>21.11</v>
      </c>
      <c r="L73" s="11" t="n">
        <f aca="false">IFERROR(IF(INDEX(Matches!$AB$5:$AB$23,MATCH($C73,Matches!$A$5:$A$23,0))="","",INDEX(Matches!$AB$5:$AB$23,MATCH($C73,Matches!$A$5:$A$23,0))),"")</f>
        <v>21.22</v>
      </c>
      <c r="M73" s="10" t="n">
        <f aca="false">IFERROR(IF(INDEX(Matches!$AC$5:$AC$23,MATCH($C73,Matches!$A$5:$A$23,0))="","",INDEX(Matches!$AC$5:$AC$23,MATCH($C73,Matches!$A$5:$A$23,0))),"")</f>
        <v>0.437</v>
      </c>
      <c r="N73" s="9" t="n">
        <f aca="false">IFERROR(INDEX(Players!$F$2:$F$137,MATCH($F73,Players!$A$2:$A$137,0)),0)</f>
        <v>35</v>
      </c>
      <c r="O73" s="13" t="n">
        <f aca="false">IFERROR(1/(1/INDEX(Players!$H$2:$H$137,MATCH($F73,Players!$A$2:$A$137,0))),"")</f>
        <v>0.7</v>
      </c>
      <c r="P73" s="10" t="n">
        <f aca="false">IFERROR(1/(1/INDEX(Players!$I$2:$I$137,MATCH($F73,Players!$A$2:$A$137,0))),"")</f>
        <v>0.542</v>
      </c>
      <c r="Q73" s="9" t="n">
        <f aca="false">IF($G73="",0,SUMIFS(Map_Stats!$F$2:$F$850,Map_Stats!$A$2:$A$850,$F73&amp;"|"&amp;$G73))</f>
        <v>6</v>
      </c>
      <c r="R73" s="13" t="n">
        <f aca="false">IF($G73="","",IFERROR(1/(1/INDEX(Map_Stats!$K$2:$K$850,MATCH($F73&amp;"|"&amp;$G73,Map_Stats!$A$2:$A$850,0))),$O73))</f>
        <v>0.75</v>
      </c>
      <c r="S73" s="10" t="n">
        <f aca="false">IF(OR($G73="",$P73=""),"",IFERROR(1/(1/INDEX(Map_Stats!$I$2:$I$850,MATCH($F73&amp;"|"&amp;$G73,Map_Stats!$A$2:$A$850,0))),$P73))</f>
        <v>0.571</v>
      </c>
      <c r="T73" s="13" t="n">
        <f aca="false">IF(OR($G73="",R73=""),"",IF($O73="",R73,(Q73*R73+Config!$B$4*$O73)/(Q73+Config!$B$4)))</f>
        <v>0.727272727272727</v>
      </c>
      <c r="U73" s="10" t="n">
        <f aca="false">IF(S73="","",(Q73*S73+Config!$B$4*$P73)/(Q73+Config!$B$4))</f>
        <v>0.557818181818182</v>
      </c>
      <c r="V73" s="17" t="n">
        <f aca="false">IF(OR(T73="",$J73=""),"",T73*$J73*($J73/Config!$B$10)^Config!$B$9)</f>
        <v>15.4981818181818</v>
      </c>
      <c r="W73" s="17" t="n">
        <f aca="false">IF(OR(V73="",U73=""),"",V73*U73)</f>
        <v>8.64516760330579</v>
      </c>
      <c r="X73" s="9" t="n">
        <f aca="false">IF($H73="",0,SUMIFS(Map_Stats!$F$2:$F$850,Map_Stats!$A$2:$A$850,$F73&amp;"|"&amp;$H73))</f>
        <v>7</v>
      </c>
      <c r="Y73" s="13" t="n">
        <f aca="false">IF($H73="","",IFERROR(1/(1/INDEX(Map_Stats!$K$2:$K$850,MATCH($F73&amp;"|"&amp;$H73,Map_Stats!$A$2:$A$850,0))),$O73))</f>
        <v>0.71</v>
      </c>
      <c r="Z73" s="10" t="n">
        <f aca="false">IF(OR($H73="",$P73=""),"",IFERROR(1/(1/INDEX(Map_Stats!$I$2:$I$850,MATCH($F73&amp;"|"&amp;$H73,Map_Stats!$A$2:$A$850,0))),$P73))</f>
        <v>0.556</v>
      </c>
      <c r="AA73" s="13" t="n">
        <f aca="false">IF(OR($H73="",Y73=""),"",IF($O73="",Y73,(X73*Y73+Config!$B$4*$O73)/(X73+Config!$B$4)))</f>
        <v>0.705833333333333</v>
      </c>
      <c r="AB73" s="10" t="n">
        <f aca="false">IF(Z73="","",(X73*Z73+Config!$B$4*$P73)/(X73+Config!$B$4))</f>
        <v>0.550166666666667</v>
      </c>
      <c r="AC73" s="17" t="n">
        <f aca="false">IF(OR(AA73="",$K73=""),"",AA73*$K73*($K73/Config!$B$10)^Config!$B$9)</f>
        <v>14.9001416666667</v>
      </c>
      <c r="AD73" s="17" t="n">
        <f aca="false">IF(OR(AC73="",AB73=""),"",AC73*AB73)</f>
        <v>8.19756127361111</v>
      </c>
      <c r="AE73" s="9" t="n">
        <f aca="false">IF($I73="",0,SUMIFS(Map_Stats!$F$2:$F$850,Map_Stats!$A$2:$A$850,$F73&amp;"|"&amp;$I73))</f>
        <v>7</v>
      </c>
      <c r="AF73" s="13" t="n">
        <f aca="false">IF($I73="","",IFERROR(1/(1/INDEX(Map_Stats!$K$2:$K$850,MATCH($F73&amp;"|"&amp;$I73,Map_Stats!$A$2:$A$850,0))),$O73))</f>
        <v>0.65</v>
      </c>
      <c r="AG73" s="10" t="n">
        <f aca="false">IF(OR($I73="",$P73=""),"",IFERROR(1/(1/INDEX(Map_Stats!$I$2:$I$850,MATCH($F73&amp;"|"&amp;$I73,Map_Stats!$A$2:$A$850,0))),$P73))</f>
        <v>0.545</v>
      </c>
      <c r="AH73" s="13" t="n">
        <f aca="false">IF(OR($I73="",AF73=""),"",IF($O73="",AF73,(AE73*AF73+Config!$B$4*$O73)/(AE73+Config!$B$4)))</f>
        <v>0.670833333333333</v>
      </c>
      <c r="AI73" s="10" t="n">
        <f aca="false">IF(AG73="","",(AE73*AG73+Config!$B$4*$P73)/(AE73+Config!$B$4))</f>
        <v>0.54375</v>
      </c>
      <c r="AJ73" s="17" t="n">
        <f aca="false">IF(OR(AH73="",$L73=""),"",AH73*$L73*($L73/Config!$B$10)^Config!$B$9)</f>
        <v>14.2350833333333</v>
      </c>
      <c r="AK73" s="17" t="n">
        <f aca="false">IF(OR(AJ73="",AI73=""),"",AJ73*AI73)</f>
        <v>7.7403265625</v>
      </c>
      <c r="AL73" s="17" t="n">
        <f aca="false">N(V73)+N(AC73)</f>
        <v>30.3983234848485</v>
      </c>
      <c r="AM73" s="17" t="n">
        <f aca="false">AL73+N($M73)*N(AJ73)</f>
        <v>36.6190549015152</v>
      </c>
      <c r="AN73" s="17" t="n">
        <f aca="false">IF(W73="","",N(W73)+N(AD73))</f>
        <v>16.8427288769169</v>
      </c>
      <c r="AO73" s="17" t="n">
        <f aca="false">IF(AN73="","",AN73+N($M73)*N(AK73))</f>
        <v>20.2252515847294</v>
      </c>
      <c r="AP73" s="10" t="n">
        <f aca="false">IFERROR(AN73/AL73,"")</f>
        <v>0.554067690124814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9" t="n">
        <f aca="false">IF($C73=Board!$B$2,COUNTIFS($C$2:$C$137,Board!$B$2,$AL$2:$AL$137,"&gt;"&amp;$AL73)+COUNTIFS($C$1:$C72,Board!$B$2,$AL$1:$AL72,$AL73)+1,"")</f>
        <v>5</v>
      </c>
      <c r="AS73" s="0" t="str">
        <f aca="false">IFERROR(IF($D73=INDEX(Matches!$AD$5:$AD$23,MATCH($C73,Matches!$A$5:$A$23,0)),"A",IF($D73=INDEX(Matches!$AE$5:$AE$23,MATCH($C73,Matches!$A$5:$A$23,0)),"B","")),"")</f>
        <v>B</v>
      </c>
      <c r="AT73" s="10" t="n">
        <f aca="false">IF($AS73="","",IFERROR(IF($AS73="A",INDEX(Matches!$AI$5:$AI$23,MATCH($C73,Matches!$A$5:$A$23,0)),INDEX(Matches!$AJ$5:$AJ$23,MATCH($C73,Matches!$A$5:$A$23,0))),""))</f>
        <v>0.534688281487298</v>
      </c>
      <c r="AU73" s="10" t="n">
        <f aca="false">IF($AS73="","",IFERROR(IF(INDEX(Matches!$AP$5:$AP$23,MATCH($C73,Matches!$A$5:$A$23,0))="","",IF($AS73="A",INDEX(Matches!$AP$5:$AP$23,MATCH($C73,Matches!$A$5:$A$23,0)),1-INDEX(Matches!$AP$5:$AP$23,MATCH($C73,Matches!$A$5:$A$23,0)))),""))</f>
        <v>0.465418851215315</v>
      </c>
      <c r="AV73" s="13" t="n">
        <f aca="false">IF(OR($AU73="",$AT73=""),1,((Config!$B$14*$AU73+Config!$B$15*(1-$AU73))/(Config!$B$14*$AT73+Config!$B$15*(1-$AT73)))^Config!$B$13)</f>
        <v>0.939960756842301</v>
      </c>
      <c r="AW73" s="10" t="n">
        <f aca="false">IF($AS73="","",IFERROR(IF(INDEX(Matches!$AV$5:$AV$23,MATCH($C73,Matches!$A$5:$A$23,0))="","",IF($AS73="A",INDEX(Matches!$AV$5:$AV$23,MATCH($C73,Matches!$A$5:$A$23,0)),1-INDEX(Matches!$AV$5:$AV$23,MATCH($C73,Matches!$A$5:$A$23,0)))),""))</f>
        <v>0.46920459532956</v>
      </c>
      <c r="AX73" s="13" t="n">
        <f aca="false">IF(OR($AW73="",$AT73=""),1,((Config!$B$14*$AW73+Config!$B$15*(1-$AW73))/(Config!$B$14*$AT73+Config!$B$15*(1-$AT73)))^Config!$B$13)</f>
        <v>0.943242048611492</v>
      </c>
      <c r="AY73" s="10" t="n">
        <f aca="false">IF($AS73="","",IFERROR(IF(INDEX(Matches!$BB$5:$BB$23,MATCH($C73,Matches!$A$5:$A$23,0))="","",IF($AS73="A",INDEX(Matches!$BB$5:$BB$23,MATCH($C73,Matches!$A$5:$A$23,0)),1-INDEX(Matches!$BB$5:$BB$23,MATCH($C73,Matches!$A$5:$A$23,0)))),""))</f>
        <v>0.482995486578083</v>
      </c>
      <c r="AZ73" s="13" t="n">
        <f aca="false">IF(OR($AY73="",$AT73=""),1,((Config!$B$14*$AY73+Config!$B$15*(1-$AY73))/(Config!$B$14*$AT73+Config!$B$15*(1-$AT73)))^Config!$B$13)</f>
        <v>0.955195296527353</v>
      </c>
      <c r="BA73" s="17" t="n">
        <f aca="false">IF(V73="","",V73*$AV73)</f>
        <v>14.5676827114978</v>
      </c>
      <c r="BB73" s="17" t="n">
        <f aca="false">IF(AC73="","",AC73*$AX73)</f>
        <v>14.0544401502681</v>
      </c>
      <c r="BC73" s="17" t="n">
        <f aca="false">IF(AJ73="","",AJ73*$AZ73)</f>
        <v>13.5972846456749</v>
      </c>
      <c r="BD73" s="17" t="n">
        <f aca="false">N(BA73)+N(BB73)</f>
        <v>28.6221228617659</v>
      </c>
      <c r="BE73" s="17" t="n">
        <f aca="false">BD73+N($M73)*N(BC73)</f>
        <v>34.5641362519258</v>
      </c>
      <c r="BF73" s="17" t="n">
        <f aca="false">IF(W73="","",W73*$AV73)</f>
        <v>8.12611828343185</v>
      </c>
      <c r="BG73" s="17" t="n">
        <f aca="false">IF(AD73="","",AD73*$AX73)</f>
        <v>7.73228448933917</v>
      </c>
      <c r="BH73" s="17" t="n">
        <f aca="false">IF(AK73="","",AK73*$AZ73)</f>
        <v>7.39352352608574</v>
      </c>
      <c r="BI73" s="17" t="n">
        <f aca="false">IF(BF73="","",N(BF73)+N(BG73))</f>
        <v>15.858402772771</v>
      </c>
      <c r="BJ73" s="17" t="n">
        <f aca="false">IF(BI73="","",BI73+N($M73)*N(BH73))</f>
        <v>19.0893725536705</v>
      </c>
      <c r="BK73" s="13" t="n">
        <f aca="false">IFERROR(BD73/AL73,1)</f>
        <v>0.94156912554839</v>
      </c>
    </row>
    <row r="74" customFormat="false" ht="15" hidden="false" customHeight="false" outlineLevel="0" collapsed="false">
      <c r="A74" s="0" t="s">
        <v>1469</v>
      </c>
      <c r="B74" s="0" t="s">
        <v>1139</v>
      </c>
      <c r="C74" s="0" t="s">
        <v>1056</v>
      </c>
      <c r="D74" s="0" t="s">
        <v>1146</v>
      </c>
      <c r="E74" s="0" t="s">
        <v>1468</v>
      </c>
      <c r="F74" s="0" t="s">
        <v>1731</v>
      </c>
      <c r="G74" s="0" t="str">
        <f aca="false">IFERROR(IF(INDEX(Matches!$W$5:$W$23,MATCH($C74,Matches!$A$5:$A$23,0))="","",INDEX(Matches!$W$5:$W$23,MATCH($C74,Matches!$A$5:$A$23,0))),"")</f>
        <v>Ancient</v>
      </c>
      <c r="H74" s="0" t="str">
        <f aca="false">IFERROR(IF(INDEX(Matches!$X$5:$X$23,MATCH($C74,Matches!$A$5:$A$23,0))="","",INDEX(Matches!$X$5:$X$23,MATCH($C74,Matches!$A$5:$A$23,0))),"")</f>
        <v>Dust2</v>
      </c>
      <c r="I74" s="0" t="str">
        <f aca="false">IFERROR(IF(INDEX(Matches!$Y$5:$Y$23,MATCH($C74,Matches!$A$5:$A$23,0))="","",INDEX(Matches!$Y$5:$Y$23,MATCH($C74,Matches!$A$5:$A$23,0))),"")</f>
        <v>Mirage</v>
      </c>
      <c r="J74" s="11" t="n">
        <f aca="false">IFERROR(IF(INDEX(Matches!$Z$5:$Z$23,MATCH($C74,Matches!$A$5:$A$23,0))="","",INDEX(Matches!$Z$5:$Z$23,MATCH($C74,Matches!$A$5:$A$23,0))),"")</f>
        <v>21.31</v>
      </c>
      <c r="K74" s="11" t="n">
        <f aca="false">IFERROR(IF(INDEX(Matches!$AA$5:$AA$23,MATCH($C74,Matches!$A$5:$A$23,0))="","",INDEX(Matches!$AA$5:$AA$23,MATCH($C74,Matches!$A$5:$A$23,0))),"")</f>
        <v>21.11</v>
      </c>
      <c r="L74" s="11" t="n">
        <f aca="false">IFERROR(IF(INDEX(Matches!$AB$5:$AB$23,MATCH($C74,Matches!$A$5:$A$23,0))="","",INDEX(Matches!$AB$5:$AB$23,MATCH($C74,Matches!$A$5:$A$23,0))),"")</f>
        <v>21.22</v>
      </c>
      <c r="M74" s="10" t="n">
        <f aca="false">IFERROR(IF(INDEX(Matches!$AC$5:$AC$23,MATCH($C74,Matches!$A$5:$A$23,0))="","",INDEX(Matches!$AC$5:$AC$23,MATCH($C74,Matches!$A$5:$A$23,0))),"")</f>
        <v>0.437</v>
      </c>
      <c r="N74" s="9" t="n">
        <f aca="false">IFERROR(INDEX(Players!$F$2:$F$137,MATCH($F74,Players!$A$2:$A$137,0)),0)</f>
        <v>35</v>
      </c>
      <c r="O74" s="13" t="n">
        <f aca="false">IFERROR(1/(1/INDEX(Players!$H$2:$H$137,MATCH($F74,Players!$A$2:$A$137,0))),"")</f>
        <v>0.7</v>
      </c>
      <c r="P74" s="10" t="n">
        <f aca="false">IFERROR(1/(1/INDEX(Players!$I$2:$I$137,MATCH($F74,Players!$A$2:$A$137,0))),"")</f>
        <v>0.554</v>
      </c>
      <c r="Q74" s="9" t="n">
        <f aca="false">IF($G74="",0,SUMIFS(Map_Stats!$F$2:$F$850,Map_Stats!$A$2:$A$850,$F74&amp;"|"&amp;$G74))</f>
        <v>6</v>
      </c>
      <c r="R74" s="13" t="n">
        <f aca="false">IF($G74="","",IFERROR(1/(1/INDEX(Map_Stats!$K$2:$K$850,MATCH($F74&amp;"|"&amp;$G74,Map_Stats!$A$2:$A$850,0))),$O74))</f>
        <v>0.72</v>
      </c>
      <c r="S74" s="10" t="n">
        <f aca="false">IF(OR($G74="",$P74=""),"",IFERROR(1/(1/INDEX(Map_Stats!$I$2:$I$850,MATCH($F74&amp;"|"&amp;$G74,Map_Stats!$A$2:$A$850,0))),$P74))</f>
        <v>0.558</v>
      </c>
      <c r="T74" s="13" t="n">
        <f aca="false">IF(OR($G74="",R74=""),"",IF($O74="",R74,(Q74*R74+Config!$B$4*$O74)/(Q74+Config!$B$4)))</f>
        <v>0.710909090909091</v>
      </c>
      <c r="U74" s="10" t="n">
        <f aca="false">IF(S74="","",(Q74*S74+Config!$B$4*$P74)/(Q74+Config!$B$4))</f>
        <v>0.556181818181818</v>
      </c>
      <c r="V74" s="17" t="n">
        <f aca="false">IF(OR(T74="",$J74=""),"",T74*$J74*($J74/Config!$B$10)^Config!$B$9)</f>
        <v>15.1494727272727</v>
      </c>
      <c r="W74" s="17" t="n">
        <f aca="false">IF(OR(V74="",U74=""),"",V74*U74)</f>
        <v>8.42586128595041</v>
      </c>
      <c r="X74" s="9" t="n">
        <f aca="false">IF($H74="",0,SUMIFS(Map_Stats!$F$2:$F$850,Map_Stats!$A$2:$A$850,$F74&amp;"|"&amp;$H74))</f>
        <v>7</v>
      </c>
      <c r="Y74" s="13" t="n">
        <f aca="false">IF($H74="","",IFERROR(1/(1/INDEX(Map_Stats!$K$2:$K$850,MATCH($F74&amp;"|"&amp;$H74,Map_Stats!$A$2:$A$850,0))),$O74))</f>
        <v>0.74</v>
      </c>
      <c r="Z74" s="10" t="n">
        <f aca="false">IF(OR($H74="",$P74=""),"",IFERROR(1/(1/INDEX(Map_Stats!$I$2:$I$850,MATCH($F74&amp;"|"&amp;$H74,Map_Stats!$A$2:$A$850,0))),$P74))</f>
        <v>0.508</v>
      </c>
      <c r="AA74" s="13" t="n">
        <f aca="false">IF(OR($H74="",Y74=""),"",IF($O74="",Y74,(X74*Y74+Config!$B$4*$O74)/(X74+Config!$B$4)))</f>
        <v>0.723333333333333</v>
      </c>
      <c r="AB74" s="10" t="n">
        <f aca="false">IF(Z74="","",(X74*Z74+Config!$B$4*$P74)/(X74+Config!$B$4))</f>
        <v>0.527166666666667</v>
      </c>
      <c r="AC74" s="17" t="n">
        <f aca="false">IF(OR(AA74="",$K74=""),"",AA74*$K74*($K74/Config!$B$10)^Config!$B$9)</f>
        <v>15.2695666666667</v>
      </c>
      <c r="AD74" s="17" t="n">
        <f aca="false">IF(OR(AC74="",AB74=""),"",AC74*AB74)</f>
        <v>8.04960656111111</v>
      </c>
      <c r="AE74" s="9" t="n">
        <f aca="false">IF($I74="",0,SUMIFS(Map_Stats!$F$2:$F$850,Map_Stats!$A$2:$A$850,$F74&amp;"|"&amp;$I74))</f>
        <v>7</v>
      </c>
      <c r="AF74" s="13" t="n">
        <f aca="false">IF($I74="","",IFERROR(1/(1/INDEX(Map_Stats!$K$2:$K$850,MATCH($F74&amp;"|"&amp;$I74,Map_Stats!$A$2:$A$850,0))),$O74))</f>
        <v>0.67</v>
      </c>
      <c r="AG74" s="10" t="n">
        <f aca="false">IF(OR($I74="",$P74=""),"",IFERROR(1/(1/INDEX(Map_Stats!$I$2:$I$850,MATCH($F74&amp;"|"&amp;$I74,Map_Stats!$A$2:$A$850,0))),$P74))</f>
        <v>0.643</v>
      </c>
      <c r="AH74" s="13" t="n">
        <f aca="false">IF(OR($I74="",AF74=""),"",IF($O74="",AF74,(AE74*AF74+Config!$B$4*$O74)/(AE74+Config!$B$4)))</f>
        <v>0.6825</v>
      </c>
      <c r="AI74" s="10" t="n">
        <f aca="false">IF(AG74="","",(AE74*AG74+Config!$B$4*$P74)/(AE74+Config!$B$4))</f>
        <v>0.605916666666667</v>
      </c>
      <c r="AJ74" s="17" t="n">
        <f aca="false">IF(OR(AH74="",$L74=""),"",AH74*$L74*($L74/Config!$B$10)^Config!$B$9)</f>
        <v>14.48265</v>
      </c>
      <c r="AK74" s="17" t="n">
        <f aca="false">IF(OR(AJ74="",AI74=""),"",AJ74*AI74)</f>
        <v>8.7752790125</v>
      </c>
      <c r="AL74" s="17" t="n">
        <f aca="false">N(V74)+N(AC74)</f>
        <v>30.4190393939394</v>
      </c>
      <c r="AM74" s="17" t="n">
        <f aca="false">AL74+N($M74)*N(AJ74)</f>
        <v>36.7479574439394</v>
      </c>
      <c r="AN74" s="17" t="n">
        <f aca="false">IF(W74="","",N(W74)+N(AD74))</f>
        <v>16.4754678470615</v>
      </c>
      <c r="AO74" s="17" t="n">
        <f aca="false">IF(AN74="","",AN74+N($M74)*N(AK74))</f>
        <v>20.310264775524</v>
      </c>
      <c r="AP74" s="10" t="n">
        <f aca="false">IFERROR(AN74/AL74,"")</f>
        <v>0.541616966719339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9" t="n">
        <f aca="false">IF($C74=Board!$B$2,COUNTIFS($C$2:$C$137,Board!$B$2,$AL$2:$AL$137,"&gt;"&amp;$AL74)+COUNTIFS($C$1:$C73,Board!$B$2,$AL$1:$AL73,$AL74)+1,"")</f>
        <v>4</v>
      </c>
      <c r="AS74" s="0" t="str">
        <f aca="false">IFERROR(IF($D74=INDEX(Matches!$AD$5:$AD$23,MATCH($C74,Matches!$A$5:$A$23,0)),"A",IF($D74=INDEX(Matches!$AE$5:$AE$23,MATCH($C74,Matches!$A$5:$A$23,0)),"B","")),"")</f>
        <v>B</v>
      </c>
      <c r="AT74" s="10" t="n">
        <f aca="false">IF($AS74="","",IFERROR(IF($AS74="A",INDEX(Matches!$AI$5:$AI$23,MATCH($C74,Matches!$A$5:$A$23,0)),INDEX(Matches!$AJ$5:$AJ$23,MATCH($C74,Matches!$A$5:$A$23,0))),""))</f>
        <v>0.534688281487298</v>
      </c>
      <c r="AU74" s="10" t="n">
        <f aca="false">IF($AS74="","",IFERROR(IF(INDEX(Matches!$AP$5:$AP$23,MATCH($C74,Matches!$A$5:$A$23,0))="","",IF($AS74="A",INDEX(Matches!$AP$5:$AP$23,MATCH($C74,Matches!$A$5:$A$23,0)),1-INDEX(Matches!$AP$5:$AP$23,MATCH($C74,Matches!$A$5:$A$23,0)))),""))</f>
        <v>0.465418851215315</v>
      </c>
      <c r="AV74" s="13" t="n">
        <f aca="false">IF(OR($AU74="",$AT74=""),1,((Config!$B$14*$AU74+Config!$B$15*(1-$AU74))/(Config!$B$14*$AT74+Config!$B$15*(1-$AT74)))^Config!$B$13)</f>
        <v>0.939960756842301</v>
      </c>
      <c r="AW74" s="10" t="n">
        <f aca="false">IF($AS74="","",IFERROR(IF(INDEX(Matches!$AV$5:$AV$23,MATCH($C74,Matches!$A$5:$A$23,0))="","",IF($AS74="A",INDEX(Matches!$AV$5:$AV$23,MATCH($C74,Matches!$A$5:$A$23,0)),1-INDEX(Matches!$AV$5:$AV$23,MATCH($C74,Matches!$A$5:$A$23,0)))),""))</f>
        <v>0.46920459532956</v>
      </c>
      <c r="AX74" s="13" t="n">
        <f aca="false">IF(OR($AW74="",$AT74=""),1,((Config!$B$14*$AW74+Config!$B$15*(1-$AW74))/(Config!$B$14*$AT74+Config!$B$15*(1-$AT74)))^Config!$B$13)</f>
        <v>0.943242048611492</v>
      </c>
      <c r="AY74" s="10" t="n">
        <f aca="false">IF($AS74="","",IFERROR(IF(INDEX(Matches!$BB$5:$BB$23,MATCH($C74,Matches!$A$5:$A$23,0))="","",IF($AS74="A",INDEX(Matches!$BB$5:$BB$23,MATCH($C74,Matches!$A$5:$A$23,0)),1-INDEX(Matches!$BB$5:$BB$23,MATCH($C74,Matches!$A$5:$A$23,0)))),""))</f>
        <v>0.482995486578083</v>
      </c>
      <c r="AZ74" s="13" t="n">
        <f aca="false">IF(OR($AY74="",$AT74=""),1,((Config!$B$14*$AY74+Config!$B$15*(1-$AY74))/(Config!$B$14*$AT74+Config!$B$15*(1-$AT74)))^Config!$B$13)</f>
        <v>0.955195296527353</v>
      </c>
      <c r="BA74" s="17" t="n">
        <f aca="false">IF(V74="","",V74*$AV74)</f>
        <v>14.2399098504891</v>
      </c>
      <c r="BB74" s="17" t="n">
        <f aca="false">IF(AC74="","",AC74*$AX74)</f>
        <v>14.4028973440764</v>
      </c>
      <c r="BC74" s="17" t="n">
        <f aca="false">IF(AJ74="","",AJ74*$AZ74)</f>
        <v>13.8337591612519</v>
      </c>
      <c r="BD74" s="17" t="n">
        <f aca="false">N(BA74)+N(BB74)</f>
        <v>28.6428071945655</v>
      </c>
      <c r="BE74" s="17" t="n">
        <f aca="false">BD74+N($M74)*N(BC74)</f>
        <v>34.6881599480326</v>
      </c>
      <c r="BF74" s="17" t="n">
        <f aca="false">IF(W74="","",W74*$AV74)</f>
        <v>7.9199789513902</v>
      </c>
      <c r="BG74" s="17" t="n">
        <f aca="false">IF(AD74="","",AD74*$AX74)</f>
        <v>7.59272738321895</v>
      </c>
      <c r="BH74" s="17" t="n">
        <f aca="false">IF(AK74="","",AK74*$AZ74)</f>
        <v>8.3821052384552</v>
      </c>
      <c r="BI74" s="17" t="n">
        <f aca="false">IF(BF74="","",N(BF74)+N(BG74))</f>
        <v>15.5127063346091</v>
      </c>
      <c r="BJ74" s="17" t="n">
        <f aca="false">IF(BI74="","",BI74+N($M74)*N(BH74))</f>
        <v>19.1756863238141</v>
      </c>
      <c r="BK74" s="13" t="n">
        <f aca="false">IFERROR(BD74/AL74,1)</f>
        <v>0.941607879973758</v>
      </c>
    </row>
    <row r="75" customFormat="false" ht="15" hidden="false" customHeight="false" outlineLevel="0" collapsed="false">
      <c r="A75" s="0" t="s">
        <v>1471</v>
      </c>
      <c r="B75" s="0" t="s">
        <v>1139</v>
      </c>
      <c r="C75" s="0" t="s">
        <v>1167</v>
      </c>
      <c r="D75" s="0" t="s">
        <v>1172</v>
      </c>
      <c r="E75" s="0" t="s">
        <v>1470</v>
      </c>
      <c r="F75" s="0" t="s">
        <v>1732</v>
      </c>
      <c r="G75" s="0" t="str">
        <f aca="false">IFERROR(IF(INDEX(Matches!$W$5:$W$23,MATCH($C75,Matches!$A$5:$A$23,0))="","",INDEX(Matches!$W$5:$W$23,MATCH($C75,Matches!$A$5:$A$23,0))),"")</f>
        <v>Ancient</v>
      </c>
      <c r="H75" s="0" t="str">
        <f aca="false">IFERROR(IF(INDEX(Matches!$X$5:$X$23,MATCH($C75,Matches!$A$5:$A$23,0))="","",INDEX(Matches!$X$5:$X$23,MATCH($C75,Matches!$A$5:$A$23,0))),"")</f>
        <v>Nuke</v>
      </c>
      <c r="I75" s="0" t="str">
        <f aca="false">IFERROR(IF(INDEX(Matches!$Y$5:$Y$23,MATCH($C75,Matches!$A$5:$A$23,0))="","",INDEX(Matches!$Y$5:$Y$23,MATCH($C75,Matches!$A$5:$A$23,0))),"")</f>
        <v>Dust2</v>
      </c>
      <c r="J75" s="11" t="n">
        <f aca="false">IFERROR(IF(INDEX(Matches!$Z$5:$Z$23,MATCH($C75,Matches!$A$5:$A$23,0))="","",INDEX(Matches!$Z$5:$Z$23,MATCH($C75,Matches!$A$5:$A$23,0))),"")</f>
        <v>21.42</v>
      </c>
      <c r="K75" s="11" t="n">
        <f aca="false">IFERROR(IF(INDEX(Matches!$AA$5:$AA$23,MATCH($C75,Matches!$A$5:$A$23,0))="","",INDEX(Matches!$AA$5:$AA$23,MATCH($C75,Matches!$A$5:$A$23,0))),"")</f>
        <v>21.42</v>
      </c>
      <c r="L75" s="11" t="n">
        <f aca="false">IFERROR(IF(INDEX(Matches!$AB$5:$AB$23,MATCH($C75,Matches!$A$5:$A$23,0))="","",INDEX(Matches!$AB$5:$AB$23,MATCH($C75,Matches!$A$5:$A$23,0))),"")</f>
        <v>21.42</v>
      </c>
      <c r="M75" s="10" t="n">
        <f aca="false">IFERROR(IF(INDEX(Matches!$AC$5:$AC$23,MATCH($C75,Matches!$A$5:$A$23,0))="","",INDEX(Matches!$AC$5:$AC$23,MATCH($C75,Matches!$A$5:$A$23,0))),"")</f>
        <v>0.4973</v>
      </c>
      <c r="N75" s="9" t="n">
        <f aca="false">IFERROR(INDEX(Players!$F$2:$F$137,MATCH($F75,Players!$A$2:$A$137,0)),0)</f>
        <v>38</v>
      </c>
      <c r="O75" s="13" t="n">
        <f aca="false">IFERROR(1/(1/INDEX(Players!$H$2:$H$137,MATCH($F75,Players!$A$2:$A$137,0))),"")</f>
        <v>0.66</v>
      </c>
      <c r="P75" s="10" t="n">
        <f aca="false">IFERROR(1/(1/INDEX(Players!$I$2:$I$137,MATCH($F75,Players!$A$2:$A$137,0))),"")</f>
        <v>0.482</v>
      </c>
      <c r="Q75" s="9" t="n">
        <f aca="false">IF($G75="",0,SUMIFS(Map_Stats!$F$2:$F$850,Map_Stats!$A$2:$A$850,$F75&amp;"|"&amp;$G75))</f>
        <v>9</v>
      </c>
      <c r="R75" s="13" t="n">
        <f aca="false">IF($G75="","",IFERROR(1/(1/INDEX(Map_Stats!$K$2:$K$850,MATCH($F75&amp;"|"&amp;$G75,Map_Stats!$A$2:$A$850,0))),$O75))</f>
        <v>0.71</v>
      </c>
      <c r="S75" s="10" t="n">
        <f aca="false">IF(OR($G75="",$P75=""),"",IFERROR(1/(1/INDEX(Map_Stats!$I$2:$I$850,MATCH($F75&amp;"|"&amp;$G75,Map_Stats!$A$2:$A$850,0))),$P75))</f>
        <v>0.426</v>
      </c>
      <c r="T75" s="13" t="n">
        <f aca="false">IF(OR($G75="",R75=""),"",IF($O75="",R75,(Q75*R75+Config!$B$4*$O75)/(Q75+Config!$B$4)))</f>
        <v>0.692142857142857</v>
      </c>
      <c r="U75" s="10" t="n">
        <f aca="false">IF(S75="","",(Q75*S75+Config!$B$4*$P75)/(Q75+Config!$B$4))</f>
        <v>0.446</v>
      </c>
      <c r="V75" s="17" t="n">
        <f aca="false">IF(OR(T75="",$J75=""),"",T75*$J75*($J75/Config!$B$10)^Config!$B$9)</f>
        <v>14.8257</v>
      </c>
      <c r="W75" s="17" t="n">
        <f aca="false">IF(OR(V75="",U75=""),"",V75*U75)</f>
        <v>6.6122622</v>
      </c>
      <c r="X75" s="9" t="n">
        <f aca="false">IF($H75="",0,SUMIFS(Map_Stats!$F$2:$F$850,Map_Stats!$A$2:$A$850,$F75&amp;"|"&amp;$H75))</f>
        <v>8</v>
      </c>
      <c r="Y75" s="13" t="n">
        <f aca="false">IF($H75="","",IFERROR(1/(1/INDEX(Map_Stats!$K$2:$K$850,MATCH($F75&amp;"|"&amp;$H75,Map_Stats!$A$2:$A$850,0))),$O75))</f>
        <v>0.63</v>
      </c>
      <c r="Z75" s="10" t="n">
        <f aca="false">IF(OR($H75="",$P75=""),"",IFERROR(1/(1/INDEX(Map_Stats!$I$2:$I$850,MATCH($F75&amp;"|"&amp;$H75,Map_Stats!$A$2:$A$850,0))),$P75))</f>
        <v>0.522</v>
      </c>
      <c r="AA75" s="13" t="n">
        <f aca="false">IF(OR($H75="",Y75=""),"",IF($O75="",Y75,(X75*Y75+Config!$B$4*$O75)/(X75+Config!$B$4)))</f>
        <v>0.641538461538462</v>
      </c>
      <c r="AB75" s="10" t="n">
        <f aca="false">IF(Z75="","",(X75*Z75+Config!$B$4*$P75)/(X75+Config!$B$4))</f>
        <v>0.506615384615385</v>
      </c>
      <c r="AC75" s="17" t="n">
        <f aca="false">IF(OR(AA75="",$K75=""),"",AA75*$K75*($K75/Config!$B$10)^Config!$B$9)</f>
        <v>13.7417538461538</v>
      </c>
      <c r="AD75" s="17" t="n">
        <f aca="false">IF(OR(AC75="",AB75=""),"",AC75*AB75)</f>
        <v>6.96178391005917</v>
      </c>
      <c r="AE75" s="9" t="n">
        <f aca="false">IF($I75="",0,SUMIFS(Map_Stats!$F$2:$F$850,Map_Stats!$A$2:$A$850,$F75&amp;"|"&amp;$I75))</f>
        <v>7</v>
      </c>
      <c r="AF75" s="13" t="n">
        <f aca="false">IF($I75="","",IFERROR(1/(1/INDEX(Map_Stats!$K$2:$K$850,MATCH($F75&amp;"|"&amp;$I75,Map_Stats!$A$2:$A$850,0))),$O75))</f>
        <v>0.71</v>
      </c>
      <c r="AG75" s="10" t="n">
        <f aca="false">IF(OR($I75="",$P75=""),"",IFERROR(1/(1/INDEX(Map_Stats!$I$2:$I$850,MATCH($F75&amp;"|"&amp;$I75,Map_Stats!$A$2:$A$850,0))),$P75))</f>
        <v>0.504</v>
      </c>
      <c r="AH75" s="13" t="n">
        <f aca="false">IF(OR($I75="",AF75=""),"",IF($O75="",AF75,(AE75*AF75+Config!$B$4*$O75)/(AE75+Config!$B$4)))</f>
        <v>0.689166666666667</v>
      </c>
      <c r="AI75" s="10" t="n">
        <f aca="false">IF(AG75="","",(AE75*AG75+Config!$B$4*$P75)/(AE75+Config!$B$4))</f>
        <v>0.494833333333333</v>
      </c>
      <c r="AJ75" s="17" t="n">
        <f aca="false">IF(OR(AH75="",$L75=""),"",AH75*$L75*($L75/Config!$B$10)^Config!$B$9)</f>
        <v>14.76195</v>
      </c>
      <c r="AK75" s="17" t="n">
        <f aca="false">IF(OR(AJ75="",AI75=""),"",AJ75*AI75)</f>
        <v>7.304704925</v>
      </c>
      <c r="AL75" s="17" t="n">
        <f aca="false">N(V75)+N(AC75)</f>
        <v>28.5674538461538</v>
      </c>
      <c r="AM75" s="17" t="n">
        <f aca="false">AL75+N($M75)*N(AJ75)</f>
        <v>35.9085715811538</v>
      </c>
      <c r="AN75" s="17" t="n">
        <f aca="false">IF(W75="","",N(W75)+N(AD75))</f>
        <v>13.5740461100592</v>
      </c>
      <c r="AO75" s="17" t="n">
        <f aca="false">IF(AN75="","",AN75+N($M75)*N(AK75))</f>
        <v>17.2066758692617</v>
      </c>
      <c r="AP75" s="10" t="n">
        <f aca="false">IFERROR(AN75/AL75,"")</f>
        <v>0.47515771560043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IF($C75=Board!$B$2,COUNTIFS($C$2:$C$137,Board!$B$2,$AL$2:$AL$137,"&gt;"&amp;$AL75)+COUNTIFS($C$1:$C74,Board!$B$2,$AL$1:$AL74,$AL75)+1,"")</f>
        <v/>
      </c>
      <c r="AS75" s="0" t="str">
        <f aca="false">IFERROR(IF($D75=INDEX(Matches!$AD$5:$AD$23,MATCH($C75,Matches!$A$5:$A$23,0)),"A",IF($D75=INDEX(Matches!$AE$5:$AE$23,MATCH($C75,Matches!$A$5:$A$23,0)),"B","")),"")</f>
        <v>A</v>
      </c>
      <c r="AT75" s="10" t="n">
        <f aca="false">IF($AS75="","",IFERROR(IF($AS75="A",INDEX(Matches!$AI$5:$AI$23,MATCH($C75,Matches!$A$5:$A$23,0)),INDEX(Matches!$AJ$5:$AJ$23,MATCH($C75,Matches!$A$5:$A$23,0))),""))</f>
        <v>0.526796410440476</v>
      </c>
      <c r="AU75" s="10" t="n">
        <f aca="false">IF($AS75="","",IFERROR(IF(INDEX(Matches!$AP$5:$AP$23,MATCH($C75,Matches!$A$5:$A$23,0))="","",IF($AS75="A",INDEX(Matches!$AP$5:$AP$23,MATCH($C75,Matches!$A$5:$A$23,0)),1-INDEX(Matches!$AP$5:$AP$23,MATCH($C75,Matches!$A$5:$A$23,0)))),""))</f>
        <v>0.522524273058198</v>
      </c>
      <c r="AV75" s="13" t="n">
        <f aca="false">IF(OR($AU75="",$AT75=""),1,((Config!$B$14*$AU75+Config!$B$15*(1-$AU75))/(Config!$B$14*$AT75+Config!$B$15*(1-$AT75)))^Config!$B$13)</f>
        <v>0.99627162399739</v>
      </c>
      <c r="AW75" s="10" t="n">
        <f aca="false">IF($AS75="","",IFERROR(IF(INDEX(Matches!$AV$5:$AV$23,MATCH($C75,Matches!$A$5:$A$23,0))="","",IF($AS75="A",INDEX(Matches!$AV$5:$AV$23,MATCH($C75,Matches!$A$5:$A$23,0)),1-INDEX(Matches!$AV$5:$AV$23,MATCH($C75,Matches!$A$5:$A$23,0)))),""))</f>
        <v>0.541508134699236</v>
      </c>
      <c r="AX75" s="13" t="n">
        <f aca="false">IF(OR($AW75="",$AT75=""),1,((Config!$B$14*$AW75+Config!$B$15*(1-$AW75))/(Config!$B$14*$AT75+Config!$B$15*(1-$AT75)))^Config!$B$13)</f>
        <v>1.01283920313774</v>
      </c>
      <c r="AY75" s="10" t="n">
        <f aca="false">IF($AS75="","",IFERROR(IF(INDEX(Matches!$BB$5:$BB$23,MATCH($C75,Matches!$A$5:$A$23,0))="","",IF($AS75="A",INDEX(Matches!$BB$5:$BB$23,MATCH($C75,Matches!$A$5:$A$23,0)),1-INDEX(Matches!$BB$5:$BB$23,MATCH($C75,Matches!$A$5:$A$23,0)))),""))</f>
        <v>0.475279334890304</v>
      </c>
      <c r="AZ75" s="13" t="n">
        <f aca="false">IF(OR($AY75="",$AT75=""),1,((Config!$B$14*$AY75+Config!$B$15*(1-$AY75))/(Config!$B$14*$AT75+Config!$B$15*(1-$AT75)))^Config!$B$13)</f>
        <v>0.955040062849403</v>
      </c>
      <c r="BA75" s="17" t="n">
        <f aca="false">IF(V75="","",V75*$AV75)</f>
        <v>14.7704242158981</v>
      </c>
      <c r="BB75" s="17" t="n">
        <f aca="false">IF(AC75="","",AC75*$AX75)</f>
        <v>13.9181870152534</v>
      </c>
      <c r="BC75" s="17" t="n">
        <f aca="false">IF(AJ75="","",AJ75*$AZ75)</f>
        <v>14.0982536557797</v>
      </c>
      <c r="BD75" s="17" t="n">
        <f aca="false">N(BA75)+N(BB75)</f>
        <v>28.6886112311515</v>
      </c>
      <c r="BE75" s="17" t="n">
        <f aca="false">BD75+N($M75)*N(BC75)</f>
        <v>35.6996727741708</v>
      </c>
      <c r="BF75" s="17" t="n">
        <f aca="false">IF(W75="","",W75*$AV75)</f>
        <v>6.58760920029055</v>
      </c>
      <c r="BG75" s="17" t="n">
        <f aca="false">IF(AD75="","",AD75*$AX75)</f>
        <v>7.05116766788145</v>
      </c>
      <c r="BH75" s="17" t="n">
        <f aca="false">IF(AK75="","",AK75*$AZ75)</f>
        <v>6.97628585066834</v>
      </c>
      <c r="BI75" s="17" t="n">
        <f aca="false">IF(BF75="","",N(BF75)+N(BG75))</f>
        <v>13.638776868172</v>
      </c>
      <c r="BJ75" s="17" t="n">
        <f aca="false">IF(BI75="","",BI75+N($M75)*N(BH75))</f>
        <v>17.1080838217094</v>
      </c>
      <c r="BK75" s="13" t="n">
        <f aca="false">IFERROR(BD75/AL75,1)</f>
        <v>1.00424109847696</v>
      </c>
    </row>
    <row r="76" customFormat="false" ht="15" hidden="false" customHeight="false" outlineLevel="0" collapsed="false">
      <c r="A76" s="0" t="s">
        <v>1473</v>
      </c>
      <c r="B76" s="0" t="s">
        <v>1139</v>
      </c>
      <c r="C76" s="0" t="s">
        <v>1167</v>
      </c>
      <c r="D76" s="0" t="s">
        <v>1172</v>
      </c>
      <c r="E76" s="0" t="s">
        <v>1472</v>
      </c>
      <c r="F76" s="0" t="s">
        <v>1733</v>
      </c>
      <c r="G76" s="0" t="str">
        <f aca="false">IFERROR(IF(INDEX(Matches!$W$5:$W$23,MATCH($C76,Matches!$A$5:$A$23,0))="","",INDEX(Matches!$W$5:$W$23,MATCH($C76,Matches!$A$5:$A$23,0))),"")</f>
        <v>Ancient</v>
      </c>
      <c r="H76" s="0" t="str">
        <f aca="false">IFERROR(IF(INDEX(Matches!$X$5:$X$23,MATCH($C76,Matches!$A$5:$A$23,0))="","",INDEX(Matches!$X$5:$X$23,MATCH($C76,Matches!$A$5:$A$23,0))),"")</f>
        <v>Nuke</v>
      </c>
      <c r="I76" s="0" t="str">
        <f aca="false">IFERROR(IF(INDEX(Matches!$Y$5:$Y$23,MATCH($C76,Matches!$A$5:$A$23,0))="","",INDEX(Matches!$Y$5:$Y$23,MATCH($C76,Matches!$A$5:$A$23,0))),"")</f>
        <v>Dust2</v>
      </c>
      <c r="J76" s="11" t="n">
        <f aca="false">IFERROR(IF(INDEX(Matches!$Z$5:$Z$23,MATCH($C76,Matches!$A$5:$A$23,0))="","",INDEX(Matches!$Z$5:$Z$23,MATCH($C76,Matches!$A$5:$A$23,0))),"")</f>
        <v>21.42</v>
      </c>
      <c r="K76" s="11" t="n">
        <f aca="false">IFERROR(IF(INDEX(Matches!$AA$5:$AA$23,MATCH($C76,Matches!$A$5:$A$23,0))="","",INDEX(Matches!$AA$5:$AA$23,MATCH($C76,Matches!$A$5:$A$23,0))),"")</f>
        <v>21.42</v>
      </c>
      <c r="L76" s="11" t="n">
        <f aca="false">IFERROR(IF(INDEX(Matches!$AB$5:$AB$23,MATCH($C76,Matches!$A$5:$A$23,0))="","",INDEX(Matches!$AB$5:$AB$23,MATCH($C76,Matches!$A$5:$A$23,0))),"")</f>
        <v>21.42</v>
      </c>
      <c r="M76" s="10" t="n">
        <f aca="false">IFERROR(IF(INDEX(Matches!$AC$5:$AC$23,MATCH($C76,Matches!$A$5:$A$23,0))="","",INDEX(Matches!$AC$5:$AC$23,MATCH($C76,Matches!$A$5:$A$23,0))),"")</f>
        <v>0.4973</v>
      </c>
      <c r="N76" s="9" t="n">
        <f aca="false">IFERROR(INDEX(Players!$F$2:$F$137,MATCH($F76,Players!$A$2:$A$137,0)),0)</f>
        <v>38</v>
      </c>
      <c r="O76" s="13" t="n">
        <f aca="false">IFERROR(1/(1/INDEX(Players!$H$2:$H$137,MATCH($F76,Players!$A$2:$A$137,0))),"")</f>
        <v>0.69</v>
      </c>
      <c r="P76" s="10" t="n">
        <f aca="false">IFERROR(1/(1/INDEX(Players!$I$2:$I$137,MATCH($F76,Players!$A$2:$A$137,0))),"")</f>
        <v>0.367</v>
      </c>
      <c r="Q76" s="9" t="n">
        <f aca="false">IF($G76="",0,SUMIFS(Map_Stats!$F$2:$F$850,Map_Stats!$A$2:$A$850,$F76&amp;"|"&amp;$G76))</f>
        <v>9</v>
      </c>
      <c r="R76" s="13" t="n">
        <f aca="false">IF($G76="","",IFERROR(1/(1/INDEX(Map_Stats!$K$2:$K$850,MATCH($F76&amp;"|"&amp;$G76,Map_Stats!$A$2:$A$850,0))),$O76))</f>
        <v>0.67</v>
      </c>
      <c r="S76" s="10" t="n">
        <f aca="false">IF(OR($G76="",$P76=""),"",IFERROR(1/(1/INDEX(Map_Stats!$I$2:$I$850,MATCH($F76&amp;"|"&amp;$G76,Map_Stats!$A$2:$A$850,0))),$P76))</f>
        <v>0.346</v>
      </c>
      <c r="T76" s="13" t="n">
        <f aca="false">IF(OR($G76="",R76=""),"",IF($O76="",R76,(Q76*R76+Config!$B$4*$O76)/(Q76+Config!$B$4)))</f>
        <v>0.677142857142857</v>
      </c>
      <c r="U76" s="10" t="n">
        <f aca="false">IF(S76="","",(Q76*S76+Config!$B$4*$P76)/(Q76+Config!$B$4))</f>
        <v>0.3535</v>
      </c>
      <c r="V76" s="17" t="n">
        <f aca="false">IF(OR(T76="",$J76=""),"",T76*$J76*($J76/Config!$B$10)^Config!$B$9)</f>
        <v>14.5044</v>
      </c>
      <c r="W76" s="17" t="n">
        <f aca="false">IF(OR(V76="",U76=""),"",V76*U76)</f>
        <v>5.1273054</v>
      </c>
      <c r="X76" s="9" t="n">
        <f aca="false">IF($H76="",0,SUMIFS(Map_Stats!$F$2:$F$850,Map_Stats!$A$2:$A$850,$F76&amp;"|"&amp;$H76))</f>
        <v>8</v>
      </c>
      <c r="Y76" s="13" t="n">
        <f aca="false">IF($H76="","",IFERROR(1/(1/INDEX(Map_Stats!$K$2:$K$850,MATCH($F76&amp;"|"&amp;$H76,Map_Stats!$A$2:$A$850,0))),$O76))</f>
        <v>0.75</v>
      </c>
      <c r="Z76" s="10" t="n">
        <f aca="false">IF(OR($H76="",$P76=""),"",IFERROR(1/(1/INDEX(Map_Stats!$I$2:$I$850,MATCH($F76&amp;"|"&amp;$H76,Map_Stats!$A$2:$A$850,0))),$P76))</f>
        <v>0.409</v>
      </c>
      <c r="AA76" s="13" t="n">
        <f aca="false">IF(OR($H76="",Y76=""),"",IF($O76="",Y76,(X76*Y76+Config!$B$4*$O76)/(X76+Config!$B$4)))</f>
        <v>0.726923076923077</v>
      </c>
      <c r="AB76" s="10" t="n">
        <f aca="false">IF(Z76="","",(X76*Z76+Config!$B$4*$P76)/(X76+Config!$B$4))</f>
        <v>0.392846153846154</v>
      </c>
      <c r="AC76" s="17" t="n">
        <f aca="false">IF(OR(AA76="",$K76=""),"",AA76*$K76*($K76/Config!$B$10)^Config!$B$9)</f>
        <v>15.5706923076923</v>
      </c>
      <c r="AD76" s="17" t="n">
        <f aca="false">IF(OR(AC76="",AB76=""),"",AC76*AB76)</f>
        <v>6.11688658579882</v>
      </c>
      <c r="AE76" s="9" t="n">
        <f aca="false">IF($I76="",0,SUMIFS(Map_Stats!$F$2:$F$850,Map_Stats!$A$2:$A$850,$F76&amp;"|"&amp;$I76))</f>
        <v>7</v>
      </c>
      <c r="AF76" s="13" t="n">
        <f aca="false">IF($I76="","",IFERROR(1/(1/INDEX(Map_Stats!$K$2:$K$850,MATCH($F76&amp;"|"&amp;$I76,Map_Stats!$A$2:$A$850,0))),$O76))</f>
        <v>0.61</v>
      </c>
      <c r="AG76" s="10" t="n">
        <f aca="false">IF(OR($I76="",$P76=""),"",IFERROR(1/(1/INDEX(Map_Stats!$I$2:$I$850,MATCH($F76&amp;"|"&amp;$I76,Map_Stats!$A$2:$A$850,0))),$P76))</f>
        <v>0.415</v>
      </c>
      <c r="AH76" s="13" t="n">
        <f aca="false">IF(OR($I76="",AF76=""),"",IF($O76="",AF76,(AE76*AF76+Config!$B$4*$O76)/(AE76+Config!$B$4)))</f>
        <v>0.643333333333333</v>
      </c>
      <c r="AI76" s="10" t="n">
        <f aca="false">IF(AG76="","",(AE76*AG76+Config!$B$4*$P76)/(AE76+Config!$B$4))</f>
        <v>0.395</v>
      </c>
      <c r="AJ76" s="17" t="n">
        <f aca="false">IF(OR(AH76="",$L76=""),"",AH76*$L76*($L76/Config!$B$10)^Config!$B$9)</f>
        <v>13.7802</v>
      </c>
      <c r="AK76" s="17" t="n">
        <f aca="false">IF(OR(AJ76="",AI76=""),"",AJ76*AI76)</f>
        <v>5.443179</v>
      </c>
      <c r="AL76" s="17" t="n">
        <f aca="false">N(V76)+N(AC76)</f>
        <v>30.0750923076923</v>
      </c>
      <c r="AM76" s="17" t="n">
        <f aca="false">AL76+N($M76)*N(AJ76)</f>
        <v>36.9279857676923</v>
      </c>
      <c r="AN76" s="17" t="n">
        <f aca="false">IF(W76="","",N(W76)+N(AD76))</f>
        <v>11.2441919857988</v>
      </c>
      <c r="AO76" s="17" t="n">
        <f aca="false">IF(AN76="","",AN76+N($M76)*N(AK76))</f>
        <v>13.9510849024988</v>
      </c>
      <c r="AP76" s="10" t="n">
        <f aca="false">IFERROR(AN76/AL76,"")</f>
        <v>0.373870572723825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IF($C76=Board!$B$2,COUNTIFS($C$2:$C$137,Board!$B$2,$AL$2:$AL$137,"&gt;"&amp;$AL76)+COUNTIFS($C$1:$C75,Board!$B$2,$AL$1:$AL75,$AL76)+1,"")</f>
        <v/>
      </c>
      <c r="AS76" s="0" t="str">
        <f aca="false">IFERROR(IF($D76=INDEX(Matches!$AD$5:$AD$23,MATCH($C76,Matches!$A$5:$A$23,0)),"A",IF($D76=INDEX(Matches!$AE$5:$AE$23,MATCH($C76,Matches!$A$5:$A$23,0)),"B","")),"")</f>
        <v>A</v>
      </c>
      <c r="AT76" s="10" t="n">
        <f aca="false">IF($AS76="","",IFERROR(IF($AS76="A",INDEX(Matches!$AI$5:$AI$23,MATCH($C76,Matches!$A$5:$A$23,0)),INDEX(Matches!$AJ$5:$AJ$23,MATCH($C76,Matches!$A$5:$A$23,0))),""))</f>
        <v>0.526796410440476</v>
      </c>
      <c r="AU76" s="10" t="n">
        <f aca="false">IF($AS76="","",IFERROR(IF(INDEX(Matches!$AP$5:$AP$23,MATCH($C76,Matches!$A$5:$A$23,0))="","",IF($AS76="A",INDEX(Matches!$AP$5:$AP$23,MATCH($C76,Matches!$A$5:$A$23,0)),1-INDEX(Matches!$AP$5:$AP$23,MATCH($C76,Matches!$A$5:$A$23,0)))),""))</f>
        <v>0.522524273058198</v>
      </c>
      <c r="AV76" s="13" t="n">
        <f aca="false">IF(OR($AU76="",$AT76=""),1,((Config!$B$14*$AU76+Config!$B$15*(1-$AU76))/(Config!$B$14*$AT76+Config!$B$15*(1-$AT76)))^Config!$B$13)</f>
        <v>0.99627162399739</v>
      </c>
      <c r="AW76" s="10" t="n">
        <f aca="false">IF($AS76="","",IFERROR(IF(INDEX(Matches!$AV$5:$AV$23,MATCH($C76,Matches!$A$5:$A$23,0))="","",IF($AS76="A",INDEX(Matches!$AV$5:$AV$23,MATCH($C76,Matches!$A$5:$A$23,0)),1-INDEX(Matches!$AV$5:$AV$23,MATCH($C76,Matches!$A$5:$A$23,0)))),""))</f>
        <v>0.541508134699236</v>
      </c>
      <c r="AX76" s="13" t="n">
        <f aca="false">IF(OR($AW76="",$AT76=""),1,((Config!$B$14*$AW76+Config!$B$15*(1-$AW76))/(Config!$B$14*$AT76+Config!$B$15*(1-$AT76)))^Config!$B$13)</f>
        <v>1.01283920313774</v>
      </c>
      <c r="AY76" s="10" t="n">
        <f aca="false">IF($AS76="","",IFERROR(IF(INDEX(Matches!$BB$5:$BB$23,MATCH($C76,Matches!$A$5:$A$23,0))="","",IF($AS76="A",INDEX(Matches!$BB$5:$BB$23,MATCH($C76,Matches!$A$5:$A$23,0)),1-INDEX(Matches!$BB$5:$BB$23,MATCH($C76,Matches!$A$5:$A$23,0)))),""))</f>
        <v>0.475279334890304</v>
      </c>
      <c r="AZ76" s="13" t="n">
        <f aca="false">IF(OR($AY76="",$AT76=""),1,((Config!$B$14*$AY76+Config!$B$15*(1-$AY76))/(Config!$B$14*$AT76+Config!$B$15*(1-$AT76)))^Config!$B$13)</f>
        <v>0.955040062849403</v>
      </c>
      <c r="BA76" s="17" t="n">
        <f aca="false">IF(V76="","",V76*$AV76)</f>
        <v>14.4503221431077</v>
      </c>
      <c r="BB76" s="17" t="n">
        <f aca="false">IF(AC76="","",AC76*$AX76)</f>
        <v>15.770607589226</v>
      </c>
      <c r="BC76" s="17" t="n">
        <f aca="false">IF(AJ76="","",AJ76*$AZ76)</f>
        <v>13.1606430740773</v>
      </c>
      <c r="BD76" s="17" t="n">
        <f aca="false">N(BA76)+N(BB76)</f>
        <v>30.2209297323337</v>
      </c>
      <c r="BE76" s="17" t="n">
        <f aca="false">BD76+N($M76)*N(BC76)</f>
        <v>36.7657175330724</v>
      </c>
      <c r="BF76" s="17" t="n">
        <f aca="false">IF(W76="","",W76*$AV76)</f>
        <v>5.10818887758859</v>
      </c>
      <c r="BG76" s="17" t="n">
        <f aca="false">IF(AD76="","",AD76*$AX76)</f>
        <v>6.19542253524438</v>
      </c>
      <c r="BH76" s="17" t="n">
        <f aca="false">IF(AK76="","",AK76*$AZ76)</f>
        <v>5.19845401426055</v>
      </c>
      <c r="BI76" s="17" t="n">
        <f aca="false">IF(BF76="","",N(BF76)+N(BG76))</f>
        <v>11.303611412833</v>
      </c>
      <c r="BJ76" s="17" t="n">
        <f aca="false">IF(BI76="","",BI76+N($M76)*N(BH76))</f>
        <v>13.8888025941247</v>
      </c>
      <c r="BK76" s="13" t="n">
        <f aca="false">IFERROR(BD76/AL76,1)</f>
        <v>1.00484910979323</v>
      </c>
    </row>
    <row r="77" customFormat="false" ht="15" hidden="false" customHeight="false" outlineLevel="0" collapsed="false">
      <c r="A77" s="0" t="s">
        <v>1475</v>
      </c>
      <c r="B77" s="0" t="s">
        <v>1139</v>
      </c>
      <c r="C77" s="0" t="s">
        <v>1167</v>
      </c>
      <c r="D77" s="0" t="s">
        <v>1172</v>
      </c>
      <c r="E77" s="0" t="s">
        <v>1474</v>
      </c>
      <c r="F77" s="0" t="s">
        <v>1734</v>
      </c>
      <c r="G77" s="0" t="str">
        <f aca="false">IFERROR(IF(INDEX(Matches!$W$5:$W$23,MATCH($C77,Matches!$A$5:$A$23,0))="","",INDEX(Matches!$W$5:$W$23,MATCH($C77,Matches!$A$5:$A$23,0))),"")</f>
        <v>Ancient</v>
      </c>
      <c r="H77" s="0" t="str">
        <f aca="false">IFERROR(IF(INDEX(Matches!$X$5:$X$23,MATCH($C77,Matches!$A$5:$A$23,0))="","",INDEX(Matches!$X$5:$X$23,MATCH($C77,Matches!$A$5:$A$23,0))),"")</f>
        <v>Nuke</v>
      </c>
      <c r="I77" s="0" t="str">
        <f aca="false">IFERROR(IF(INDEX(Matches!$Y$5:$Y$23,MATCH($C77,Matches!$A$5:$A$23,0))="","",INDEX(Matches!$Y$5:$Y$23,MATCH($C77,Matches!$A$5:$A$23,0))),"")</f>
        <v>Dust2</v>
      </c>
      <c r="J77" s="11" t="n">
        <f aca="false">IFERROR(IF(INDEX(Matches!$Z$5:$Z$23,MATCH($C77,Matches!$A$5:$A$23,0))="","",INDEX(Matches!$Z$5:$Z$23,MATCH($C77,Matches!$A$5:$A$23,0))),"")</f>
        <v>21.42</v>
      </c>
      <c r="K77" s="11" t="n">
        <f aca="false">IFERROR(IF(INDEX(Matches!$AA$5:$AA$23,MATCH($C77,Matches!$A$5:$A$23,0))="","",INDEX(Matches!$AA$5:$AA$23,MATCH($C77,Matches!$A$5:$A$23,0))),"")</f>
        <v>21.42</v>
      </c>
      <c r="L77" s="11" t="n">
        <f aca="false">IFERROR(IF(INDEX(Matches!$AB$5:$AB$23,MATCH($C77,Matches!$A$5:$A$23,0))="","",INDEX(Matches!$AB$5:$AB$23,MATCH($C77,Matches!$A$5:$A$23,0))),"")</f>
        <v>21.42</v>
      </c>
      <c r="M77" s="10" t="n">
        <f aca="false">IFERROR(IF(INDEX(Matches!$AC$5:$AC$23,MATCH($C77,Matches!$A$5:$A$23,0))="","",INDEX(Matches!$AC$5:$AC$23,MATCH($C77,Matches!$A$5:$A$23,0))),"")</f>
        <v>0.4973</v>
      </c>
      <c r="N77" s="9" t="n">
        <f aca="false">IFERROR(INDEX(Players!$F$2:$F$137,MATCH($F77,Players!$A$2:$A$137,0)),0)</f>
        <v>38</v>
      </c>
      <c r="O77" s="13" t="n">
        <f aca="false">IFERROR(1/(1/INDEX(Players!$H$2:$H$137,MATCH($F77,Players!$A$2:$A$137,0))),"")</f>
        <v>0.66</v>
      </c>
      <c r="P77" s="10" t="n">
        <f aca="false">IFERROR(1/(1/INDEX(Players!$I$2:$I$137,MATCH($F77,Players!$A$2:$A$137,0))),"")</f>
        <v>0.663</v>
      </c>
      <c r="Q77" s="9" t="n">
        <f aca="false">IF($G77="",0,SUMIFS(Map_Stats!$F$2:$F$850,Map_Stats!$A$2:$A$850,$F77&amp;"|"&amp;$G77))</f>
        <v>9</v>
      </c>
      <c r="R77" s="13" t="n">
        <f aca="false">IF($G77="","",IFERROR(1/(1/INDEX(Map_Stats!$K$2:$K$850,MATCH($F77&amp;"|"&amp;$G77,Map_Stats!$A$2:$A$850,0))),$O77))</f>
        <v>0.53</v>
      </c>
      <c r="S77" s="10" t="n">
        <f aca="false">IF(OR($G77="",$P77=""),"",IFERROR(1/(1/INDEX(Map_Stats!$I$2:$I$850,MATCH($F77&amp;"|"&amp;$G77,Map_Stats!$A$2:$A$850,0))),$P77))</f>
        <v>0.686</v>
      </c>
      <c r="T77" s="13" t="n">
        <f aca="false">IF(OR($G77="",R77=""),"",IF($O77="",R77,(Q77*R77+Config!$B$4*$O77)/(Q77+Config!$B$4)))</f>
        <v>0.576428571428571</v>
      </c>
      <c r="U77" s="10" t="n">
        <f aca="false">IF(S77="","",(Q77*S77+Config!$B$4*$P77)/(Q77+Config!$B$4))</f>
        <v>0.677785714285714</v>
      </c>
      <c r="V77" s="17" t="n">
        <f aca="false">IF(OR(T77="",$J77=""),"",T77*$J77*($J77/Config!$B$10)^Config!$B$9)</f>
        <v>12.3471</v>
      </c>
      <c r="W77" s="17" t="n">
        <f aca="false">IF(OR(V77="",U77=""),"",V77*U77)</f>
        <v>8.36868799285714</v>
      </c>
      <c r="X77" s="9" t="n">
        <f aca="false">IF($H77="",0,SUMIFS(Map_Stats!$F$2:$F$850,Map_Stats!$A$2:$A$850,$F77&amp;"|"&amp;$H77))</f>
        <v>8</v>
      </c>
      <c r="Y77" s="13" t="n">
        <f aca="false">IF($H77="","",IFERROR(1/(1/INDEX(Map_Stats!$K$2:$K$850,MATCH($F77&amp;"|"&amp;$H77,Map_Stats!$A$2:$A$850,0))),$O77))</f>
        <v>0.63</v>
      </c>
      <c r="Z77" s="10" t="n">
        <f aca="false">IF(OR($H77="",$P77=""),"",IFERROR(1/(1/INDEX(Map_Stats!$I$2:$I$850,MATCH($F77&amp;"|"&amp;$H77,Map_Stats!$A$2:$A$850,0))),$P77))</f>
        <v>0.649</v>
      </c>
      <c r="AA77" s="13" t="n">
        <f aca="false">IF(OR($H77="",Y77=""),"",IF($O77="",Y77,(X77*Y77+Config!$B$4*$O77)/(X77+Config!$B$4)))</f>
        <v>0.641538461538462</v>
      </c>
      <c r="AB77" s="10" t="n">
        <f aca="false">IF(Z77="","",(X77*Z77+Config!$B$4*$P77)/(X77+Config!$B$4))</f>
        <v>0.654384615384615</v>
      </c>
      <c r="AC77" s="17" t="n">
        <f aca="false">IF(OR(AA77="",$K77=""),"",AA77*$K77*($K77/Config!$B$10)^Config!$B$9)</f>
        <v>13.7417538461538</v>
      </c>
      <c r="AD77" s="17" t="n">
        <f aca="false">IF(OR(AC77="",AB77=""),"",AC77*AB77)</f>
        <v>8.99239230532544</v>
      </c>
      <c r="AE77" s="9" t="n">
        <f aca="false">IF($I77="",0,SUMIFS(Map_Stats!$F$2:$F$850,Map_Stats!$A$2:$A$850,$F77&amp;"|"&amp;$I77))</f>
        <v>7</v>
      </c>
      <c r="AF77" s="13" t="n">
        <f aca="false">IF($I77="","",IFERROR(1/(1/INDEX(Map_Stats!$K$2:$K$850,MATCH($F77&amp;"|"&amp;$I77,Map_Stats!$A$2:$A$850,0))),$O77))</f>
        <v>0.58</v>
      </c>
      <c r="AG77" s="10" t="n">
        <f aca="false">IF(OR($I77="",$P77=""),"",IFERROR(1/(1/INDEX(Map_Stats!$I$2:$I$850,MATCH($F77&amp;"|"&amp;$I77,Map_Stats!$A$2:$A$850,0))),$P77))</f>
        <v>0.657</v>
      </c>
      <c r="AH77" s="13" t="n">
        <f aca="false">IF(OR($I77="",AF77=""),"",IF($O77="",AF77,(AE77*AF77+Config!$B$4*$O77)/(AE77+Config!$B$4)))</f>
        <v>0.613333333333333</v>
      </c>
      <c r="AI77" s="10" t="n">
        <f aca="false">IF(AG77="","",(AE77*AG77+Config!$B$4*$P77)/(AE77+Config!$B$4))</f>
        <v>0.6595</v>
      </c>
      <c r="AJ77" s="17" t="n">
        <f aca="false">IF(OR(AH77="",$L77=""),"",AH77*$L77*($L77/Config!$B$10)^Config!$B$9)</f>
        <v>13.1376</v>
      </c>
      <c r="AK77" s="17" t="n">
        <f aca="false">IF(OR(AJ77="",AI77=""),"",AJ77*AI77)</f>
        <v>8.6642472</v>
      </c>
      <c r="AL77" s="17" t="n">
        <f aca="false">N(V77)+N(AC77)</f>
        <v>26.0888538461538</v>
      </c>
      <c r="AM77" s="17" t="n">
        <f aca="false">AL77+N($M77)*N(AJ77)</f>
        <v>32.6221823261539</v>
      </c>
      <c r="AN77" s="17" t="n">
        <f aca="false">IF(W77="","",N(W77)+N(AD77))</f>
        <v>17.3610802981826</v>
      </c>
      <c r="AO77" s="17" t="n">
        <f aca="false">IF(AN77="","",AN77+N($M77)*N(AK77))</f>
        <v>21.6698104307426</v>
      </c>
      <c r="AP77" s="10" t="n">
        <f aca="false">IFERROR(AN77/AL77,"")</f>
        <v>0.665459678702675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IF($C77=Board!$B$2,COUNTIFS($C$2:$C$137,Board!$B$2,$AL$2:$AL$137,"&gt;"&amp;$AL77)+COUNTIFS($C$1:$C76,Board!$B$2,$AL$1:$AL76,$AL77)+1,"")</f>
        <v/>
      </c>
      <c r="AS77" s="0" t="str">
        <f aca="false">IFERROR(IF($D77=INDEX(Matches!$AD$5:$AD$23,MATCH($C77,Matches!$A$5:$A$23,0)),"A",IF($D77=INDEX(Matches!$AE$5:$AE$23,MATCH($C77,Matches!$A$5:$A$23,0)),"B","")),"")</f>
        <v>A</v>
      </c>
      <c r="AT77" s="10" t="n">
        <f aca="false">IF($AS77="","",IFERROR(IF($AS77="A",INDEX(Matches!$AI$5:$AI$23,MATCH($C77,Matches!$A$5:$A$23,0)),INDEX(Matches!$AJ$5:$AJ$23,MATCH($C77,Matches!$A$5:$A$23,0))),""))</f>
        <v>0.526796410440476</v>
      </c>
      <c r="AU77" s="10" t="n">
        <f aca="false">IF($AS77="","",IFERROR(IF(INDEX(Matches!$AP$5:$AP$23,MATCH($C77,Matches!$A$5:$A$23,0))="","",IF($AS77="A",INDEX(Matches!$AP$5:$AP$23,MATCH($C77,Matches!$A$5:$A$23,0)),1-INDEX(Matches!$AP$5:$AP$23,MATCH($C77,Matches!$A$5:$A$23,0)))),""))</f>
        <v>0.522524273058198</v>
      </c>
      <c r="AV77" s="13" t="n">
        <f aca="false">IF(OR($AU77="",$AT77=""),1,((Config!$B$14*$AU77+Config!$B$15*(1-$AU77))/(Config!$B$14*$AT77+Config!$B$15*(1-$AT77)))^Config!$B$13)</f>
        <v>0.99627162399739</v>
      </c>
      <c r="AW77" s="10" t="n">
        <f aca="false">IF($AS77="","",IFERROR(IF(INDEX(Matches!$AV$5:$AV$23,MATCH($C77,Matches!$A$5:$A$23,0))="","",IF($AS77="A",INDEX(Matches!$AV$5:$AV$23,MATCH($C77,Matches!$A$5:$A$23,0)),1-INDEX(Matches!$AV$5:$AV$23,MATCH($C77,Matches!$A$5:$A$23,0)))),""))</f>
        <v>0.541508134699236</v>
      </c>
      <c r="AX77" s="13" t="n">
        <f aca="false">IF(OR($AW77="",$AT77=""),1,((Config!$B$14*$AW77+Config!$B$15*(1-$AW77))/(Config!$B$14*$AT77+Config!$B$15*(1-$AT77)))^Config!$B$13)</f>
        <v>1.01283920313774</v>
      </c>
      <c r="AY77" s="10" t="n">
        <f aca="false">IF($AS77="","",IFERROR(IF(INDEX(Matches!$BB$5:$BB$23,MATCH($C77,Matches!$A$5:$A$23,0))="","",IF($AS77="A",INDEX(Matches!$BB$5:$BB$23,MATCH($C77,Matches!$A$5:$A$23,0)),1-INDEX(Matches!$BB$5:$BB$23,MATCH($C77,Matches!$A$5:$A$23,0)))),""))</f>
        <v>0.475279334890304</v>
      </c>
      <c r="AZ77" s="13" t="n">
        <f aca="false">IF(OR($AY77="",$AT77=""),1,((Config!$B$14*$AY77+Config!$B$15*(1-$AY77))/(Config!$B$14*$AT77+Config!$B$15*(1-$AT77)))^Config!$B$13)</f>
        <v>0.955040062849403</v>
      </c>
      <c r="BA77" s="17" t="n">
        <f aca="false">IF(V77="","",V77*$AV77)</f>
        <v>12.3010653686582</v>
      </c>
      <c r="BB77" s="17" t="n">
        <f aca="false">IF(AC77="","",AC77*$AX77)</f>
        <v>13.9181870152534</v>
      </c>
      <c r="BC77" s="17" t="n">
        <f aca="false">IF(AJ77="","",AJ77*$AZ77)</f>
        <v>12.5469343296903</v>
      </c>
      <c r="BD77" s="17" t="n">
        <f aca="false">N(BA77)+N(BB77)</f>
        <v>26.2192523839116</v>
      </c>
      <c r="BE77" s="17" t="n">
        <f aca="false">BD77+N($M77)*N(BC77)</f>
        <v>32.4588428260666</v>
      </c>
      <c r="BF77" s="17" t="n">
        <f aca="false">IF(W77="","",W77*$AV77)</f>
        <v>8.33748637737124</v>
      </c>
      <c r="BG77" s="17" t="n">
        <f aca="false">IF(AD77="","",AD77*$AX77)</f>
        <v>9.10784745682774</v>
      </c>
      <c r="BH77" s="17" t="n">
        <f aca="false">IF(AK77="","",AK77*$AZ77)</f>
        <v>8.27470319043077</v>
      </c>
      <c r="BI77" s="17" t="n">
        <f aca="false">IF(BF77="","",N(BF77)+N(BG77))</f>
        <v>17.445333834199</v>
      </c>
      <c r="BJ77" s="17" t="n">
        <f aca="false">IF(BI77="","",BI77+N($M77)*N(BH77))</f>
        <v>21.5603437308002</v>
      </c>
      <c r="BK77" s="13" t="n">
        <f aca="false">IFERROR(BD77/AL77,1)</f>
        <v>1.00499824708769</v>
      </c>
    </row>
    <row r="78" customFormat="false" ht="15" hidden="false" customHeight="false" outlineLevel="0" collapsed="false">
      <c r="A78" s="0" t="s">
        <v>1477</v>
      </c>
      <c r="B78" s="0" t="s">
        <v>1139</v>
      </c>
      <c r="C78" s="0" t="s">
        <v>1167</v>
      </c>
      <c r="D78" s="0" t="s">
        <v>1172</v>
      </c>
      <c r="E78" s="0" t="s">
        <v>1476</v>
      </c>
      <c r="F78" s="0" t="s">
        <v>1735</v>
      </c>
      <c r="G78" s="0" t="str">
        <f aca="false">IFERROR(IF(INDEX(Matches!$W$5:$W$23,MATCH($C78,Matches!$A$5:$A$23,0))="","",INDEX(Matches!$W$5:$W$23,MATCH($C78,Matches!$A$5:$A$23,0))),"")</f>
        <v>Ancient</v>
      </c>
      <c r="H78" s="0" t="str">
        <f aca="false">IFERROR(IF(INDEX(Matches!$X$5:$X$23,MATCH($C78,Matches!$A$5:$A$23,0))="","",INDEX(Matches!$X$5:$X$23,MATCH($C78,Matches!$A$5:$A$23,0))),"")</f>
        <v>Nuke</v>
      </c>
      <c r="I78" s="0" t="str">
        <f aca="false">IFERROR(IF(INDEX(Matches!$Y$5:$Y$23,MATCH($C78,Matches!$A$5:$A$23,0))="","",INDEX(Matches!$Y$5:$Y$23,MATCH($C78,Matches!$A$5:$A$23,0))),"")</f>
        <v>Dust2</v>
      </c>
      <c r="J78" s="11" t="n">
        <f aca="false">IFERROR(IF(INDEX(Matches!$Z$5:$Z$23,MATCH($C78,Matches!$A$5:$A$23,0))="","",INDEX(Matches!$Z$5:$Z$23,MATCH($C78,Matches!$A$5:$A$23,0))),"")</f>
        <v>21.42</v>
      </c>
      <c r="K78" s="11" t="n">
        <f aca="false">IFERROR(IF(INDEX(Matches!$AA$5:$AA$23,MATCH($C78,Matches!$A$5:$A$23,0))="","",INDEX(Matches!$AA$5:$AA$23,MATCH($C78,Matches!$A$5:$A$23,0))),"")</f>
        <v>21.42</v>
      </c>
      <c r="L78" s="11" t="n">
        <f aca="false">IFERROR(IF(INDEX(Matches!$AB$5:$AB$23,MATCH($C78,Matches!$A$5:$A$23,0))="","",INDEX(Matches!$AB$5:$AB$23,MATCH($C78,Matches!$A$5:$A$23,0))),"")</f>
        <v>21.42</v>
      </c>
      <c r="M78" s="10" t="n">
        <f aca="false">IFERROR(IF(INDEX(Matches!$AC$5:$AC$23,MATCH($C78,Matches!$A$5:$A$23,0))="","",INDEX(Matches!$AC$5:$AC$23,MATCH($C78,Matches!$A$5:$A$23,0))),"")</f>
        <v>0.4973</v>
      </c>
      <c r="N78" s="9" t="n">
        <f aca="false">IFERROR(INDEX(Players!$F$2:$F$137,MATCH($F78,Players!$A$2:$A$137,0)),0)</f>
        <v>38</v>
      </c>
      <c r="O78" s="13" t="n">
        <f aca="false">IFERROR(1/(1/INDEX(Players!$H$2:$H$137,MATCH($F78,Players!$A$2:$A$137,0))),"")</f>
        <v>0.6</v>
      </c>
      <c r="P78" s="10" t="n">
        <f aca="false">IFERROR(1/(1/INDEX(Players!$I$2:$I$137,MATCH($F78,Players!$A$2:$A$137,0))),"")</f>
        <v>0.527</v>
      </c>
      <c r="Q78" s="9" t="n">
        <f aca="false">IF($G78="",0,SUMIFS(Map_Stats!$F$2:$F$850,Map_Stats!$A$2:$A$850,$F78&amp;"|"&amp;$G78))</f>
        <v>9</v>
      </c>
      <c r="R78" s="13" t="n">
        <f aca="false">IF($G78="","",IFERROR(1/(1/INDEX(Map_Stats!$K$2:$K$850,MATCH($F78&amp;"|"&amp;$G78,Map_Stats!$A$2:$A$850,0))),$O78))</f>
        <v>0.55</v>
      </c>
      <c r="S78" s="10" t="n">
        <f aca="false">IF(OR($G78="",$P78=""),"",IFERROR(1/(1/INDEX(Map_Stats!$I$2:$I$850,MATCH($F78&amp;"|"&amp;$G78,Map_Stats!$A$2:$A$850,0))),$P78))</f>
        <v>0.481</v>
      </c>
      <c r="T78" s="13" t="n">
        <f aca="false">IF(OR($G78="",R78=""),"",IF($O78="",R78,(Q78*R78+Config!$B$4*$O78)/(Q78+Config!$B$4)))</f>
        <v>0.567857142857143</v>
      </c>
      <c r="U78" s="10" t="n">
        <f aca="false">IF(S78="","",(Q78*S78+Config!$B$4*$P78)/(Q78+Config!$B$4))</f>
        <v>0.497428571428571</v>
      </c>
      <c r="V78" s="17" t="n">
        <f aca="false">IF(OR(T78="",$J78=""),"",T78*$J78*($J78/Config!$B$10)^Config!$B$9)</f>
        <v>12.1635</v>
      </c>
      <c r="W78" s="17" t="n">
        <f aca="false">IF(OR(V78="",U78=""),"",V78*U78)</f>
        <v>6.05047242857143</v>
      </c>
      <c r="X78" s="9" t="n">
        <f aca="false">IF($H78="",0,SUMIFS(Map_Stats!$F$2:$F$850,Map_Stats!$A$2:$A$850,$F78&amp;"|"&amp;$H78))</f>
        <v>8</v>
      </c>
      <c r="Y78" s="13" t="n">
        <f aca="false">IF($H78="","",IFERROR(1/(1/INDEX(Map_Stats!$K$2:$K$850,MATCH($F78&amp;"|"&amp;$H78,Map_Stats!$A$2:$A$850,0))),$O78))</f>
        <v>0.63</v>
      </c>
      <c r="Z78" s="10" t="n">
        <f aca="false">IF(OR($H78="",$P78=""),"",IFERROR(1/(1/INDEX(Map_Stats!$I$2:$I$850,MATCH($F78&amp;"|"&amp;$H78,Map_Stats!$A$2:$A$850,0))),$P78))</f>
        <v>0.605</v>
      </c>
      <c r="AA78" s="13" t="n">
        <f aca="false">IF(OR($H78="",Y78=""),"",IF($O78="",Y78,(X78*Y78+Config!$B$4*$O78)/(X78+Config!$B$4)))</f>
        <v>0.618461538461538</v>
      </c>
      <c r="AB78" s="10" t="n">
        <f aca="false">IF(Z78="","",(X78*Z78+Config!$B$4*$P78)/(X78+Config!$B$4))</f>
        <v>0.575</v>
      </c>
      <c r="AC78" s="17" t="n">
        <f aca="false">IF(OR(AA78="",$K78=""),"",AA78*$K78*($K78/Config!$B$10)^Config!$B$9)</f>
        <v>13.2474461538462</v>
      </c>
      <c r="AD78" s="17" t="n">
        <f aca="false">IF(OR(AC78="",AB78=""),"",AC78*AB78)</f>
        <v>7.61728153846154</v>
      </c>
      <c r="AE78" s="9" t="n">
        <f aca="false">IF($I78="",0,SUMIFS(Map_Stats!$F$2:$F$850,Map_Stats!$A$2:$A$850,$F78&amp;"|"&amp;$I78))</f>
        <v>7</v>
      </c>
      <c r="AF78" s="13" t="n">
        <f aca="false">IF($I78="","",IFERROR(1/(1/INDEX(Map_Stats!$K$2:$K$850,MATCH($F78&amp;"|"&amp;$I78,Map_Stats!$A$2:$A$850,0))),$O78))</f>
        <v>0.62</v>
      </c>
      <c r="AG78" s="10" t="n">
        <f aca="false">IF(OR($I78="",$P78=""),"",IFERROR(1/(1/INDEX(Map_Stats!$I$2:$I$850,MATCH($F78&amp;"|"&amp;$I78,Map_Stats!$A$2:$A$850,0))),$P78))</f>
        <v>0.537</v>
      </c>
      <c r="AH78" s="13" t="n">
        <f aca="false">IF(OR($I78="",AF78=""),"",IF($O78="",AF78,(AE78*AF78+Config!$B$4*$O78)/(AE78+Config!$B$4)))</f>
        <v>0.611666666666667</v>
      </c>
      <c r="AI78" s="10" t="n">
        <f aca="false">IF(AG78="","",(AE78*AG78+Config!$B$4*$P78)/(AE78+Config!$B$4))</f>
        <v>0.532833333333333</v>
      </c>
      <c r="AJ78" s="17" t="n">
        <f aca="false">IF(OR(AH78="",$L78=""),"",AH78*$L78*($L78/Config!$B$10)^Config!$B$9)</f>
        <v>13.1019</v>
      </c>
      <c r="AK78" s="17" t="n">
        <f aca="false">IF(OR(AJ78="",AI78=""),"",AJ78*AI78)</f>
        <v>6.98112905</v>
      </c>
      <c r="AL78" s="17" t="n">
        <f aca="false">N(V78)+N(AC78)</f>
        <v>25.4109461538462</v>
      </c>
      <c r="AM78" s="17" t="n">
        <f aca="false">AL78+N($M78)*N(AJ78)</f>
        <v>31.9265210238462</v>
      </c>
      <c r="AN78" s="17" t="n">
        <f aca="false">IF(W78="","",N(W78)+N(AD78))</f>
        <v>13.667753967033</v>
      </c>
      <c r="AO78" s="17" t="n">
        <f aca="false">IF(AN78="","",AN78+N($M78)*N(AK78))</f>
        <v>17.139469443598</v>
      </c>
      <c r="AP78" s="10" t="n">
        <f aca="false">IFERROR(AN78/AL78,"")</f>
        <v>0.537868754838326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IF($C78=Board!$B$2,COUNTIFS($C$2:$C$137,Board!$B$2,$AL$2:$AL$137,"&gt;"&amp;$AL78)+COUNTIFS($C$1:$C77,Board!$B$2,$AL$1:$AL77,$AL78)+1,"")</f>
        <v/>
      </c>
      <c r="AS78" s="0" t="str">
        <f aca="false">IFERROR(IF($D78=INDEX(Matches!$AD$5:$AD$23,MATCH($C78,Matches!$A$5:$A$23,0)),"A",IF($D78=INDEX(Matches!$AE$5:$AE$23,MATCH($C78,Matches!$A$5:$A$23,0)),"B","")),"")</f>
        <v>A</v>
      </c>
      <c r="AT78" s="10" t="n">
        <f aca="false">IF($AS78="","",IFERROR(IF($AS78="A",INDEX(Matches!$AI$5:$AI$23,MATCH($C78,Matches!$A$5:$A$23,0)),INDEX(Matches!$AJ$5:$AJ$23,MATCH($C78,Matches!$A$5:$A$23,0))),""))</f>
        <v>0.526796410440476</v>
      </c>
      <c r="AU78" s="10" t="n">
        <f aca="false">IF($AS78="","",IFERROR(IF(INDEX(Matches!$AP$5:$AP$23,MATCH($C78,Matches!$A$5:$A$23,0))="","",IF($AS78="A",INDEX(Matches!$AP$5:$AP$23,MATCH($C78,Matches!$A$5:$A$23,0)),1-INDEX(Matches!$AP$5:$AP$23,MATCH($C78,Matches!$A$5:$A$23,0)))),""))</f>
        <v>0.522524273058198</v>
      </c>
      <c r="AV78" s="13" t="n">
        <f aca="false">IF(OR($AU78="",$AT78=""),1,((Config!$B$14*$AU78+Config!$B$15*(1-$AU78))/(Config!$B$14*$AT78+Config!$B$15*(1-$AT78)))^Config!$B$13)</f>
        <v>0.99627162399739</v>
      </c>
      <c r="AW78" s="10" t="n">
        <f aca="false">IF($AS78="","",IFERROR(IF(INDEX(Matches!$AV$5:$AV$23,MATCH($C78,Matches!$A$5:$A$23,0))="","",IF($AS78="A",INDEX(Matches!$AV$5:$AV$23,MATCH($C78,Matches!$A$5:$A$23,0)),1-INDEX(Matches!$AV$5:$AV$23,MATCH($C78,Matches!$A$5:$A$23,0)))),""))</f>
        <v>0.541508134699236</v>
      </c>
      <c r="AX78" s="13" t="n">
        <f aca="false">IF(OR($AW78="",$AT78=""),1,((Config!$B$14*$AW78+Config!$B$15*(1-$AW78))/(Config!$B$14*$AT78+Config!$B$15*(1-$AT78)))^Config!$B$13)</f>
        <v>1.01283920313774</v>
      </c>
      <c r="AY78" s="10" t="n">
        <f aca="false">IF($AS78="","",IFERROR(IF(INDEX(Matches!$BB$5:$BB$23,MATCH($C78,Matches!$A$5:$A$23,0))="","",IF($AS78="A",INDEX(Matches!$BB$5:$BB$23,MATCH($C78,Matches!$A$5:$A$23,0)),1-INDEX(Matches!$BB$5:$BB$23,MATCH($C78,Matches!$A$5:$A$23,0)))),""))</f>
        <v>0.475279334890304</v>
      </c>
      <c r="AZ78" s="13" t="n">
        <f aca="false">IF(OR($AY78="",$AT78=""),1,((Config!$B$14*$AY78+Config!$B$15*(1-$AY78))/(Config!$B$14*$AT78+Config!$B$15*(1-$AT78)))^Config!$B$13)</f>
        <v>0.955040062849403</v>
      </c>
      <c r="BA78" s="17" t="n">
        <f aca="false">IF(V78="","",V78*$AV78)</f>
        <v>12.1181498984923</v>
      </c>
      <c r="BB78" s="17" t="n">
        <f aca="false">IF(AC78="","",AC78*$AX78)</f>
        <v>13.4175328060716</v>
      </c>
      <c r="BC78" s="17" t="n">
        <f aca="false">IF(AJ78="","",AJ78*$AZ78)</f>
        <v>12.5128393994466</v>
      </c>
      <c r="BD78" s="17" t="n">
        <f aca="false">N(BA78)+N(BB78)</f>
        <v>25.5356827045639</v>
      </c>
      <c r="BE78" s="17" t="n">
        <f aca="false">BD78+N($M78)*N(BC78)</f>
        <v>31.7583177379087</v>
      </c>
      <c r="BF78" s="17" t="n">
        <f aca="false">IF(W78="","",W78*$AV78)</f>
        <v>6.02791399236429</v>
      </c>
      <c r="BG78" s="17" t="n">
        <f aca="false">IF(AD78="","",AD78*$AX78)</f>
        <v>7.71508136349118</v>
      </c>
      <c r="BH78" s="17" t="n">
        <f aca="false">IF(AK78="","",AK78*$AZ78)</f>
        <v>6.6672579266718</v>
      </c>
      <c r="BI78" s="17" t="n">
        <f aca="false">IF(BF78="","",N(BF78)+N(BG78))</f>
        <v>13.7429953558555</v>
      </c>
      <c r="BJ78" s="17" t="n">
        <f aca="false">IF(BI78="","",BI78+N($M78)*N(BH78))</f>
        <v>17.0586227227893</v>
      </c>
      <c r="BK78" s="13" t="n">
        <f aca="false">IFERROR(BD78/AL78,1)</f>
        <v>1.00490877238346</v>
      </c>
    </row>
    <row r="79" customFormat="false" ht="15" hidden="false" customHeight="false" outlineLevel="0" collapsed="false">
      <c r="A79" s="0" t="s">
        <v>1479</v>
      </c>
      <c r="B79" s="0" t="s">
        <v>1139</v>
      </c>
      <c r="C79" s="0" t="s">
        <v>1167</v>
      </c>
      <c r="D79" s="0" t="s">
        <v>1172</v>
      </c>
      <c r="E79" s="0" t="s">
        <v>1478</v>
      </c>
      <c r="F79" s="0" t="s">
        <v>1736</v>
      </c>
      <c r="G79" s="0" t="str">
        <f aca="false">IFERROR(IF(INDEX(Matches!$W$5:$W$23,MATCH($C79,Matches!$A$5:$A$23,0))="","",INDEX(Matches!$W$5:$W$23,MATCH($C79,Matches!$A$5:$A$23,0))),"")</f>
        <v>Ancient</v>
      </c>
      <c r="H79" s="0" t="str">
        <f aca="false">IFERROR(IF(INDEX(Matches!$X$5:$X$23,MATCH($C79,Matches!$A$5:$A$23,0))="","",INDEX(Matches!$X$5:$X$23,MATCH($C79,Matches!$A$5:$A$23,0))),"")</f>
        <v>Nuke</v>
      </c>
      <c r="I79" s="0" t="str">
        <f aca="false">IFERROR(IF(INDEX(Matches!$Y$5:$Y$23,MATCH($C79,Matches!$A$5:$A$23,0))="","",INDEX(Matches!$Y$5:$Y$23,MATCH($C79,Matches!$A$5:$A$23,0))),"")</f>
        <v>Dust2</v>
      </c>
      <c r="J79" s="11" t="n">
        <f aca="false">IFERROR(IF(INDEX(Matches!$Z$5:$Z$23,MATCH($C79,Matches!$A$5:$A$23,0))="","",INDEX(Matches!$Z$5:$Z$23,MATCH($C79,Matches!$A$5:$A$23,0))),"")</f>
        <v>21.42</v>
      </c>
      <c r="K79" s="11" t="n">
        <f aca="false">IFERROR(IF(INDEX(Matches!$AA$5:$AA$23,MATCH($C79,Matches!$A$5:$A$23,0))="","",INDEX(Matches!$AA$5:$AA$23,MATCH($C79,Matches!$A$5:$A$23,0))),"")</f>
        <v>21.42</v>
      </c>
      <c r="L79" s="11" t="n">
        <f aca="false">IFERROR(IF(INDEX(Matches!$AB$5:$AB$23,MATCH($C79,Matches!$A$5:$A$23,0))="","",INDEX(Matches!$AB$5:$AB$23,MATCH($C79,Matches!$A$5:$A$23,0))),"")</f>
        <v>21.42</v>
      </c>
      <c r="M79" s="10" t="n">
        <f aca="false">IFERROR(IF(INDEX(Matches!$AC$5:$AC$23,MATCH($C79,Matches!$A$5:$A$23,0))="","",INDEX(Matches!$AC$5:$AC$23,MATCH($C79,Matches!$A$5:$A$23,0))),"")</f>
        <v>0.4973</v>
      </c>
      <c r="N79" s="9" t="n">
        <f aca="false">IFERROR(INDEX(Players!$F$2:$F$137,MATCH($F79,Players!$A$2:$A$137,0)),0)</f>
        <v>38</v>
      </c>
      <c r="O79" s="13" t="n">
        <f aca="false">IFERROR(1/(1/INDEX(Players!$H$2:$H$137,MATCH($F79,Players!$A$2:$A$137,0))),"")</f>
        <v>0.75</v>
      </c>
      <c r="P79" s="10" t="n">
        <f aca="false">IFERROR(1/(1/INDEX(Players!$I$2:$I$137,MATCH($F79,Players!$A$2:$A$137,0))),"")</f>
        <v>0.549</v>
      </c>
      <c r="Q79" s="9" t="n">
        <f aca="false">IF($G79="",0,SUMIFS(Map_Stats!$F$2:$F$850,Map_Stats!$A$2:$A$850,$F79&amp;"|"&amp;$G79))</f>
        <v>9</v>
      </c>
      <c r="R79" s="13" t="n">
        <f aca="false">IF($G79="","",IFERROR(1/(1/INDEX(Map_Stats!$K$2:$K$850,MATCH($F79&amp;"|"&amp;$G79,Map_Stats!$A$2:$A$850,0))),$O79))</f>
        <v>0.68</v>
      </c>
      <c r="S79" s="10" t="n">
        <f aca="false">IF(OR($G79="",$P79=""),"",IFERROR(1/(1/INDEX(Map_Stats!$I$2:$I$850,MATCH($F79&amp;"|"&amp;$G79,Map_Stats!$A$2:$A$850,0))),$P79))</f>
        <v>0.56</v>
      </c>
      <c r="T79" s="13" t="n">
        <f aca="false">IF(OR($G79="",R79=""),"",IF($O79="",R79,(Q79*R79+Config!$B$4*$O79)/(Q79+Config!$B$4)))</f>
        <v>0.705</v>
      </c>
      <c r="U79" s="10" t="n">
        <f aca="false">IF(S79="","",(Q79*S79+Config!$B$4*$P79)/(Q79+Config!$B$4))</f>
        <v>0.556071428571429</v>
      </c>
      <c r="V79" s="17" t="n">
        <f aca="false">IF(OR(T79="",$J79=""),"",T79*$J79*($J79/Config!$B$10)^Config!$B$9)</f>
        <v>15.1011</v>
      </c>
      <c r="W79" s="17" t="n">
        <f aca="false">IF(OR(V79="",U79=""),"",V79*U79)</f>
        <v>8.39729025</v>
      </c>
      <c r="X79" s="9" t="n">
        <f aca="false">IF($H79="",0,SUMIFS(Map_Stats!$F$2:$F$850,Map_Stats!$A$2:$A$850,$F79&amp;"|"&amp;$H79))</f>
        <v>8</v>
      </c>
      <c r="Y79" s="13" t="n">
        <f aca="false">IF($H79="","",IFERROR(1/(1/INDEX(Map_Stats!$K$2:$K$850,MATCH($F79&amp;"|"&amp;$H79,Map_Stats!$A$2:$A$850,0))),$O79))</f>
        <v>0.75</v>
      </c>
      <c r="Z79" s="10" t="n">
        <f aca="false">IF(OR($H79="",$P79=""),"",IFERROR(1/(1/INDEX(Map_Stats!$I$2:$I$850,MATCH($F79&amp;"|"&amp;$H79,Map_Stats!$A$2:$A$850,0))),$P79))</f>
        <v>0.606</v>
      </c>
      <c r="AA79" s="13" t="n">
        <f aca="false">IF(OR($H79="",Y79=""),"",IF($O79="",Y79,(X79*Y79+Config!$B$4*$O79)/(X79+Config!$B$4)))</f>
        <v>0.75</v>
      </c>
      <c r="AB79" s="10" t="n">
        <f aca="false">IF(Z79="","",(X79*Z79+Config!$B$4*$P79)/(X79+Config!$B$4))</f>
        <v>0.584076923076923</v>
      </c>
      <c r="AC79" s="17" t="n">
        <f aca="false">IF(OR(AA79="",$K79=""),"",AA79*$K79*($K79/Config!$B$10)^Config!$B$9)</f>
        <v>16.065</v>
      </c>
      <c r="AD79" s="17" t="n">
        <f aca="false">IF(OR(AC79="",AB79=""),"",AC79*AB79)</f>
        <v>9.38319576923077</v>
      </c>
      <c r="AE79" s="9" t="n">
        <f aca="false">IF($I79="",0,SUMIFS(Map_Stats!$F$2:$F$850,Map_Stats!$A$2:$A$850,$F79&amp;"|"&amp;$I79))</f>
        <v>7</v>
      </c>
      <c r="AF79" s="13" t="n">
        <f aca="false">IF($I79="","",IFERROR(1/(1/INDEX(Map_Stats!$K$2:$K$850,MATCH($F79&amp;"|"&amp;$I79,Map_Stats!$A$2:$A$850,0))),$O79))</f>
        <v>0.74</v>
      </c>
      <c r="AG79" s="10" t="n">
        <f aca="false">IF(OR($I79="",$P79=""),"",IFERROR(1/(1/INDEX(Map_Stats!$I$2:$I$850,MATCH($F79&amp;"|"&amp;$I79,Map_Stats!$A$2:$A$850,0))),$P79))</f>
        <v>0.531</v>
      </c>
      <c r="AH79" s="13" t="n">
        <f aca="false">IF(OR($I79="",AF79=""),"",IF($O79="",AF79,(AE79*AF79+Config!$B$4*$O79)/(AE79+Config!$B$4)))</f>
        <v>0.744166666666667</v>
      </c>
      <c r="AI79" s="10" t="n">
        <f aca="false">IF(AG79="","",(AE79*AG79+Config!$B$4*$P79)/(AE79+Config!$B$4))</f>
        <v>0.5385</v>
      </c>
      <c r="AJ79" s="17" t="n">
        <f aca="false">IF(OR(AH79="",$L79=""),"",AH79*$L79*($L79/Config!$B$10)^Config!$B$9)</f>
        <v>15.94005</v>
      </c>
      <c r="AK79" s="17" t="n">
        <f aca="false">IF(OR(AJ79="",AI79=""),"",AJ79*AI79)</f>
        <v>8.583716925</v>
      </c>
      <c r="AL79" s="17" t="n">
        <f aca="false">N(V79)+N(AC79)</f>
        <v>31.1661</v>
      </c>
      <c r="AM79" s="17" t="n">
        <f aca="false">AL79+N($M79)*N(AJ79)</f>
        <v>39.093086865</v>
      </c>
      <c r="AN79" s="17" t="n">
        <f aca="false">IF(W79="","",N(W79)+N(AD79))</f>
        <v>17.7804860192308</v>
      </c>
      <c r="AO79" s="17" t="n">
        <f aca="false">IF(AN79="","",AN79+N($M79)*N(AK79))</f>
        <v>22.0491684460333</v>
      </c>
      <c r="AP79" s="10" t="n">
        <f aca="false">IFERROR(AN79/AL79,"")</f>
        <v>0.570507250481477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IF($C79=Board!$B$2,COUNTIFS($C$2:$C$137,Board!$B$2,$AL$2:$AL$137,"&gt;"&amp;$AL79)+COUNTIFS($C$1:$C78,Board!$B$2,$AL$1:$AL78,$AL79)+1,"")</f>
        <v/>
      </c>
      <c r="AS79" s="0" t="str">
        <f aca="false">IFERROR(IF($D79=INDEX(Matches!$AD$5:$AD$23,MATCH($C79,Matches!$A$5:$A$23,0)),"A",IF($D79=INDEX(Matches!$AE$5:$AE$23,MATCH($C79,Matches!$A$5:$A$23,0)),"B","")),"")</f>
        <v>A</v>
      </c>
      <c r="AT79" s="10" t="n">
        <f aca="false">IF($AS79="","",IFERROR(IF($AS79="A",INDEX(Matches!$AI$5:$AI$23,MATCH($C79,Matches!$A$5:$A$23,0)),INDEX(Matches!$AJ$5:$AJ$23,MATCH($C79,Matches!$A$5:$A$23,0))),""))</f>
        <v>0.526796410440476</v>
      </c>
      <c r="AU79" s="10" t="n">
        <f aca="false">IF($AS79="","",IFERROR(IF(INDEX(Matches!$AP$5:$AP$23,MATCH($C79,Matches!$A$5:$A$23,0))="","",IF($AS79="A",INDEX(Matches!$AP$5:$AP$23,MATCH($C79,Matches!$A$5:$A$23,0)),1-INDEX(Matches!$AP$5:$AP$23,MATCH($C79,Matches!$A$5:$A$23,0)))),""))</f>
        <v>0.522524273058198</v>
      </c>
      <c r="AV79" s="13" t="n">
        <f aca="false">IF(OR($AU79="",$AT79=""),1,((Config!$B$14*$AU79+Config!$B$15*(1-$AU79))/(Config!$B$14*$AT79+Config!$B$15*(1-$AT79)))^Config!$B$13)</f>
        <v>0.99627162399739</v>
      </c>
      <c r="AW79" s="10" t="n">
        <f aca="false">IF($AS79="","",IFERROR(IF(INDEX(Matches!$AV$5:$AV$23,MATCH($C79,Matches!$A$5:$A$23,0))="","",IF($AS79="A",INDEX(Matches!$AV$5:$AV$23,MATCH($C79,Matches!$A$5:$A$23,0)),1-INDEX(Matches!$AV$5:$AV$23,MATCH($C79,Matches!$A$5:$A$23,0)))),""))</f>
        <v>0.541508134699236</v>
      </c>
      <c r="AX79" s="13" t="n">
        <f aca="false">IF(OR($AW79="",$AT79=""),1,((Config!$B$14*$AW79+Config!$B$15*(1-$AW79))/(Config!$B$14*$AT79+Config!$B$15*(1-$AT79)))^Config!$B$13)</f>
        <v>1.01283920313774</v>
      </c>
      <c r="AY79" s="10" t="n">
        <f aca="false">IF($AS79="","",IFERROR(IF(INDEX(Matches!$BB$5:$BB$23,MATCH($C79,Matches!$A$5:$A$23,0))="","",IF($AS79="A",INDEX(Matches!$BB$5:$BB$23,MATCH($C79,Matches!$A$5:$A$23,0)),1-INDEX(Matches!$BB$5:$BB$23,MATCH($C79,Matches!$A$5:$A$23,0)))),""))</f>
        <v>0.475279334890304</v>
      </c>
      <c r="AZ79" s="13" t="n">
        <f aca="false">IF(OR($AY79="",$AT79=""),1,((Config!$B$14*$AY79+Config!$B$15*(1-$AY79))/(Config!$B$14*$AT79+Config!$B$15*(1-$AT79)))^Config!$B$13)</f>
        <v>0.955040062849403</v>
      </c>
      <c r="BA79" s="17" t="n">
        <f aca="false">IF(V79="","",V79*$AV79)</f>
        <v>15.044797421147</v>
      </c>
      <c r="BB79" s="17" t="n">
        <f aca="false">IF(AC79="","",AC79*$AX79)</f>
        <v>16.2712617984077</v>
      </c>
      <c r="BC79" s="17" t="n">
        <f aca="false">IF(AJ79="","",AJ79*$AZ79)</f>
        <v>15.2233863538226</v>
      </c>
      <c r="BD79" s="17" t="n">
        <f aca="false">N(BA79)+N(BB79)</f>
        <v>31.3160592195547</v>
      </c>
      <c r="BE79" s="17" t="n">
        <f aca="false">BD79+N($M79)*N(BC79)</f>
        <v>38.8866492533107</v>
      </c>
      <c r="BF79" s="17" t="n">
        <f aca="false">IF(W79="","",W79*$AV79)</f>
        <v>8.36598199454495</v>
      </c>
      <c r="BG79" s="17" t="n">
        <f aca="false">IF(AD79="","",AD79*$AX79)</f>
        <v>9.50366852579308</v>
      </c>
      <c r="BH79" s="17" t="n">
        <f aca="false">IF(AK79="","",AK79*$AZ79)</f>
        <v>8.19779355153349</v>
      </c>
      <c r="BI79" s="17" t="n">
        <f aca="false">IF(BF79="","",N(BF79)+N(BG79))</f>
        <v>17.869650520338</v>
      </c>
      <c r="BJ79" s="17" t="n">
        <f aca="false">IF(BI79="","",BI79+N($M79)*N(BH79))</f>
        <v>21.9464132535156</v>
      </c>
      <c r="BK79" s="13" t="n">
        <f aca="false">IFERROR(BD79/AL79,1)</f>
        <v>1.00481161324499</v>
      </c>
    </row>
    <row r="80" customFormat="false" ht="15" hidden="false" customHeight="false" outlineLevel="0" collapsed="false">
      <c r="A80" s="0" t="s">
        <v>1481</v>
      </c>
      <c r="B80" s="0" t="s">
        <v>1139</v>
      </c>
      <c r="C80" s="0" t="s">
        <v>1167</v>
      </c>
      <c r="D80" s="0" t="s">
        <v>1173</v>
      </c>
      <c r="E80" s="0" t="s">
        <v>1480</v>
      </c>
      <c r="F80" s="0" t="s">
        <v>1737</v>
      </c>
      <c r="G80" s="0" t="str">
        <f aca="false">IFERROR(IF(INDEX(Matches!$W$5:$W$23,MATCH($C80,Matches!$A$5:$A$23,0))="","",INDEX(Matches!$W$5:$W$23,MATCH($C80,Matches!$A$5:$A$23,0))),"")</f>
        <v>Ancient</v>
      </c>
      <c r="H80" s="0" t="str">
        <f aca="false">IFERROR(IF(INDEX(Matches!$X$5:$X$23,MATCH($C80,Matches!$A$5:$A$23,0))="","",INDEX(Matches!$X$5:$X$23,MATCH($C80,Matches!$A$5:$A$23,0))),"")</f>
        <v>Nuke</v>
      </c>
      <c r="I80" s="0" t="str">
        <f aca="false">IFERROR(IF(INDEX(Matches!$Y$5:$Y$23,MATCH($C80,Matches!$A$5:$A$23,0))="","",INDEX(Matches!$Y$5:$Y$23,MATCH($C80,Matches!$A$5:$A$23,0))),"")</f>
        <v>Dust2</v>
      </c>
      <c r="J80" s="11" t="n">
        <f aca="false">IFERROR(IF(INDEX(Matches!$Z$5:$Z$23,MATCH($C80,Matches!$A$5:$A$23,0))="","",INDEX(Matches!$Z$5:$Z$23,MATCH($C80,Matches!$A$5:$A$23,0))),"")</f>
        <v>21.42</v>
      </c>
      <c r="K80" s="11" t="n">
        <f aca="false">IFERROR(IF(INDEX(Matches!$AA$5:$AA$23,MATCH($C80,Matches!$A$5:$A$23,0))="","",INDEX(Matches!$AA$5:$AA$23,MATCH($C80,Matches!$A$5:$A$23,0))),"")</f>
        <v>21.42</v>
      </c>
      <c r="L80" s="11" t="n">
        <f aca="false">IFERROR(IF(INDEX(Matches!$AB$5:$AB$23,MATCH($C80,Matches!$A$5:$A$23,0))="","",INDEX(Matches!$AB$5:$AB$23,MATCH($C80,Matches!$A$5:$A$23,0))),"")</f>
        <v>21.42</v>
      </c>
      <c r="M80" s="10" t="n">
        <f aca="false">IFERROR(IF(INDEX(Matches!$AC$5:$AC$23,MATCH($C80,Matches!$A$5:$A$23,0))="","",INDEX(Matches!$AC$5:$AC$23,MATCH($C80,Matches!$A$5:$A$23,0))),"")</f>
        <v>0.4973</v>
      </c>
      <c r="N80" s="9" t="n">
        <f aca="false">IFERROR(INDEX(Players!$F$2:$F$137,MATCH($F80,Players!$A$2:$A$137,0)),0)</f>
        <v>33</v>
      </c>
      <c r="O80" s="13" t="n">
        <f aca="false">IFERROR(1/(1/INDEX(Players!$H$2:$H$137,MATCH($F80,Players!$A$2:$A$137,0))),"")</f>
        <v>0.77</v>
      </c>
      <c r="P80" s="10" t="n">
        <f aca="false">IFERROR(1/(1/INDEX(Players!$I$2:$I$137,MATCH($F80,Players!$A$2:$A$137,0))),"")</f>
        <v>0.637</v>
      </c>
      <c r="Q80" s="9" t="n">
        <f aca="false">IF($G80="",0,SUMIFS(Map_Stats!$F$2:$F$850,Map_Stats!$A$2:$A$850,$F80&amp;"|"&amp;$G80))</f>
        <v>7</v>
      </c>
      <c r="R80" s="13" t="n">
        <f aca="false">IF($G80="","",IFERROR(1/(1/INDEX(Map_Stats!$K$2:$K$850,MATCH($F80&amp;"|"&amp;$G80,Map_Stats!$A$2:$A$850,0))),$O80))</f>
        <v>0.9</v>
      </c>
      <c r="S80" s="10" t="n">
        <f aca="false">IF(OR($G80="",$P80=""),"",IFERROR(1/(1/INDEX(Map_Stats!$I$2:$I$850,MATCH($F80&amp;"|"&amp;$G80,Map_Stats!$A$2:$A$850,0))),$P80))</f>
        <v>0.594</v>
      </c>
      <c r="T80" s="13" t="n">
        <f aca="false">IF(OR($G80="",R80=""),"",IF($O80="",R80,(Q80*R80+Config!$B$4*$O80)/(Q80+Config!$B$4)))</f>
        <v>0.845833333333333</v>
      </c>
      <c r="U80" s="10" t="n">
        <f aca="false">IF(S80="","",(Q80*S80+Config!$B$4*$P80)/(Q80+Config!$B$4))</f>
        <v>0.611916666666667</v>
      </c>
      <c r="V80" s="17" t="n">
        <f aca="false">IF(OR(T80="",$J80=""),"",T80*$J80*($J80/Config!$B$10)^Config!$B$9)</f>
        <v>18.11775</v>
      </c>
      <c r="W80" s="17" t="n">
        <f aca="false">IF(OR(V80="",U80=""),"",V80*U80)</f>
        <v>11.0865531875</v>
      </c>
      <c r="X80" s="9" t="n">
        <f aca="false">IF($H80="",0,SUMIFS(Map_Stats!$F$2:$F$850,Map_Stats!$A$2:$A$850,$F80&amp;"|"&amp;$H80))</f>
        <v>5</v>
      </c>
      <c r="Y80" s="13" t="n">
        <f aca="false">IF($H80="","",IFERROR(1/(1/INDEX(Map_Stats!$K$2:$K$850,MATCH($F80&amp;"|"&amp;$H80,Map_Stats!$A$2:$A$850,0))),$O80))</f>
        <v>0.79</v>
      </c>
      <c r="Z80" s="10" t="n">
        <f aca="false">IF(OR($H80="",$P80=""),"",IFERROR(1/(1/INDEX(Map_Stats!$I$2:$I$850,MATCH($F80&amp;"|"&amp;$H80,Map_Stats!$A$2:$A$850,0))),$P80))</f>
        <v>0.647</v>
      </c>
      <c r="AA80" s="13" t="n">
        <f aca="false">IF(OR($H80="",Y80=""),"",IF($O80="",Y80,(X80*Y80+Config!$B$4*$O80)/(X80+Config!$B$4)))</f>
        <v>0.78</v>
      </c>
      <c r="AB80" s="10" t="n">
        <f aca="false">IF(Z80="","",(X80*Z80+Config!$B$4*$P80)/(X80+Config!$B$4))</f>
        <v>0.642</v>
      </c>
      <c r="AC80" s="17" t="n">
        <f aca="false">IF(OR(AA80="",$K80=""),"",AA80*$K80*($K80/Config!$B$10)^Config!$B$9)</f>
        <v>16.7076</v>
      </c>
      <c r="AD80" s="17" t="n">
        <f aca="false">IF(OR(AC80="",AB80=""),"",AC80*AB80)</f>
        <v>10.7262792</v>
      </c>
      <c r="AE80" s="9" t="n">
        <f aca="false">IF($I80="",0,SUMIFS(Map_Stats!$F$2:$F$850,Map_Stats!$A$2:$A$850,$F80&amp;"|"&amp;$I80))</f>
        <v>6</v>
      </c>
      <c r="AF80" s="13" t="n">
        <f aca="false">IF($I80="","",IFERROR(1/(1/INDEX(Map_Stats!$K$2:$K$850,MATCH($F80&amp;"|"&amp;$I80,Map_Stats!$A$2:$A$850,0))),$O80))</f>
        <v>0.73</v>
      </c>
      <c r="AG80" s="10" t="n">
        <f aca="false">IF(OR($I80="",$P80=""),"",IFERROR(1/(1/INDEX(Map_Stats!$I$2:$I$850,MATCH($F80&amp;"|"&amp;$I80,Map_Stats!$A$2:$A$850,0))),$P80))</f>
        <v>0.72</v>
      </c>
      <c r="AH80" s="13" t="n">
        <f aca="false">IF(OR($I80="",AF80=""),"",IF($O80="",AF80,(AE80*AF80+Config!$B$4*$O80)/(AE80+Config!$B$4)))</f>
        <v>0.748181818181818</v>
      </c>
      <c r="AI80" s="10" t="n">
        <f aca="false">IF(AG80="","",(AE80*AG80+Config!$B$4*$P80)/(AE80+Config!$B$4))</f>
        <v>0.682272727272727</v>
      </c>
      <c r="AJ80" s="17" t="n">
        <f aca="false">IF(OR(AH80="",$L80=""),"",AH80*$L80*($L80/Config!$B$10)^Config!$B$9)</f>
        <v>16.0260545454545</v>
      </c>
      <c r="AK80" s="17" t="n">
        <f aca="false">IF(OR(AJ80="",AI80=""),"",AJ80*AI80)</f>
        <v>10.9341399421488</v>
      </c>
      <c r="AL80" s="17" t="n">
        <f aca="false">N(V80)+N(AC80)</f>
        <v>34.82535</v>
      </c>
      <c r="AM80" s="17" t="n">
        <f aca="false">AL80+N($M80)*N(AJ80)</f>
        <v>42.7951069254546</v>
      </c>
      <c r="AN80" s="17" t="n">
        <f aca="false">IF(W80="","",N(W80)+N(AD80))</f>
        <v>21.8128323875</v>
      </c>
      <c r="AO80" s="17" t="n">
        <f aca="false">IF(AN80="","",AN80+N($M80)*N(AK80))</f>
        <v>27.2503801807306</v>
      </c>
      <c r="AP80" s="10" t="n">
        <f aca="false">IFERROR(AN80/AL80,"")</f>
        <v>0.626349265334017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IF($C80=Board!$B$2,COUNTIFS($C$2:$C$137,Board!$B$2,$AL$2:$AL$137,"&gt;"&amp;$AL80)+COUNTIFS($C$1:$C79,Board!$B$2,$AL$1:$AL79,$AL80)+1,"")</f>
        <v/>
      </c>
      <c r="AS80" s="0" t="str">
        <f aca="false">IFERROR(IF($D80=INDEX(Matches!$AD$5:$AD$23,MATCH($C80,Matches!$A$5:$A$23,0)),"A",IF($D80=INDEX(Matches!$AE$5:$AE$23,MATCH($C80,Matches!$A$5:$A$23,0)),"B","")),"")</f>
        <v>B</v>
      </c>
      <c r="AT80" s="10" t="n">
        <f aca="false">IF($AS80="","",IFERROR(IF($AS80="A",INDEX(Matches!$AI$5:$AI$23,MATCH($C80,Matches!$A$5:$A$23,0)),INDEX(Matches!$AJ$5:$AJ$23,MATCH($C80,Matches!$A$5:$A$23,0))),""))</f>
        <v>0.506806032567718</v>
      </c>
      <c r="AU80" s="10" t="n">
        <f aca="false">IF($AS80="","",IFERROR(IF(INDEX(Matches!$AP$5:$AP$23,MATCH($C80,Matches!$A$5:$A$23,0))="","",IF($AS80="A",INDEX(Matches!$AP$5:$AP$23,MATCH($C80,Matches!$A$5:$A$23,0)),1-INDEX(Matches!$AP$5:$AP$23,MATCH($C80,Matches!$A$5:$A$23,0)))),""))</f>
        <v>0.477475726941802</v>
      </c>
      <c r="AV80" s="13" t="n">
        <f aca="false">IF(OR($AU80="",$AT80=""),1,((Config!$B$14*$AU80+Config!$B$15*(1-$AU80))/(Config!$B$14*$AT80+Config!$B$15*(1-$AT80)))^Config!$B$13)</f>
        <v>0.973948385224106</v>
      </c>
      <c r="AW80" s="10" t="n">
        <f aca="false">IF($AS80="","",IFERROR(IF(INDEX(Matches!$AV$5:$AV$23,MATCH($C80,Matches!$A$5:$A$23,0))="","",IF($AS80="A",INDEX(Matches!$AV$5:$AV$23,MATCH($C80,Matches!$A$5:$A$23,0)),1-INDEX(Matches!$AV$5:$AV$23,MATCH($C80,Matches!$A$5:$A$23,0)))),""))</f>
        <v>0.458491865300764</v>
      </c>
      <c r="AX80" s="13" t="n">
        <f aca="false">IF(OR($AW80="",$AT80=""),1,((Config!$B$14*$AW80+Config!$B$15*(1-$AW80))/(Config!$B$14*$AT80+Config!$B$15*(1-$AT80)))^Config!$B$13)</f>
        <v>0.957086636262507</v>
      </c>
      <c r="AY80" s="10" t="n">
        <f aca="false">IF($AS80="","",IFERROR(IF(INDEX(Matches!$BB$5:$BB$23,MATCH($C80,Matches!$A$5:$A$23,0))="","",IF($AS80="A",INDEX(Matches!$BB$5:$BB$23,MATCH($C80,Matches!$A$5:$A$23,0)),1-INDEX(Matches!$BB$5:$BB$23,MATCH($C80,Matches!$A$5:$A$23,0)))),""))</f>
        <v>0.524720665109696</v>
      </c>
      <c r="AZ80" s="13" t="n">
        <f aca="false">IF(OR($AY80="",$AT80=""),1,((Config!$B$14*$AY80+Config!$B$15*(1-$AY80))/(Config!$B$14*$AT80+Config!$B$15*(1-$AT80)))^Config!$B$13)</f>
        <v>1.01591204373346</v>
      </c>
      <c r="BA80" s="17" t="n">
        <f aca="false">IF(V80="","",V80*$AV80)</f>
        <v>17.6457533563941</v>
      </c>
      <c r="BB80" s="17" t="n">
        <f aca="false">IF(AC80="","",AC80*$AX80)</f>
        <v>15.9906206840195</v>
      </c>
      <c r="BC80" s="17" t="n">
        <f aca="false">IF(AJ80="","",AJ80*$AZ80)</f>
        <v>16.2810618262566</v>
      </c>
      <c r="BD80" s="17" t="n">
        <f aca="false">N(BA80)+N(BB80)</f>
        <v>33.6363740404135</v>
      </c>
      <c r="BE80" s="17" t="n">
        <f aca="false">BD80+N($M80)*N(BC80)</f>
        <v>41.7329460866109</v>
      </c>
      <c r="BF80" s="17" t="n">
        <f aca="false">IF(W80="","",W80*$AV80)</f>
        <v>10.7977305746668</v>
      </c>
      <c r="BG80" s="17" t="n">
        <f aca="false">IF(AD80="","",AD80*$AX80)</f>
        <v>10.2659784791405</v>
      </c>
      <c r="BH80" s="17" t="n">
        <f aca="false">IF(AK80="","",AK80*$AZ80)</f>
        <v>11.108124455096</v>
      </c>
      <c r="BI80" s="17" t="n">
        <f aca="false">IF(BF80="","",N(BF80)+N(BG80))</f>
        <v>21.0637090538073</v>
      </c>
      <c r="BJ80" s="17" t="n">
        <f aca="false">IF(BI80="","",BI80+N($M80)*N(BH80))</f>
        <v>26.5877793453265</v>
      </c>
      <c r="BK80" s="13" t="n">
        <f aca="false">IFERROR(BD80/AL80,1)</f>
        <v>0.965858894179485</v>
      </c>
    </row>
    <row r="81" customFormat="false" ht="15" hidden="false" customHeight="false" outlineLevel="0" collapsed="false">
      <c r="A81" s="0" t="s">
        <v>1483</v>
      </c>
      <c r="B81" s="0" t="s">
        <v>1139</v>
      </c>
      <c r="C81" s="0" t="s">
        <v>1167</v>
      </c>
      <c r="D81" s="0" t="s">
        <v>1173</v>
      </c>
      <c r="E81" s="0" t="s">
        <v>1482</v>
      </c>
      <c r="F81" s="0" t="s">
        <v>1738</v>
      </c>
      <c r="G81" s="0" t="str">
        <f aca="false">IFERROR(IF(INDEX(Matches!$W$5:$W$23,MATCH($C81,Matches!$A$5:$A$23,0))="","",INDEX(Matches!$W$5:$W$23,MATCH($C81,Matches!$A$5:$A$23,0))),"")</f>
        <v>Ancient</v>
      </c>
      <c r="H81" s="0" t="str">
        <f aca="false">IFERROR(IF(INDEX(Matches!$X$5:$X$23,MATCH($C81,Matches!$A$5:$A$23,0))="","",INDEX(Matches!$X$5:$X$23,MATCH($C81,Matches!$A$5:$A$23,0))),"")</f>
        <v>Nuke</v>
      </c>
      <c r="I81" s="0" t="str">
        <f aca="false">IFERROR(IF(INDEX(Matches!$Y$5:$Y$23,MATCH($C81,Matches!$A$5:$A$23,0))="","",INDEX(Matches!$Y$5:$Y$23,MATCH($C81,Matches!$A$5:$A$23,0))),"")</f>
        <v>Dust2</v>
      </c>
      <c r="J81" s="11" t="n">
        <f aca="false">IFERROR(IF(INDEX(Matches!$Z$5:$Z$23,MATCH($C81,Matches!$A$5:$A$23,0))="","",INDEX(Matches!$Z$5:$Z$23,MATCH($C81,Matches!$A$5:$A$23,0))),"")</f>
        <v>21.42</v>
      </c>
      <c r="K81" s="11" t="n">
        <f aca="false">IFERROR(IF(INDEX(Matches!$AA$5:$AA$23,MATCH($C81,Matches!$A$5:$A$23,0))="","",INDEX(Matches!$AA$5:$AA$23,MATCH($C81,Matches!$A$5:$A$23,0))),"")</f>
        <v>21.42</v>
      </c>
      <c r="L81" s="11" t="n">
        <f aca="false">IFERROR(IF(INDEX(Matches!$AB$5:$AB$23,MATCH($C81,Matches!$A$5:$A$23,0))="","",INDEX(Matches!$AB$5:$AB$23,MATCH($C81,Matches!$A$5:$A$23,0))),"")</f>
        <v>21.42</v>
      </c>
      <c r="M81" s="10" t="n">
        <f aca="false">IFERROR(IF(INDEX(Matches!$AC$5:$AC$23,MATCH($C81,Matches!$A$5:$A$23,0))="","",INDEX(Matches!$AC$5:$AC$23,MATCH($C81,Matches!$A$5:$A$23,0))),"")</f>
        <v>0.4973</v>
      </c>
      <c r="N81" s="9" t="n">
        <f aca="false">IFERROR(INDEX(Players!$F$2:$F$137,MATCH($F81,Players!$A$2:$A$137,0)),0)</f>
        <v>35</v>
      </c>
      <c r="O81" s="13" t="n">
        <f aca="false">IFERROR(1/(1/INDEX(Players!$H$2:$H$137,MATCH($F81,Players!$A$2:$A$137,0))),"")</f>
        <v>0.63</v>
      </c>
      <c r="P81" s="10" t="n">
        <f aca="false">IFERROR(1/(1/INDEX(Players!$I$2:$I$137,MATCH($F81,Players!$A$2:$A$137,0))),"")</f>
        <v>0.383</v>
      </c>
      <c r="Q81" s="9" t="n">
        <f aca="false">IF($G81="",0,SUMIFS(Map_Stats!$F$2:$F$850,Map_Stats!$A$2:$A$850,$F81&amp;"|"&amp;$G81))</f>
        <v>8</v>
      </c>
      <c r="R81" s="13" t="n">
        <f aca="false">IF($G81="","",IFERROR(1/(1/INDEX(Map_Stats!$K$2:$K$850,MATCH($F81&amp;"|"&amp;$G81,Map_Stats!$A$2:$A$850,0))),$O81))</f>
        <v>0.62</v>
      </c>
      <c r="S81" s="10" t="n">
        <f aca="false">IF(OR($G81="",$P81=""),"",IFERROR(1/(1/INDEX(Map_Stats!$I$2:$I$850,MATCH($F81&amp;"|"&amp;$G81,Map_Stats!$A$2:$A$850,0))),$P81))</f>
        <v>0.341</v>
      </c>
      <c r="T81" s="13" t="n">
        <f aca="false">IF(OR($G81="",R81=""),"",IF($O81="",R81,(Q81*R81+Config!$B$4*$O81)/(Q81+Config!$B$4)))</f>
        <v>0.623846153846154</v>
      </c>
      <c r="U81" s="10" t="n">
        <f aca="false">IF(S81="","",(Q81*S81+Config!$B$4*$P81)/(Q81+Config!$B$4))</f>
        <v>0.357153846153846</v>
      </c>
      <c r="V81" s="17" t="n">
        <f aca="false">IF(OR(T81="",$J81=""),"",T81*$J81*($J81/Config!$B$10)^Config!$B$9)</f>
        <v>13.3627846153846</v>
      </c>
      <c r="W81" s="17" t="n">
        <f aca="false">IF(OR(V81="",U81=""),"",V81*U81)</f>
        <v>4.77256992071006</v>
      </c>
      <c r="X81" s="9" t="n">
        <f aca="false">IF($H81="",0,SUMIFS(Map_Stats!$F$2:$F$850,Map_Stats!$A$2:$A$850,$F81&amp;"|"&amp;$H81))</f>
        <v>6</v>
      </c>
      <c r="Y81" s="13" t="n">
        <f aca="false">IF($H81="","",IFERROR(1/(1/INDEX(Map_Stats!$K$2:$K$850,MATCH($F81&amp;"|"&amp;$H81,Map_Stats!$A$2:$A$850,0))),$O81))</f>
        <v>0.65</v>
      </c>
      <c r="Z81" s="10" t="n">
        <f aca="false">IF(OR($H81="",$P81=""),"",IFERROR(1/(1/INDEX(Map_Stats!$I$2:$I$850,MATCH($F81&amp;"|"&amp;$H81,Map_Stats!$A$2:$A$850,0))),$P81))</f>
        <v>0.412</v>
      </c>
      <c r="AA81" s="13" t="n">
        <f aca="false">IF(OR($H81="",Y81=""),"",IF($O81="",Y81,(X81*Y81+Config!$B$4*$O81)/(X81+Config!$B$4)))</f>
        <v>0.640909090909091</v>
      </c>
      <c r="AB81" s="10" t="n">
        <f aca="false">IF(Z81="","",(X81*Z81+Config!$B$4*$P81)/(X81+Config!$B$4))</f>
        <v>0.398818181818182</v>
      </c>
      <c r="AC81" s="17" t="n">
        <f aca="false">IF(OR(AA81="",$K81=""),"",AA81*$K81*($K81/Config!$B$10)^Config!$B$9)</f>
        <v>13.7282727272727</v>
      </c>
      <c r="AD81" s="17" t="n">
        <f aca="false">IF(OR(AC81="",AB81=""),"",AC81*AB81)</f>
        <v>5.47508476859504</v>
      </c>
      <c r="AE81" s="9" t="n">
        <f aca="false">IF($I81="",0,SUMIFS(Map_Stats!$F$2:$F$850,Map_Stats!$A$2:$A$850,$F81&amp;"|"&amp;$I81))</f>
        <v>7</v>
      </c>
      <c r="AF81" s="13" t="n">
        <f aca="false">IF($I81="","",IFERROR(1/(1/INDEX(Map_Stats!$K$2:$K$850,MATCH($F81&amp;"|"&amp;$I81,Map_Stats!$A$2:$A$850,0))),$O81))</f>
        <v>0.6</v>
      </c>
      <c r="AG81" s="10" t="n">
        <f aca="false">IF(OR($I81="",$P81=""),"",IFERROR(1/(1/INDEX(Map_Stats!$I$2:$I$850,MATCH($F81&amp;"|"&amp;$I81,Map_Stats!$A$2:$A$850,0))),$P81))</f>
        <v>0.432</v>
      </c>
      <c r="AH81" s="13" t="n">
        <f aca="false">IF(OR($I81="",AF81=""),"",IF($O81="",AF81,(AE81*AF81+Config!$B$4*$O81)/(AE81+Config!$B$4)))</f>
        <v>0.6125</v>
      </c>
      <c r="AI81" s="10" t="n">
        <f aca="false">IF(AG81="","",(AE81*AG81+Config!$B$4*$P81)/(AE81+Config!$B$4))</f>
        <v>0.411583333333333</v>
      </c>
      <c r="AJ81" s="17" t="n">
        <f aca="false">IF(OR(AH81="",$L81=""),"",AH81*$L81*($L81/Config!$B$10)^Config!$B$9)</f>
        <v>13.11975</v>
      </c>
      <c r="AK81" s="17" t="n">
        <f aca="false">IF(OR(AJ81="",AI81=""),"",AJ81*AI81)</f>
        <v>5.3998704375</v>
      </c>
      <c r="AL81" s="17" t="n">
        <f aca="false">N(V81)+N(AC81)</f>
        <v>27.0910573426573</v>
      </c>
      <c r="AM81" s="17" t="n">
        <f aca="false">AL81+N($M81)*N(AJ81)</f>
        <v>33.6155090176573</v>
      </c>
      <c r="AN81" s="17" t="n">
        <f aca="false">IF(W81="","",N(W81)+N(AD81))</f>
        <v>10.2476546893051</v>
      </c>
      <c r="AO81" s="17" t="n">
        <f aca="false">IF(AN81="","",AN81+N($M81)*N(AK81))</f>
        <v>12.9330102578739</v>
      </c>
      <c r="AP81" s="10" t="n">
        <f aca="false">IFERROR(AN81/AL81,"")</f>
        <v>0.378267062805601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IF($C81=Board!$B$2,COUNTIFS($C$2:$C$137,Board!$B$2,$AL$2:$AL$137,"&gt;"&amp;$AL81)+COUNTIFS($C$1:$C80,Board!$B$2,$AL$1:$AL80,$AL81)+1,"")</f>
        <v/>
      </c>
      <c r="AS81" s="0" t="str">
        <f aca="false">IFERROR(IF($D81=INDEX(Matches!$AD$5:$AD$23,MATCH($C81,Matches!$A$5:$A$23,0)),"A",IF($D81=INDEX(Matches!$AE$5:$AE$23,MATCH($C81,Matches!$A$5:$A$23,0)),"B","")),"")</f>
        <v>B</v>
      </c>
      <c r="AT81" s="10" t="n">
        <f aca="false">IF($AS81="","",IFERROR(IF($AS81="A",INDEX(Matches!$AI$5:$AI$23,MATCH($C81,Matches!$A$5:$A$23,0)),INDEX(Matches!$AJ$5:$AJ$23,MATCH($C81,Matches!$A$5:$A$23,0))),""))</f>
        <v>0.506806032567718</v>
      </c>
      <c r="AU81" s="10" t="n">
        <f aca="false">IF($AS81="","",IFERROR(IF(INDEX(Matches!$AP$5:$AP$23,MATCH($C81,Matches!$A$5:$A$23,0))="","",IF($AS81="A",INDEX(Matches!$AP$5:$AP$23,MATCH($C81,Matches!$A$5:$A$23,0)),1-INDEX(Matches!$AP$5:$AP$23,MATCH($C81,Matches!$A$5:$A$23,0)))),""))</f>
        <v>0.477475726941802</v>
      </c>
      <c r="AV81" s="13" t="n">
        <f aca="false">IF(OR($AU81="",$AT81=""),1,((Config!$B$14*$AU81+Config!$B$15*(1-$AU81))/(Config!$B$14*$AT81+Config!$B$15*(1-$AT81)))^Config!$B$13)</f>
        <v>0.973948385224106</v>
      </c>
      <c r="AW81" s="10" t="n">
        <f aca="false">IF($AS81="","",IFERROR(IF(INDEX(Matches!$AV$5:$AV$23,MATCH($C81,Matches!$A$5:$A$23,0))="","",IF($AS81="A",INDEX(Matches!$AV$5:$AV$23,MATCH($C81,Matches!$A$5:$A$23,0)),1-INDEX(Matches!$AV$5:$AV$23,MATCH($C81,Matches!$A$5:$A$23,0)))),""))</f>
        <v>0.458491865300764</v>
      </c>
      <c r="AX81" s="13" t="n">
        <f aca="false">IF(OR($AW81="",$AT81=""),1,((Config!$B$14*$AW81+Config!$B$15*(1-$AW81))/(Config!$B$14*$AT81+Config!$B$15*(1-$AT81)))^Config!$B$13)</f>
        <v>0.957086636262507</v>
      </c>
      <c r="AY81" s="10" t="n">
        <f aca="false">IF($AS81="","",IFERROR(IF(INDEX(Matches!$BB$5:$BB$23,MATCH($C81,Matches!$A$5:$A$23,0))="","",IF($AS81="A",INDEX(Matches!$BB$5:$BB$23,MATCH($C81,Matches!$A$5:$A$23,0)),1-INDEX(Matches!$BB$5:$BB$23,MATCH($C81,Matches!$A$5:$A$23,0)))),""))</f>
        <v>0.524720665109696</v>
      </c>
      <c r="AZ81" s="13" t="n">
        <f aca="false">IF(OR($AY81="",$AT81=""),1,((Config!$B$14*$AY81+Config!$B$15*(1-$AY81))/(Config!$B$14*$AT81+Config!$B$15*(1-$AT81)))^Config!$B$13)</f>
        <v>1.01591204373346</v>
      </c>
      <c r="BA81" s="17" t="n">
        <f aca="false">IF(V81="","",V81*$AV81)</f>
        <v>13.0146624982514</v>
      </c>
      <c r="BB81" s="17" t="n">
        <f aca="false">IF(AC81="","",AC81*$AX81)</f>
        <v>13.1391463662398</v>
      </c>
      <c r="BC81" s="17" t="n">
        <f aca="false">IF(AJ81="","",AJ81*$AZ81)</f>
        <v>13.328512035772</v>
      </c>
      <c r="BD81" s="17" t="n">
        <f aca="false">N(BA81)+N(BB81)</f>
        <v>26.1538088644911</v>
      </c>
      <c r="BE81" s="17" t="n">
        <f aca="false">BD81+N($M81)*N(BC81)</f>
        <v>32.7820778998806</v>
      </c>
      <c r="BF81" s="17" t="n">
        <f aca="false">IF(W81="","",W81*$AV81)</f>
        <v>4.6482367676447</v>
      </c>
      <c r="BG81" s="17" t="n">
        <f aca="false">IF(AD81="","",AD81*$AX81)</f>
        <v>5.24013046442671</v>
      </c>
      <c r="BH81" s="17" t="n">
        <f aca="false">IF(AK81="","",AK81*$AZ81)</f>
        <v>5.48579341205651</v>
      </c>
      <c r="BI81" s="17" t="n">
        <f aca="false">IF(BF81="","",N(BF81)+N(BG81))</f>
        <v>9.88836723207142</v>
      </c>
      <c r="BJ81" s="17" t="n">
        <f aca="false">IF(BI81="","",BI81+N($M81)*N(BH81))</f>
        <v>12.6164522958871</v>
      </c>
      <c r="BK81" s="13" t="n">
        <f aca="false">IFERROR(BD81/AL81,1)</f>
        <v>0.965403768988728</v>
      </c>
    </row>
    <row r="82" customFormat="false" ht="15" hidden="false" customHeight="false" outlineLevel="0" collapsed="false">
      <c r="A82" s="0" t="s">
        <v>1485</v>
      </c>
      <c r="B82" s="0" t="s">
        <v>1139</v>
      </c>
      <c r="C82" s="0" t="s">
        <v>1167</v>
      </c>
      <c r="D82" s="0" t="s">
        <v>1173</v>
      </c>
      <c r="E82" s="0" t="s">
        <v>1484</v>
      </c>
      <c r="F82" s="0" t="s">
        <v>1739</v>
      </c>
      <c r="G82" s="0" t="str">
        <f aca="false">IFERROR(IF(INDEX(Matches!$W$5:$W$23,MATCH($C82,Matches!$A$5:$A$23,0))="","",INDEX(Matches!$W$5:$W$23,MATCH($C82,Matches!$A$5:$A$23,0))),"")</f>
        <v>Ancient</v>
      </c>
      <c r="H82" s="0" t="str">
        <f aca="false">IFERROR(IF(INDEX(Matches!$X$5:$X$23,MATCH($C82,Matches!$A$5:$A$23,0))="","",INDEX(Matches!$X$5:$X$23,MATCH($C82,Matches!$A$5:$A$23,0))),"")</f>
        <v>Nuke</v>
      </c>
      <c r="I82" s="0" t="str">
        <f aca="false">IFERROR(IF(INDEX(Matches!$Y$5:$Y$23,MATCH($C82,Matches!$A$5:$A$23,0))="","",INDEX(Matches!$Y$5:$Y$23,MATCH($C82,Matches!$A$5:$A$23,0))),"")</f>
        <v>Dust2</v>
      </c>
      <c r="J82" s="11" t="n">
        <f aca="false">IFERROR(IF(INDEX(Matches!$Z$5:$Z$23,MATCH($C82,Matches!$A$5:$A$23,0))="","",INDEX(Matches!$Z$5:$Z$23,MATCH($C82,Matches!$A$5:$A$23,0))),"")</f>
        <v>21.42</v>
      </c>
      <c r="K82" s="11" t="n">
        <f aca="false">IFERROR(IF(INDEX(Matches!$AA$5:$AA$23,MATCH($C82,Matches!$A$5:$A$23,0))="","",INDEX(Matches!$AA$5:$AA$23,MATCH($C82,Matches!$A$5:$A$23,0))),"")</f>
        <v>21.42</v>
      </c>
      <c r="L82" s="11" t="n">
        <f aca="false">IFERROR(IF(INDEX(Matches!$AB$5:$AB$23,MATCH($C82,Matches!$A$5:$A$23,0))="","",INDEX(Matches!$AB$5:$AB$23,MATCH($C82,Matches!$A$5:$A$23,0))),"")</f>
        <v>21.42</v>
      </c>
      <c r="M82" s="10" t="n">
        <f aca="false">IFERROR(IF(INDEX(Matches!$AC$5:$AC$23,MATCH($C82,Matches!$A$5:$A$23,0))="","",INDEX(Matches!$AC$5:$AC$23,MATCH($C82,Matches!$A$5:$A$23,0))),"")</f>
        <v>0.4973</v>
      </c>
      <c r="N82" s="9" t="n">
        <f aca="false">IFERROR(INDEX(Players!$F$2:$F$137,MATCH($F82,Players!$A$2:$A$137,0)),0)</f>
        <v>38</v>
      </c>
      <c r="O82" s="13" t="n">
        <f aca="false">IFERROR(1/(1/INDEX(Players!$H$2:$H$137,MATCH($F82,Players!$A$2:$A$137,0))),"")</f>
        <v>0.68</v>
      </c>
      <c r="P82" s="10" t="n">
        <f aca="false">IFERROR(1/(1/INDEX(Players!$I$2:$I$137,MATCH($F82,Players!$A$2:$A$137,0))),"")</f>
        <v>0.551</v>
      </c>
      <c r="Q82" s="9" t="n">
        <f aca="false">IF($G82="",0,SUMIFS(Map_Stats!$F$2:$F$850,Map_Stats!$A$2:$A$850,$F82&amp;"|"&amp;$G82))</f>
        <v>9</v>
      </c>
      <c r="R82" s="13" t="n">
        <f aca="false">IF($G82="","",IFERROR(1/(1/INDEX(Map_Stats!$K$2:$K$850,MATCH($F82&amp;"|"&amp;$G82,Map_Stats!$A$2:$A$850,0))),$O82))</f>
        <v>0.69</v>
      </c>
      <c r="S82" s="10" t="n">
        <f aca="false">IF(OR($G82="",$P82=""),"",IFERROR(1/(1/INDEX(Map_Stats!$I$2:$I$850,MATCH($F82&amp;"|"&amp;$G82,Map_Stats!$A$2:$A$850,0))),$P82))</f>
        <v>0.556</v>
      </c>
      <c r="T82" s="13" t="n">
        <f aca="false">IF(OR($G82="",R82=""),"",IF($O82="",R82,(Q82*R82+Config!$B$4*$O82)/(Q82+Config!$B$4)))</f>
        <v>0.686428571428571</v>
      </c>
      <c r="U82" s="10" t="n">
        <f aca="false">IF(S82="","",(Q82*S82+Config!$B$4*$P82)/(Q82+Config!$B$4))</f>
        <v>0.554214285714286</v>
      </c>
      <c r="V82" s="17" t="n">
        <f aca="false">IF(OR(T82="",$J82=""),"",T82*$J82*($J82/Config!$B$10)^Config!$B$9)</f>
        <v>14.7033</v>
      </c>
      <c r="W82" s="17" t="n">
        <f aca="false">IF(OR(V82="",U82=""),"",V82*U82)</f>
        <v>8.14877890714286</v>
      </c>
      <c r="X82" s="9" t="n">
        <f aca="false">IF($H82="",0,SUMIFS(Map_Stats!$F$2:$F$850,Map_Stats!$A$2:$A$850,$F82&amp;"|"&amp;$H82))</f>
        <v>5</v>
      </c>
      <c r="Y82" s="13" t="n">
        <f aca="false">IF($H82="","",IFERROR(1/(1/INDEX(Map_Stats!$K$2:$K$850,MATCH($F82&amp;"|"&amp;$H82,Map_Stats!$A$2:$A$850,0))),$O82))</f>
        <v>0.63</v>
      </c>
      <c r="Z82" s="10" t="n">
        <f aca="false">IF(OR($H82="",$P82=""),"",IFERROR(1/(1/INDEX(Map_Stats!$I$2:$I$850,MATCH($F82&amp;"|"&amp;$H82,Map_Stats!$A$2:$A$850,0))),$P82))</f>
        <v>0.549</v>
      </c>
      <c r="AA82" s="13" t="n">
        <f aca="false">IF(OR($H82="",Y82=""),"",IF($O82="",Y82,(X82*Y82+Config!$B$4*$O82)/(X82+Config!$B$4)))</f>
        <v>0.655</v>
      </c>
      <c r="AB82" s="10" t="n">
        <f aca="false">IF(Z82="","",(X82*Z82+Config!$B$4*$P82)/(X82+Config!$B$4))</f>
        <v>0.55</v>
      </c>
      <c r="AC82" s="17" t="n">
        <f aca="false">IF(OR(AA82="",$K82=""),"",AA82*$K82*($K82/Config!$B$10)^Config!$B$9)</f>
        <v>14.0301</v>
      </c>
      <c r="AD82" s="17" t="n">
        <f aca="false">IF(OR(AC82="",AB82=""),"",AC82*AB82)</f>
        <v>7.716555</v>
      </c>
      <c r="AE82" s="9" t="n">
        <f aca="false">IF($I82="",0,SUMIFS(Map_Stats!$F$2:$F$850,Map_Stats!$A$2:$A$850,$F82&amp;"|"&amp;$I82))</f>
        <v>7</v>
      </c>
      <c r="AF82" s="13" t="n">
        <f aca="false">IF($I82="","",IFERROR(1/(1/INDEX(Map_Stats!$K$2:$K$850,MATCH($F82&amp;"|"&amp;$I82,Map_Stats!$A$2:$A$850,0))),$O82))</f>
        <v>0.77</v>
      </c>
      <c r="AG82" s="10" t="n">
        <f aca="false">IF(OR($I82="",$P82=""),"",IFERROR(1/(1/INDEX(Map_Stats!$I$2:$I$850,MATCH($F82&amp;"|"&amp;$I82,Map_Stats!$A$2:$A$850,0))),$P82))</f>
        <v>0.593</v>
      </c>
      <c r="AH82" s="13" t="n">
        <f aca="false">IF(OR($I82="",AF82=""),"",IF($O82="",AF82,(AE82*AF82+Config!$B$4*$O82)/(AE82+Config!$B$4)))</f>
        <v>0.7325</v>
      </c>
      <c r="AI82" s="10" t="n">
        <f aca="false">IF(AG82="","",(AE82*AG82+Config!$B$4*$P82)/(AE82+Config!$B$4))</f>
        <v>0.5755</v>
      </c>
      <c r="AJ82" s="17" t="n">
        <f aca="false">IF(OR(AH82="",$L82=""),"",AH82*$L82*($L82/Config!$B$10)^Config!$B$9)</f>
        <v>15.69015</v>
      </c>
      <c r="AK82" s="17" t="n">
        <f aca="false">IF(OR(AJ82="",AI82=""),"",AJ82*AI82)</f>
        <v>9.029681325</v>
      </c>
      <c r="AL82" s="17" t="n">
        <f aca="false">N(V82)+N(AC82)</f>
        <v>28.7334</v>
      </c>
      <c r="AM82" s="17" t="n">
        <f aca="false">AL82+N($M82)*N(AJ82)</f>
        <v>36.536111595</v>
      </c>
      <c r="AN82" s="17" t="n">
        <f aca="false">IF(W82="","",N(W82)+N(AD82))</f>
        <v>15.8653339071429</v>
      </c>
      <c r="AO82" s="17" t="n">
        <f aca="false">IF(AN82="","",AN82+N($M82)*N(AK82))</f>
        <v>20.3557944300654</v>
      </c>
      <c r="AP82" s="10" t="n">
        <f aca="false">IFERROR(AN82/AL82,"")</f>
        <v>0.552156511486384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IF($C82=Board!$B$2,COUNTIFS($C$2:$C$137,Board!$B$2,$AL$2:$AL$137,"&gt;"&amp;$AL82)+COUNTIFS($C$1:$C81,Board!$B$2,$AL$1:$AL81,$AL82)+1,"")</f>
        <v/>
      </c>
      <c r="AS82" s="0" t="str">
        <f aca="false">IFERROR(IF($D82=INDEX(Matches!$AD$5:$AD$23,MATCH($C82,Matches!$A$5:$A$23,0)),"A",IF($D82=INDEX(Matches!$AE$5:$AE$23,MATCH($C82,Matches!$A$5:$A$23,0)),"B","")),"")</f>
        <v>B</v>
      </c>
      <c r="AT82" s="10" t="n">
        <f aca="false">IF($AS82="","",IFERROR(IF($AS82="A",INDEX(Matches!$AI$5:$AI$23,MATCH($C82,Matches!$A$5:$A$23,0)),INDEX(Matches!$AJ$5:$AJ$23,MATCH($C82,Matches!$A$5:$A$23,0))),""))</f>
        <v>0.506806032567718</v>
      </c>
      <c r="AU82" s="10" t="n">
        <f aca="false">IF($AS82="","",IFERROR(IF(INDEX(Matches!$AP$5:$AP$23,MATCH($C82,Matches!$A$5:$A$23,0))="","",IF($AS82="A",INDEX(Matches!$AP$5:$AP$23,MATCH($C82,Matches!$A$5:$A$23,0)),1-INDEX(Matches!$AP$5:$AP$23,MATCH($C82,Matches!$A$5:$A$23,0)))),""))</f>
        <v>0.477475726941802</v>
      </c>
      <c r="AV82" s="13" t="n">
        <f aca="false">IF(OR($AU82="",$AT82=""),1,((Config!$B$14*$AU82+Config!$B$15*(1-$AU82))/(Config!$B$14*$AT82+Config!$B$15*(1-$AT82)))^Config!$B$13)</f>
        <v>0.973948385224106</v>
      </c>
      <c r="AW82" s="10" t="n">
        <f aca="false">IF($AS82="","",IFERROR(IF(INDEX(Matches!$AV$5:$AV$23,MATCH($C82,Matches!$A$5:$A$23,0))="","",IF($AS82="A",INDEX(Matches!$AV$5:$AV$23,MATCH($C82,Matches!$A$5:$A$23,0)),1-INDEX(Matches!$AV$5:$AV$23,MATCH($C82,Matches!$A$5:$A$23,0)))),""))</f>
        <v>0.458491865300764</v>
      </c>
      <c r="AX82" s="13" t="n">
        <f aca="false">IF(OR($AW82="",$AT82=""),1,((Config!$B$14*$AW82+Config!$B$15*(1-$AW82))/(Config!$B$14*$AT82+Config!$B$15*(1-$AT82)))^Config!$B$13)</f>
        <v>0.957086636262507</v>
      </c>
      <c r="AY82" s="10" t="n">
        <f aca="false">IF($AS82="","",IFERROR(IF(INDEX(Matches!$BB$5:$BB$23,MATCH($C82,Matches!$A$5:$A$23,0))="","",IF($AS82="A",INDEX(Matches!$BB$5:$BB$23,MATCH($C82,Matches!$A$5:$A$23,0)),1-INDEX(Matches!$BB$5:$BB$23,MATCH($C82,Matches!$A$5:$A$23,0)))),""))</f>
        <v>0.524720665109696</v>
      </c>
      <c r="AZ82" s="13" t="n">
        <f aca="false">IF(OR($AY82="",$AT82=""),1,((Config!$B$14*$AY82+Config!$B$15*(1-$AY82))/(Config!$B$14*$AT82+Config!$B$15*(1-$AT82)))^Config!$B$13)</f>
        <v>1.01591204373346</v>
      </c>
      <c r="BA82" s="17" t="n">
        <f aca="false">IF(V82="","",V82*$AV82)</f>
        <v>14.3202552924656</v>
      </c>
      <c r="BB82" s="17" t="n">
        <f aca="false">IF(AC82="","",AC82*$AX82)</f>
        <v>13.4280212154266</v>
      </c>
      <c r="BC82" s="17" t="n">
        <f aca="false">IF(AJ82="","",AJ82*$AZ82)</f>
        <v>15.9398123529845</v>
      </c>
      <c r="BD82" s="17" t="n">
        <f aca="false">N(BA82)+N(BB82)</f>
        <v>27.7482765078922</v>
      </c>
      <c r="BE82" s="17" t="n">
        <f aca="false">BD82+N($M82)*N(BC82)</f>
        <v>35.6751451910314</v>
      </c>
      <c r="BF82" s="17" t="n">
        <f aca="false">IF(W82="","",W82*$AV82)</f>
        <v>7.93649005816004</v>
      </c>
      <c r="BG82" s="17" t="n">
        <f aca="false">IF(AD82="","",AD82*$AX82)</f>
        <v>7.38541166848463</v>
      </c>
      <c r="BH82" s="17" t="n">
        <f aca="false">IF(AK82="","",AK82*$AZ82)</f>
        <v>9.1733620091426</v>
      </c>
      <c r="BI82" s="17" t="n">
        <f aca="false">IF(BF82="","",N(BF82)+N(BG82))</f>
        <v>15.3219017266447</v>
      </c>
      <c r="BJ82" s="17" t="n">
        <f aca="false">IF(BI82="","",BI82+N($M82)*N(BH82))</f>
        <v>19.8838146537913</v>
      </c>
      <c r="BK82" s="13" t="n">
        <f aca="false">IFERROR(BD82/AL82,1)</f>
        <v>0.965715039218895</v>
      </c>
    </row>
    <row r="83" customFormat="false" ht="15" hidden="false" customHeight="false" outlineLevel="0" collapsed="false">
      <c r="A83" s="0" t="s">
        <v>1487</v>
      </c>
      <c r="B83" s="0" t="s">
        <v>1139</v>
      </c>
      <c r="C83" s="0" t="s">
        <v>1167</v>
      </c>
      <c r="D83" s="0" t="s">
        <v>1173</v>
      </c>
      <c r="E83" s="0" t="s">
        <v>1486</v>
      </c>
      <c r="F83" s="0" t="s">
        <v>1740</v>
      </c>
      <c r="G83" s="0" t="str">
        <f aca="false">IFERROR(IF(INDEX(Matches!$W$5:$W$23,MATCH($C83,Matches!$A$5:$A$23,0))="","",INDEX(Matches!$W$5:$W$23,MATCH($C83,Matches!$A$5:$A$23,0))),"")</f>
        <v>Ancient</v>
      </c>
      <c r="H83" s="0" t="str">
        <f aca="false">IFERROR(IF(INDEX(Matches!$X$5:$X$23,MATCH($C83,Matches!$A$5:$A$23,0))="","",INDEX(Matches!$X$5:$X$23,MATCH($C83,Matches!$A$5:$A$23,0))),"")</f>
        <v>Nuke</v>
      </c>
      <c r="I83" s="0" t="str">
        <f aca="false">IFERROR(IF(INDEX(Matches!$Y$5:$Y$23,MATCH($C83,Matches!$A$5:$A$23,0))="","",INDEX(Matches!$Y$5:$Y$23,MATCH($C83,Matches!$A$5:$A$23,0))),"")</f>
        <v>Dust2</v>
      </c>
      <c r="J83" s="11" t="n">
        <f aca="false">IFERROR(IF(INDEX(Matches!$Z$5:$Z$23,MATCH($C83,Matches!$A$5:$A$23,0))="","",INDEX(Matches!$Z$5:$Z$23,MATCH($C83,Matches!$A$5:$A$23,0))),"")</f>
        <v>21.42</v>
      </c>
      <c r="K83" s="11" t="n">
        <f aca="false">IFERROR(IF(INDEX(Matches!$AA$5:$AA$23,MATCH($C83,Matches!$A$5:$A$23,0))="","",INDEX(Matches!$AA$5:$AA$23,MATCH($C83,Matches!$A$5:$A$23,0))),"")</f>
        <v>21.42</v>
      </c>
      <c r="L83" s="11" t="n">
        <f aca="false">IFERROR(IF(INDEX(Matches!$AB$5:$AB$23,MATCH($C83,Matches!$A$5:$A$23,0))="","",INDEX(Matches!$AB$5:$AB$23,MATCH($C83,Matches!$A$5:$A$23,0))),"")</f>
        <v>21.42</v>
      </c>
      <c r="M83" s="10" t="n">
        <f aca="false">IFERROR(IF(INDEX(Matches!$AC$5:$AC$23,MATCH($C83,Matches!$A$5:$A$23,0))="","",INDEX(Matches!$AC$5:$AC$23,MATCH($C83,Matches!$A$5:$A$23,0))),"")</f>
        <v>0.4973</v>
      </c>
      <c r="N83" s="9" t="n">
        <f aca="false">IFERROR(INDEX(Players!$F$2:$F$137,MATCH($F83,Players!$A$2:$A$137,0)),0)</f>
        <v>35</v>
      </c>
      <c r="O83" s="13" t="n">
        <f aca="false">IFERROR(1/(1/INDEX(Players!$H$2:$H$137,MATCH($F83,Players!$A$2:$A$137,0))),"")</f>
        <v>0.65</v>
      </c>
      <c r="P83" s="10" t="n">
        <f aca="false">IFERROR(1/(1/INDEX(Players!$I$2:$I$137,MATCH($F83,Players!$A$2:$A$137,0))),"")</f>
        <v>0.532</v>
      </c>
      <c r="Q83" s="9" t="n">
        <f aca="false">IF($G83="",0,SUMIFS(Map_Stats!$F$2:$F$850,Map_Stats!$A$2:$A$850,$F83&amp;"|"&amp;$G83))</f>
        <v>8</v>
      </c>
      <c r="R83" s="13" t="n">
        <f aca="false">IF($G83="","",IFERROR(1/(1/INDEX(Map_Stats!$K$2:$K$850,MATCH($F83&amp;"|"&amp;$G83,Map_Stats!$A$2:$A$850,0))),$O83))</f>
        <v>0.64</v>
      </c>
      <c r="S83" s="10" t="n">
        <f aca="false">IF(OR($G83="",$P83=""),"",IFERROR(1/(1/INDEX(Map_Stats!$I$2:$I$850,MATCH($F83&amp;"|"&amp;$G83,Map_Stats!$A$2:$A$850,0))),$P83))</f>
        <v>0.539</v>
      </c>
      <c r="T83" s="13" t="n">
        <f aca="false">IF(OR($G83="",R83=""),"",IF($O83="",R83,(Q83*R83+Config!$B$4*$O83)/(Q83+Config!$B$4)))</f>
        <v>0.643846153846154</v>
      </c>
      <c r="U83" s="10" t="n">
        <f aca="false">IF(S83="","",(Q83*S83+Config!$B$4*$P83)/(Q83+Config!$B$4))</f>
        <v>0.536307692307692</v>
      </c>
      <c r="V83" s="17" t="n">
        <f aca="false">IF(OR(T83="",$J83=""),"",T83*$J83*($J83/Config!$B$10)^Config!$B$9)</f>
        <v>13.7911846153846</v>
      </c>
      <c r="W83" s="17" t="n">
        <f aca="false">IF(OR(V83="",U83=""),"",V83*U83)</f>
        <v>7.39631839526628</v>
      </c>
      <c r="X83" s="9" t="n">
        <f aca="false">IF($H83="",0,SUMIFS(Map_Stats!$F$2:$F$850,Map_Stats!$A$2:$A$850,$F83&amp;"|"&amp;$H83))</f>
        <v>6</v>
      </c>
      <c r="Y83" s="13" t="n">
        <f aca="false">IF($H83="","",IFERROR(1/(1/INDEX(Map_Stats!$K$2:$K$850,MATCH($F83&amp;"|"&amp;$H83,Map_Stats!$A$2:$A$850,0))),$O83))</f>
        <v>0.72</v>
      </c>
      <c r="Z83" s="10" t="n">
        <f aca="false">IF(OR($H83="",$P83=""),"",IFERROR(1/(1/INDEX(Map_Stats!$I$2:$I$850,MATCH($F83&amp;"|"&amp;$H83,Map_Stats!$A$2:$A$850,0))),$P83))</f>
        <v>0.516</v>
      </c>
      <c r="AA83" s="13" t="n">
        <f aca="false">IF(OR($H83="",Y83=""),"",IF($O83="",Y83,(X83*Y83+Config!$B$4*$O83)/(X83+Config!$B$4)))</f>
        <v>0.688181818181818</v>
      </c>
      <c r="AB83" s="10" t="n">
        <f aca="false">IF(Z83="","",(X83*Z83+Config!$B$4*$P83)/(X83+Config!$B$4))</f>
        <v>0.523272727272727</v>
      </c>
      <c r="AC83" s="17" t="n">
        <f aca="false">IF(OR(AA83="",$K83=""),"",AA83*$K83*($K83/Config!$B$10)^Config!$B$9)</f>
        <v>14.7408545454545</v>
      </c>
      <c r="AD83" s="17" t="n">
        <f aca="false">IF(OR(AC83="",AB83=""),"",AC83*AB83)</f>
        <v>7.71348716033058</v>
      </c>
      <c r="AE83" s="9" t="n">
        <f aca="false">IF($I83="",0,SUMIFS(Map_Stats!$F$2:$F$850,Map_Stats!$A$2:$A$850,$F83&amp;"|"&amp;$I83))</f>
        <v>7</v>
      </c>
      <c r="AF83" s="13" t="n">
        <f aca="false">IF($I83="","",IFERROR(1/(1/INDEX(Map_Stats!$K$2:$K$850,MATCH($F83&amp;"|"&amp;$I83,Map_Stats!$A$2:$A$850,0))),$O83))</f>
        <v>0.63</v>
      </c>
      <c r="AG83" s="10" t="n">
        <f aca="false">IF(OR($I83="",$P83=""),"",IFERROR(1/(1/INDEX(Map_Stats!$I$2:$I$850,MATCH($F83&amp;"|"&amp;$I83,Map_Stats!$A$2:$A$850,0))),$P83))</f>
        <v>0.587</v>
      </c>
      <c r="AH83" s="13" t="n">
        <f aca="false">IF(OR($I83="",AF83=""),"",IF($O83="",AF83,(AE83*AF83+Config!$B$4*$O83)/(AE83+Config!$B$4)))</f>
        <v>0.638333333333333</v>
      </c>
      <c r="AI83" s="10" t="n">
        <f aca="false">IF(AG83="","",(AE83*AG83+Config!$B$4*$P83)/(AE83+Config!$B$4))</f>
        <v>0.564083333333333</v>
      </c>
      <c r="AJ83" s="17" t="n">
        <f aca="false">IF(OR(AH83="",$L83=""),"",AH83*$L83*($L83/Config!$B$10)^Config!$B$9)</f>
        <v>13.6731</v>
      </c>
      <c r="AK83" s="17" t="n">
        <f aca="false">IF(OR(AJ83="",AI83=""),"",AJ83*AI83)</f>
        <v>7.712767825</v>
      </c>
      <c r="AL83" s="17" t="n">
        <f aca="false">N(V83)+N(AC83)</f>
        <v>28.5320391608392</v>
      </c>
      <c r="AM83" s="17" t="n">
        <f aca="false">AL83+N($M83)*N(AJ83)</f>
        <v>35.3316717908392</v>
      </c>
      <c r="AN83" s="17" t="n">
        <f aca="false">IF(W83="","",N(W83)+N(AD83))</f>
        <v>15.1098055555969</v>
      </c>
      <c r="AO83" s="17" t="n">
        <f aca="false">IF(AN83="","",AN83+N($M83)*N(AK83))</f>
        <v>18.9453649949694</v>
      </c>
      <c r="AP83" s="10" t="n">
        <f aca="false">IFERROR(AN83/AL83,"")</f>
        <v>0.529573279723217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IF($C83=Board!$B$2,COUNTIFS($C$2:$C$137,Board!$B$2,$AL$2:$AL$137,"&gt;"&amp;$AL83)+COUNTIFS($C$1:$C82,Board!$B$2,$AL$1:$AL82,$AL83)+1,"")</f>
        <v/>
      </c>
      <c r="AS83" s="0" t="str">
        <f aca="false">IFERROR(IF($D83=INDEX(Matches!$AD$5:$AD$23,MATCH($C83,Matches!$A$5:$A$23,0)),"A",IF($D83=INDEX(Matches!$AE$5:$AE$23,MATCH($C83,Matches!$A$5:$A$23,0)),"B","")),"")</f>
        <v>B</v>
      </c>
      <c r="AT83" s="10" t="n">
        <f aca="false">IF($AS83="","",IFERROR(IF($AS83="A",INDEX(Matches!$AI$5:$AI$23,MATCH($C83,Matches!$A$5:$A$23,0)),INDEX(Matches!$AJ$5:$AJ$23,MATCH($C83,Matches!$A$5:$A$23,0))),""))</f>
        <v>0.506806032567718</v>
      </c>
      <c r="AU83" s="10" t="n">
        <f aca="false">IF($AS83="","",IFERROR(IF(INDEX(Matches!$AP$5:$AP$23,MATCH($C83,Matches!$A$5:$A$23,0))="","",IF($AS83="A",INDEX(Matches!$AP$5:$AP$23,MATCH($C83,Matches!$A$5:$A$23,0)),1-INDEX(Matches!$AP$5:$AP$23,MATCH($C83,Matches!$A$5:$A$23,0)))),""))</f>
        <v>0.477475726941802</v>
      </c>
      <c r="AV83" s="13" t="n">
        <f aca="false">IF(OR($AU83="",$AT83=""),1,((Config!$B$14*$AU83+Config!$B$15*(1-$AU83))/(Config!$B$14*$AT83+Config!$B$15*(1-$AT83)))^Config!$B$13)</f>
        <v>0.973948385224106</v>
      </c>
      <c r="AW83" s="10" t="n">
        <f aca="false">IF($AS83="","",IFERROR(IF(INDEX(Matches!$AV$5:$AV$23,MATCH($C83,Matches!$A$5:$A$23,0))="","",IF($AS83="A",INDEX(Matches!$AV$5:$AV$23,MATCH($C83,Matches!$A$5:$A$23,0)),1-INDEX(Matches!$AV$5:$AV$23,MATCH($C83,Matches!$A$5:$A$23,0)))),""))</f>
        <v>0.458491865300764</v>
      </c>
      <c r="AX83" s="13" t="n">
        <f aca="false">IF(OR($AW83="",$AT83=""),1,((Config!$B$14*$AW83+Config!$B$15*(1-$AW83))/(Config!$B$14*$AT83+Config!$B$15*(1-$AT83)))^Config!$B$13)</f>
        <v>0.957086636262507</v>
      </c>
      <c r="AY83" s="10" t="n">
        <f aca="false">IF($AS83="","",IFERROR(IF(INDEX(Matches!$BB$5:$BB$23,MATCH($C83,Matches!$A$5:$A$23,0))="","",IF($AS83="A",INDEX(Matches!$BB$5:$BB$23,MATCH($C83,Matches!$A$5:$A$23,0)),1-INDEX(Matches!$BB$5:$BB$23,MATCH($C83,Matches!$A$5:$A$23,0)))),""))</f>
        <v>0.524720665109696</v>
      </c>
      <c r="AZ83" s="13" t="n">
        <f aca="false">IF(OR($AY83="",$AT83=""),1,((Config!$B$14*$AY83+Config!$B$15*(1-$AY83))/(Config!$B$14*$AT83+Config!$B$15*(1-$AT83)))^Config!$B$13)</f>
        <v>1.01591204373346</v>
      </c>
      <c r="BA83" s="17" t="n">
        <f aca="false">IF(V83="","",V83*$AV83)</f>
        <v>13.4319019864814</v>
      </c>
      <c r="BB83" s="17" t="n">
        <f aca="false">IF(AC83="","",AC83*$AX83)</f>
        <v>14.108274892544</v>
      </c>
      <c r="BC83" s="17" t="n">
        <f aca="false">IF(AJ83="","",AJ83*$AZ83)</f>
        <v>13.890666965172</v>
      </c>
      <c r="BD83" s="17" t="n">
        <f aca="false">N(BA83)+N(BB83)</f>
        <v>27.5401768790254</v>
      </c>
      <c r="BE83" s="17" t="n">
        <f aca="false">BD83+N($M83)*N(BC83)</f>
        <v>34.4480055608054</v>
      </c>
      <c r="BF83" s="17" t="n">
        <f aca="false">IF(W83="","",W83*$AV83)</f>
        <v>7.20363235767294</v>
      </c>
      <c r="BG83" s="17" t="n">
        <f aca="false">IF(AD83="","",AD83*$AX83)</f>
        <v>7.38247548013483</v>
      </c>
      <c r="BH83" s="17" t="n">
        <f aca="false">IF(AK83="","",AK83*$AZ83)</f>
        <v>7.83549372393742</v>
      </c>
      <c r="BI83" s="17" t="n">
        <f aca="false">IF(BF83="","",N(BF83)+N(BG83))</f>
        <v>14.5861078378078</v>
      </c>
      <c r="BJ83" s="17" t="n">
        <f aca="false">IF(BI83="","",BI83+N($M83)*N(BH83))</f>
        <v>18.4826988667218</v>
      </c>
      <c r="BK83" s="13" t="n">
        <f aca="false">IFERROR(BD83/AL83,1)</f>
        <v>0.965236894698534</v>
      </c>
    </row>
    <row r="84" customFormat="false" ht="15" hidden="false" customHeight="false" outlineLevel="0" collapsed="false">
      <c r="A84" s="0" t="s">
        <v>1489</v>
      </c>
      <c r="B84" s="0" t="s">
        <v>1139</v>
      </c>
      <c r="C84" s="0" t="s">
        <v>1222</v>
      </c>
      <c r="D84" s="0" t="s">
        <v>1227</v>
      </c>
      <c r="E84" s="0" t="s">
        <v>1488</v>
      </c>
      <c r="F84" s="0" t="s">
        <v>1741</v>
      </c>
      <c r="G84" s="0" t="str">
        <f aca="false">IFERROR(IF(INDEX(Matches!$W$5:$W$23,MATCH($C84,Matches!$A$5:$A$23,0))="","",INDEX(Matches!$W$5:$W$23,MATCH($C84,Matches!$A$5:$A$23,0))),"")</f>
        <v>Ancient</v>
      </c>
      <c r="H84" s="0" t="str">
        <f aca="false">IFERROR(IF(INDEX(Matches!$X$5:$X$23,MATCH($C84,Matches!$A$5:$A$23,0))="","",INDEX(Matches!$X$5:$X$23,MATCH($C84,Matches!$A$5:$A$23,0))),"")</f>
        <v>Dust2</v>
      </c>
      <c r="I84" s="0" t="str">
        <f aca="false">IFERROR(IF(INDEX(Matches!$Y$5:$Y$23,MATCH($C84,Matches!$A$5:$A$23,0))="","",INDEX(Matches!$Y$5:$Y$23,MATCH($C84,Matches!$A$5:$A$23,0))),"")</f>
        <v>Inferno</v>
      </c>
      <c r="J84" s="11" t="n">
        <f aca="false">IFERROR(IF(INDEX(Matches!$Z$5:$Z$23,MATCH($C84,Matches!$A$5:$A$23,0))="","",INDEX(Matches!$Z$5:$Z$23,MATCH($C84,Matches!$A$5:$A$23,0))),"")</f>
        <v>21.5</v>
      </c>
      <c r="K84" s="11" t="n">
        <f aca="false">IFERROR(IF(INDEX(Matches!$AA$5:$AA$23,MATCH($C84,Matches!$A$5:$A$23,0))="","",INDEX(Matches!$AA$5:$AA$23,MATCH($C84,Matches!$A$5:$A$23,0))),"")</f>
        <v>21.5</v>
      </c>
      <c r="L84" s="11" t="n">
        <f aca="false">IFERROR(IF(INDEX(Matches!$AB$5:$AB$23,MATCH($C84,Matches!$A$5:$A$23,0))="","",INDEX(Matches!$AB$5:$AB$23,MATCH($C84,Matches!$A$5:$A$23,0))),"")</f>
        <v>21.5</v>
      </c>
      <c r="M84" s="10" t="n">
        <f aca="false">IFERROR(IF(INDEX(Matches!$AC$5:$AC$23,MATCH($C84,Matches!$A$5:$A$23,0))="","",INDEX(Matches!$AC$5:$AC$23,MATCH($C84,Matches!$A$5:$A$23,0))),"")</f>
        <v>0</v>
      </c>
      <c r="N84" s="9" t="n">
        <f aca="false">IFERROR(INDEX(Players!$F$2:$F$137,MATCH($F84,Players!$A$2:$A$137,0)),0)</f>
        <v>37</v>
      </c>
      <c r="O84" s="13" t="n">
        <f aca="false">IFERROR(1/(1/INDEX(Players!$H$2:$H$137,MATCH($F84,Players!$A$2:$A$137,0))),"")</f>
        <v>0.68</v>
      </c>
      <c r="P84" s="10" t="n">
        <f aca="false">IFERROR(1/(1/INDEX(Players!$I$2:$I$137,MATCH($F84,Players!$A$2:$A$137,0))),"")</f>
        <v>0.479</v>
      </c>
      <c r="Q84" s="9" t="n">
        <f aca="false">IF($G84="",0,SUMIFS(Map_Stats!$F$2:$F$850,Map_Stats!$A$2:$A$850,$F84&amp;"|"&amp;$G84))</f>
        <v>12</v>
      </c>
      <c r="R84" s="13" t="n">
        <f aca="false">IF($G84="","",IFERROR(1/(1/INDEX(Map_Stats!$K$2:$K$850,MATCH($F84&amp;"|"&amp;$G84,Map_Stats!$A$2:$A$850,0))),$O84))</f>
        <v>0.7</v>
      </c>
      <c r="S84" s="10" t="n">
        <f aca="false">IF(OR($G84="",$P84=""),"",IFERROR(1/(1/INDEX(Map_Stats!$I$2:$I$850,MATCH($F84&amp;"|"&amp;$G84,Map_Stats!$A$2:$A$850,0))),$P84))</f>
        <v>0.454</v>
      </c>
      <c r="T84" s="13" t="n">
        <f aca="false">IF(OR($G84="",R84=""),"",IF($O84="",R84,(Q84*R84+Config!$B$4*$O84)/(Q84+Config!$B$4)))</f>
        <v>0.694117647058824</v>
      </c>
      <c r="U84" s="10" t="n">
        <f aca="false">IF(S84="","",(Q84*S84+Config!$B$4*$P84)/(Q84+Config!$B$4))</f>
        <v>0.461352941176471</v>
      </c>
      <c r="V84" s="17" t="n">
        <f aca="false">IF(OR(T84="",$J84=""),"",T84*$J84*($J84/Config!$B$10)^Config!$B$9)</f>
        <v>14.9235294117647</v>
      </c>
      <c r="W84" s="17" t="n">
        <f aca="false">IF(OR(V84="",U84=""),"",V84*U84)</f>
        <v>6.88501418685121</v>
      </c>
      <c r="X84" s="9" t="n">
        <f aca="false">IF($H84="",0,SUMIFS(Map_Stats!$F$2:$F$850,Map_Stats!$A$2:$A$850,$F84&amp;"|"&amp;$H84))</f>
        <v>7</v>
      </c>
      <c r="Y84" s="13" t="n">
        <f aca="false">IF($H84="","",IFERROR(1/(1/INDEX(Map_Stats!$K$2:$K$850,MATCH($F84&amp;"|"&amp;$H84,Map_Stats!$A$2:$A$850,0))),$O84))</f>
        <v>0.7</v>
      </c>
      <c r="Z84" s="10" t="n">
        <f aca="false">IF(OR($H84="",$P84=""),"",IFERROR(1/(1/INDEX(Map_Stats!$I$2:$I$850,MATCH($F84&amp;"|"&amp;$H84,Map_Stats!$A$2:$A$850,0))),$P84))</f>
        <v>0.569</v>
      </c>
      <c r="AA84" s="13" t="n">
        <f aca="false">IF(OR($H84="",Y84=""),"",IF($O84="",Y84,(X84*Y84+Config!$B$4*$O84)/(X84+Config!$B$4)))</f>
        <v>0.691666666666667</v>
      </c>
      <c r="AB84" s="10" t="n">
        <f aca="false">IF(Z84="","",(X84*Z84+Config!$B$4*$P84)/(X84+Config!$B$4))</f>
        <v>0.5315</v>
      </c>
      <c r="AC84" s="17" t="n">
        <f aca="false">IF(OR(AA84="",$K84=""),"",AA84*$K84*($K84/Config!$B$10)^Config!$B$9)</f>
        <v>14.8708333333333</v>
      </c>
      <c r="AD84" s="17" t="n">
        <f aca="false">IF(OR(AC84="",AB84=""),"",AC84*AB84)</f>
        <v>7.90384791666667</v>
      </c>
      <c r="AE84" s="9" t="n">
        <f aca="false">IF($I84="",0,SUMIFS(Map_Stats!$F$2:$F$850,Map_Stats!$A$2:$A$850,$F84&amp;"|"&amp;$I84))</f>
        <v>7</v>
      </c>
      <c r="AF84" s="13" t="n">
        <f aca="false">IF($I84="","",IFERROR(1/(1/INDEX(Map_Stats!$K$2:$K$850,MATCH($F84&amp;"|"&amp;$I84,Map_Stats!$A$2:$A$850,0))),$O84))</f>
        <v>0.67</v>
      </c>
      <c r="AG84" s="10" t="n">
        <f aca="false">IF(OR($I84="",$P84=""),"",IFERROR(1/(1/INDEX(Map_Stats!$I$2:$I$850,MATCH($F84&amp;"|"&amp;$I84,Map_Stats!$A$2:$A$850,0))),$P84))</f>
        <v>0.437</v>
      </c>
      <c r="AH84" s="13" t="n">
        <f aca="false">IF(OR($I84="",AF84=""),"",IF($O84="",AF84,(AE84*AF84+Config!$B$4*$O84)/(AE84+Config!$B$4)))</f>
        <v>0.674166666666667</v>
      </c>
      <c r="AI84" s="10" t="n">
        <f aca="false">IF(AG84="","",(AE84*AG84+Config!$B$4*$P84)/(AE84+Config!$B$4))</f>
        <v>0.4545</v>
      </c>
      <c r="AJ84" s="17" t="n">
        <f aca="false">IF(OR(AH84="",$L84=""),"",AH84*$L84*($L84/Config!$B$10)^Config!$B$9)</f>
        <v>14.4945833333333</v>
      </c>
      <c r="AK84" s="17" t="n">
        <f aca="false">IF(OR(AJ84="",AI84=""),"",AJ84*AI84)</f>
        <v>6.587788125</v>
      </c>
      <c r="AL84" s="17" t="n">
        <f aca="false">N(V84)+N(AC84)</f>
        <v>29.794362745098</v>
      </c>
      <c r="AM84" s="17" t="n">
        <f aca="false">AL84+N($M84)*N(AJ84)</f>
        <v>29.794362745098</v>
      </c>
      <c r="AN84" s="17" t="n">
        <f aca="false">IF(W84="","",N(W84)+N(AD84))</f>
        <v>14.7888621035179</v>
      </c>
      <c r="AO84" s="17" t="n">
        <f aca="false">IF(AN84="","",AN84+N($M84)*N(AK84))</f>
        <v>14.7888621035179</v>
      </c>
      <c r="AP84" s="10" t="n">
        <f aca="false">IFERROR(AN84/AL84,"")</f>
        <v>0.496364437462286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IF($C84=Board!$B$2,COUNTIFS($C$2:$C$137,Board!$B$2,$AL$2:$AL$137,"&gt;"&amp;$AL84)+COUNTIFS($C$1:$C83,Board!$B$2,$AL$1:$AL83,$AL84)+1,"")</f>
        <v/>
      </c>
      <c r="AS84" s="0" t="str">
        <f aca="false">IFERROR(IF($D84=INDEX(Matches!$AD$5:$AD$23,MATCH($C84,Matches!$A$5:$A$23,0)),"A",IF($D84=INDEX(Matches!$AE$5:$AE$23,MATCH($C84,Matches!$A$5:$A$23,0)),"B","")),"")</f>
        <v>A</v>
      </c>
      <c r="AT84" s="10" t="n">
        <f aca="false">IF($AS84="","",IFERROR(IF($AS84="A",INDEX(Matches!$AI$5:$AI$23,MATCH($C84,Matches!$A$5:$A$23,0)),INDEX(Matches!$AJ$5:$AJ$23,MATCH($C84,Matches!$A$5:$A$23,0))),""))</f>
        <v>0.542138318980539</v>
      </c>
      <c r="AU84" s="10" t="n">
        <f aca="false">IF($AS84="","",IFERROR(IF(INDEX(Matches!$AP$5:$AP$23,MATCH($C84,Matches!$A$5:$A$23,0))="","",IF($AS84="A",INDEX(Matches!$AP$5:$AP$23,MATCH($C84,Matches!$A$5:$A$23,0)),1-INDEX(Matches!$AP$5:$AP$23,MATCH($C84,Matches!$A$5:$A$23,0)))),""))</f>
        <v>0.564231543482902</v>
      </c>
      <c r="AV84" s="13" t="n">
        <f aca="false">IF(OR($AU84="",$AT84=""),1,((Config!$B$14*$AU84+Config!$B$15*(1-$AU84))/(Config!$B$14*$AT84+Config!$B$15*(1-$AT84)))^Config!$B$13)</f>
        <v>1.01902643132234</v>
      </c>
      <c r="AW84" s="10" t="n">
        <f aca="false">IF($AS84="","",IFERROR(IF(INDEX(Matches!$AV$5:$AV$23,MATCH($C84,Matches!$A$5:$A$23,0))="","",IF($AS84="A",INDEX(Matches!$AV$5:$AV$23,MATCH($C84,Matches!$A$5:$A$23,0)),1-INDEX(Matches!$AV$5:$AV$23,MATCH($C84,Matches!$A$5:$A$23,0)))),""))</f>
        <v>0.554020831795786</v>
      </c>
      <c r="AX84" s="13" t="n">
        <f aca="false">IF(OR($AW84="",$AT84=""),1,((Config!$B$14*$AW84+Config!$B$15*(1-$AW84))/(Config!$B$14*$AT84+Config!$B$15*(1-$AT84)))^Config!$B$13)</f>
        <v>1.01023308363123</v>
      </c>
      <c r="AY84" s="10" t="n">
        <f aca="false">IF($AS84="","",IFERROR(IF(INDEX(Matches!$BB$5:$BB$23,MATCH($C84,Matches!$A$5:$A$23,0))="","",IF($AS84="A",INDEX(Matches!$BB$5:$BB$23,MATCH($C84,Matches!$A$5:$A$23,0)),1-INDEX(Matches!$BB$5:$BB$23,MATCH($C84,Matches!$A$5:$A$23,0)))),""))</f>
        <v>0.527085140287112</v>
      </c>
      <c r="AZ84" s="13" t="n">
        <f aca="false">IF(OR($AY84="",$AT84=""),1,((Config!$B$14*$AY84+Config!$B$15*(1-$AY84))/(Config!$B$14*$AT84+Config!$B$15*(1-$AT84)))^Config!$B$13)</f>
        <v>0.987036375312132</v>
      </c>
      <c r="BA84" s="17" t="n">
        <f aca="false">IF(V84="","",V84*$AV84)</f>
        <v>15.2074709192046</v>
      </c>
      <c r="BB84" s="17" t="n">
        <f aca="false">IF(AC84="","",AC84*$AX84)</f>
        <v>15.0230078144994</v>
      </c>
      <c r="BC84" s="17" t="n">
        <f aca="false">IF(AJ84="","",AJ84*$AZ84)</f>
        <v>14.306680994993</v>
      </c>
      <c r="BD84" s="17" t="n">
        <f aca="false">N(BA84)+N(BB84)</f>
        <v>30.230478733704</v>
      </c>
      <c r="BE84" s="17" t="n">
        <f aca="false">BD84+N($M84)*N(BC84)</f>
        <v>30.230478733704</v>
      </c>
      <c r="BF84" s="17" t="n">
        <f aca="false">IF(W84="","",W84*$AV84)</f>
        <v>7.01601143643069</v>
      </c>
      <c r="BG84" s="17" t="n">
        <f aca="false">IF(AD84="","",AD84*$AX84)</f>
        <v>7.98472865340642</v>
      </c>
      <c r="BH84" s="17" t="n">
        <f aca="false">IF(AK84="","",AK84*$AZ84)</f>
        <v>6.50238651222431</v>
      </c>
      <c r="BI84" s="17" t="n">
        <f aca="false">IF(BF84="","",N(BF84)+N(BG84))</f>
        <v>15.0007400898371</v>
      </c>
      <c r="BJ84" s="17" t="n">
        <f aca="false">IF(BI84="","",BI84+N($M84)*N(BH84))</f>
        <v>15.0007400898371</v>
      </c>
      <c r="BK84" s="13" t="n">
        <f aca="false">IFERROR(BD84/AL84,1)</f>
        <v>1.01463753369512</v>
      </c>
    </row>
    <row r="85" customFormat="false" ht="15" hidden="false" customHeight="false" outlineLevel="0" collapsed="false">
      <c r="A85" s="0" t="s">
        <v>1491</v>
      </c>
      <c r="B85" s="0" t="s">
        <v>1139</v>
      </c>
      <c r="C85" s="0" t="s">
        <v>1222</v>
      </c>
      <c r="D85" s="0" t="s">
        <v>1227</v>
      </c>
      <c r="E85" s="0" t="s">
        <v>1490</v>
      </c>
      <c r="F85" s="0" t="s">
        <v>1742</v>
      </c>
      <c r="G85" s="0" t="str">
        <f aca="false">IFERROR(IF(INDEX(Matches!$W$5:$W$23,MATCH($C85,Matches!$A$5:$A$23,0))="","",INDEX(Matches!$W$5:$W$23,MATCH($C85,Matches!$A$5:$A$23,0))),"")</f>
        <v>Ancient</v>
      </c>
      <c r="H85" s="0" t="str">
        <f aca="false">IFERROR(IF(INDEX(Matches!$X$5:$X$23,MATCH($C85,Matches!$A$5:$A$23,0))="","",INDEX(Matches!$X$5:$X$23,MATCH($C85,Matches!$A$5:$A$23,0))),"")</f>
        <v>Dust2</v>
      </c>
      <c r="I85" s="0" t="str">
        <f aca="false">IFERROR(IF(INDEX(Matches!$Y$5:$Y$23,MATCH($C85,Matches!$A$5:$A$23,0))="","",INDEX(Matches!$Y$5:$Y$23,MATCH($C85,Matches!$A$5:$A$23,0))),"")</f>
        <v>Inferno</v>
      </c>
      <c r="J85" s="11" t="n">
        <f aca="false">IFERROR(IF(INDEX(Matches!$Z$5:$Z$23,MATCH($C85,Matches!$A$5:$A$23,0))="","",INDEX(Matches!$Z$5:$Z$23,MATCH($C85,Matches!$A$5:$A$23,0))),"")</f>
        <v>21.5</v>
      </c>
      <c r="K85" s="11" t="n">
        <f aca="false">IFERROR(IF(INDEX(Matches!$AA$5:$AA$23,MATCH($C85,Matches!$A$5:$A$23,0))="","",INDEX(Matches!$AA$5:$AA$23,MATCH($C85,Matches!$A$5:$A$23,0))),"")</f>
        <v>21.5</v>
      </c>
      <c r="L85" s="11" t="n">
        <f aca="false">IFERROR(IF(INDEX(Matches!$AB$5:$AB$23,MATCH($C85,Matches!$A$5:$A$23,0))="","",INDEX(Matches!$AB$5:$AB$23,MATCH($C85,Matches!$A$5:$A$23,0))),"")</f>
        <v>21.5</v>
      </c>
      <c r="M85" s="10" t="n">
        <f aca="false">IFERROR(IF(INDEX(Matches!$AC$5:$AC$23,MATCH($C85,Matches!$A$5:$A$23,0))="","",INDEX(Matches!$AC$5:$AC$23,MATCH($C85,Matches!$A$5:$A$23,0))),"")</f>
        <v>0</v>
      </c>
      <c r="N85" s="9" t="n">
        <f aca="false">IFERROR(INDEX(Players!$F$2:$F$137,MATCH($F85,Players!$A$2:$A$137,0)),0)</f>
        <v>37</v>
      </c>
      <c r="O85" s="13" t="n">
        <f aca="false">IFERROR(1/(1/INDEX(Players!$H$2:$H$137,MATCH($F85,Players!$A$2:$A$137,0))),"")</f>
        <v>0.69</v>
      </c>
      <c r="P85" s="10" t="n">
        <f aca="false">IFERROR(1/(1/INDEX(Players!$I$2:$I$137,MATCH($F85,Players!$A$2:$A$137,0))),"")</f>
        <v>0.405</v>
      </c>
      <c r="Q85" s="9" t="n">
        <f aca="false">IF($G85="",0,SUMIFS(Map_Stats!$F$2:$F$850,Map_Stats!$A$2:$A$850,$F85&amp;"|"&amp;$G85))</f>
        <v>12</v>
      </c>
      <c r="R85" s="13" t="n">
        <f aca="false">IF($G85="","",IFERROR(1/(1/INDEX(Map_Stats!$K$2:$K$850,MATCH($F85&amp;"|"&amp;$G85,Map_Stats!$A$2:$A$850,0))),$O85))</f>
        <v>0.64</v>
      </c>
      <c r="S85" s="10" t="n">
        <f aca="false">IF(OR($G85="",$P85=""),"",IFERROR(1/(1/INDEX(Map_Stats!$I$2:$I$850,MATCH($F85&amp;"|"&amp;$G85,Map_Stats!$A$2:$A$850,0))),$P85))</f>
        <v>0.475</v>
      </c>
      <c r="T85" s="13" t="n">
        <f aca="false">IF(OR($G85="",R85=""),"",IF($O85="",R85,(Q85*R85+Config!$B$4*$O85)/(Q85+Config!$B$4)))</f>
        <v>0.654705882352941</v>
      </c>
      <c r="U85" s="10" t="n">
        <f aca="false">IF(S85="","",(Q85*S85+Config!$B$4*$P85)/(Q85+Config!$B$4))</f>
        <v>0.454411764705882</v>
      </c>
      <c r="V85" s="17" t="n">
        <f aca="false">IF(OR(T85="",$J85=""),"",T85*$J85*($J85/Config!$B$10)^Config!$B$9)</f>
        <v>14.0761764705882</v>
      </c>
      <c r="W85" s="17" t="n">
        <f aca="false">IF(OR(V85="",U85=""),"",V85*U85)</f>
        <v>6.39638019031142</v>
      </c>
      <c r="X85" s="9" t="n">
        <f aca="false">IF($H85="",0,SUMIFS(Map_Stats!$F$2:$F$850,Map_Stats!$A$2:$A$850,$F85&amp;"|"&amp;$H85))</f>
        <v>7</v>
      </c>
      <c r="Y85" s="13" t="n">
        <f aca="false">IF($H85="","",IFERROR(1/(1/INDEX(Map_Stats!$K$2:$K$850,MATCH($F85&amp;"|"&amp;$H85,Map_Stats!$A$2:$A$850,0))),$O85))</f>
        <v>0.77</v>
      </c>
      <c r="Z85" s="10" t="n">
        <f aca="false">IF(OR($H85="",$P85=""),"",IFERROR(1/(1/INDEX(Map_Stats!$I$2:$I$850,MATCH($F85&amp;"|"&amp;$H85,Map_Stats!$A$2:$A$850,0))),$P85))</f>
        <v>0.213</v>
      </c>
      <c r="AA85" s="13" t="n">
        <f aca="false">IF(OR($H85="",Y85=""),"",IF($O85="",Y85,(X85*Y85+Config!$B$4*$O85)/(X85+Config!$B$4)))</f>
        <v>0.736666666666667</v>
      </c>
      <c r="AB85" s="10" t="n">
        <f aca="false">IF(Z85="","",(X85*Z85+Config!$B$4*$P85)/(X85+Config!$B$4))</f>
        <v>0.293</v>
      </c>
      <c r="AC85" s="17" t="n">
        <f aca="false">IF(OR(AA85="",$K85=""),"",AA85*$K85*($K85/Config!$B$10)^Config!$B$9)</f>
        <v>15.8383333333333</v>
      </c>
      <c r="AD85" s="17" t="n">
        <f aca="false">IF(OR(AC85="",AB85=""),"",AC85*AB85)</f>
        <v>4.64063166666667</v>
      </c>
      <c r="AE85" s="9" t="n">
        <f aca="false">IF($I85="",0,SUMIFS(Map_Stats!$F$2:$F$850,Map_Stats!$A$2:$A$850,$F85&amp;"|"&amp;$I85))</f>
        <v>7</v>
      </c>
      <c r="AF85" s="13" t="n">
        <f aca="false">IF($I85="","",IFERROR(1/(1/INDEX(Map_Stats!$K$2:$K$850,MATCH($F85&amp;"|"&amp;$I85,Map_Stats!$A$2:$A$850,0))),$O85))</f>
        <v>0.68</v>
      </c>
      <c r="AG85" s="10" t="n">
        <f aca="false">IF(OR($I85="",$P85=""),"",IFERROR(1/(1/INDEX(Map_Stats!$I$2:$I$850,MATCH($F85&amp;"|"&amp;$I85,Map_Stats!$A$2:$A$850,0))),$P85))</f>
        <v>0.394</v>
      </c>
      <c r="AH85" s="13" t="n">
        <f aca="false">IF(OR($I85="",AF85=""),"",IF($O85="",AF85,(AE85*AF85+Config!$B$4*$O85)/(AE85+Config!$B$4)))</f>
        <v>0.684166666666667</v>
      </c>
      <c r="AI85" s="10" t="n">
        <f aca="false">IF(AG85="","",(AE85*AG85+Config!$B$4*$P85)/(AE85+Config!$B$4))</f>
        <v>0.398583333333333</v>
      </c>
      <c r="AJ85" s="17" t="n">
        <f aca="false">IF(OR(AH85="",$L85=""),"",AH85*$L85*($L85/Config!$B$10)^Config!$B$9)</f>
        <v>14.7095833333333</v>
      </c>
      <c r="AK85" s="17" t="n">
        <f aca="false">IF(OR(AJ85="",AI85=""),"",AJ85*AI85)</f>
        <v>5.86299475694445</v>
      </c>
      <c r="AL85" s="17" t="n">
        <f aca="false">N(V85)+N(AC85)</f>
        <v>29.9145098039216</v>
      </c>
      <c r="AM85" s="17" t="n">
        <f aca="false">AL85+N($M85)*N(AJ85)</f>
        <v>29.9145098039216</v>
      </c>
      <c r="AN85" s="17" t="n">
        <f aca="false">IF(W85="","",N(W85)+N(AD85))</f>
        <v>11.0370118569781</v>
      </c>
      <c r="AO85" s="17" t="n">
        <f aca="false">IF(AN85="","",AN85+N($M85)*N(AK85))</f>
        <v>11.0370118569781</v>
      </c>
      <c r="AP85" s="10" t="n">
        <f aca="false">IFERROR(AN85/AL85,"")</f>
        <v>0.368951787253797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IF($C85=Board!$B$2,COUNTIFS($C$2:$C$137,Board!$B$2,$AL$2:$AL$137,"&gt;"&amp;$AL85)+COUNTIFS($C$1:$C84,Board!$B$2,$AL$1:$AL84,$AL85)+1,"")</f>
        <v/>
      </c>
      <c r="AS85" s="0" t="str">
        <f aca="false">IFERROR(IF($D85=INDEX(Matches!$AD$5:$AD$23,MATCH($C85,Matches!$A$5:$A$23,0)),"A",IF($D85=INDEX(Matches!$AE$5:$AE$23,MATCH($C85,Matches!$A$5:$A$23,0)),"B","")),"")</f>
        <v>A</v>
      </c>
      <c r="AT85" s="10" t="n">
        <f aca="false">IF($AS85="","",IFERROR(IF($AS85="A",INDEX(Matches!$AI$5:$AI$23,MATCH($C85,Matches!$A$5:$A$23,0)),INDEX(Matches!$AJ$5:$AJ$23,MATCH($C85,Matches!$A$5:$A$23,0))),""))</f>
        <v>0.542138318980539</v>
      </c>
      <c r="AU85" s="10" t="n">
        <f aca="false">IF($AS85="","",IFERROR(IF(INDEX(Matches!$AP$5:$AP$23,MATCH($C85,Matches!$A$5:$A$23,0))="","",IF($AS85="A",INDEX(Matches!$AP$5:$AP$23,MATCH($C85,Matches!$A$5:$A$23,0)),1-INDEX(Matches!$AP$5:$AP$23,MATCH($C85,Matches!$A$5:$A$23,0)))),""))</f>
        <v>0.564231543482902</v>
      </c>
      <c r="AV85" s="13" t="n">
        <f aca="false">IF(OR($AU85="",$AT85=""),1,((Config!$B$14*$AU85+Config!$B$15*(1-$AU85))/(Config!$B$14*$AT85+Config!$B$15*(1-$AT85)))^Config!$B$13)</f>
        <v>1.01902643132234</v>
      </c>
      <c r="AW85" s="10" t="n">
        <f aca="false">IF($AS85="","",IFERROR(IF(INDEX(Matches!$AV$5:$AV$23,MATCH($C85,Matches!$A$5:$A$23,0))="","",IF($AS85="A",INDEX(Matches!$AV$5:$AV$23,MATCH($C85,Matches!$A$5:$A$23,0)),1-INDEX(Matches!$AV$5:$AV$23,MATCH($C85,Matches!$A$5:$A$23,0)))),""))</f>
        <v>0.554020831795786</v>
      </c>
      <c r="AX85" s="13" t="n">
        <f aca="false">IF(OR($AW85="",$AT85=""),1,((Config!$B$14*$AW85+Config!$B$15*(1-$AW85))/(Config!$B$14*$AT85+Config!$B$15*(1-$AT85)))^Config!$B$13)</f>
        <v>1.01023308363123</v>
      </c>
      <c r="AY85" s="10" t="n">
        <f aca="false">IF($AS85="","",IFERROR(IF(INDEX(Matches!$BB$5:$BB$23,MATCH($C85,Matches!$A$5:$A$23,0))="","",IF($AS85="A",INDEX(Matches!$BB$5:$BB$23,MATCH($C85,Matches!$A$5:$A$23,0)),1-INDEX(Matches!$BB$5:$BB$23,MATCH($C85,Matches!$A$5:$A$23,0)))),""))</f>
        <v>0.527085140287112</v>
      </c>
      <c r="AZ85" s="13" t="n">
        <f aca="false">IF(OR($AY85="",$AT85=""),1,((Config!$B$14*$AY85+Config!$B$15*(1-$AY85))/(Config!$B$14*$AT85+Config!$B$15*(1-$AT85)))^Config!$B$13)</f>
        <v>0.987036375312132</v>
      </c>
      <c r="BA85" s="17" t="n">
        <f aca="false">IF(V85="","",V85*$AV85)</f>
        <v>14.3439958754871</v>
      </c>
      <c r="BB85" s="17" t="n">
        <f aca="false">IF(AC85="","",AC85*$AX85)</f>
        <v>16.0004083229126</v>
      </c>
      <c r="BC85" s="17" t="n">
        <f aca="false">IF(AJ85="","",AJ85*$AZ85)</f>
        <v>14.5188938156851</v>
      </c>
      <c r="BD85" s="17" t="n">
        <f aca="false">N(BA85)+N(BB85)</f>
        <v>30.3444041983996</v>
      </c>
      <c r="BE85" s="17" t="n">
        <f aca="false">BD85+N($M85)*N(BC85)</f>
        <v>30.3444041983996</v>
      </c>
      <c r="BF85" s="17" t="n">
        <f aca="false">IF(W85="","",W85*$AV85)</f>
        <v>6.51808047871397</v>
      </c>
      <c r="BG85" s="17" t="n">
        <f aca="false">IF(AD85="","",AD85*$AX85)</f>
        <v>4.68811963861339</v>
      </c>
      <c r="BH85" s="17" t="n">
        <f aca="false">IF(AK85="","",AK85*$AZ85)</f>
        <v>5.78698909336848</v>
      </c>
      <c r="BI85" s="17" t="n">
        <f aca="false">IF(BF85="","",N(BF85)+N(BG85))</f>
        <v>11.2062001173274</v>
      </c>
      <c r="BJ85" s="17" t="n">
        <f aca="false">IF(BI85="","",BI85+N($M85)*N(BH85))</f>
        <v>11.2062001173274</v>
      </c>
      <c r="BK85" s="13" t="n">
        <f aca="false">IFERROR(BD85/AL85,1)</f>
        <v>1.01437076513357</v>
      </c>
    </row>
    <row r="86" customFormat="false" ht="15" hidden="false" customHeight="false" outlineLevel="0" collapsed="false">
      <c r="A86" s="0" t="s">
        <v>1493</v>
      </c>
      <c r="B86" s="0" t="s">
        <v>1139</v>
      </c>
      <c r="C86" s="0" t="s">
        <v>1222</v>
      </c>
      <c r="D86" s="0" t="s">
        <v>1227</v>
      </c>
      <c r="E86" s="0" t="s">
        <v>1492</v>
      </c>
      <c r="F86" s="0" t="s">
        <v>1743</v>
      </c>
      <c r="G86" s="0" t="str">
        <f aca="false">IFERROR(IF(INDEX(Matches!$W$5:$W$23,MATCH($C86,Matches!$A$5:$A$23,0))="","",INDEX(Matches!$W$5:$W$23,MATCH($C86,Matches!$A$5:$A$23,0))),"")</f>
        <v>Ancient</v>
      </c>
      <c r="H86" s="0" t="str">
        <f aca="false">IFERROR(IF(INDEX(Matches!$X$5:$X$23,MATCH($C86,Matches!$A$5:$A$23,0))="","",INDEX(Matches!$X$5:$X$23,MATCH($C86,Matches!$A$5:$A$23,0))),"")</f>
        <v>Dust2</v>
      </c>
      <c r="I86" s="0" t="str">
        <f aca="false">IFERROR(IF(INDEX(Matches!$Y$5:$Y$23,MATCH($C86,Matches!$A$5:$A$23,0))="","",INDEX(Matches!$Y$5:$Y$23,MATCH($C86,Matches!$A$5:$A$23,0))),"")</f>
        <v>Inferno</v>
      </c>
      <c r="J86" s="11" t="n">
        <f aca="false">IFERROR(IF(INDEX(Matches!$Z$5:$Z$23,MATCH($C86,Matches!$A$5:$A$23,0))="","",INDEX(Matches!$Z$5:$Z$23,MATCH($C86,Matches!$A$5:$A$23,0))),"")</f>
        <v>21.5</v>
      </c>
      <c r="K86" s="11" t="n">
        <f aca="false">IFERROR(IF(INDEX(Matches!$AA$5:$AA$23,MATCH($C86,Matches!$A$5:$A$23,0))="","",INDEX(Matches!$AA$5:$AA$23,MATCH($C86,Matches!$A$5:$A$23,0))),"")</f>
        <v>21.5</v>
      </c>
      <c r="L86" s="11" t="n">
        <f aca="false">IFERROR(IF(INDEX(Matches!$AB$5:$AB$23,MATCH($C86,Matches!$A$5:$A$23,0))="","",INDEX(Matches!$AB$5:$AB$23,MATCH($C86,Matches!$A$5:$A$23,0))),"")</f>
        <v>21.5</v>
      </c>
      <c r="M86" s="10" t="n">
        <f aca="false">IFERROR(IF(INDEX(Matches!$AC$5:$AC$23,MATCH($C86,Matches!$A$5:$A$23,0))="","",INDEX(Matches!$AC$5:$AC$23,MATCH($C86,Matches!$A$5:$A$23,0))),"")</f>
        <v>0</v>
      </c>
      <c r="N86" s="9" t="n">
        <f aca="false">IFERROR(INDEX(Players!$F$2:$F$137,MATCH($F86,Players!$A$2:$A$137,0)),0)</f>
        <v>37</v>
      </c>
      <c r="O86" s="13" t="n">
        <f aca="false">IFERROR(1/(1/INDEX(Players!$H$2:$H$137,MATCH($F86,Players!$A$2:$A$137,0))),"")</f>
        <v>0.7</v>
      </c>
      <c r="P86" s="10" t="n">
        <f aca="false">IFERROR(1/(1/INDEX(Players!$I$2:$I$137,MATCH($F86,Players!$A$2:$A$137,0))),"")</f>
        <v>0.518</v>
      </c>
      <c r="Q86" s="9" t="n">
        <f aca="false">IF($G86="",0,SUMIFS(Map_Stats!$F$2:$F$850,Map_Stats!$A$2:$A$850,$F86&amp;"|"&amp;$G86))</f>
        <v>12</v>
      </c>
      <c r="R86" s="13" t="n">
        <f aca="false">IF($G86="","",IFERROR(1/(1/INDEX(Map_Stats!$K$2:$K$850,MATCH($F86&amp;"|"&amp;$G86,Map_Stats!$A$2:$A$850,0))),$O86))</f>
        <v>0.83</v>
      </c>
      <c r="S86" s="10" t="n">
        <f aca="false">IF(OR($G86="",$P86=""),"",IFERROR(1/(1/INDEX(Map_Stats!$I$2:$I$850,MATCH($F86&amp;"|"&amp;$G86,Map_Stats!$A$2:$A$850,0))),$P86))</f>
        <v>0.489</v>
      </c>
      <c r="T86" s="13" t="n">
        <f aca="false">IF(OR($G86="",R86=""),"",IF($O86="",R86,(Q86*R86+Config!$B$4*$O86)/(Q86+Config!$B$4)))</f>
        <v>0.791764705882353</v>
      </c>
      <c r="U86" s="10" t="n">
        <f aca="false">IF(S86="","",(Q86*S86+Config!$B$4*$P86)/(Q86+Config!$B$4))</f>
        <v>0.497529411764706</v>
      </c>
      <c r="V86" s="17" t="n">
        <f aca="false">IF(OR(T86="",$J86=""),"",T86*$J86*($J86/Config!$B$10)^Config!$B$9)</f>
        <v>17.0229411764706</v>
      </c>
      <c r="W86" s="17" t="n">
        <f aca="false">IF(OR(V86="",U86=""),"",V86*U86)</f>
        <v>8.4694139100346</v>
      </c>
      <c r="X86" s="9" t="n">
        <f aca="false">IF($H86="",0,SUMIFS(Map_Stats!$F$2:$F$850,Map_Stats!$A$2:$A$850,$F86&amp;"|"&amp;$H86))</f>
        <v>7</v>
      </c>
      <c r="Y86" s="13" t="n">
        <f aca="false">IF($H86="","",IFERROR(1/(1/INDEX(Map_Stats!$K$2:$K$850,MATCH($F86&amp;"|"&amp;$H86,Map_Stats!$A$2:$A$850,0))),$O86))</f>
        <v>0.68</v>
      </c>
      <c r="Z86" s="10" t="n">
        <f aca="false">IF(OR($H86="",$P86=""),"",IFERROR(1/(1/INDEX(Map_Stats!$I$2:$I$850,MATCH($F86&amp;"|"&amp;$H86,Map_Stats!$A$2:$A$850,0))),$P86))</f>
        <v>0.496</v>
      </c>
      <c r="AA86" s="13" t="n">
        <f aca="false">IF(OR($H86="",Y86=""),"",IF($O86="",Y86,(X86*Y86+Config!$B$4*$O86)/(X86+Config!$B$4)))</f>
        <v>0.688333333333334</v>
      </c>
      <c r="AB86" s="10" t="n">
        <f aca="false">IF(Z86="","",(X86*Z86+Config!$B$4*$P86)/(X86+Config!$B$4))</f>
        <v>0.505166666666667</v>
      </c>
      <c r="AC86" s="17" t="n">
        <f aca="false">IF(OR(AA86="",$K86=""),"",AA86*$K86*($K86/Config!$B$10)^Config!$B$9)</f>
        <v>14.7991666666667</v>
      </c>
      <c r="AD86" s="17" t="n">
        <f aca="false">IF(OR(AC86="",AB86=""),"",AC86*AB86)</f>
        <v>7.47604569444445</v>
      </c>
      <c r="AE86" s="9" t="n">
        <f aca="false">IF($I86="",0,SUMIFS(Map_Stats!$F$2:$F$850,Map_Stats!$A$2:$A$850,$F86&amp;"|"&amp;$I86))</f>
        <v>7</v>
      </c>
      <c r="AF86" s="13" t="n">
        <f aca="false">IF($I86="","",IFERROR(1/(1/INDEX(Map_Stats!$K$2:$K$850,MATCH($F86&amp;"|"&amp;$I86,Map_Stats!$A$2:$A$850,0))),$O86))</f>
        <v>0.49</v>
      </c>
      <c r="AG86" s="10" t="n">
        <f aca="false">IF(OR($I86="",$P86=""),"",IFERROR(1/(1/INDEX(Map_Stats!$I$2:$I$850,MATCH($F86&amp;"|"&amp;$I86,Map_Stats!$A$2:$A$850,0))),$P86))</f>
        <v>0.573</v>
      </c>
      <c r="AH86" s="13" t="n">
        <f aca="false">IF(OR($I86="",AF86=""),"",IF($O86="",AF86,(AE86*AF86+Config!$B$4*$O86)/(AE86+Config!$B$4)))</f>
        <v>0.5775</v>
      </c>
      <c r="AI86" s="10" t="n">
        <f aca="false">IF(AG86="","",(AE86*AG86+Config!$B$4*$P86)/(AE86+Config!$B$4))</f>
        <v>0.550083333333333</v>
      </c>
      <c r="AJ86" s="17" t="n">
        <f aca="false">IF(OR(AH86="",$L86=""),"",AH86*$L86*($L86/Config!$B$10)^Config!$B$9)</f>
        <v>12.41625</v>
      </c>
      <c r="AK86" s="17" t="n">
        <f aca="false">IF(OR(AJ86="",AI86=""),"",AJ86*AI86)</f>
        <v>6.8299721875</v>
      </c>
      <c r="AL86" s="17" t="n">
        <f aca="false">N(V86)+N(AC86)</f>
        <v>31.8221078431373</v>
      </c>
      <c r="AM86" s="17" t="n">
        <f aca="false">AL86+N($M86)*N(AJ86)</f>
        <v>31.8221078431373</v>
      </c>
      <c r="AN86" s="17" t="n">
        <f aca="false">IF(W86="","",N(W86)+N(AD86))</f>
        <v>15.945459604479</v>
      </c>
      <c r="AO86" s="17" t="n">
        <f aca="false">IF(AN86="","",AN86+N($M86)*N(AK86))</f>
        <v>15.945459604479</v>
      </c>
      <c r="AP86" s="10" t="n">
        <f aca="false">IFERROR(AN86/AL86,"")</f>
        <v>0.501081188055801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IF($C86=Board!$B$2,COUNTIFS($C$2:$C$137,Board!$B$2,$AL$2:$AL$137,"&gt;"&amp;$AL86)+COUNTIFS($C$1:$C85,Board!$B$2,$AL$1:$AL85,$AL86)+1,"")</f>
        <v/>
      </c>
      <c r="AS86" s="0" t="str">
        <f aca="false">IFERROR(IF($D86=INDEX(Matches!$AD$5:$AD$23,MATCH($C86,Matches!$A$5:$A$23,0)),"A",IF($D86=INDEX(Matches!$AE$5:$AE$23,MATCH($C86,Matches!$A$5:$A$23,0)),"B","")),"")</f>
        <v>A</v>
      </c>
      <c r="AT86" s="10" t="n">
        <f aca="false">IF($AS86="","",IFERROR(IF($AS86="A",INDEX(Matches!$AI$5:$AI$23,MATCH($C86,Matches!$A$5:$A$23,0)),INDEX(Matches!$AJ$5:$AJ$23,MATCH($C86,Matches!$A$5:$A$23,0))),""))</f>
        <v>0.542138318980539</v>
      </c>
      <c r="AU86" s="10" t="n">
        <f aca="false">IF($AS86="","",IFERROR(IF(INDEX(Matches!$AP$5:$AP$23,MATCH($C86,Matches!$A$5:$A$23,0))="","",IF($AS86="A",INDEX(Matches!$AP$5:$AP$23,MATCH($C86,Matches!$A$5:$A$23,0)),1-INDEX(Matches!$AP$5:$AP$23,MATCH($C86,Matches!$A$5:$A$23,0)))),""))</f>
        <v>0.564231543482902</v>
      </c>
      <c r="AV86" s="13" t="n">
        <f aca="false">IF(OR($AU86="",$AT86=""),1,((Config!$B$14*$AU86+Config!$B$15*(1-$AU86))/(Config!$B$14*$AT86+Config!$B$15*(1-$AT86)))^Config!$B$13)</f>
        <v>1.01902643132234</v>
      </c>
      <c r="AW86" s="10" t="n">
        <f aca="false">IF($AS86="","",IFERROR(IF(INDEX(Matches!$AV$5:$AV$23,MATCH($C86,Matches!$A$5:$A$23,0))="","",IF($AS86="A",INDEX(Matches!$AV$5:$AV$23,MATCH($C86,Matches!$A$5:$A$23,0)),1-INDEX(Matches!$AV$5:$AV$23,MATCH($C86,Matches!$A$5:$A$23,0)))),""))</f>
        <v>0.554020831795786</v>
      </c>
      <c r="AX86" s="13" t="n">
        <f aca="false">IF(OR($AW86="",$AT86=""),1,((Config!$B$14*$AW86+Config!$B$15*(1-$AW86))/(Config!$B$14*$AT86+Config!$B$15*(1-$AT86)))^Config!$B$13)</f>
        <v>1.01023308363123</v>
      </c>
      <c r="AY86" s="10" t="n">
        <f aca="false">IF($AS86="","",IFERROR(IF(INDEX(Matches!$BB$5:$BB$23,MATCH($C86,Matches!$A$5:$A$23,0))="","",IF($AS86="A",INDEX(Matches!$BB$5:$BB$23,MATCH($C86,Matches!$A$5:$A$23,0)),1-INDEX(Matches!$BB$5:$BB$23,MATCH($C86,Matches!$A$5:$A$23,0)))),""))</f>
        <v>0.527085140287112</v>
      </c>
      <c r="AZ86" s="13" t="n">
        <f aca="false">IF(OR($AY86="",$AT86=""),1,((Config!$B$14*$AY86+Config!$B$15*(1-$AY86))/(Config!$B$14*$AT86+Config!$B$15*(1-$AT86)))^Config!$B$13)</f>
        <v>0.987036375312132</v>
      </c>
      <c r="BA86" s="17" t="n">
        <f aca="false">IF(V86="","",V86*$AV86)</f>
        <v>17.346826997669</v>
      </c>
      <c r="BB86" s="17" t="n">
        <f aca="false">IF(AC86="","",AC86*$AX86)</f>
        <v>14.9506077768391</v>
      </c>
      <c r="BC86" s="17" t="n">
        <f aca="false">IF(AJ86="","",AJ86*$AZ86)</f>
        <v>12.2552903949693</v>
      </c>
      <c r="BD86" s="17" t="n">
        <f aca="false">N(BA86)+N(BB86)</f>
        <v>32.2974347745081</v>
      </c>
      <c r="BE86" s="17" t="n">
        <f aca="false">BD86+N($M86)*N(BC86)</f>
        <v>32.2974347745081</v>
      </c>
      <c r="BF86" s="17" t="n">
        <f aca="false">IF(W86="","",W86*$AV86)</f>
        <v>8.63055663213437</v>
      </c>
      <c r="BG86" s="17" t="n">
        <f aca="false">IF(AD86="","",AD86*$AX86)</f>
        <v>7.55254869526657</v>
      </c>
      <c r="BH86" s="17" t="n">
        <f aca="false">IF(AK86="","",AK86*$AZ86)</f>
        <v>6.74143099143267</v>
      </c>
      <c r="BI86" s="17" t="n">
        <f aca="false">IF(BF86="","",N(BF86)+N(BG86))</f>
        <v>16.1831053274009</v>
      </c>
      <c r="BJ86" s="17" t="n">
        <f aca="false">IF(BI86="","",BI86+N($M86)*N(BH86))</f>
        <v>16.1831053274009</v>
      </c>
      <c r="BK86" s="13" t="n">
        <f aca="false">IFERROR(BD86/AL86,1)</f>
        <v>1.01493700334729</v>
      </c>
    </row>
    <row r="87" customFormat="false" ht="15" hidden="false" customHeight="false" outlineLevel="0" collapsed="false">
      <c r="A87" s="0" t="s">
        <v>1496</v>
      </c>
      <c r="B87" s="0" t="s">
        <v>1139</v>
      </c>
      <c r="C87" s="0" t="s">
        <v>1222</v>
      </c>
      <c r="D87" s="0" t="s">
        <v>1227</v>
      </c>
      <c r="E87" s="0" t="s">
        <v>1495</v>
      </c>
      <c r="F87" s="0" t="s">
        <v>1744</v>
      </c>
      <c r="G87" s="0" t="str">
        <f aca="false">IFERROR(IF(INDEX(Matches!$W$5:$W$23,MATCH($C87,Matches!$A$5:$A$23,0))="","",INDEX(Matches!$W$5:$W$23,MATCH($C87,Matches!$A$5:$A$23,0))),"")</f>
        <v>Ancient</v>
      </c>
      <c r="H87" s="0" t="str">
        <f aca="false">IFERROR(IF(INDEX(Matches!$X$5:$X$23,MATCH($C87,Matches!$A$5:$A$23,0))="","",INDEX(Matches!$X$5:$X$23,MATCH($C87,Matches!$A$5:$A$23,0))),"")</f>
        <v>Dust2</v>
      </c>
      <c r="I87" s="0" t="str">
        <f aca="false">IFERROR(IF(INDEX(Matches!$Y$5:$Y$23,MATCH($C87,Matches!$A$5:$A$23,0))="","",INDEX(Matches!$Y$5:$Y$23,MATCH($C87,Matches!$A$5:$A$23,0))),"")</f>
        <v>Inferno</v>
      </c>
      <c r="J87" s="11" t="n">
        <f aca="false">IFERROR(IF(INDEX(Matches!$Z$5:$Z$23,MATCH($C87,Matches!$A$5:$A$23,0))="","",INDEX(Matches!$Z$5:$Z$23,MATCH($C87,Matches!$A$5:$A$23,0))),"")</f>
        <v>21.5</v>
      </c>
      <c r="K87" s="11" t="n">
        <f aca="false">IFERROR(IF(INDEX(Matches!$AA$5:$AA$23,MATCH($C87,Matches!$A$5:$A$23,0))="","",INDEX(Matches!$AA$5:$AA$23,MATCH($C87,Matches!$A$5:$A$23,0))),"")</f>
        <v>21.5</v>
      </c>
      <c r="L87" s="11" t="n">
        <f aca="false">IFERROR(IF(INDEX(Matches!$AB$5:$AB$23,MATCH($C87,Matches!$A$5:$A$23,0))="","",INDEX(Matches!$AB$5:$AB$23,MATCH($C87,Matches!$A$5:$A$23,0))),"")</f>
        <v>21.5</v>
      </c>
      <c r="M87" s="10" t="n">
        <f aca="false">IFERROR(IF(INDEX(Matches!$AC$5:$AC$23,MATCH($C87,Matches!$A$5:$A$23,0))="","",INDEX(Matches!$AC$5:$AC$23,MATCH($C87,Matches!$A$5:$A$23,0))),"")</f>
        <v>0</v>
      </c>
      <c r="N87" s="9" t="n">
        <f aca="false">IFERROR(INDEX(Players!$F$2:$F$137,MATCH($F87,Players!$A$2:$A$137,0)),0)</f>
        <v>37</v>
      </c>
      <c r="O87" s="13" t="n">
        <f aca="false">IFERROR(1/(1/INDEX(Players!$H$2:$H$137,MATCH($F87,Players!$A$2:$A$137,0))),"")</f>
        <v>0.54</v>
      </c>
      <c r="P87" s="10" t="n">
        <f aca="false">IFERROR(1/(1/INDEX(Players!$I$2:$I$137,MATCH($F87,Players!$A$2:$A$137,0))),"")</f>
        <v>0.498</v>
      </c>
      <c r="Q87" s="9" t="n">
        <f aca="false">IF($G87="",0,SUMIFS(Map_Stats!$F$2:$F$850,Map_Stats!$A$2:$A$850,$F87&amp;"|"&amp;$G87))</f>
        <v>12</v>
      </c>
      <c r="R87" s="13" t="n">
        <f aca="false">IF($G87="","",IFERROR(1/(1/INDEX(Map_Stats!$K$2:$K$850,MATCH($F87&amp;"|"&amp;$G87,Map_Stats!$A$2:$A$850,0))),$O87))</f>
        <v>0.52</v>
      </c>
      <c r="S87" s="10" t="n">
        <f aca="false">IF(OR($G87="",$P87=""),"",IFERROR(1/(1/INDEX(Map_Stats!$I$2:$I$850,MATCH($F87&amp;"|"&amp;$G87,Map_Stats!$A$2:$A$850,0))),$P87))</f>
        <v>0.559</v>
      </c>
      <c r="T87" s="13" t="n">
        <f aca="false">IF(OR($G87="",R87=""),"",IF($O87="",R87,(Q87*R87+Config!$B$4*$O87)/(Q87+Config!$B$4)))</f>
        <v>0.525882352941177</v>
      </c>
      <c r="U87" s="10" t="n">
        <f aca="false">IF(S87="","",(Q87*S87+Config!$B$4*$P87)/(Q87+Config!$B$4))</f>
        <v>0.541058823529412</v>
      </c>
      <c r="V87" s="17" t="n">
        <f aca="false">IF(OR(T87="",$J87=""),"",T87*$J87*($J87/Config!$B$10)^Config!$B$9)</f>
        <v>11.3064705882353</v>
      </c>
      <c r="W87" s="17" t="n">
        <f aca="false">IF(OR(V87="",U87=""),"",V87*U87)</f>
        <v>6.11746567474049</v>
      </c>
      <c r="X87" s="9" t="n">
        <f aca="false">IF($H87="",0,SUMIFS(Map_Stats!$F$2:$F$850,Map_Stats!$A$2:$A$850,$F87&amp;"|"&amp;$H87))</f>
        <v>7</v>
      </c>
      <c r="Y87" s="13" t="n">
        <f aca="false">IF($H87="","",IFERROR(1/(1/INDEX(Map_Stats!$K$2:$K$850,MATCH($F87&amp;"|"&amp;$H87,Map_Stats!$A$2:$A$850,0))),$O87))</f>
        <v>0.53</v>
      </c>
      <c r="Z87" s="10" t="n">
        <f aca="false">IF(OR($H87="",$P87=""),"",IFERROR(1/(1/INDEX(Map_Stats!$I$2:$I$850,MATCH($F87&amp;"|"&amp;$H87,Map_Stats!$A$2:$A$850,0))),$P87))</f>
        <v>0.42</v>
      </c>
      <c r="AA87" s="13" t="n">
        <f aca="false">IF(OR($H87="",Y87=""),"",IF($O87="",Y87,(X87*Y87+Config!$B$4*$O87)/(X87+Config!$B$4)))</f>
        <v>0.534166666666667</v>
      </c>
      <c r="AB87" s="10" t="n">
        <f aca="false">IF(Z87="","",(X87*Z87+Config!$B$4*$P87)/(X87+Config!$B$4))</f>
        <v>0.4525</v>
      </c>
      <c r="AC87" s="17" t="n">
        <f aca="false">IF(OR(AA87="",$K87=""),"",AA87*$K87*($K87/Config!$B$10)^Config!$B$9)</f>
        <v>11.4845833333333</v>
      </c>
      <c r="AD87" s="17" t="n">
        <f aca="false">IF(OR(AC87="",AB87=""),"",AC87*AB87)</f>
        <v>5.19677395833333</v>
      </c>
      <c r="AE87" s="9" t="n">
        <f aca="false">IF($I87="",0,SUMIFS(Map_Stats!$F$2:$F$850,Map_Stats!$A$2:$A$850,$F87&amp;"|"&amp;$I87))</f>
        <v>7</v>
      </c>
      <c r="AF87" s="13" t="n">
        <f aca="false">IF($I87="","",IFERROR(1/(1/INDEX(Map_Stats!$K$2:$K$850,MATCH($F87&amp;"|"&amp;$I87,Map_Stats!$A$2:$A$850,0))),$O87))</f>
        <v>0.55</v>
      </c>
      <c r="AG87" s="10" t="n">
        <f aca="false">IF(OR($I87="",$P87=""),"",IFERROR(1/(1/INDEX(Map_Stats!$I$2:$I$850,MATCH($F87&amp;"|"&amp;$I87,Map_Stats!$A$2:$A$850,0))),$P87))</f>
        <v>0.482</v>
      </c>
      <c r="AH87" s="13" t="n">
        <f aca="false">IF(OR($I87="",AF87=""),"",IF($O87="",AF87,(AE87*AF87+Config!$B$4*$O87)/(AE87+Config!$B$4)))</f>
        <v>0.545833333333333</v>
      </c>
      <c r="AI87" s="10" t="n">
        <f aca="false">IF(AG87="","",(AE87*AG87+Config!$B$4*$P87)/(AE87+Config!$B$4))</f>
        <v>0.488666666666667</v>
      </c>
      <c r="AJ87" s="17" t="n">
        <f aca="false">IF(OR(AH87="",$L87=""),"",AH87*$L87*($L87/Config!$B$10)^Config!$B$9)</f>
        <v>11.7354166666667</v>
      </c>
      <c r="AK87" s="17" t="n">
        <f aca="false">IF(OR(AJ87="",AI87=""),"",AJ87*AI87)</f>
        <v>5.73470694444444</v>
      </c>
      <c r="AL87" s="17" t="n">
        <f aca="false">N(V87)+N(AC87)</f>
        <v>22.7910539215686</v>
      </c>
      <c r="AM87" s="17" t="n">
        <f aca="false">AL87+N($M87)*N(AJ87)</f>
        <v>22.7910539215686</v>
      </c>
      <c r="AN87" s="17" t="n">
        <f aca="false">IF(W87="","",N(W87)+N(AD87))</f>
        <v>11.3142396330738</v>
      </c>
      <c r="AO87" s="17" t="n">
        <f aca="false">IF(AN87="","",AN87+N($M87)*N(AK87))</f>
        <v>11.3142396330738</v>
      </c>
      <c r="AP87" s="10" t="n">
        <f aca="false">IFERROR(AN87/AL87,"")</f>
        <v>0.496433366882013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IF($C87=Board!$B$2,COUNTIFS($C$2:$C$137,Board!$B$2,$AL$2:$AL$137,"&gt;"&amp;$AL87)+COUNTIFS($C$1:$C86,Board!$B$2,$AL$1:$AL86,$AL87)+1,"")</f>
        <v/>
      </c>
      <c r="AS87" s="0" t="str">
        <f aca="false">IFERROR(IF($D87=INDEX(Matches!$AD$5:$AD$23,MATCH($C87,Matches!$A$5:$A$23,0)),"A",IF($D87=INDEX(Matches!$AE$5:$AE$23,MATCH($C87,Matches!$A$5:$A$23,0)),"B","")),"")</f>
        <v>A</v>
      </c>
      <c r="AT87" s="10" t="n">
        <f aca="false">IF($AS87="","",IFERROR(IF($AS87="A",INDEX(Matches!$AI$5:$AI$23,MATCH($C87,Matches!$A$5:$A$23,0)),INDEX(Matches!$AJ$5:$AJ$23,MATCH($C87,Matches!$A$5:$A$23,0))),""))</f>
        <v>0.542138318980539</v>
      </c>
      <c r="AU87" s="10" t="n">
        <f aca="false">IF($AS87="","",IFERROR(IF(INDEX(Matches!$AP$5:$AP$23,MATCH($C87,Matches!$A$5:$A$23,0))="","",IF($AS87="A",INDEX(Matches!$AP$5:$AP$23,MATCH($C87,Matches!$A$5:$A$23,0)),1-INDEX(Matches!$AP$5:$AP$23,MATCH($C87,Matches!$A$5:$A$23,0)))),""))</f>
        <v>0.564231543482902</v>
      </c>
      <c r="AV87" s="13" t="n">
        <f aca="false">IF(OR($AU87="",$AT87=""),1,((Config!$B$14*$AU87+Config!$B$15*(1-$AU87))/(Config!$B$14*$AT87+Config!$B$15*(1-$AT87)))^Config!$B$13)</f>
        <v>1.01902643132234</v>
      </c>
      <c r="AW87" s="10" t="n">
        <f aca="false">IF($AS87="","",IFERROR(IF(INDEX(Matches!$AV$5:$AV$23,MATCH($C87,Matches!$A$5:$A$23,0))="","",IF($AS87="A",INDEX(Matches!$AV$5:$AV$23,MATCH($C87,Matches!$A$5:$A$23,0)),1-INDEX(Matches!$AV$5:$AV$23,MATCH($C87,Matches!$A$5:$A$23,0)))),""))</f>
        <v>0.554020831795786</v>
      </c>
      <c r="AX87" s="13" t="n">
        <f aca="false">IF(OR($AW87="",$AT87=""),1,((Config!$B$14*$AW87+Config!$B$15*(1-$AW87))/(Config!$B$14*$AT87+Config!$B$15*(1-$AT87)))^Config!$B$13)</f>
        <v>1.01023308363123</v>
      </c>
      <c r="AY87" s="10" t="n">
        <f aca="false">IF($AS87="","",IFERROR(IF(INDEX(Matches!$BB$5:$BB$23,MATCH($C87,Matches!$A$5:$A$23,0))="","",IF($AS87="A",INDEX(Matches!$BB$5:$BB$23,MATCH($C87,Matches!$A$5:$A$23,0)),1-INDEX(Matches!$BB$5:$BB$23,MATCH($C87,Matches!$A$5:$A$23,0)))),""))</f>
        <v>0.527085140287112</v>
      </c>
      <c r="AZ87" s="13" t="n">
        <f aca="false">IF(OR($AY87="",$AT87=""),1,((Config!$B$14*$AY87+Config!$B$15*(1-$AY87))/(Config!$B$14*$AT87+Config!$B$15*(1-$AT87)))^Config!$B$13)</f>
        <v>0.987036375312132</v>
      </c>
      <c r="BA87" s="17" t="n">
        <f aca="false">IF(V87="","",V87*$AV87)</f>
        <v>11.5215923743804</v>
      </c>
      <c r="BB87" s="17" t="n">
        <f aca="false">IF(AC87="","",AC87*$AX87)</f>
        <v>11.6021060350531</v>
      </c>
      <c r="BC87" s="17" t="n">
        <f aca="false">IF(AJ87="","",AJ87*$AZ87)</f>
        <v>11.5832831294442</v>
      </c>
      <c r="BD87" s="17" t="n">
        <f aca="false">N(BA87)+N(BB87)</f>
        <v>23.1236984094336</v>
      </c>
      <c r="BE87" s="17" t="n">
        <f aca="false">BD87+N($M87)*N(BC87)</f>
        <v>23.1236984094336</v>
      </c>
      <c r="BF87" s="17" t="n">
        <f aca="false">IF(W87="","",W87*$AV87)</f>
        <v>6.23385921526772</v>
      </c>
      <c r="BG87" s="17" t="n">
        <f aca="false">IF(AD87="","",AD87*$AX87)</f>
        <v>5.24995298086154</v>
      </c>
      <c r="BH87" s="17" t="n">
        <f aca="false">IF(AK87="","",AK87*$AZ87)</f>
        <v>5.66036435592176</v>
      </c>
      <c r="BI87" s="17" t="n">
        <f aca="false">IF(BF87="","",N(BF87)+N(BG87))</f>
        <v>11.4838121961293</v>
      </c>
      <c r="BJ87" s="17" t="n">
        <f aca="false">IF(BI87="","",BI87+N($M87)*N(BH87))</f>
        <v>11.4838121961293</v>
      </c>
      <c r="BK87" s="13" t="n">
        <f aca="false">IFERROR(BD87/AL87,1)</f>
        <v>1.01459539734361</v>
      </c>
    </row>
    <row r="88" customFormat="false" ht="15" hidden="false" customHeight="false" outlineLevel="0" collapsed="false">
      <c r="A88" s="0" t="s">
        <v>1498</v>
      </c>
      <c r="B88" s="0" t="s">
        <v>1139</v>
      </c>
      <c r="C88" s="0" t="s">
        <v>1222</v>
      </c>
      <c r="D88" s="0" t="s">
        <v>1227</v>
      </c>
      <c r="E88" s="0" t="s">
        <v>1497</v>
      </c>
      <c r="F88" s="0" t="s">
        <v>1745</v>
      </c>
      <c r="G88" s="0" t="str">
        <f aca="false">IFERROR(IF(INDEX(Matches!$W$5:$W$23,MATCH($C88,Matches!$A$5:$A$23,0))="","",INDEX(Matches!$W$5:$W$23,MATCH($C88,Matches!$A$5:$A$23,0))),"")</f>
        <v>Ancient</v>
      </c>
      <c r="H88" s="0" t="str">
        <f aca="false">IFERROR(IF(INDEX(Matches!$X$5:$X$23,MATCH($C88,Matches!$A$5:$A$23,0))="","",INDEX(Matches!$X$5:$X$23,MATCH($C88,Matches!$A$5:$A$23,0))),"")</f>
        <v>Dust2</v>
      </c>
      <c r="I88" s="0" t="str">
        <f aca="false">IFERROR(IF(INDEX(Matches!$Y$5:$Y$23,MATCH($C88,Matches!$A$5:$A$23,0))="","",INDEX(Matches!$Y$5:$Y$23,MATCH($C88,Matches!$A$5:$A$23,0))),"")</f>
        <v>Inferno</v>
      </c>
      <c r="J88" s="11" t="n">
        <f aca="false">IFERROR(IF(INDEX(Matches!$Z$5:$Z$23,MATCH($C88,Matches!$A$5:$A$23,0))="","",INDEX(Matches!$Z$5:$Z$23,MATCH($C88,Matches!$A$5:$A$23,0))),"")</f>
        <v>21.5</v>
      </c>
      <c r="K88" s="11" t="n">
        <f aca="false">IFERROR(IF(INDEX(Matches!$AA$5:$AA$23,MATCH($C88,Matches!$A$5:$A$23,0))="","",INDEX(Matches!$AA$5:$AA$23,MATCH($C88,Matches!$A$5:$A$23,0))),"")</f>
        <v>21.5</v>
      </c>
      <c r="L88" s="11" t="n">
        <f aca="false">IFERROR(IF(INDEX(Matches!$AB$5:$AB$23,MATCH($C88,Matches!$A$5:$A$23,0))="","",INDEX(Matches!$AB$5:$AB$23,MATCH($C88,Matches!$A$5:$A$23,0))),"")</f>
        <v>21.5</v>
      </c>
      <c r="M88" s="10" t="n">
        <f aca="false">IFERROR(IF(INDEX(Matches!$AC$5:$AC$23,MATCH($C88,Matches!$A$5:$A$23,0))="","",INDEX(Matches!$AC$5:$AC$23,MATCH($C88,Matches!$A$5:$A$23,0))),"")</f>
        <v>0</v>
      </c>
      <c r="N88" s="9" t="n">
        <f aca="false">IFERROR(INDEX(Players!$F$2:$F$137,MATCH($F88,Players!$A$2:$A$137,0)),0)</f>
        <v>37</v>
      </c>
      <c r="O88" s="13" t="n">
        <f aca="false">IFERROR(1/(1/INDEX(Players!$H$2:$H$137,MATCH($F88,Players!$A$2:$A$137,0))),"")</f>
        <v>0.66</v>
      </c>
      <c r="P88" s="10" t="n">
        <f aca="false">IFERROR(1/(1/INDEX(Players!$I$2:$I$137,MATCH($F88,Players!$A$2:$A$137,0))),"")</f>
        <v>0.461</v>
      </c>
      <c r="Q88" s="9" t="n">
        <f aca="false">IF($G88="",0,SUMIFS(Map_Stats!$F$2:$F$850,Map_Stats!$A$2:$A$850,$F88&amp;"|"&amp;$G88))</f>
        <v>12</v>
      </c>
      <c r="R88" s="13" t="n">
        <f aca="false">IF($G88="","",IFERROR(1/(1/INDEX(Map_Stats!$K$2:$K$850,MATCH($F88&amp;"|"&amp;$G88,Map_Stats!$A$2:$A$850,0))),$O88))</f>
        <v>0.66</v>
      </c>
      <c r="S88" s="10" t="n">
        <f aca="false">IF(OR($G88="",$P88=""),"",IFERROR(1/(1/INDEX(Map_Stats!$I$2:$I$850,MATCH($F88&amp;"|"&amp;$G88,Map_Stats!$A$2:$A$850,0))),$P88))</f>
        <v>0.467</v>
      </c>
      <c r="T88" s="13" t="n">
        <f aca="false">IF(OR($G88="",R88=""),"",IF($O88="",R88,(Q88*R88+Config!$B$4*$O88)/(Q88+Config!$B$4)))</f>
        <v>0.66</v>
      </c>
      <c r="U88" s="10" t="n">
        <f aca="false">IF(S88="","",(Q88*S88+Config!$B$4*$P88)/(Q88+Config!$B$4))</f>
        <v>0.465235294117647</v>
      </c>
      <c r="V88" s="17" t="n">
        <f aca="false">IF(OR(T88="",$J88=""),"",T88*$J88*($J88/Config!$B$10)^Config!$B$9)</f>
        <v>14.19</v>
      </c>
      <c r="W88" s="17" t="n">
        <f aca="false">IF(OR(V88="",U88=""),"",V88*U88)</f>
        <v>6.60168882352941</v>
      </c>
      <c r="X88" s="9" t="n">
        <f aca="false">IF($H88="",0,SUMIFS(Map_Stats!$F$2:$F$850,Map_Stats!$A$2:$A$850,$F88&amp;"|"&amp;$H88))</f>
        <v>7</v>
      </c>
      <c r="Y88" s="13" t="n">
        <f aca="false">IF($H88="","",IFERROR(1/(1/INDEX(Map_Stats!$K$2:$K$850,MATCH($F88&amp;"|"&amp;$H88,Map_Stats!$A$2:$A$850,0))),$O88))</f>
        <v>0.67</v>
      </c>
      <c r="Z88" s="10" t="n">
        <f aca="false">IF(OR($H88="",$P88=""),"",IFERROR(1/(1/INDEX(Map_Stats!$I$2:$I$850,MATCH($F88&amp;"|"&amp;$H88,Map_Stats!$A$2:$A$850,0))),$P88))</f>
        <v>0.527</v>
      </c>
      <c r="AA88" s="13" t="n">
        <f aca="false">IF(OR($H88="",Y88=""),"",IF($O88="",Y88,(X88*Y88+Config!$B$4*$O88)/(X88+Config!$B$4)))</f>
        <v>0.665833333333333</v>
      </c>
      <c r="AB88" s="10" t="n">
        <f aca="false">IF(Z88="","",(X88*Z88+Config!$B$4*$P88)/(X88+Config!$B$4))</f>
        <v>0.4995</v>
      </c>
      <c r="AC88" s="17" t="n">
        <f aca="false">IF(OR(AA88="",$K88=""),"",AA88*$K88*($K88/Config!$B$10)^Config!$B$9)</f>
        <v>14.3154166666667</v>
      </c>
      <c r="AD88" s="17" t="n">
        <f aca="false">IF(OR(AC88="",AB88=""),"",AC88*AB88)</f>
        <v>7.150550625</v>
      </c>
      <c r="AE88" s="9" t="n">
        <f aca="false">IF($I88="",0,SUMIFS(Map_Stats!$F$2:$F$850,Map_Stats!$A$2:$A$850,$F88&amp;"|"&amp;$I88))</f>
        <v>7</v>
      </c>
      <c r="AF88" s="13" t="n">
        <f aca="false">IF($I88="","",IFERROR(1/(1/INDEX(Map_Stats!$K$2:$K$850,MATCH($F88&amp;"|"&amp;$I88,Map_Stats!$A$2:$A$850,0))),$O88))</f>
        <v>0.59</v>
      </c>
      <c r="AG88" s="10" t="n">
        <f aca="false">IF(OR($I88="",$P88=""),"",IFERROR(1/(1/INDEX(Map_Stats!$I$2:$I$850,MATCH($F88&amp;"|"&amp;$I88,Map_Stats!$A$2:$A$850,0))),$P88))</f>
        <v>0.429</v>
      </c>
      <c r="AH88" s="13" t="n">
        <f aca="false">IF(OR($I88="",AF88=""),"",IF($O88="",AF88,(AE88*AF88+Config!$B$4*$O88)/(AE88+Config!$B$4)))</f>
        <v>0.619166666666667</v>
      </c>
      <c r="AI88" s="10" t="n">
        <f aca="false">IF(AG88="","",(AE88*AG88+Config!$B$4*$P88)/(AE88+Config!$B$4))</f>
        <v>0.442333333333333</v>
      </c>
      <c r="AJ88" s="17" t="n">
        <f aca="false">IF(OR(AH88="",$L88=""),"",AH88*$L88*($L88/Config!$B$10)^Config!$B$9)</f>
        <v>13.3120833333333</v>
      </c>
      <c r="AK88" s="17" t="n">
        <f aca="false">IF(OR(AJ88="",AI88=""),"",AJ88*AI88)</f>
        <v>5.88837819444444</v>
      </c>
      <c r="AL88" s="17" t="n">
        <f aca="false">N(V88)+N(AC88)</f>
        <v>28.5054166666667</v>
      </c>
      <c r="AM88" s="17" t="n">
        <f aca="false">AL88+N($M88)*N(AJ88)</f>
        <v>28.5054166666667</v>
      </c>
      <c r="AN88" s="17" t="n">
        <f aca="false">IF(W88="","",N(W88)+N(AD88))</f>
        <v>13.7522394485294</v>
      </c>
      <c r="AO88" s="17" t="n">
        <f aca="false">IF(AN88="","",AN88+N($M88)*N(AK88))</f>
        <v>13.7522394485294</v>
      </c>
      <c r="AP88" s="10" t="n">
        <f aca="false">IFERROR(AN88/AL88,"")</f>
        <v>0.482443025104448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IF($C88=Board!$B$2,COUNTIFS($C$2:$C$137,Board!$B$2,$AL$2:$AL$137,"&gt;"&amp;$AL88)+COUNTIFS($C$1:$C87,Board!$B$2,$AL$1:$AL87,$AL88)+1,"")</f>
        <v/>
      </c>
      <c r="AS88" s="0" t="str">
        <f aca="false">IFERROR(IF($D88=INDEX(Matches!$AD$5:$AD$23,MATCH($C88,Matches!$A$5:$A$23,0)),"A",IF($D88=INDEX(Matches!$AE$5:$AE$23,MATCH($C88,Matches!$A$5:$A$23,0)),"B","")),"")</f>
        <v>A</v>
      </c>
      <c r="AT88" s="10" t="n">
        <f aca="false">IF($AS88="","",IFERROR(IF($AS88="A",INDEX(Matches!$AI$5:$AI$23,MATCH($C88,Matches!$A$5:$A$23,0)),INDEX(Matches!$AJ$5:$AJ$23,MATCH($C88,Matches!$A$5:$A$23,0))),""))</f>
        <v>0.542138318980539</v>
      </c>
      <c r="AU88" s="10" t="n">
        <f aca="false">IF($AS88="","",IFERROR(IF(INDEX(Matches!$AP$5:$AP$23,MATCH($C88,Matches!$A$5:$A$23,0))="","",IF($AS88="A",INDEX(Matches!$AP$5:$AP$23,MATCH($C88,Matches!$A$5:$A$23,0)),1-INDEX(Matches!$AP$5:$AP$23,MATCH($C88,Matches!$A$5:$A$23,0)))),""))</f>
        <v>0.564231543482902</v>
      </c>
      <c r="AV88" s="13" t="n">
        <f aca="false">IF(OR($AU88="",$AT88=""),1,((Config!$B$14*$AU88+Config!$B$15*(1-$AU88))/(Config!$B$14*$AT88+Config!$B$15*(1-$AT88)))^Config!$B$13)</f>
        <v>1.01902643132234</v>
      </c>
      <c r="AW88" s="10" t="n">
        <f aca="false">IF($AS88="","",IFERROR(IF(INDEX(Matches!$AV$5:$AV$23,MATCH($C88,Matches!$A$5:$A$23,0))="","",IF($AS88="A",INDEX(Matches!$AV$5:$AV$23,MATCH($C88,Matches!$A$5:$A$23,0)),1-INDEX(Matches!$AV$5:$AV$23,MATCH($C88,Matches!$A$5:$A$23,0)))),""))</f>
        <v>0.554020831795786</v>
      </c>
      <c r="AX88" s="13" t="n">
        <f aca="false">IF(OR($AW88="",$AT88=""),1,((Config!$B$14*$AW88+Config!$B$15*(1-$AW88))/(Config!$B$14*$AT88+Config!$B$15*(1-$AT88)))^Config!$B$13)</f>
        <v>1.01023308363123</v>
      </c>
      <c r="AY88" s="10" t="n">
        <f aca="false">IF($AS88="","",IFERROR(IF(INDEX(Matches!$BB$5:$BB$23,MATCH($C88,Matches!$A$5:$A$23,0))="","",IF($AS88="A",INDEX(Matches!$BB$5:$BB$23,MATCH($C88,Matches!$A$5:$A$23,0)),1-INDEX(Matches!$BB$5:$BB$23,MATCH($C88,Matches!$A$5:$A$23,0)))),""))</f>
        <v>0.527085140287112</v>
      </c>
      <c r="AZ88" s="13" t="n">
        <f aca="false">IF(OR($AY88="",$AT88=""),1,((Config!$B$14*$AY88+Config!$B$15*(1-$AY88))/(Config!$B$14*$AT88+Config!$B$15*(1-$AT88)))^Config!$B$13)</f>
        <v>0.987036375312132</v>
      </c>
      <c r="BA88" s="17" t="n">
        <f aca="false">IF(V88="","",V88*$AV88)</f>
        <v>14.459985060464</v>
      </c>
      <c r="BB88" s="17" t="n">
        <f aca="false">IF(AC88="","",AC88*$AX88)</f>
        <v>14.4619075226325</v>
      </c>
      <c r="BC88" s="17" t="n">
        <f aca="false">IF(AJ88="","",AJ88*$AZ88)</f>
        <v>13.1395104811864</v>
      </c>
      <c r="BD88" s="17" t="n">
        <f aca="false">N(BA88)+N(BB88)</f>
        <v>28.9218925830966</v>
      </c>
      <c r="BE88" s="17" t="n">
        <f aca="false">BD88+N($M88)*N(BC88)</f>
        <v>28.9218925830966</v>
      </c>
      <c r="BF88" s="17" t="n">
        <f aca="false">IF(W88="","",W88*$AV88)</f>
        <v>6.72729540254177</v>
      </c>
      <c r="BG88" s="17" t="n">
        <f aca="false">IF(AD88="","",AD88*$AX88)</f>
        <v>7.22372280755495</v>
      </c>
      <c r="BH88" s="17" t="n">
        <f aca="false">IF(AK88="","",AK88*$AZ88)</f>
        <v>5.81204346951144</v>
      </c>
      <c r="BI88" s="17" t="n">
        <f aca="false">IF(BF88="","",N(BF88)+N(BG88))</f>
        <v>13.9510182100967</v>
      </c>
      <c r="BJ88" s="17" t="n">
        <f aca="false">IF(BI88="","",BI88+N($M88)*N(BH88))</f>
        <v>13.9510182100967</v>
      </c>
      <c r="BK88" s="13" t="n">
        <f aca="false">IFERROR(BD88/AL88,1)</f>
        <v>1.01461041321725</v>
      </c>
    </row>
    <row r="89" customFormat="false" ht="15" hidden="false" customHeight="false" outlineLevel="0" collapsed="false">
      <c r="A89" s="0" t="s">
        <v>1501</v>
      </c>
      <c r="B89" s="0" t="s">
        <v>1139</v>
      </c>
      <c r="C89" s="0" t="s">
        <v>1222</v>
      </c>
      <c r="D89" s="0" t="s">
        <v>1228</v>
      </c>
      <c r="E89" s="0" t="s">
        <v>1499</v>
      </c>
      <c r="F89" s="0" t="s">
        <v>1746</v>
      </c>
      <c r="G89" s="0" t="str">
        <f aca="false">IFERROR(IF(INDEX(Matches!$W$5:$W$23,MATCH($C89,Matches!$A$5:$A$23,0))="","",INDEX(Matches!$W$5:$W$23,MATCH($C89,Matches!$A$5:$A$23,0))),"")</f>
        <v>Ancient</v>
      </c>
      <c r="H89" s="0" t="str">
        <f aca="false">IFERROR(IF(INDEX(Matches!$X$5:$X$23,MATCH($C89,Matches!$A$5:$A$23,0))="","",INDEX(Matches!$X$5:$X$23,MATCH($C89,Matches!$A$5:$A$23,0))),"")</f>
        <v>Dust2</v>
      </c>
      <c r="I89" s="0" t="str">
        <f aca="false">IFERROR(IF(INDEX(Matches!$Y$5:$Y$23,MATCH($C89,Matches!$A$5:$A$23,0))="","",INDEX(Matches!$Y$5:$Y$23,MATCH($C89,Matches!$A$5:$A$23,0))),"")</f>
        <v>Inferno</v>
      </c>
      <c r="J89" s="11" t="n">
        <f aca="false">IFERROR(IF(INDEX(Matches!$Z$5:$Z$23,MATCH($C89,Matches!$A$5:$A$23,0))="","",INDEX(Matches!$Z$5:$Z$23,MATCH($C89,Matches!$A$5:$A$23,0))),"")</f>
        <v>21.5</v>
      </c>
      <c r="K89" s="11" t="n">
        <f aca="false">IFERROR(IF(INDEX(Matches!$AA$5:$AA$23,MATCH($C89,Matches!$A$5:$A$23,0))="","",INDEX(Matches!$AA$5:$AA$23,MATCH($C89,Matches!$A$5:$A$23,0))),"")</f>
        <v>21.5</v>
      </c>
      <c r="L89" s="11" t="n">
        <f aca="false">IFERROR(IF(INDEX(Matches!$AB$5:$AB$23,MATCH($C89,Matches!$A$5:$A$23,0))="","",INDEX(Matches!$AB$5:$AB$23,MATCH($C89,Matches!$A$5:$A$23,0))),"")</f>
        <v>21.5</v>
      </c>
      <c r="M89" s="10" t="n">
        <f aca="false">IFERROR(IF(INDEX(Matches!$AC$5:$AC$23,MATCH($C89,Matches!$A$5:$A$23,0))="","",INDEX(Matches!$AC$5:$AC$23,MATCH($C89,Matches!$A$5:$A$23,0))),"")</f>
        <v>0</v>
      </c>
      <c r="N89" s="9" t="n">
        <f aca="false">IFERROR(INDEX(Players!$F$2:$F$137,MATCH($F89,Players!$A$2:$A$137,0)),0)</f>
        <v>34</v>
      </c>
      <c r="O89" s="13" t="n">
        <f aca="false">IFERROR(1/(1/INDEX(Players!$H$2:$H$137,MATCH($F89,Players!$A$2:$A$137,0))),"")</f>
        <v>0.74</v>
      </c>
      <c r="P89" s="10" t="n">
        <f aca="false">IFERROR(1/(1/INDEX(Players!$I$2:$I$137,MATCH($F89,Players!$A$2:$A$137,0))),"")</f>
        <v>0.459</v>
      </c>
      <c r="Q89" s="9" t="n">
        <f aca="false">IF($G89="",0,SUMIFS(Map_Stats!$F$2:$F$850,Map_Stats!$A$2:$A$850,$F89&amp;"|"&amp;$G89))</f>
        <v>8</v>
      </c>
      <c r="R89" s="13" t="n">
        <f aca="false">IF($G89="","",IFERROR(1/(1/INDEX(Map_Stats!$K$2:$K$850,MATCH($F89&amp;"|"&amp;$G89,Map_Stats!$A$2:$A$850,0))),$O89))</f>
        <v>0.66</v>
      </c>
      <c r="S89" s="10" t="n">
        <f aca="false">IF(OR($G89="",$P89=""),"",IFERROR(1/(1/INDEX(Map_Stats!$I$2:$I$850,MATCH($F89&amp;"|"&amp;$G89,Map_Stats!$A$2:$A$850,0))),$P89))</f>
        <v>0.448</v>
      </c>
      <c r="T89" s="13" t="n">
        <f aca="false">IF(OR($G89="",R89=""),"",IF($O89="",R89,(Q89*R89+Config!$B$4*$O89)/(Q89+Config!$B$4)))</f>
        <v>0.690769230769231</v>
      </c>
      <c r="U89" s="10" t="n">
        <f aca="false">IF(S89="","",(Q89*S89+Config!$B$4*$P89)/(Q89+Config!$B$4))</f>
        <v>0.452230769230769</v>
      </c>
      <c r="V89" s="17" t="n">
        <f aca="false">IF(OR(T89="",$J89=""),"",T89*$J89*($J89/Config!$B$10)^Config!$B$9)</f>
        <v>14.8515384615385</v>
      </c>
      <c r="W89" s="17" t="n">
        <f aca="false">IF(OR(V89="",U89=""),"",V89*U89)</f>
        <v>6.71632266272189</v>
      </c>
      <c r="X89" s="9" t="n">
        <f aca="false">IF($H89="",0,SUMIFS(Map_Stats!$F$2:$F$850,Map_Stats!$A$2:$A$850,$F89&amp;"|"&amp;$H89))</f>
        <v>8</v>
      </c>
      <c r="Y89" s="13" t="n">
        <f aca="false">IF($H89="","",IFERROR(1/(1/INDEX(Map_Stats!$K$2:$K$850,MATCH($F89&amp;"|"&amp;$H89,Map_Stats!$A$2:$A$850,0))),$O89))</f>
        <v>0.84</v>
      </c>
      <c r="Z89" s="10" t="n">
        <f aca="false">IF(OR($H89="",$P89=""),"",IFERROR(1/(1/INDEX(Map_Stats!$I$2:$I$850,MATCH($F89&amp;"|"&amp;$H89,Map_Stats!$A$2:$A$850,0))),$P89))</f>
        <v>0.511</v>
      </c>
      <c r="AA89" s="13" t="n">
        <f aca="false">IF(OR($H89="",Y89=""),"",IF($O89="",Y89,(X89*Y89+Config!$B$4*$O89)/(X89+Config!$B$4)))</f>
        <v>0.801538461538462</v>
      </c>
      <c r="AB89" s="10" t="n">
        <f aca="false">IF(Z89="","",(X89*Z89+Config!$B$4*$P89)/(X89+Config!$B$4))</f>
        <v>0.491</v>
      </c>
      <c r="AC89" s="17" t="n">
        <f aca="false">IF(OR(AA89="",$K89=""),"",AA89*$K89*($K89/Config!$B$10)^Config!$B$9)</f>
        <v>17.2330769230769</v>
      </c>
      <c r="AD89" s="17" t="n">
        <f aca="false">IF(OR(AC89="",AB89=""),"",AC89*AB89)</f>
        <v>8.46144076923077</v>
      </c>
      <c r="AE89" s="9" t="n">
        <f aca="false">IF($I89="",0,SUMIFS(Map_Stats!$F$2:$F$850,Map_Stats!$A$2:$A$850,$F89&amp;"|"&amp;$I89))</f>
        <v>9</v>
      </c>
      <c r="AF89" s="13" t="n">
        <f aca="false">IF($I89="","",IFERROR(1/(1/INDEX(Map_Stats!$K$2:$K$850,MATCH($F89&amp;"|"&amp;$I89,Map_Stats!$A$2:$A$850,0))),$O89))</f>
        <v>0.68</v>
      </c>
      <c r="AG89" s="10" t="n">
        <f aca="false">IF(OR($I89="",$P89=""),"",IFERROR(1/(1/INDEX(Map_Stats!$I$2:$I$850,MATCH($F89&amp;"|"&amp;$I89,Map_Stats!$A$2:$A$850,0))),$P89))</f>
        <v>0.475</v>
      </c>
      <c r="AH89" s="13" t="n">
        <f aca="false">IF(OR($I89="",AF89=""),"",IF($O89="",AF89,(AE89*AF89+Config!$B$4*$O89)/(AE89+Config!$B$4)))</f>
        <v>0.701428571428571</v>
      </c>
      <c r="AI89" s="10" t="n">
        <f aca="false">IF(AG89="","",(AE89*AG89+Config!$B$4*$P89)/(AE89+Config!$B$4))</f>
        <v>0.469285714285714</v>
      </c>
      <c r="AJ89" s="17" t="n">
        <f aca="false">IF(OR(AH89="",$L89=""),"",AH89*$L89*($L89/Config!$B$10)^Config!$B$9)</f>
        <v>15.0807142857143</v>
      </c>
      <c r="AK89" s="17" t="n">
        <f aca="false">IF(OR(AJ89="",AI89=""),"",AJ89*AI89)</f>
        <v>7.0771637755102</v>
      </c>
      <c r="AL89" s="17" t="n">
        <f aca="false">N(V89)+N(AC89)</f>
        <v>32.0846153846154</v>
      </c>
      <c r="AM89" s="17" t="n">
        <f aca="false">AL89+N($M89)*N(AJ89)</f>
        <v>32.0846153846154</v>
      </c>
      <c r="AN89" s="17" t="n">
        <f aca="false">IF(W89="","",N(W89)+N(AD89))</f>
        <v>15.1777634319527</v>
      </c>
      <c r="AO89" s="17" t="n">
        <f aca="false">IF(AN89="","",AN89+N($M89)*N(AK89))</f>
        <v>15.1777634319527</v>
      </c>
      <c r="AP89" s="10" t="n">
        <f aca="false">IFERROR(AN89/AL89,"")</f>
        <v>0.473054242664552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IF($C89=Board!$B$2,COUNTIFS($C$2:$C$137,Board!$B$2,$AL$2:$AL$137,"&gt;"&amp;$AL89)+COUNTIFS($C$1:$C88,Board!$B$2,$AL$1:$AL88,$AL89)+1,"")</f>
        <v/>
      </c>
      <c r="AS89" s="0" t="str">
        <f aca="false">IFERROR(IF($D89=INDEX(Matches!$AD$5:$AD$23,MATCH($C89,Matches!$A$5:$A$23,0)),"A",IF($D89=INDEX(Matches!$AE$5:$AE$23,MATCH($C89,Matches!$A$5:$A$23,0)),"B","")),"")</f>
        <v>B</v>
      </c>
      <c r="AT89" s="10" t="n">
        <f aca="false">IF($AS89="","",IFERROR(IF($AS89="A",INDEX(Matches!$AI$5:$AI$23,MATCH($C89,Matches!$A$5:$A$23,0)),INDEX(Matches!$AJ$5:$AJ$23,MATCH($C89,Matches!$A$5:$A$23,0))),""))</f>
        <v>0.535600953528311</v>
      </c>
      <c r="AU89" s="10" t="n">
        <f aca="false">IF($AS89="","",IFERROR(IF(INDEX(Matches!$AP$5:$AP$23,MATCH($C89,Matches!$A$5:$A$23,0))="","",IF($AS89="A",INDEX(Matches!$AP$5:$AP$23,MATCH($C89,Matches!$A$5:$A$23,0)),1-INDEX(Matches!$AP$5:$AP$23,MATCH($C89,Matches!$A$5:$A$23,0)))),""))</f>
        <v>0.435768456517098</v>
      </c>
      <c r="AV89" s="13" t="n">
        <f aca="false">IF(OR($AU89="",$AT89=""),1,((Config!$B$14*$AU89+Config!$B$15*(1-$AU89))/(Config!$B$14*$AT89+Config!$B$15*(1-$AT89)))^Config!$B$13)</f>
        <v>0.913538630383014</v>
      </c>
      <c r="AW89" s="10" t="n">
        <f aca="false">IF($AS89="","",IFERROR(IF(INDEX(Matches!$AV$5:$AV$23,MATCH($C89,Matches!$A$5:$A$23,0))="","",IF($AS89="A",INDEX(Matches!$AV$5:$AV$23,MATCH($C89,Matches!$A$5:$A$23,0)),1-INDEX(Matches!$AV$5:$AV$23,MATCH($C89,Matches!$A$5:$A$23,0)))),""))</f>
        <v>0.445979168204214</v>
      </c>
      <c r="AX89" s="13" t="n">
        <f aca="false">IF(OR($AW89="",$AT89=""),1,((Config!$B$14*$AW89+Config!$B$15*(1-$AW89))/(Config!$B$14*$AT89+Config!$B$15*(1-$AT89)))^Config!$B$13)</f>
        <v>0.922381764068562</v>
      </c>
      <c r="AY89" s="10" t="n">
        <f aca="false">IF($AS89="","",IFERROR(IF(INDEX(Matches!$BB$5:$BB$23,MATCH($C89,Matches!$A$5:$A$23,0))="","",IF($AS89="A",INDEX(Matches!$BB$5:$BB$23,MATCH($C89,Matches!$A$5:$A$23,0)),1-INDEX(Matches!$BB$5:$BB$23,MATCH($C89,Matches!$A$5:$A$23,0)))),""))</f>
        <v>0.472914859712889</v>
      </c>
      <c r="AZ89" s="13" t="n">
        <f aca="false">IF(OR($AY89="",$AT89=""),1,((Config!$B$14*$AY89+Config!$B$15*(1-$AY89))/(Config!$B$14*$AT89+Config!$B$15*(1-$AT89)))^Config!$B$13)</f>
        <v>0.945709807031957</v>
      </c>
      <c r="BA89" s="17" t="n">
        <f aca="false">IF(V89="","",V89*$AV89)</f>
        <v>13.5674541052345</v>
      </c>
      <c r="BB89" s="17" t="n">
        <f aca="false">IF(AC89="","",AC89*$AX89)</f>
        <v>15.8954758926369</v>
      </c>
      <c r="BC89" s="17" t="n">
        <f aca="false">IF(AJ89="","",AJ89*$AZ89)</f>
        <v>14.2619793970469</v>
      </c>
      <c r="BD89" s="17" t="n">
        <f aca="false">N(BA89)+N(BB89)</f>
        <v>29.4629299978714</v>
      </c>
      <c r="BE89" s="17" t="n">
        <f aca="false">BD89+N($M89)*N(BC89)</f>
        <v>29.4629299978714</v>
      </c>
      <c r="BF89" s="17" t="n">
        <f aca="false">IF(W89="","",W89*$AV89)</f>
        <v>6.13562020651336</v>
      </c>
      <c r="BG89" s="17" t="n">
        <f aca="false">IF(AD89="","",AD89*$AX89)</f>
        <v>7.80467866328473</v>
      </c>
      <c r="BH89" s="17" t="n">
        <f aca="false">IF(AK89="","",AK89*$AZ89)</f>
        <v>6.69294318847131</v>
      </c>
      <c r="BI89" s="17" t="n">
        <f aca="false">IF(BF89="","",N(BF89)+N(BG89))</f>
        <v>13.9402988697981</v>
      </c>
      <c r="BJ89" s="17" t="n">
        <f aca="false">IF(BI89="","",BI89+N($M89)*N(BH89))</f>
        <v>13.9402988697981</v>
      </c>
      <c r="BK89" s="13" t="n">
        <f aca="false">IFERROR(BD89/AL89,1)</f>
        <v>0.918288396001747</v>
      </c>
    </row>
    <row r="90" customFormat="false" ht="15" hidden="false" customHeight="false" outlineLevel="0" collapsed="false">
      <c r="A90" s="0" t="s">
        <v>1504</v>
      </c>
      <c r="B90" s="0" t="s">
        <v>1139</v>
      </c>
      <c r="C90" s="0" t="s">
        <v>1222</v>
      </c>
      <c r="D90" s="0" t="s">
        <v>1228</v>
      </c>
      <c r="E90" s="0" t="s">
        <v>1503</v>
      </c>
      <c r="F90" s="0" t="s">
        <v>1747</v>
      </c>
      <c r="G90" s="0" t="str">
        <f aca="false">IFERROR(IF(INDEX(Matches!$W$5:$W$23,MATCH($C90,Matches!$A$5:$A$23,0))="","",INDEX(Matches!$W$5:$W$23,MATCH($C90,Matches!$A$5:$A$23,0))),"")</f>
        <v>Ancient</v>
      </c>
      <c r="H90" s="0" t="str">
        <f aca="false">IFERROR(IF(INDEX(Matches!$X$5:$X$23,MATCH($C90,Matches!$A$5:$A$23,0))="","",INDEX(Matches!$X$5:$X$23,MATCH($C90,Matches!$A$5:$A$23,0))),"")</f>
        <v>Dust2</v>
      </c>
      <c r="I90" s="0" t="str">
        <f aca="false">IFERROR(IF(INDEX(Matches!$Y$5:$Y$23,MATCH($C90,Matches!$A$5:$A$23,0))="","",INDEX(Matches!$Y$5:$Y$23,MATCH($C90,Matches!$A$5:$A$23,0))),"")</f>
        <v>Inferno</v>
      </c>
      <c r="J90" s="11" t="n">
        <f aca="false">IFERROR(IF(INDEX(Matches!$Z$5:$Z$23,MATCH($C90,Matches!$A$5:$A$23,0))="","",INDEX(Matches!$Z$5:$Z$23,MATCH($C90,Matches!$A$5:$A$23,0))),"")</f>
        <v>21.5</v>
      </c>
      <c r="K90" s="11" t="n">
        <f aca="false">IFERROR(IF(INDEX(Matches!$AA$5:$AA$23,MATCH($C90,Matches!$A$5:$A$23,0))="","",INDEX(Matches!$AA$5:$AA$23,MATCH($C90,Matches!$A$5:$A$23,0))),"")</f>
        <v>21.5</v>
      </c>
      <c r="L90" s="11" t="n">
        <f aca="false">IFERROR(IF(INDEX(Matches!$AB$5:$AB$23,MATCH($C90,Matches!$A$5:$A$23,0))="","",INDEX(Matches!$AB$5:$AB$23,MATCH($C90,Matches!$A$5:$A$23,0))),"")</f>
        <v>21.5</v>
      </c>
      <c r="M90" s="10" t="n">
        <f aca="false">IFERROR(IF(INDEX(Matches!$AC$5:$AC$23,MATCH($C90,Matches!$A$5:$A$23,0))="","",INDEX(Matches!$AC$5:$AC$23,MATCH($C90,Matches!$A$5:$A$23,0))),"")</f>
        <v>0</v>
      </c>
      <c r="N90" s="9" t="n">
        <f aca="false">IFERROR(INDEX(Players!$F$2:$F$137,MATCH($F90,Players!$A$2:$A$137,0)),0)</f>
        <v>34</v>
      </c>
      <c r="O90" s="13" t="n">
        <f aca="false">IFERROR(1/(1/INDEX(Players!$H$2:$H$137,MATCH($F90,Players!$A$2:$A$137,0))),"")</f>
        <v>0.72</v>
      </c>
      <c r="P90" s="10" t="n">
        <f aca="false">IFERROR(1/(1/INDEX(Players!$I$2:$I$137,MATCH($F90,Players!$A$2:$A$137,0))),"")</f>
        <v>0.6</v>
      </c>
      <c r="Q90" s="9" t="n">
        <f aca="false">IF($G90="",0,SUMIFS(Map_Stats!$F$2:$F$850,Map_Stats!$A$2:$A$850,$F90&amp;"|"&amp;$G90))</f>
        <v>8</v>
      </c>
      <c r="R90" s="13" t="n">
        <f aca="false">IF($G90="","",IFERROR(1/(1/INDEX(Map_Stats!$K$2:$K$850,MATCH($F90&amp;"|"&amp;$G90,Map_Stats!$A$2:$A$850,0))),$O90))</f>
        <v>0.7</v>
      </c>
      <c r="S90" s="10" t="n">
        <f aca="false">IF(OR($G90="",$P90=""),"",IFERROR(1/(1/INDEX(Map_Stats!$I$2:$I$850,MATCH($F90&amp;"|"&amp;$G90,Map_Stats!$A$2:$A$850,0))),$P90))</f>
        <v>0.523</v>
      </c>
      <c r="T90" s="13" t="n">
        <f aca="false">IF(OR($G90="",R90=""),"",IF($O90="",R90,(Q90*R90+Config!$B$4*$O90)/(Q90+Config!$B$4)))</f>
        <v>0.707692307692308</v>
      </c>
      <c r="U90" s="10" t="n">
        <f aca="false">IF(S90="","",(Q90*S90+Config!$B$4*$P90)/(Q90+Config!$B$4))</f>
        <v>0.552615384615385</v>
      </c>
      <c r="V90" s="17" t="n">
        <f aca="false">IF(OR(T90="",$J90=""),"",T90*$J90*($J90/Config!$B$10)^Config!$B$9)</f>
        <v>15.2153846153846</v>
      </c>
      <c r="W90" s="17" t="n">
        <f aca="false">IF(OR(V90="",U90=""),"",V90*U90)</f>
        <v>8.40825562130178</v>
      </c>
      <c r="X90" s="9" t="n">
        <f aca="false">IF($H90="",0,SUMIFS(Map_Stats!$F$2:$F$850,Map_Stats!$A$2:$A$850,$F90&amp;"|"&amp;$H90))</f>
        <v>8</v>
      </c>
      <c r="Y90" s="13" t="n">
        <f aca="false">IF($H90="","",IFERROR(1/(1/INDEX(Map_Stats!$K$2:$K$850,MATCH($F90&amp;"|"&amp;$H90,Map_Stats!$A$2:$A$850,0))),$O90))</f>
        <v>0.68</v>
      </c>
      <c r="Z90" s="10" t="n">
        <f aca="false">IF(OR($H90="",$P90=""),"",IFERROR(1/(1/INDEX(Map_Stats!$I$2:$I$850,MATCH($F90&amp;"|"&amp;$H90,Map_Stats!$A$2:$A$850,0))),$P90))</f>
        <v>0.657</v>
      </c>
      <c r="AA90" s="13" t="n">
        <f aca="false">IF(OR($H90="",Y90=""),"",IF($O90="",Y90,(X90*Y90+Config!$B$4*$O90)/(X90+Config!$B$4)))</f>
        <v>0.695384615384615</v>
      </c>
      <c r="AB90" s="10" t="n">
        <f aca="false">IF(Z90="","",(X90*Z90+Config!$B$4*$P90)/(X90+Config!$B$4))</f>
        <v>0.635076923076923</v>
      </c>
      <c r="AC90" s="17" t="n">
        <f aca="false">IF(OR(AA90="",$K90=""),"",AA90*$K90*($K90/Config!$B$10)^Config!$B$9)</f>
        <v>14.9507692307692</v>
      </c>
      <c r="AD90" s="17" t="n">
        <f aca="false">IF(OR(AC90="",AB90=""),"",AC90*AB90)</f>
        <v>9.49488852071006</v>
      </c>
      <c r="AE90" s="9" t="n">
        <f aca="false">IF($I90="",0,SUMIFS(Map_Stats!$F$2:$F$850,Map_Stats!$A$2:$A$850,$F90&amp;"|"&amp;$I90))</f>
        <v>9</v>
      </c>
      <c r="AF90" s="13" t="n">
        <f aca="false">IF($I90="","",IFERROR(1/(1/INDEX(Map_Stats!$K$2:$K$850,MATCH($F90&amp;"|"&amp;$I90,Map_Stats!$A$2:$A$850,0))),$O90))</f>
        <v>0.75</v>
      </c>
      <c r="AG90" s="10" t="n">
        <f aca="false">IF(OR($I90="",$P90=""),"",IFERROR(1/(1/INDEX(Map_Stats!$I$2:$I$850,MATCH($F90&amp;"|"&amp;$I90,Map_Stats!$A$2:$A$850,0))),$P90))</f>
        <v>0.681</v>
      </c>
      <c r="AH90" s="13" t="n">
        <f aca="false">IF(OR($I90="",AF90=""),"",IF($O90="",AF90,(AE90*AF90+Config!$B$4*$O90)/(AE90+Config!$B$4)))</f>
        <v>0.739285714285714</v>
      </c>
      <c r="AI90" s="10" t="n">
        <f aca="false">IF(AG90="","",(AE90*AG90+Config!$B$4*$P90)/(AE90+Config!$B$4))</f>
        <v>0.652071428571429</v>
      </c>
      <c r="AJ90" s="17" t="n">
        <f aca="false">IF(OR(AH90="",$L90=""),"",AH90*$L90*($L90/Config!$B$10)^Config!$B$9)</f>
        <v>15.8946428571429</v>
      </c>
      <c r="AK90" s="17" t="n">
        <f aca="false">IF(OR(AJ90="",AI90=""),"",AJ90*AI90)</f>
        <v>10.3644424744898</v>
      </c>
      <c r="AL90" s="17" t="n">
        <f aca="false">N(V90)+N(AC90)</f>
        <v>30.1661538461538</v>
      </c>
      <c r="AM90" s="17" t="n">
        <f aca="false">AL90+N($M90)*N(AJ90)</f>
        <v>30.1661538461538</v>
      </c>
      <c r="AN90" s="17" t="n">
        <f aca="false">IF(W90="","",N(W90)+N(AD90))</f>
        <v>17.9031441420118</v>
      </c>
      <c r="AO90" s="17" t="n">
        <f aca="false">IF(AN90="","",AN90+N($M90)*N(AK90))</f>
        <v>17.9031441420118</v>
      </c>
      <c r="AP90" s="10" t="n">
        <f aca="false">IFERROR(AN90/AL90,"")</f>
        <v>0.593484480431849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IF($C90=Board!$B$2,COUNTIFS($C$2:$C$137,Board!$B$2,$AL$2:$AL$137,"&gt;"&amp;$AL90)+COUNTIFS($C$1:$C89,Board!$B$2,$AL$1:$AL89,$AL90)+1,"")</f>
        <v/>
      </c>
      <c r="AS90" s="0" t="str">
        <f aca="false">IFERROR(IF($D90=INDEX(Matches!$AD$5:$AD$23,MATCH($C90,Matches!$A$5:$A$23,0)),"A",IF($D90=INDEX(Matches!$AE$5:$AE$23,MATCH($C90,Matches!$A$5:$A$23,0)),"B","")),"")</f>
        <v>B</v>
      </c>
      <c r="AT90" s="10" t="n">
        <f aca="false">IF($AS90="","",IFERROR(IF($AS90="A",INDEX(Matches!$AI$5:$AI$23,MATCH($C90,Matches!$A$5:$A$23,0)),INDEX(Matches!$AJ$5:$AJ$23,MATCH($C90,Matches!$A$5:$A$23,0))),""))</f>
        <v>0.535600953528311</v>
      </c>
      <c r="AU90" s="10" t="n">
        <f aca="false">IF($AS90="","",IFERROR(IF(INDEX(Matches!$AP$5:$AP$23,MATCH($C90,Matches!$A$5:$A$23,0))="","",IF($AS90="A",INDEX(Matches!$AP$5:$AP$23,MATCH($C90,Matches!$A$5:$A$23,0)),1-INDEX(Matches!$AP$5:$AP$23,MATCH($C90,Matches!$A$5:$A$23,0)))),""))</f>
        <v>0.435768456517098</v>
      </c>
      <c r="AV90" s="13" t="n">
        <f aca="false">IF(OR($AU90="",$AT90=""),1,((Config!$B$14*$AU90+Config!$B$15*(1-$AU90))/(Config!$B$14*$AT90+Config!$B$15*(1-$AT90)))^Config!$B$13)</f>
        <v>0.913538630383014</v>
      </c>
      <c r="AW90" s="10" t="n">
        <f aca="false">IF($AS90="","",IFERROR(IF(INDEX(Matches!$AV$5:$AV$23,MATCH($C90,Matches!$A$5:$A$23,0))="","",IF($AS90="A",INDEX(Matches!$AV$5:$AV$23,MATCH($C90,Matches!$A$5:$A$23,0)),1-INDEX(Matches!$AV$5:$AV$23,MATCH($C90,Matches!$A$5:$A$23,0)))),""))</f>
        <v>0.445979168204214</v>
      </c>
      <c r="AX90" s="13" t="n">
        <f aca="false">IF(OR($AW90="",$AT90=""),1,((Config!$B$14*$AW90+Config!$B$15*(1-$AW90))/(Config!$B$14*$AT90+Config!$B$15*(1-$AT90)))^Config!$B$13)</f>
        <v>0.922381764068562</v>
      </c>
      <c r="AY90" s="10" t="n">
        <f aca="false">IF($AS90="","",IFERROR(IF(INDEX(Matches!$BB$5:$BB$23,MATCH($C90,Matches!$A$5:$A$23,0))="","",IF($AS90="A",INDEX(Matches!$BB$5:$BB$23,MATCH($C90,Matches!$A$5:$A$23,0)),1-INDEX(Matches!$BB$5:$BB$23,MATCH($C90,Matches!$A$5:$A$23,0)))),""))</f>
        <v>0.472914859712889</v>
      </c>
      <c r="AZ90" s="13" t="n">
        <f aca="false">IF(OR($AY90="",$AT90=""),1,((Config!$B$14*$AY90+Config!$B$15*(1-$AY90))/(Config!$B$14*$AT90+Config!$B$15*(1-$AT90)))^Config!$B$13)</f>
        <v>0.945709807031957</v>
      </c>
      <c r="BA90" s="17" t="n">
        <f aca="false">IF(V90="","",V90*$AV90)</f>
        <v>13.8998416222892</v>
      </c>
      <c r="BB90" s="17" t="n">
        <f aca="false">IF(AC90="","",AC90*$AX90)</f>
        <v>13.7903168972589</v>
      </c>
      <c r="BC90" s="17" t="n">
        <f aca="false">IF(AJ90="","",AJ90*$AZ90)</f>
        <v>15.0317196292704</v>
      </c>
      <c r="BD90" s="17" t="n">
        <f aca="false">N(BA90)+N(BB90)</f>
        <v>27.6901585195482</v>
      </c>
      <c r="BE90" s="17" t="n">
        <f aca="false">BD90+N($M90)*N(BC90)</f>
        <v>27.6901585195482</v>
      </c>
      <c r="BF90" s="17" t="n">
        <f aca="false">IF(W90="","",W90*$AV90)</f>
        <v>7.6812663241943</v>
      </c>
      <c r="BG90" s="17" t="n">
        <f aca="false">IF(AD90="","",AD90*$AX90)</f>
        <v>8.75791202336689</v>
      </c>
      <c r="BH90" s="17" t="n">
        <f aca="false">IF(AK90="","",AK90*$AZ90)</f>
        <v>9.80175489254357</v>
      </c>
      <c r="BI90" s="17" t="n">
        <f aca="false">IF(BF90="","",N(BF90)+N(BG90))</f>
        <v>16.4391783475612</v>
      </c>
      <c r="BJ90" s="17" t="n">
        <f aca="false">IF(BI90="","",BI90+N($M90)*N(BH90))</f>
        <v>16.4391783475612</v>
      </c>
      <c r="BK90" s="13" t="n">
        <f aca="false">IFERROR(BD90/AL90,1)</f>
        <v>0.917921411551729</v>
      </c>
    </row>
    <row r="91" customFormat="false" ht="15" hidden="false" customHeight="false" outlineLevel="0" collapsed="false">
      <c r="A91" s="0" t="s">
        <v>1506</v>
      </c>
      <c r="B91" s="0" t="s">
        <v>1139</v>
      </c>
      <c r="C91" s="0" t="s">
        <v>1222</v>
      </c>
      <c r="D91" s="0" t="s">
        <v>1228</v>
      </c>
      <c r="E91" s="0" t="s">
        <v>1505</v>
      </c>
      <c r="F91" s="0" t="s">
        <v>1748</v>
      </c>
      <c r="G91" s="0" t="str">
        <f aca="false">IFERROR(IF(INDEX(Matches!$W$5:$W$23,MATCH($C91,Matches!$A$5:$A$23,0))="","",INDEX(Matches!$W$5:$W$23,MATCH($C91,Matches!$A$5:$A$23,0))),"")</f>
        <v>Ancient</v>
      </c>
      <c r="H91" s="0" t="str">
        <f aca="false">IFERROR(IF(INDEX(Matches!$X$5:$X$23,MATCH($C91,Matches!$A$5:$A$23,0))="","",INDEX(Matches!$X$5:$X$23,MATCH($C91,Matches!$A$5:$A$23,0))),"")</f>
        <v>Dust2</v>
      </c>
      <c r="I91" s="0" t="str">
        <f aca="false">IFERROR(IF(INDEX(Matches!$Y$5:$Y$23,MATCH($C91,Matches!$A$5:$A$23,0))="","",INDEX(Matches!$Y$5:$Y$23,MATCH($C91,Matches!$A$5:$A$23,0))),"")</f>
        <v>Inferno</v>
      </c>
      <c r="J91" s="11" t="n">
        <f aca="false">IFERROR(IF(INDEX(Matches!$Z$5:$Z$23,MATCH($C91,Matches!$A$5:$A$23,0))="","",INDEX(Matches!$Z$5:$Z$23,MATCH($C91,Matches!$A$5:$A$23,0))),"")</f>
        <v>21.5</v>
      </c>
      <c r="K91" s="11" t="n">
        <f aca="false">IFERROR(IF(INDEX(Matches!$AA$5:$AA$23,MATCH($C91,Matches!$A$5:$A$23,0))="","",INDEX(Matches!$AA$5:$AA$23,MATCH($C91,Matches!$A$5:$A$23,0))),"")</f>
        <v>21.5</v>
      </c>
      <c r="L91" s="11" t="n">
        <f aca="false">IFERROR(IF(INDEX(Matches!$AB$5:$AB$23,MATCH($C91,Matches!$A$5:$A$23,0))="","",INDEX(Matches!$AB$5:$AB$23,MATCH($C91,Matches!$A$5:$A$23,0))),"")</f>
        <v>21.5</v>
      </c>
      <c r="M91" s="10" t="n">
        <f aca="false">IFERROR(IF(INDEX(Matches!$AC$5:$AC$23,MATCH($C91,Matches!$A$5:$A$23,0))="","",INDEX(Matches!$AC$5:$AC$23,MATCH($C91,Matches!$A$5:$A$23,0))),"")</f>
        <v>0</v>
      </c>
      <c r="N91" s="9" t="n">
        <f aca="false">IFERROR(INDEX(Players!$F$2:$F$137,MATCH($F91,Players!$A$2:$A$137,0)),0)</f>
        <v>34</v>
      </c>
      <c r="O91" s="13" t="n">
        <f aca="false">IFERROR(1/(1/INDEX(Players!$H$2:$H$137,MATCH($F91,Players!$A$2:$A$137,0))),"")</f>
        <v>0.65</v>
      </c>
      <c r="P91" s="10" t="n">
        <f aca="false">IFERROR(1/(1/INDEX(Players!$I$2:$I$137,MATCH($F91,Players!$A$2:$A$137,0))),"")</f>
        <v>0.624</v>
      </c>
      <c r="Q91" s="9" t="n">
        <f aca="false">IF($G91="",0,SUMIFS(Map_Stats!$F$2:$F$850,Map_Stats!$A$2:$A$850,$F91&amp;"|"&amp;$G91))</f>
        <v>8</v>
      </c>
      <c r="R91" s="13" t="n">
        <f aca="false">IF($G91="","",IFERROR(1/(1/INDEX(Map_Stats!$K$2:$K$850,MATCH($F91&amp;"|"&amp;$G91,Map_Stats!$A$2:$A$850,0))),$O91))</f>
        <v>0.55</v>
      </c>
      <c r="S91" s="10" t="n">
        <f aca="false">IF(OR($G91="",$P91=""),"",IFERROR(1/(1/INDEX(Map_Stats!$I$2:$I$850,MATCH($F91&amp;"|"&amp;$G91,Map_Stats!$A$2:$A$850,0))),$P91))</f>
        <v>0.598</v>
      </c>
      <c r="T91" s="13" t="n">
        <f aca="false">IF(OR($G91="",R91=""),"",IF($O91="",R91,(Q91*R91+Config!$B$4*$O91)/(Q91+Config!$B$4)))</f>
        <v>0.588461538461539</v>
      </c>
      <c r="U91" s="10" t="n">
        <f aca="false">IF(S91="","",(Q91*S91+Config!$B$4*$P91)/(Q91+Config!$B$4))</f>
        <v>0.608</v>
      </c>
      <c r="V91" s="17" t="n">
        <f aca="false">IF(OR(T91="",$J91=""),"",T91*$J91*($J91/Config!$B$10)^Config!$B$9)</f>
        <v>12.6519230769231</v>
      </c>
      <c r="W91" s="17" t="n">
        <f aca="false">IF(OR(V91="",U91=""),"",V91*U91)</f>
        <v>7.69236923076923</v>
      </c>
      <c r="X91" s="9" t="n">
        <f aca="false">IF($H91="",0,SUMIFS(Map_Stats!$F$2:$F$850,Map_Stats!$A$2:$A$850,$F91&amp;"|"&amp;$H91))</f>
        <v>8</v>
      </c>
      <c r="Y91" s="13" t="n">
        <f aca="false">IF($H91="","",IFERROR(1/(1/INDEX(Map_Stats!$K$2:$K$850,MATCH($F91&amp;"|"&amp;$H91,Map_Stats!$A$2:$A$850,0))),$O91))</f>
        <v>0.71</v>
      </c>
      <c r="Z91" s="10" t="n">
        <f aca="false">IF(OR($H91="",$P91=""),"",IFERROR(1/(1/INDEX(Map_Stats!$I$2:$I$850,MATCH($F91&amp;"|"&amp;$H91,Map_Stats!$A$2:$A$850,0))),$P91))</f>
        <v>0.693</v>
      </c>
      <c r="AA91" s="13" t="n">
        <f aca="false">IF(OR($H91="",Y91=""),"",IF($O91="",Y91,(X91*Y91+Config!$B$4*$O91)/(X91+Config!$B$4)))</f>
        <v>0.686923076923077</v>
      </c>
      <c r="AB91" s="10" t="n">
        <f aca="false">IF(Z91="","",(X91*Z91+Config!$B$4*$P91)/(X91+Config!$B$4))</f>
        <v>0.666461538461538</v>
      </c>
      <c r="AC91" s="17" t="n">
        <f aca="false">IF(OR(AA91="",$K91=""),"",AA91*$K91*($K91/Config!$B$10)^Config!$B$9)</f>
        <v>14.7688461538462</v>
      </c>
      <c r="AD91" s="17" t="n">
        <f aca="false">IF(OR(AC91="",AB91=""),"",AC91*AB91)</f>
        <v>9.84286792899408</v>
      </c>
      <c r="AE91" s="9" t="n">
        <f aca="false">IF($I91="",0,SUMIFS(Map_Stats!$F$2:$F$850,Map_Stats!$A$2:$A$850,$F91&amp;"|"&amp;$I91))</f>
        <v>9</v>
      </c>
      <c r="AF91" s="13" t="n">
        <f aca="false">IF($I91="","",IFERROR(1/(1/INDEX(Map_Stats!$K$2:$K$850,MATCH($F91&amp;"|"&amp;$I91,Map_Stats!$A$2:$A$850,0))),$O91))</f>
        <v>0.6</v>
      </c>
      <c r="AG91" s="10" t="n">
        <f aca="false">IF(OR($I91="",$P91=""),"",IFERROR(1/(1/INDEX(Map_Stats!$I$2:$I$850,MATCH($F91&amp;"|"&amp;$I91,Map_Stats!$A$2:$A$850,0))),$P91))</f>
        <v>0.593</v>
      </c>
      <c r="AH91" s="13" t="n">
        <f aca="false">IF(OR($I91="",AF91=""),"",IF($O91="",AF91,(AE91*AF91+Config!$B$4*$O91)/(AE91+Config!$B$4)))</f>
        <v>0.617857142857143</v>
      </c>
      <c r="AI91" s="10" t="n">
        <f aca="false">IF(AG91="","",(AE91*AG91+Config!$B$4*$P91)/(AE91+Config!$B$4))</f>
        <v>0.604071428571429</v>
      </c>
      <c r="AJ91" s="17" t="n">
        <f aca="false">IF(OR(AH91="",$L91=""),"",AH91*$L91*($L91/Config!$B$10)^Config!$B$9)</f>
        <v>13.2839285714286</v>
      </c>
      <c r="AK91" s="17" t="n">
        <f aca="false">IF(OR(AJ91="",AI91=""),"",AJ91*AI91)</f>
        <v>8.02444170918367</v>
      </c>
      <c r="AL91" s="17" t="n">
        <f aca="false">N(V91)+N(AC91)</f>
        <v>27.4207692307692</v>
      </c>
      <c r="AM91" s="17" t="n">
        <f aca="false">AL91+N($M91)*N(AJ91)</f>
        <v>27.4207692307692</v>
      </c>
      <c r="AN91" s="17" t="n">
        <f aca="false">IF(W91="","",N(W91)+N(AD91))</f>
        <v>17.5352371597633</v>
      </c>
      <c r="AO91" s="17" t="n">
        <f aca="false">IF(AN91="","",AN91+N($M91)*N(AK91))</f>
        <v>17.5352371597633</v>
      </c>
      <c r="AP91" s="10" t="n">
        <f aca="false">IFERROR(AN91/AL91,"")</f>
        <v>0.639487426927716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IF($C91=Board!$B$2,COUNTIFS($C$2:$C$137,Board!$B$2,$AL$2:$AL$137,"&gt;"&amp;$AL91)+COUNTIFS($C$1:$C90,Board!$B$2,$AL$1:$AL90,$AL91)+1,"")</f>
        <v/>
      </c>
      <c r="AS91" s="0" t="str">
        <f aca="false">IFERROR(IF($D91=INDEX(Matches!$AD$5:$AD$23,MATCH($C91,Matches!$A$5:$A$23,0)),"A",IF($D91=INDEX(Matches!$AE$5:$AE$23,MATCH($C91,Matches!$A$5:$A$23,0)),"B","")),"")</f>
        <v>B</v>
      </c>
      <c r="AT91" s="10" t="n">
        <f aca="false">IF($AS91="","",IFERROR(IF($AS91="A",INDEX(Matches!$AI$5:$AI$23,MATCH($C91,Matches!$A$5:$A$23,0)),INDEX(Matches!$AJ$5:$AJ$23,MATCH($C91,Matches!$A$5:$A$23,0))),""))</f>
        <v>0.535600953528311</v>
      </c>
      <c r="AU91" s="10" t="n">
        <f aca="false">IF($AS91="","",IFERROR(IF(INDEX(Matches!$AP$5:$AP$23,MATCH($C91,Matches!$A$5:$A$23,0))="","",IF($AS91="A",INDEX(Matches!$AP$5:$AP$23,MATCH($C91,Matches!$A$5:$A$23,0)),1-INDEX(Matches!$AP$5:$AP$23,MATCH($C91,Matches!$A$5:$A$23,0)))),""))</f>
        <v>0.435768456517098</v>
      </c>
      <c r="AV91" s="13" t="n">
        <f aca="false">IF(OR($AU91="",$AT91=""),1,((Config!$B$14*$AU91+Config!$B$15*(1-$AU91))/(Config!$B$14*$AT91+Config!$B$15*(1-$AT91)))^Config!$B$13)</f>
        <v>0.913538630383014</v>
      </c>
      <c r="AW91" s="10" t="n">
        <f aca="false">IF($AS91="","",IFERROR(IF(INDEX(Matches!$AV$5:$AV$23,MATCH($C91,Matches!$A$5:$A$23,0))="","",IF($AS91="A",INDEX(Matches!$AV$5:$AV$23,MATCH($C91,Matches!$A$5:$A$23,0)),1-INDEX(Matches!$AV$5:$AV$23,MATCH($C91,Matches!$A$5:$A$23,0)))),""))</f>
        <v>0.445979168204214</v>
      </c>
      <c r="AX91" s="13" t="n">
        <f aca="false">IF(OR($AW91="",$AT91=""),1,((Config!$B$14*$AW91+Config!$B$15*(1-$AW91))/(Config!$B$14*$AT91+Config!$B$15*(1-$AT91)))^Config!$B$13)</f>
        <v>0.922381764068562</v>
      </c>
      <c r="AY91" s="10" t="n">
        <f aca="false">IF($AS91="","",IFERROR(IF(INDEX(Matches!$BB$5:$BB$23,MATCH($C91,Matches!$A$5:$A$23,0))="","",IF($AS91="A",INDEX(Matches!$BB$5:$BB$23,MATCH($C91,Matches!$A$5:$A$23,0)),1-INDEX(Matches!$BB$5:$BB$23,MATCH($C91,Matches!$A$5:$A$23,0)))),""))</f>
        <v>0.472914859712889</v>
      </c>
      <c r="AZ91" s="13" t="n">
        <f aca="false">IF(OR($AY91="",$AT91=""),1,((Config!$B$14*$AY91+Config!$B$15*(1-$AY91))/(Config!$B$14*$AT91+Config!$B$15*(1-$AT91)))^Config!$B$13)</f>
        <v>0.945709807031957</v>
      </c>
      <c r="BA91" s="17" t="n">
        <f aca="false">IF(V91="","",V91*$AV91)</f>
        <v>11.5580204794036</v>
      </c>
      <c r="BB91" s="17" t="n">
        <f aca="false">IF(AC91="","",AC91*$AX91)</f>
        <v>13.6225143686418</v>
      </c>
      <c r="BC91" s="17" t="n">
        <f aca="false">IF(AJ91="","",AJ91*$AZ91)</f>
        <v>12.562741525912</v>
      </c>
      <c r="BD91" s="17" t="n">
        <f aca="false">N(BA91)+N(BB91)</f>
        <v>25.1805348480454</v>
      </c>
      <c r="BE91" s="17" t="n">
        <f aca="false">BD91+N($M91)*N(BC91)</f>
        <v>25.1805348480454</v>
      </c>
      <c r="BF91" s="17" t="n">
        <f aca="false">IF(W91="","",W91*$AV91)</f>
        <v>7.02727645147736</v>
      </c>
      <c r="BG91" s="17" t="n">
        <f aca="false">IF(AD91="","",AD91*$AX91)</f>
        <v>9.07888188383944</v>
      </c>
      <c r="BH91" s="17" t="n">
        <f aca="false">IF(AK91="","",AK91*$AZ91)</f>
        <v>7.58879322033128</v>
      </c>
      <c r="BI91" s="17" t="n">
        <f aca="false">IF(BF91="","",N(BF91)+N(BG91))</f>
        <v>16.1061583353168</v>
      </c>
      <c r="BJ91" s="17" t="n">
        <f aca="false">IF(BI91="","",BI91+N($M91)*N(BH91))</f>
        <v>16.1061583353168</v>
      </c>
      <c r="BK91" s="13" t="n">
        <f aca="false">IFERROR(BD91/AL91,1)</f>
        <v>0.918301548586388</v>
      </c>
    </row>
    <row r="92" customFormat="false" ht="15" hidden="false" customHeight="false" outlineLevel="0" collapsed="false">
      <c r="A92" s="0" t="s">
        <v>1508</v>
      </c>
      <c r="B92" s="0" t="s">
        <v>1139</v>
      </c>
      <c r="C92" s="0" t="s">
        <v>1222</v>
      </c>
      <c r="D92" s="0" t="s">
        <v>1228</v>
      </c>
      <c r="E92" s="0" t="s">
        <v>1507</v>
      </c>
      <c r="F92" s="0" t="s">
        <v>1749</v>
      </c>
      <c r="G92" s="0" t="str">
        <f aca="false">IFERROR(IF(INDEX(Matches!$W$5:$W$23,MATCH($C92,Matches!$A$5:$A$23,0))="","",INDEX(Matches!$W$5:$W$23,MATCH($C92,Matches!$A$5:$A$23,0))),"")</f>
        <v>Ancient</v>
      </c>
      <c r="H92" s="0" t="str">
        <f aca="false">IFERROR(IF(INDEX(Matches!$X$5:$X$23,MATCH($C92,Matches!$A$5:$A$23,0))="","",INDEX(Matches!$X$5:$X$23,MATCH($C92,Matches!$A$5:$A$23,0))),"")</f>
        <v>Dust2</v>
      </c>
      <c r="I92" s="0" t="str">
        <f aca="false">IFERROR(IF(INDEX(Matches!$Y$5:$Y$23,MATCH($C92,Matches!$A$5:$A$23,0))="","",INDEX(Matches!$Y$5:$Y$23,MATCH($C92,Matches!$A$5:$A$23,0))),"")</f>
        <v>Inferno</v>
      </c>
      <c r="J92" s="11" t="n">
        <f aca="false">IFERROR(IF(INDEX(Matches!$Z$5:$Z$23,MATCH($C92,Matches!$A$5:$A$23,0))="","",INDEX(Matches!$Z$5:$Z$23,MATCH($C92,Matches!$A$5:$A$23,0))),"")</f>
        <v>21.5</v>
      </c>
      <c r="K92" s="11" t="n">
        <f aca="false">IFERROR(IF(INDEX(Matches!$AA$5:$AA$23,MATCH($C92,Matches!$A$5:$A$23,0))="","",INDEX(Matches!$AA$5:$AA$23,MATCH($C92,Matches!$A$5:$A$23,0))),"")</f>
        <v>21.5</v>
      </c>
      <c r="L92" s="11" t="n">
        <f aca="false">IFERROR(IF(INDEX(Matches!$AB$5:$AB$23,MATCH($C92,Matches!$A$5:$A$23,0))="","",INDEX(Matches!$AB$5:$AB$23,MATCH($C92,Matches!$A$5:$A$23,0))),"")</f>
        <v>21.5</v>
      </c>
      <c r="M92" s="10" t="n">
        <f aca="false">IFERROR(IF(INDEX(Matches!$AC$5:$AC$23,MATCH($C92,Matches!$A$5:$A$23,0))="","",INDEX(Matches!$AC$5:$AC$23,MATCH($C92,Matches!$A$5:$A$23,0))),"")</f>
        <v>0</v>
      </c>
      <c r="N92" s="9" t="n">
        <f aca="false">IFERROR(INDEX(Players!$F$2:$F$137,MATCH($F92,Players!$A$2:$A$137,0)),0)</f>
        <v>34</v>
      </c>
      <c r="O92" s="13" t="n">
        <f aca="false">IFERROR(1/(1/INDEX(Players!$H$2:$H$137,MATCH($F92,Players!$A$2:$A$137,0))),"")</f>
        <v>0.67</v>
      </c>
      <c r="P92" s="10" t="n">
        <f aca="false">IFERROR(1/(1/INDEX(Players!$I$2:$I$137,MATCH($F92,Players!$A$2:$A$137,0))),"")</f>
        <v>0.516</v>
      </c>
      <c r="Q92" s="9" t="n">
        <f aca="false">IF($G92="",0,SUMIFS(Map_Stats!$F$2:$F$850,Map_Stats!$A$2:$A$850,$F92&amp;"|"&amp;$G92))</f>
        <v>8</v>
      </c>
      <c r="R92" s="13" t="n">
        <f aca="false">IF($G92="","",IFERROR(1/(1/INDEX(Map_Stats!$K$2:$K$850,MATCH($F92&amp;"|"&amp;$G92,Map_Stats!$A$2:$A$850,0))),$O92))</f>
        <v>0.56</v>
      </c>
      <c r="S92" s="10" t="n">
        <f aca="false">IF(OR($G92="",$P92=""),"",IFERROR(1/(1/INDEX(Map_Stats!$I$2:$I$850,MATCH($F92&amp;"|"&amp;$G92,Map_Stats!$A$2:$A$850,0))),$P92))</f>
        <v>0.551</v>
      </c>
      <c r="T92" s="13" t="n">
        <f aca="false">IF(OR($G92="",R92=""),"",IF($O92="",R92,(Q92*R92+Config!$B$4*$O92)/(Q92+Config!$B$4)))</f>
        <v>0.602307692307692</v>
      </c>
      <c r="U92" s="10" t="n">
        <f aca="false">IF(S92="","",(Q92*S92+Config!$B$4*$P92)/(Q92+Config!$B$4))</f>
        <v>0.537538461538462</v>
      </c>
      <c r="V92" s="17" t="n">
        <f aca="false">IF(OR(T92="",$J92=""),"",T92*$J92*($J92/Config!$B$10)^Config!$B$9)</f>
        <v>12.9496153846154</v>
      </c>
      <c r="W92" s="17" t="n">
        <f aca="false">IF(OR(V92="",U92=""),"",V92*U92)</f>
        <v>6.96091633136095</v>
      </c>
      <c r="X92" s="9" t="n">
        <f aca="false">IF($H92="",0,SUMIFS(Map_Stats!$F$2:$F$850,Map_Stats!$A$2:$A$850,$F92&amp;"|"&amp;$H92))</f>
        <v>8</v>
      </c>
      <c r="Y92" s="13" t="n">
        <f aca="false">IF($H92="","",IFERROR(1/(1/INDEX(Map_Stats!$K$2:$K$850,MATCH($F92&amp;"|"&amp;$H92,Map_Stats!$A$2:$A$850,0))),$O92))</f>
        <v>0.76</v>
      </c>
      <c r="Z92" s="10" t="n">
        <f aca="false">IF(OR($H92="",$P92=""),"",IFERROR(1/(1/INDEX(Map_Stats!$I$2:$I$850,MATCH($F92&amp;"|"&amp;$H92,Map_Stats!$A$2:$A$850,0))),$P92))</f>
        <v>0.603</v>
      </c>
      <c r="AA92" s="13" t="n">
        <f aca="false">IF(OR($H92="",Y92=""),"",IF($O92="",Y92,(X92*Y92+Config!$B$4*$O92)/(X92+Config!$B$4)))</f>
        <v>0.725384615384615</v>
      </c>
      <c r="AB92" s="10" t="n">
        <f aca="false">IF(Z92="","",(X92*Z92+Config!$B$4*$P92)/(X92+Config!$B$4))</f>
        <v>0.569538461538462</v>
      </c>
      <c r="AC92" s="17" t="n">
        <f aca="false">IF(OR(AA92="",$K92=""),"",AA92*$K92*($K92/Config!$B$10)^Config!$B$9)</f>
        <v>15.5957692307692</v>
      </c>
      <c r="AD92" s="17" t="n">
        <f aca="false">IF(OR(AC92="",AB92=""),"",AC92*AB92)</f>
        <v>8.88239041420118</v>
      </c>
      <c r="AE92" s="9" t="n">
        <f aca="false">IF($I92="",0,SUMIFS(Map_Stats!$F$2:$F$850,Map_Stats!$A$2:$A$850,$F92&amp;"|"&amp;$I92))</f>
        <v>9</v>
      </c>
      <c r="AF92" s="13" t="n">
        <f aca="false">IF($I92="","",IFERROR(1/(1/INDEX(Map_Stats!$K$2:$K$850,MATCH($F92&amp;"|"&amp;$I92,Map_Stats!$A$2:$A$850,0))),$O92))</f>
        <v>0.64</v>
      </c>
      <c r="AG92" s="10" t="n">
        <f aca="false">IF(OR($I92="",$P92=""),"",IFERROR(1/(1/INDEX(Map_Stats!$I$2:$I$850,MATCH($F92&amp;"|"&amp;$I92,Map_Stats!$A$2:$A$850,0))),$P92))</f>
        <v>0.456</v>
      </c>
      <c r="AH92" s="13" t="n">
        <f aca="false">IF(OR($I92="",AF92=""),"",IF($O92="",AF92,(AE92*AF92+Config!$B$4*$O92)/(AE92+Config!$B$4)))</f>
        <v>0.650714285714286</v>
      </c>
      <c r="AI92" s="10" t="n">
        <f aca="false">IF(AG92="","",(AE92*AG92+Config!$B$4*$P92)/(AE92+Config!$B$4))</f>
        <v>0.477428571428572</v>
      </c>
      <c r="AJ92" s="17" t="n">
        <f aca="false">IF(OR(AH92="",$L92=""),"",AH92*$L92*($L92/Config!$B$10)^Config!$B$9)</f>
        <v>13.9903571428571</v>
      </c>
      <c r="AK92" s="17" t="n">
        <f aca="false">IF(OR(AJ92="",AI92=""),"",AJ92*AI92)</f>
        <v>6.6793962244898</v>
      </c>
      <c r="AL92" s="17" t="n">
        <f aca="false">N(V92)+N(AC92)</f>
        <v>28.5453846153846</v>
      </c>
      <c r="AM92" s="17" t="n">
        <f aca="false">AL92+N($M92)*N(AJ92)</f>
        <v>28.5453846153846</v>
      </c>
      <c r="AN92" s="17" t="n">
        <f aca="false">IF(W92="","",N(W92)+N(AD92))</f>
        <v>15.8433067455621</v>
      </c>
      <c r="AO92" s="17" t="n">
        <f aca="false">IF(AN92="","",AN92+N($M92)*N(AK92))</f>
        <v>15.8433067455621</v>
      </c>
      <c r="AP92" s="10" t="n">
        <f aca="false">IFERROR(AN92/AL92,"")</f>
        <v>0.555021659684464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IF($C92=Board!$B$2,COUNTIFS($C$2:$C$137,Board!$B$2,$AL$2:$AL$137,"&gt;"&amp;$AL92)+COUNTIFS($C$1:$C91,Board!$B$2,$AL$1:$AL91,$AL92)+1,"")</f>
        <v/>
      </c>
      <c r="AS92" s="0" t="str">
        <f aca="false">IFERROR(IF($D92=INDEX(Matches!$AD$5:$AD$23,MATCH($C92,Matches!$A$5:$A$23,0)),"A",IF($D92=INDEX(Matches!$AE$5:$AE$23,MATCH($C92,Matches!$A$5:$A$23,0)),"B","")),"")</f>
        <v>B</v>
      </c>
      <c r="AT92" s="10" t="n">
        <f aca="false">IF($AS92="","",IFERROR(IF($AS92="A",INDEX(Matches!$AI$5:$AI$23,MATCH($C92,Matches!$A$5:$A$23,0)),INDEX(Matches!$AJ$5:$AJ$23,MATCH($C92,Matches!$A$5:$A$23,0))),""))</f>
        <v>0.535600953528311</v>
      </c>
      <c r="AU92" s="10" t="n">
        <f aca="false">IF($AS92="","",IFERROR(IF(INDEX(Matches!$AP$5:$AP$23,MATCH($C92,Matches!$A$5:$A$23,0))="","",IF($AS92="A",INDEX(Matches!$AP$5:$AP$23,MATCH($C92,Matches!$A$5:$A$23,0)),1-INDEX(Matches!$AP$5:$AP$23,MATCH($C92,Matches!$A$5:$A$23,0)))),""))</f>
        <v>0.435768456517098</v>
      </c>
      <c r="AV92" s="13" t="n">
        <f aca="false">IF(OR($AU92="",$AT92=""),1,((Config!$B$14*$AU92+Config!$B$15*(1-$AU92))/(Config!$B$14*$AT92+Config!$B$15*(1-$AT92)))^Config!$B$13)</f>
        <v>0.913538630383014</v>
      </c>
      <c r="AW92" s="10" t="n">
        <f aca="false">IF($AS92="","",IFERROR(IF(INDEX(Matches!$AV$5:$AV$23,MATCH($C92,Matches!$A$5:$A$23,0))="","",IF($AS92="A",INDEX(Matches!$AV$5:$AV$23,MATCH($C92,Matches!$A$5:$A$23,0)),1-INDEX(Matches!$AV$5:$AV$23,MATCH($C92,Matches!$A$5:$A$23,0)))),""))</f>
        <v>0.445979168204214</v>
      </c>
      <c r="AX92" s="13" t="n">
        <f aca="false">IF(OR($AW92="",$AT92=""),1,((Config!$B$14*$AW92+Config!$B$15*(1-$AW92))/(Config!$B$14*$AT92+Config!$B$15*(1-$AT92)))^Config!$B$13)</f>
        <v>0.922381764068562</v>
      </c>
      <c r="AY92" s="10" t="n">
        <f aca="false">IF($AS92="","",IFERROR(IF(INDEX(Matches!$BB$5:$BB$23,MATCH($C92,Matches!$A$5:$A$23,0))="","",IF($AS92="A",INDEX(Matches!$BB$5:$BB$23,MATCH($C92,Matches!$A$5:$A$23,0)),1-INDEX(Matches!$BB$5:$BB$23,MATCH($C92,Matches!$A$5:$A$23,0)))),""))</f>
        <v>0.472914859712889</v>
      </c>
      <c r="AZ92" s="13" t="n">
        <f aca="false">IF(OR($AY92="",$AT92=""),1,((Config!$B$14*$AY92+Config!$B$15*(1-$AY92))/(Config!$B$14*$AT92+Config!$B$15*(1-$AT92)))^Config!$B$13)</f>
        <v>0.945709807031957</v>
      </c>
      <c r="BA92" s="17" t="n">
        <f aca="false">IF(V92="","",V92*$AV92)</f>
        <v>11.8299739024483</v>
      </c>
      <c r="BB92" s="17" t="n">
        <f aca="false">IF(AC92="","",AC92*$AX92)</f>
        <v>14.3852531350831</v>
      </c>
      <c r="BC92" s="17" t="n">
        <f aca="false">IF(AJ92="","",AJ92*$AZ92)</f>
        <v>13.2308179538796</v>
      </c>
      <c r="BD92" s="17" t="n">
        <f aca="false">N(BA92)+N(BB92)</f>
        <v>26.2152270375315</v>
      </c>
      <c r="BE92" s="17" t="n">
        <f aca="false">BD92+N($M92)*N(BC92)</f>
        <v>26.2152270375315</v>
      </c>
      <c r="BF92" s="17" t="n">
        <f aca="false">IF(W92="","",W92*$AV92)</f>
        <v>6.35906597156223</v>
      </c>
      <c r="BG92" s="17" t="n">
        <f aca="false">IF(AD92="","",AD92*$AX92)</f>
        <v>8.19295493939658</v>
      </c>
      <c r="BH92" s="17" t="n">
        <f aca="false">IF(AK92="","",AK92*$AZ92)</f>
        <v>6.31677051455223</v>
      </c>
      <c r="BI92" s="17" t="n">
        <f aca="false">IF(BF92="","",N(BF92)+N(BG92))</f>
        <v>14.5520209109588</v>
      </c>
      <c r="BJ92" s="17" t="n">
        <f aca="false">IF(BI92="","",BI92+N($M92)*N(BH92))</f>
        <v>14.5520209109588</v>
      </c>
      <c r="BK92" s="13" t="n">
        <f aca="false">IFERROR(BD92/AL92,1)</f>
        <v>0.918370075959765</v>
      </c>
    </row>
    <row r="93" customFormat="false" ht="15" hidden="false" customHeight="false" outlineLevel="0" collapsed="false">
      <c r="A93" s="0" t="s">
        <v>1510</v>
      </c>
      <c r="B93" s="0" t="s">
        <v>1139</v>
      </c>
      <c r="C93" s="0" t="s">
        <v>1180</v>
      </c>
      <c r="D93" s="0" t="s">
        <v>1184</v>
      </c>
      <c r="E93" s="0" t="s">
        <v>1509</v>
      </c>
      <c r="F93" s="0" t="s">
        <v>1750</v>
      </c>
      <c r="G93" s="0" t="str">
        <f aca="false">IFERROR(IF(INDEX(Matches!$W$5:$W$23,MATCH($C93,Matches!$A$5:$A$23,0))="","",INDEX(Matches!$W$5:$W$23,MATCH($C93,Matches!$A$5:$A$23,0))),"")</f>
        <v>Mirage</v>
      </c>
      <c r="H93" s="0" t="str">
        <f aca="false">IFERROR(IF(INDEX(Matches!$X$5:$X$23,MATCH($C93,Matches!$A$5:$A$23,0))="","",INDEX(Matches!$X$5:$X$23,MATCH($C93,Matches!$A$5:$A$23,0))),"")</f>
        <v>Dust2</v>
      </c>
      <c r="I93" s="0" t="str">
        <f aca="false">IFERROR(IF(INDEX(Matches!$Y$5:$Y$23,MATCH($C93,Matches!$A$5:$A$23,0))="","",INDEX(Matches!$Y$5:$Y$23,MATCH($C93,Matches!$A$5:$A$23,0))),"")</f>
        <v>Inferno</v>
      </c>
      <c r="J93" s="11" t="n">
        <f aca="false">IFERROR(IF(INDEX(Matches!$Z$5:$Z$23,MATCH($C93,Matches!$A$5:$A$23,0))="","",INDEX(Matches!$Z$5:$Z$23,MATCH($C93,Matches!$A$5:$A$23,0))),"")</f>
        <v>18.56</v>
      </c>
      <c r="K93" s="11" t="n">
        <f aca="false">IFERROR(IF(INDEX(Matches!$AA$5:$AA$23,MATCH($C93,Matches!$A$5:$A$23,0))="","",INDEX(Matches!$AA$5:$AA$23,MATCH($C93,Matches!$A$5:$A$23,0))),"")</f>
        <v>18.57</v>
      </c>
      <c r="L93" s="11" t="n">
        <f aca="false">IFERROR(IF(INDEX(Matches!$AB$5:$AB$23,MATCH($C93,Matches!$A$5:$A$23,0))="","",INDEX(Matches!$AB$5:$AB$23,MATCH($C93,Matches!$A$5:$A$23,0))),"")</f>
        <v>21.5</v>
      </c>
      <c r="M93" s="10" t="n">
        <f aca="false">IFERROR(IF(INDEX(Matches!$AC$5:$AC$23,MATCH($C93,Matches!$A$5:$A$23,0))="","",INDEX(Matches!$AC$5:$AC$23,MATCH($C93,Matches!$A$5:$A$23,0))),"")</f>
        <v>0.183</v>
      </c>
      <c r="N93" s="9" t="n">
        <f aca="false">IFERROR(INDEX(Players!$F$2:$F$137,MATCH($F93,Players!$A$2:$A$137,0)),0)</f>
        <v>31</v>
      </c>
      <c r="O93" s="13" t="n">
        <f aca="false">IFERROR(1/(1/INDEX(Players!$H$2:$H$137,MATCH($F93,Players!$A$2:$A$137,0))),"")</f>
        <v>0.71</v>
      </c>
      <c r="P93" s="10" t="n">
        <f aca="false">IFERROR(1/(1/INDEX(Players!$I$2:$I$137,MATCH($F93,Players!$A$2:$A$137,0))),"")</f>
        <v>0.583</v>
      </c>
      <c r="Q93" s="9" t="n">
        <f aca="false">IF($G93="",0,SUMIFS(Map_Stats!$F$2:$F$850,Map_Stats!$A$2:$A$850,$F93&amp;"|"&amp;$G93))</f>
        <v>7</v>
      </c>
      <c r="R93" s="13" t="n">
        <f aca="false">IF($G93="","",IFERROR(1/(1/INDEX(Map_Stats!$K$2:$K$850,MATCH($F93&amp;"|"&amp;$G93,Map_Stats!$A$2:$A$850,0))),$O93))</f>
        <v>0.84</v>
      </c>
      <c r="S93" s="10" t="n">
        <f aca="false">IF(OR($G93="",$P93=""),"",IFERROR(1/(1/INDEX(Map_Stats!$I$2:$I$850,MATCH($F93&amp;"|"&amp;$G93,Map_Stats!$A$2:$A$850,0))),$P93))</f>
        <v>0.445</v>
      </c>
      <c r="T93" s="13" t="n">
        <f aca="false">IF(OR($G93="",R93=""),"",IF($O93="",R93,(Q93*R93+Config!$B$4*$O93)/(Q93+Config!$B$4)))</f>
        <v>0.785833333333333</v>
      </c>
      <c r="U93" s="10" t="n">
        <f aca="false">IF(S93="","",(Q93*S93+Config!$B$4*$P93)/(Q93+Config!$B$4))</f>
        <v>0.5025</v>
      </c>
      <c r="V93" s="17" t="n">
        <f aca="false">IF(OR(T93="",$J93=""),"",T93*$J93*($J93/Config!$B$10)^Config!$B$9)</f>
        <v>14.5850666666667</v>
      </c>
      <c r="W93" s="17" t="n">
        <f aca="false">IF(OR(V93="",U93=""),"",V93*U93)</f>
        <v>7.328996</v>
      </c>
      <c r="X93" s="9" t="n">
        <f aca="false">IF($H93="",0,SUMIFS(Map_Stats!$F$2:$F$850,Map_Stats!$A$2:$A$850,$F93&amp;"|"&amp;$H93))</f>
        <v>5</v>
      </c>
      <c r="Y93" s="13" t="n">
        <f aca="false">IF($H93="","",IFERROR(1/(1/INDEX(Map_Stats!$K$2:$K$850,MATCH($F93&amp;"|"&amp;$H93,Map_Stats!$A$2:$A$850,0))),$O93))</f>
        <v>0.69</v>
      </c>
      <c r="Z93" s="10" t="n">
        <f aca="false">IF(OR($H93="",$P93=""),"",IFERROR(1/(1/INDEX(Map_Stats!$I$2:$I$850,MATCH($F93&amp;"|"&amp;$H93,Map_Stats!$A$2:$A$850,0))),$P93))</f>
        <v>0.657</v>
      </c>
      <c r="AA93" s="13" t="n">
        <f aca="false">IF(OR($H93="",Y93=""),"",IF($O93="",Y93,(X93*Y93+Config!$B$4*$O93)/(X93+Config!$B$4)))</f>
        <v>0.7</v>
      </c>
      <c r="AB93" s="10" t="n">
        <f aca="false">IF(Z93="","",(X93*Z93+Config!$B$4*$P93)/(X93+Config!$B$4))</f>
        <v>0.62</v>
      </c>
      <c r="AC93" s="17" t="n">
        <f aca="false">IF(OR(AA93="",$K93=""),"",AA93*$K93*($K93/Config!$B$10)^Config!$B$9)</f>
        <v>12.999</v>
      </c>
      <c r="AD93" s="17" t="n">
        <f aca="false">IF(OR(AC93="",AB93=""),"",AC93*AB93)</f>
        <v>8.05938</v>
      </c>
      <c r="AE93" s="9" t="n">
        <f aca="false">IF($I93="",0,SUMIFS(Map_Stats!$F$2:$F$850,Map_Stats!$A$2:$A$850,$F93&amp;"|"&amp;$I93))</f>
        <v>4</v>
      </c>
      <c r="AF93" s="13" t="n">
        <f aca="false">IF($I93="","",IFERROR(1/(1/INDEX(Map_Stats!$K$2:$K$850,MATCH($F93&amp;"|"&amp;$I93,Map_Stats!$A$2:$A$850,0))),$O93))</f>
        <v>0.7</v>
      </c>
      <c r="AG93" s="10" t="n">
        <f aca="false">IF(OR($I93="",$P93=""),"",IFERROR(1/(1/INDEX(Map_Stats!$I$2:$I$850,MATCH($F93&amp;"|"&amp;$I93,Map_Stats!$A$2:$A$850,0))),$P93))</f>
        <v>0.642</v>
      </c>
      <c r="AH93" s="13" t="n">
        <f aca="false">IF(OR($I93="",AF93=""),"",IF($O93="",AF93,(AE93*AF93+Config!$B$4*$O93)/(AE93+Config!$B$4)))</f>
        <v>0.705555555555556</v>
      </c>
      <c r="AI93" s="10" t="n">
        <f aca="false">IF(AG93="","",(AE93*AG93+Config!$B$4*$P93)/(AE93+Config!$B$4))</f>
        <v>0.609222222222222</v>
      </c>
      <c r="AJ93" s="17" t="n">
        <f aca="false">IF(OR(AH93="",$L93=""),"",AH93*$L93*($L93/Config!$B$10)^Config!$B$9)</f>
        <v>15.1694444444444</v>
      </c>
      <c r="AK93" s="17" t="n">
        <f aca="false">IF(OR(AJ93="",AI93=""),"",AJ93*AI93)</f>
        <v>9.24156265432099</v>
      </c>
      <c r="AL93" s="17" t="n">
        <f aca="false">N(V93)+N(AC93)</f>
        <v>27.5840666666667</v>
      </c>
      <c r="AM93" s="17" t="n">
        <f aca="false">AL93+N($M93)*N(AJ93)</f>
        <v>30.360075</v>
      </c>
      <c r="AN93" s="17" t="n">
        <f aca="false">IF(W93="","",N(W93)+N(AD93))</f>
        <v>15.388376</v>
      </c>
      <c r="AO93" s="17" t="n">
        <f aca="false">IF(AN93="","",AN93+N($M93)*N(AK93))</f>
        <v>17.0795819657407</v>
      </c>
      <c r="AP93" s="10" t="n">
        <f aca="false">IFERROR(AN93/AL93,"")</f>
        <v>0.557871911562472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IF($C93=Board!$B$2,COUNTIFS($C$2:$C$137,Board!$B$2,$AL$2:$AL$137,"&gt;"&amp;$AL93)+COUNTIFS($C$1:$C92,Board!$B$2,$AL$1:$AL92,$AL93)+1,"")</f>
        <v/>
      </c>
      <c r="AS93" s="0" t="str">
        <f aca="false">IFERROR(IF($D93=INDEX(Matches!$AD$5:$AD$23,MATCH($C93,Matches!$A$5:$A$23,0)),"A",IF($D93=INDEX(Matches!$AE$5:$AE$23,MATCH($C93,Matches!$A$5:$A$23,0)),"B","")),"")</f>
        <v>A</v>
      </c>
      <c r="AT93" s="10" t="n">
        <f aca="false">IF($AS93="","",IFERROR(IF($AS93="A",INDEX(Matches!$AI$5:$AI$23,MATCH($C93,Matches!$A$5:$A$23,0)),INDEX(Matches!$AJ$5:$AJ$23,MATCH($C93,Matches!$A$5:$A$23,0))),""))</f>
        <v>0.563121939403791</v>
      </c>
      <c r="AU93" s="10" t="n">
        <f aca="false">IF($AS93="","",IFERROR(IF(INDEX(Matches!$AP$5:$AP$23,MATCH($C93,Matches!$A$5:$A$23,0))="","",IF($AS93="A",INDEX(Matches!$AP$5:$AP$23,MATCH($C93,Matches!$A$5:$A$23,0)),1-INDEX(Matches!$AP$5:$AP$23,MATCH($C93,Matches!$A$5:$A$23,0)))),""))</f>
        <v>0.605540661129085</v>
      </c>
      <c r="AV93" s="13" t="n">
        <f aca="false">IF(OR($AU93="",$AT93=""),1,((Config!$B$14*$AU93+Config!$B$15*(1-$AU93))/(Config!$B$14*$AT93+Config!$B$15*(1-$AT93)))^Config!$B$13)</f>
        <v>1.03588209611899</v>
      </c>
      <c r="AW93" s="10" t="n">
        <f aca="false">IF($AS93="","",IFERROR(IF(INDEX(Matches!$AV$5:$AV$23,MATCH($C93,Matches!$A$5:$A$23,0))="","",IF($AS93="A",INDEX(Matches!$AV$5:$AV$23,MATCH($C93,Matches!$A$5:$A$23,0)),1-INDEX(Matches!$AV$5:$AV$23,MATCH($C93,Matches!$A$5:$A$23,0)))),""))</f>
        <v>0.590041209766165</v>
      </c>
      <c r="AX93" s="13" t="n">
        <f aca="false">IF(OR($AW93="",$AT93=""),1,((Config!$B$14*$AW93+Config!$B$15*(1-$AW93))/(Config!$B$14*$AT93+Config!$B$15*(1-$AT93)))^Config!$B$13)</f>
        <v>1.02277107388693</v>
      </c>
      <c r="AY93" s="10" t="n">
        <f aca="false">IF($AS93="","",IFERROR(IF(INDEX(Matches!$BB$5:$BB$23,MATCH($C93,Matches!$A$5:$A$23,0))="","",IF($AS93="A",INDEX(Matches!$BB$5:$BB$23,MATCH($C93,Matches!$A$5:$A$23,0)),1-INDEX(Matches!$BB$5:$BB$23,MATCH($C93,Matches!$A$5:$A$23,0)))),""))</f>
        <v>0.633223232225368</v>
      </c>
      <c r="AZ93" s="13" t="n">
        <f aca="false">IF(OR($AY93="",$AT93=""),1,((Config!$B$14*$AY93+Config!$B$15*(1-$AY93))/(Config!$B$14*$AT93+Config!$B$15*(1-$AT93)))^Config!$B$13)</f>
        <v>1.05929884788558</v>
      </c>
      <c r="BA93" s="17" t="n">
        <f aca="false">IF(V93="","",V93*$AV93)</f>
        <v>15.1084094307018</v>
      </c>
      <c r="BB93" s="17" t="n">
        <f aca="false">IF(AC93="","",AC93*$AX93)</f>
        <v>13.2950011894562</v>
      </c>
      <c r="BC93" s="17" t="n">
        <f aca="false">IF(AJ93="","",AJ93*$AZ93)</f>
        <v>16.0689750230644</v>
      </c>
      <c r="BD93" s="17" t="n">
        <f aca="false">N(BA93)+N(BB93)</f>
        <v>28.403410620158</v>
      </c>
      <c r="BE93" s="17" t="n">
        <f aca="false">BD93+N($M93)*N(BC93)</f>
        <v>31.3440330493788</v>
      </c>
      <c r="BF93" s="17" t="n">
        <f aca="false">IF(W93="","",W93*$AV93)</f>
        <v>7.59197573892767</v>
      </c>
      <c r="BG93" s="17" t="n">
        <f aca="false">IF(AD93="","",AD93*$AX93)</f>
        <v>8.24290073746283</v>
      </c>
      <c r="BH93" s="17" t="n">
        <f aca="false">IF(AK93="","",AK93*$AZ93)</f>
        <v>9.78957667238465</v>
      </c>
      <c r="BI93" s="17" t="n">
        <f aca="false">IF(BF93="","",N(BF93)+N(BG93))</f>
        <v>15.8348764763905</v>
      </c>
      <c r="BJ93" s="17" t="n">
        <f aca="false">IF(BI93="","",BI93+N($M93)*N(BH93))</f>
        <v>17.6263690074369</v>
      </c>
      <c r="BK93" s="13" t="n">
        <f aca="false">IFERROR(BD93/AL93,1)</f>
        <v>1.02970352281237</v>
      </c>
    </row>
    <row r="94" customFormat="false" ht="15" hidden="false" customHeight="false" outlineLevel="0" collapsed="false">
      <c r="A94" s="0" t="s">
        <v>1512</v>
      </c>
      <c r="B94" s="0" t="s">
        <v>1139</v>
      </c>
      <c r="C94" s="0" t="s">
        <v>1180</v>
      </c>
      <c r="D94" s="0" t="s">
        <v>1184</v>
      </c>
      <c r="E94" s="0" t="s">
        <v>1511</v>
      </c>
      <c r="F94" s="0" t="s">
        <v>1751</v>
      </c>
      <c r="G94" s="0" t="str">
        <f aca="false">IFERROR(IF(INDEX(Matches!$W$5:$W$23,MATCH($C94,Matches!$A$5:$A$23,0))="","",INDEX(Matches!$W$5:$W$23,MATCH($C94,Matches!$A$5:$A$23,0))),"")</f>
        <v>Mirage</v>
      </c>
      <c r="H94" s="0" t="str">
        <f aca="false">IFERROR(IF(INDEX(Matches!$X$5:$X$23,MATCH($C94,Matches!$A$5:$A$23,0))="","",INDEX(Matches!$X$5:$X$23,MATCH($C94,Matches!$A$5:$A$23,0))),"")</f>
        <v>Dust2</v>
      </c>
      <c r="I94" s="0" t="str">
        <f aca="false">IFERROR(IF(INDEX(Matches!$Y$5:$Y$23,MATCH($C94,Matches!$A$5:$A$23,0))="","",INDEX(Matches!$Y$5:$Y$23,MATCH($C94,Matches!$A$5:$A$23,0))),"")</f>
        <v>Inferno</v>
      </c>
      <c r="J94" s="11" t="n">
        <f aca="false">IFERROR(IF(INDEX(Matches!$Z$5:$Z$23,MATCH($C94,Matches!$A$5:$A$23,0))="","",INDEX(Matches!$Z$5:$Z$23,MATCH($C94,Matches!$A$5:$A$23,0))),"")</f>
        <v>18.56</v>
      </c>
      <c r="K94" s="11" t="n">
        <f aca="false">IFERROR(IF(INDEX(Matches!$AA$5:$AA$23,MATCH($C94,Matches!$A$5:$A$23,0))="","",INDEX(Matches!$AA$5:$AA$23,MATCH($C94,Matches!$A$5:$A$23,0))),"")</f>
        <v>18.57</v>
      </c>
      <c r="L94" s="11" t="n">
        <f aca="false">IFERROR(IF(INDEX(Matches!$AB$5:$AB$23,MATCH($C94,Matches!$A$5:$A$23,0))="","",INDEX(Matches!$AB$5:$AB$23,MATCH($C94,Matches!$A$5:$A$23,0))),"")</f>
        <v>21.5</v>
      </c>
      <c r="M94" s="10" t="n">
        <f aca="false">IFERROR(IF(INDEX(Matches!$AC$5:$AC$23,MATCH($C94,Matches!$A$5:$A$23,0))="","",INDEX(Matches!$AC$5:$AC$23,MATCH($C94,Matches!$A$5:$A$23,0))),"")</f>
        <v>0.183</v>
      </c>
      <c r="N94" s="9" t="n">
        <f aca="false">IFERROR(INDEX(Players!$F$2:$F$137,MATCH($F94,Players!$A$2:$A$137,0)),0)</f>
        <v>31</v>
      </c>
      <c r="O94" s="13" t="n">
        <f aca="false">IFERROR(1/(1/INDEX(Players!$H$2:$H$137,MATCH($F94,Players!$A$2:$A$137,0))),"")</f>
        <v>0.75</v>
      </c>
      <c r="P94" s="10" t="n">
        <f aca="false">IFERROR(1/(1/INDEX(Players!$I$2:$I$137,MATCH($F94,Players!$A$2:$A$137,0))),"")</f>
        <v>0.333</v>
      </c>
      <c r="Q94" s="9" t="n">
        <f aca="false">IF($G94="",0,SUMIFS(Map_Stats!$F$2:$F$850,Map_Stats!$A$2:$A$850,$F94&amp;"|"&amp;$G94))</f>
        <v>7</v>
      </c>
      <c r="R94" s="13" t="n">
        <f aca="false">IF($G94="","",IFERROR(1/(1/INDEX(Map_Stats!$K$2:$K$850,MATCH($F94&amp;"|"&amp;$G94,Map_Stats!$A$2:$A$850,0))),$O94))</f>
        <v>0.79</v>
      </c>
      <c r="S94" s="10" t="n">
        <f aca="false">IF(OR($G94="",$P94=""),"",IFERROR(1/(1/INDEX(Map_Stats!$I$2:$I$850,MATCH($F94&amp;"|"&amp;$G94,Map_Stats!$A$2:$A$850,0))),$P94))</f>
        <v>0.333</v>
      </c>
      <c r="T94" s="13" t="n">
        <f aca="false">IF(OR($G94="",R94=""),"",IF($O94="",R94,(Q94*R94+Config!$B$4*$O94)/(Q94+Config!$B$4)))</f>
        <v>0.773333333333333</v>
      </c>
      <c r="U94" s="10" t="n">
        <f aca="false">IF(S94="","",(Q94*S94+Config!$B$4*$P94)/(Q94+Config!$B$4))</f>
        <v>0.333</v>
      </c>
      <c r="V94" s="17" t="n">
        <f aca="false">IF(OR(T94="",$J94=""),"",T94*$J94*($J94/Config!$B$10)^Config!$B$9)</f>
        <v>14.3530666666667</v>
      </c>
      <c r="W94" s="17" t="n">
        <f aca="false">IF(OR(V94="",U94=""),"",V94*U94)</f>
        <v>4.7795712</v>
      </c>
      <c r="X94" s="9" t="n">
        <f aca="false">IF($H94="",0,SUMIFS(Map_Stats!$F$2:$F$850,Map_Stats!$A$2:$A$850,$F94&amp;"|"&amp;$H94))</f>
        <v>5</v>
      </c>
      <c r="Y94" s="13" t="n">
        <f aca="false">IF($H94="","",IFERROR(1/(1/INDEX(Map_Stats!$K$2:$K$850,MATCH($F94&amp;"|"&amp;$H94,Map_Stats!$A$2:$A$850,0))),$O94))</f>
        <v>0.77</v>
      </c>
      <c r="Z94" s="10" t="n">
        <f aca="false">IF(OR($H94="",$P94=""),"",IFERROR(1/(1/INDEX(Map_Stats!$I$2:$I$850,MATCH($F94&amp;"|"&amp;$H94,Map_Stats!$A$2:$A$850,0))),$P94))</f>
        <v>0.342</v>
      </c>
      <c r="AA94" s="13" t="n">
        <f aca="false">IF(OR($H94="",Y94=""),"",IF($O94="",Y94,(X94*Y94+Config!$B$4*$O94)/(X94+Config!$B$4)))</f>
        <v>0.76</v>
      </c>
      <c r="AB94" s="10" t="n">
        <f aca="false">IF(Z94="","",(X94*Z94+Config!$B$4*$P94)/(X94+Config!$B$4))</f>
        <v>0.3375</v>
      </c>
      <c r="AC94" s="17" t="n">
        <f aca="false">IF(OR(AA94="",$K94=""),"",AA94*$K94*($K94/Config!$B$10)^Config!$B$9)</f>
        <v>14.1132</v>
      </c>
      <c r="AD94" s="17" t="n">
        <f aca="false">IF(OR(AC94="",AB94=""),"",AC94*AB94)</f>
        <v>4.763205</v>
      </c>
      <c r="AE94" s="9" t="n">
        <f aca="false">IF($I94="",0,SUMIFS(Map_Stats!$F$2:$F$850,Map_Stats!$A$2:$A$850,$F94&amp;"|"&amp;$I94))</f>
        <v>4</v>
      </c>
      <c r="AF94" s="13" t="n">
        <f aca="false">IF($I94="","",IFERROR(1/(1/INDEX(Map_Stats!$K$2:$K$850,MATCH($F94&amp;"|"&amp;$I94,Map_Stats!$A$2:$A$850,0))),$O94))</f>
        <v>0.63</v>
      </c>
      <c r="AG94" s="10" t="n">
        <f aca="false">IF(OR($I94="",$P94=""),"",IFERROR(1/(1/INDEX(Map_Stats!$I$2:$I$850,MATCH($F94&amp;"|"&amp;$I94,Map_Stats!$A$2:$A$850,0))),$P94))</f>
        <v>0.458</v>
      </c>
      <c r="AH94" s="13" t="n">
        <f aca="false">IF(OR($I94="",AF94=""),"",IF($O94="",AF94,(AE94*AF94+Config!$B$4*$O94)/(AE94+Config!$B$4)))</f>
        <v>0.696666666666667</v>
      </c>
      <c r="AI94" s="10" t="n">
        <f aca="false">IF(AG94="","",(AE94*AG94+Config!$B$4*$P94)/(AE94+Config!$B$4))</f>
        <v>0.388555555555556</v>
      </c>
      <c r="AJ94" s="17" t="n">
        <f aca="false">IF(OR(AH94="",$L94=""),"",AH94*$L94*($L94/Config!$B$10)^Config!$B$9)</f>
        <v>14.9783333333333</v>
      </c>
      <c r="AK94" s="17" t="n">
        <f aca="false">IF(OR(AJ94="",AI94=""),"",AJ94*AI94)</f>
        <v>5.81991462962963</v>
      </c>
      <c r="AL94" s="17" t="n">
        <f aca="false">N(V94)+N(AC94)</f>
        <v>28.4662666666667</v>
      </c>
      <c r="AM94" s="17" t="n">
        <f aca="false">AL94+N($M94)*N(AJ94)</f>
        <v>31.2073016666667</v>
      </c>
      <c r="AN94" s="17" t="n">
        <f aca="false">IF(W94="","",N(W94)+N(AD94))</f>
        <v>9.5427762</v>
      </c>
      <c r="AO94" s="17" t="n">
        <f aca="false">IF(AN94="","",AN94+N($M94)*N(AK94))</f>
        <v>10.6078205772222</v>
      </c>
      <c r="AP94" s="10" t="n">
        <f aca="false">IFERROR(AN94/AL94,"")</f>
        <v>0.3352310407172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IF($C94=Board!$B$2,COUNTIFS($C$2:$C$137,Board!$B$2,$AL$2:$AL$137,"&gt;"&amp;$AL94)+COUNTIFS($C$1:$C93,Board!$B$2,$AL$1:$AL93,$AL94)+1,"")</f>
        <v/>
      </c>
      <c r="AS94" s="0" t="str">
        <f aca="false">IFERROR(IF($D94=INDEX(Matches!$AD$5:$AD$23,MATCH($C94,Matches!$A$5:$A$23,0)),"A",IF($D94=INDEX(Matches!$AE$5:$AE$23,MATCH($C94,Matches!$A$5:$A$23,0)),"B","")),"")</f>
        <v>A</v>
      </c>
      <c r="AT94" s="10" t="n">
        <f aca="false">IF($AS94="","",IFERROR(IF($AS94="A",INDEX(Matches!$AI$5:$AI$23,MATCH($C94,Matches!$A$5:$A$23,0)),INDEX(Matches!$AJ$5:$AJ$23,MATCH($C94,Matches!$A$5:$A$23,0))),""))</f>
        <v>0.563121939403791</v>
      </c>
      <c r="AU94" s="10" t="n">
        <f aca="false">IF($AS94="","",IFERROR(IF(INDEX(Matches!$AP$5:$AP$23,MATCH($C94,Matches!$A$5:$A$23,0))="","",IF($AS94="A",INDEX(Matches!$AP$5:$AP$23,MATCH($C94,Matches!$A$5:$A$23,0)),1-INDEX(Matches!$AP$5:$AP$23,MATCH($C94,Matches!$A$5:$A$23,0)))),""))</f>
        <v>0.605540661129085</v>
      </c>
      <c r="AV94" s="13" t="n">
        <f aca="false">IF(OR($AU94="",$AT94=""),1,((Config!$B$14*$AU94+Config!$B$15*(1-$AU94))/(Config!$B$14*$AT94+Config!$B$15*(1-$AT94)))^Config!$B$13)</f>
        <v>1.03588209611899</v>
      </c>
      <c r="AW94" s="10" t="n">
        <f aca="false">IF($AS94="","",IFERROR(IF(INDEX(Matches!$AV$5:$AV$23,MATCH($C94,Matches!$A$5:$A$23,0))="","",IF($AS94="A",INDEX(Matches!$AV$5:$AV$23,MATCH($C94,Matches!$A$5:$A$23,0)),1-INDEX(Matches!$AV$5:$AV$23,MATCH($C94,Matches!$A$5:$A$23,0)))),""))</f>
        <v>0.590041209766165</v>
      </c>
      <c r="AX94" s="13" t="n">
        <f aca="false">IF(OR($AW94="",$AT94=""),1,((Config!$B$14*$AW94+Config!$B$15*(1-$AW94))/(Config!$B$14*$AT94+Config!$B$15*(1-$AT94)))^Config!$B$13)</f>
        <v>1.02277107388693</v>
      </c>
      <c r="AY94" s="10" t="n">
        <f aca="false">IF($AS94="","",IFERROR(IF(INDEX(Matches!$BB$5:$BB$23,MATCH($C94,Matches!$A$5:$A$23,0))="","",IF($AS94="A",INDEX(Matches!$BB$5:$BB$23,MATCH($C94,Matches!$A$5:$A$23,0)),1-INDEX(Matches!$BB$5:$BB$23,MATCH($C94,Matches!$A$5:$A$23,0)))),""))</f>
        <v>0.633223232225368</v>
      </c>
      <c r="AZ94" s="13" t="n">
        <f aca="false">IF(OR($AY94="",$AT94=""),1,((Config!$B$14*$AY94+Config!$B$15*(1-$AY94))/(Config!$B$14*$AT94+Config!$B$15*(1-$AT94)))^Config!$B$13)</f>
        <v>1.05929884788558</v>
      </c>
      <c r="BA94" s="17" t="n">
        <f aca="false">IF(V94="","",V94*$AV94)</f>
        <v>14.8680847844022</v>
      </c>
      <c r="BB94" s="17" t="n">
        <f aca="false">IF(AC94="","",AC94*$AX94)</f>
        <v>14.434572719981</v>
      </c>
      <c r="BC94" s="17" t="n">
        <f aca="false">IF(AJ94="","",AJ94*$AZ94)</f>
        <v>15.8665312432462</v>
      </c>
      <c r="BD94" s="17" t="n">
        <f aca="false">N(BA94)+N(BB94)</f>
        <v>29.3026575043832</v>
      </c>
      <c r="BE94" s="17" t="n">
        <f aca="false">BD94+N($M94)*N(BC94)</f>
        <v>32.2062327218973</v>
      </c>
      <c r="BF94" s="17" t="n">
        <f aca="false">IF(W94="","",W94*$AV94)</f>
        <v>4.95107223320594</v>
      </c>
      <c r="BG94" s="17" t="n">
        <f aca="false">IF(AD94="","",AD94*$AX94)</f>
        <v>4.87166829299359</v>
      </c>
      <c r="BH94" s="17" t="n">
        <f aca="false">IF(AK94="","",AK94*$AZ94)</f>
        <v>6.16502886195912</v>
      </c>
      <c r="BI94" s="17" t="n">
        <f aca="false">IF(BF94="","",N(BF94)+N(BG94))</f>
        <v>9.82274052619953</v>
      </c>
      <c r="BJ94" s="17" t="n">
        <f aca="false">IF(BI94="","",BI94+N($M94)*N(BH94))</f>
        <v>10.950940807938</v>
      </c>
      <c r="BK94" s="13" t="n">
        <f aca="false">IFERROR(BD94/AL94,1)</f>
        <v>1.02938182402036</v>
      </c>
    </row>
    <row r="95" customFormat="false" ht="15" hidden="false" customHeight="false" outlineLevel="0" collapsed="false">
      <c r="A95" s="0" t="s">
        <v>1514</v>
      </c>
      <c r="B95" s="0" t="s">
        <v>1139</v>
      </c>
      <c r="C95" s="0" t="s">
        <v>1199</v>
      </c>
      <c r="D95" s="0" t="s">
        <v>1203</v>
      </c>
      <c r="E95" s="0" t="s">
        <v>1513</v>
      </c>
      <c r="F95" s="0" t="s">
        <v>1752</v>
      </c>
      <c r="G95" s="0" t="str">
        <f aca="false">IFERROR(IF(INDEX(Matches!$W$5:$W$23,MATCH($C95,Matches!$A$5:$A$23,0))="","",INDEX(Matches!$W$5:$W$23,MATCH($C95,Matches!$A$5:$A$23,0))),"")</f>
        <v>Mirage</v>
      </c>
      <c r="H95" s="0" t="str">
        <f aca="false">IFERROR(IF(INDEX(Matches!$X$5:$X$23,MATCH($C95,Matches!$A$5:$A$23,0))="","",INDEX(Matches!$X$5:$X$23,MATCH($C95,Matches!$A$5:$A$23,0))),"")</f>
        <v>Dust2</v>
      </c>
      <c r="I95" s="0" t="str">
        <f aca="false">IFERROR(IF(INDEX(Matches!$Y$5:$Y$23,MATCH($C95,Matches!$A$5:$A$23,0))="","",INDEX(Matches!$Y$5:$Y$23,MATCH($C95,Matches!$A$5:$A$23,0))),"")</f>
        <v>Nuke</v>
      </c>
      <c r="J95" s="11" t="n">
        <f aca="false">IFERROR(IF(INDEX(Matches!$Z$5:$Z$23,MATCH($C95,Matches!$A$5:$A$23,0))="","",INDEX(Matches!$Z$5:$Z$23,MATCH($C95,Matches!$A$5:$A$23,0))),"")</f>
        <v>21.36</v>
      </c>
      <c r="K95" s="11" t="n">
        <f aca="false">IFERROR(IF(INDEX(Matches!$AA$5:$AA$23,MATCH($C95,Matches!$A$5:$A$23,0))="","",INDEX(Matches!$AA$5:$AA$23,MATCH($C95,Matches!$A$5:$A$23,0))),"")</f>
        <v>21.5</v>
      </c>
      <c r="L95" s="11" t="n">
        <f aca="false">IFERROR(IF(INDEX(Matches!$AB$5:$AB$23,MATCH($C95,Matches!$A$5:$A$23,0))="","",INDEX(Matches!$AB$5:$AB$23,MATCH($C95,Matches!$A$5:$A$23,0))),"")</f>
        <v>21.42</v>
      </c>
      <c r="M95" s="10" t="n">
        <f aca="false">IFERROR(IF(INDEX(Matches!$AC$5:$AC$23,MATCH($C95,Matches!$A$5:$A$23,0))="","",INDEX(Matches!$AC$5:$AC$23,MATCH($C95,Matches!$A$5:$A$23,0))),"")</f>
        <v>0.4973</v>
      </c>
      <c r="N95" s="9" t="n">
        <f aca="false">IFERROR(INDEX(Players!$F$2:$F$137,MATCH($F95,Players!$A$2:$A$137,0)),0)</f>
        <v>36</v>
      </c>
      <c r="O95" s="13" t="n">
        <f aca="false">IFERROR(1/(1/INDEX(Players!$H$2:$H$137,MATCH($F95,Players!$A$2:$A$137,0))),"")</f>
        <v>0.71</v>
      </c>
      <c r="P95" s="10" t="n">
        <f aca="false">IFERROR(1/(1/INDEX(Players!$I$2:$I$137,MATCH($F95,Players!$A$2:$A$137,0))),"")</f>
        <v>0.554</v>
      </c>
      <c r="Q95" s="9" t="n">
        <f aca="false">IF($G95="",0,SUMIFS(Map_Stats!$F$2:$F$850,Map_Stats!$A$2:$A$850,$F95&amp;"|"&amp;$G95))</f>
        <v>6</v>
      </c>
      <c r="R95" s="13" t="n">
        <f aca="false">IF($G95="","",IFERROR(1/(1/INDEX(Map_Stats!$K$2:$K$850,MATCH($F95&amp;"|"&amp;$G95,Map_Stats!$A$2:$A$850,0))),$O95))</f>
        <v>0.64</v>
      </c>
      <c r="S95" s="10" t="n">
        <f aca="false">IF(OR($G95="",$P95=""),"",IFERROR(1/(1/INDEX(Map_Stats!$I$2:$I$850,MATCH($F95&amp;"|"&amp;$G95,Map_Stats!$A$2:$A$850,0))),$P95))</f>
        <v>0.537</v>
      </c>
      <c r="T95" s="13" t="n">
        <f aca="false">IF(OR($G95="",R95=""),"",IF($O95="",R95,(Q95*R95+Config!$B$4*$O95)/(Q95+Config!$B$4)))</f>
        <v>0.671818181818182</v>
      </c>
      <c r="U95" s="10" t="n">
        <f aca="false">IF(S95="","",(Q95*S95+Config!$B$4*$P95)/(Q95+Config!$B$4))</f>
        <v>0.544727272727273</v>
      </c>
      <c r="V95" s="17" t="n">
        <f aca="false">IF(OR(T95="",$J95=""),"",T95*$J95*($J95/Config!$B$10)^Config!$B$9)</f>
        <v>14.3500363636364</v>
      </c>
      <c r="W95" s="17" t="n">
        <f aca="false">IF(OR(V95="",U95=""),"",V95*U95)</f>
        <v>7.81685617190083</v>
      </c>
      <c r="X95" s="9" t="n">
        <f aca="false">IF($H95="",0,SUMIFS(Map_Stats!$F$2:$F$850,Map_Stats!$A$2:$A$850,$F95&amp;"|"&amp;$H95))</f>
        <v>7</v>
      </c>
      <c r="Y95" s="13" t="n">
        <f aca="false">IF($H95="","",IFERROR(1/(1/INDEX(Map_Stats!$K$2:$K$850,MATCH($F95&amp;"|"&amp;$H95,Map_Stats!$A$2:$A$850,0))),$O95))</f>
        <v>0.71</v>
      </c>
      <c r="Z95" s="10" t="n">
        <f aca="false">IF(OR($H95="",$P95=""),"",IFERROR(1/(1/INDEX(Map_Stats!$I$2:$I$850,MATCH($F95&amp;"|"&amp;$H95,Map_Stats!$A$2:$A$850,0))),$P95))</f>
        <v>0.607</v>
      </c>
      <c r="AA95" s="13" t="n">
        <f aca="false">IF(OR($H95="",Y95=""),"",IF($O95="",Y95,(X95*Y95+Config!$B$4*$O95)/(X95+Config!$B$4)))</f>
        <v>0.71</v>
      </c>
      <c r="AB95" s="10" t="n">
        <f aca="false">IF(Z95="","",(X95*Z95+Config!$B$4*$P95)/(X95+Config!$B$4))</f>
        <v>0.584916666666667</v>
      </c>
      <c r="AC95" s="17" t="n">
        <f aca="false">IF(OR(AA95="",$K95=""),"",AA95*$K95*($K95/Config!$B$10)^Config!$B$9)</f>
        <v>15.265</v>
      </c>
      <c r="AD95" s="17" t="n">
        <f aca="false">IF(OR(AC95="",AB95=""),"",AC95*AB95)</f>
        <v>8.92875291666667</v>
      </c>
      <c r="AE95" s="9" t="n">
        <f aca="false">IF($I95="",0,SUMIFS(Map_Stats!$F$2:$F$850,Map_Stats!$A$2:$A$850,$F95&amp;"|"&amp;$I95))</f>
        <v>5</v>
      </c>
      <c r="AF95" s="13" t="n">
        <f aca="false">IF($I95="","",IFERROR(1/(1/INDEX(Map_Stats!$K$2:$K$850,MATCH($F95&amp;"|"&amp;$I95,Map_Stats!$A$2:$A$850,0))),$O95))</f>
        <v>0.68</v>
      </c>
      <c r="AG95" s="10" t="n">
        <f aca="false">IF(OR($I95="",$P95=""),"",IFERROR(1/(1/INDEX(Map_Stats!$I$2:$I$850,MATCH($F95&amp;"|"&amp;$I95,Map_Stats!$A$2:$A$850,0))),$P95))</f>
        <v>0.587</v>
      </c>
      <c r="AH95" s="13" t="n">
        <f aca="false">IF(OR($I95="",AF95=""),"",IF($O95="",AF95,(AE95*AF95+Config!$B$4*$O95)/(AE95+Config!$B$4)))</f>
        <v>0.695</v>
      </c>
      <c r="AI95" s="10" t="n">
        <f aca="false">IF(AG95="","",(AE95*AG95+Config!$B$4*$P95)/(AE95+Config!$B$4))</f>
        <v>0.5705</v>
      </c>
      <c r="AJ95" s="17" t="n">
        <f aca="false">IF(OR(AH95="",$L95=""),"",AH95*$L95*($L95/Config!$B$10)^Config!$B$9)</f>
        <v>14.8869</v>
      </c>
      <c r="AK95" s="17" t="n">
        <f aca="false">IF(OR(AJ95="",AI95=""),"",AJ95*AI95)</f>
        <v>8.49297645</v>
      </c>
      <c r="AL95" s="17" t="n">
        <f aca="false">N(V95)+N(AC95)</f>
        <v>29.6150363636364</v>
      </c>
      <c r="AM95" s="17" t="n">
        <f aca="false">AL95+N($M95)*N(AJ95)</f>
        <v>37.0182917336364</v>
      </c>
      <c r="AN95" s="17" t="n">
        <f aca="false">IF(W95="","",N(W95)+N(AD95))</f>
        <v>16.7456090885675</v>
      </c>
      <c r="AO95" s="17" t="n">
        <f aca="false">IF(AN95="","",AN95+N($M95)*N(AK95))</f>
        <v>20.9691662771525</v>
      </c>
      <c r="AP95" s="10" t="n">
        <f aca="false">IFERROR(AN95/AL95,"")</f>
        <v>0.565442800169209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IF($C95=Board!$B$2,COUNTIFS($C$2:$C$137,Board!$B$2,$AL$2:$AL$137,"&gt;"&amp;$AL95)+COUNTIFS($C$1:$C94,Board!$B$2,$AL$1:$AL94,$AL95)+1,"")</f>
        <v/>
      </c>
      <c r="AS95" s="0" t="str">
        <f aca="false">IFERROR(IF($D95=INDEX(Matches!$AD$5:$AD$23,MATCH($C95,Matches!$A$5:$A$23,0)),"A",IF($D95=INDEX(Matches!$AE$5:$AE$23,MATCH($C95,Matches!$A$5:$A$23,0)),"B","")),"")</f>
        <v>B</v>
      </c>
      <c r="AT95" s="10" t="n">
        <f aca="false">IF($AS95="","",IFERROR(IF($AS95="A",INDEX(Matches!$AI$5:$AI$23,MATCH($C95,Matches!$A$5:$A$23,0)),INDEX(Matches!$AJ$5:$AJ$23,MATCH($C95,Matches!$A$5:$A$23,0))),""))</f>
        <v>0.526743277654201</v>
      </c>
      <c r="AU95" s="10" t="n">
        <f aca="false">IF($AS95="","",IFERROR(IF(INDEX(Matches!$AP$5:$AP$23,MATCH($C95,Matches!$A$5:$A$23,0))="","",IF($AS95="A",INDEX(Matches!$AP$5:$AP$23,MATCH($C95,Matches!$A$5:$A$23,0)),1-INDEX(Matches!$AP$5:$AP$23,MATCH($C95,Matches!$A$5:$A$23,0)))),""))</f>
        <v>0.451414100157374</v>
      </c>
      <c r="AV95" s="13" t="n">
        <f aca="false">IF(OR($AU95="",$AT95=""),1,((Config!$B$14*$AU95+Config!$B$15*(1-$AU95))/(Config!$B$14*$AT95+Config!$B$15*(1-$AT95)))^Config!$B$13)</f>
        <v>0.934255737487823</v>
      </c>
      <c r="AW95" s="10" t="n">
        <f aca="false">IF($AS95="","",IFERROR(IF(INDEX(Matches!$AV$5:$AV$23,MATCH($C95,Matches!$A$5:$A$23,0))="","",IF($AS95="A",INDEX(Matches!$AV$5:$AV$23,MATCH($C95,Matches!$A$5:$A$23,0)),1-INDEX(Matches!$AV$5:$AV$23,MATCH($C95,Matches!$A$5:$A$23,0)))),""))</f>
        <v>0.473717308474827</v>
      </c>
      <c r="AX95" s="13" t="n">
        <f aca="false">IF(OR($AW95="",$AT95=""),1,((Config!$B$14*$AW95+Config!$B$15*(1-$AW95))/(Config!$B$14*$AT95+Config!$B$15*(1-$AT95)))^Config!$B$13)</f>
        <v>0.953721076566405</v>
      </c>
      <c r="AY95" s="10" t="n">
        <f aca="false">IF($AS95="","",IFERROR(IF(INDEX(Matches!$BB$5:$BB$23,MATCH($C95,Matches!$A$5:$A$23,0))="","",IF($AS95="A",INDEX(Matches!$BB$5:$BB$23,MATCH($C95,Matches!$A$5:$A$23,0)),1-INDEX(Matches!$BB$5:$BB$23,MATCH($C95,Matches!$A$5:$A$23,0)))),""))</f>
        <v>0.476259192243058</v>
      </c>
      <c r="AZ95" s="13" t="n">
        <f aca="false">IF(OR($AY95="",$AT95=""),1,((Config!$B$14*$AY95+Config!$B$15*(1-$AY95))/(Config!$B$14*$AT95+Config!$B$15*(1-$AT95)))^Config!$B$13)</f>
        <v>0.95593953001681</v>
      </c>
      <c r="BA95" s="17" t="n">
        <f aca="false">IF(V95="","",V95*$AV95)</f>
        <v>13.4066038058862</v>
      </c>
      <c r="BB95" s="17" t="n">
        <f aca="false">IF(AC95="","",AC95*$AX95)</f>
        <v>14.5585522337862</v>
      </c>
      <c r="BC95" s="17" t="n">
        <f aca="false">IF(AJ95="","",AJ95*$AZ95)</f>
        <v>14.2309761894072</v>
      </c>
      <c r="BD95" s="17" t="n">
        <f aca="false">N(BA95)+N(BB95)</f>
        <v>27.9651560396723</v>
      </c>
      <c r="BE95" s="17" t="n">
        <f aca="false">BD95+N($M95)*N(BC95)</f>
        <v>35.0422204986646</v>
      </c>
      <c r="BF95" s="17" t="n">
        <f aca="false">IF(W95="","",W95*$AV95)</f>
        <v>7.30294272771545</v>
      </c>
      <c r="BG95" s="17" t="n">
        <f aca="false">IF(AD95="","",AD95*$AX95)</f>
        <v>8.51553984407876</v>
      </c>
      <c r="BH95" s="17" t="n">
        <f aca="false">IF(AK95="","",AK95*$AZ95)</f>
        <v>8.11877191605684</v>
      </c>
      <c r="BI95" s="17" t="n">
        <f aca="false">IF(BF95="","",N(BF95)+N(BG95))</f>
        <v>15.8184825717942</v>
      </c>
      <c r="BJ95" s="17" t="n">
        <f aca="false">IF(BI95="","",BI95+N($M95)*N(BH95))</f>
        <v>19.8559478456493</v>
      </c>
      <c r="BK95" s="13" t="n">
        <f aca="false">IFERROR(BD95/AL95,1)</f>
        <v>0.944289100181897</v>
      </c>
    </row>
    <row r="96" customFormat="false" ht="15" hidden="false" customHeight="false" outlineLevel="0" collapsed="false">
      <c r="A96" s="0" t="s">
        <v>1517</v>
      </c>
      <c r="B96" s="0" t="s">
        <v>1139</v>
      </c>
      <c r="C96" s="0" t="s">
        <v>1199</v>
      </c>
      <c r="D96" s="0" t="s">
        <v>1203</v>
      </c>
      <c r="E96" s="0" t="s">
        <v>1515</v>
      </c>
      <c r="F96" s="0" t="s">
        <v>1753</v>
      </c>
      <c r="G96" s="0" t="str">
        <f aca="false">IFERROR(IF(INDEX(Matches!$W$5:$W$23,MATCH($C96,Matches!$A$5:$A$23,0))="","",INDEX(Matches!$W$5:$W$23,MATCH($C96,Matches!$A$5:$A$23,0))),"")</f>
        <v>Mirage</v>
      </c>
      <c r="H96" s="0" t="str">
        <f aca="false">IFERROR(IF(INDEX(Matches!$X$5:$X$23,MATCH($C96,Matches!$A$5:$A$23,0))="","",INDEX(Matches!$X$5:$X$23,MATCH($C96,Matches!$A$5:$A$23,0))),"")</f>
        <v>Dust2</v>
      </c>
      <c r="I96" s="0" t="str">
        <f aca="false">IFERROR(IF(INDEX(Matches!$Y$5:$Y$23,MATCH($C96,Matches!$A$5:$A$23,0))="","",INDEX(Matches!$Y$5:$Y$23,MATCH($C96,Matches!$A$5:$A$23,0))),"")</f>
        <v>Nuke</v>
      </c>
      <c r="J96" s="11" t="n">
        <f aca="false">IFERROR(IF(INDEX(Matches!$Z$5:$Z$23,MATCH($C96,Matches!$A$5:$A$23,0))="","",INDEX(Matches!$Z$5:$Z$23,MATCH($C96,Matches!$A$5:$A$23,0))),"")</f>
        <v>21.36</v>
      </c>
      <c r="K96" s="11" t="n">
        <f aca="false">IFERROR(IF(INDEX(Matches!$AA$5:$AA$23,MATCH($C96,Matches!$A$5:$A$23,0))="","",INDEX(Matches!$AA$5:$AA$23,MATCH($C96,Matches!$A$5:$A$23,0))),"")</f>
        <v>21.5</v>
      </c>
      <c r="L96" s="11" t="n">
        <f aca="false">IFERROR(IF(INDEX(Matches!$AB$5:$AB$23,MATCH($C96,Matches!$A$5:$A$23,0))="","",INDEX(Matches!$AB$5:$AB$23,MATCH($C96,Matches!$A$5:$A$23,0))),"")</f>
        <v>21.42</v>
      </c>
      <c r="M96" s="10" t="n">
        <f aca="false">IFERROR(IF(INDEX(Matches!$AC$5:$AC$23,MATCH($C96,Matches!$A$5:$A$23,0))="","",INDEX(Matches!$AC$5:$AC$23,MATCH($C96,Matches!$A$5:$A$23,0))),"")</f>
        <v>0.4973</v>
      </c>
      <c r="N96" s="9" t="n">
        <f aca="false">IFERROR(INDEX(Players!$F$2:$F$137,MATCH($F96,Players!$A$2:$A$137,0)),0)</f>
        <v>36</v>
      </c>
      <c r="O96" s="13" t="n">
        <f aca="false">IFERROR(1/(1/INDEX(Players!$H$2:$H$137,MATCH($F96,Players!$A$2:$A$137,0))),"")</f>
        <v>0.51</v>
      </c>
      <c r="P96" s="10" t="n">
        <f aca="false">IFERROR(1/(1/INDEX(Players!$I$2:$I$137,MATCH($F96,Players!$A$2:$A$137,0))),"")</f>
        <v>0.594</v>
      </c>
      <c r="Q96" s="9" t="n">
        <f aca="false">IF($G96="",0,SUMIFS(Map_Stats!$F$2:$F$850,Map_Stats!$A$2:$A$850,$F96&amp;"|"&amp;$G96))</f>
        <v>6</v>
      </c>
      <c r="R96" s="13" t="n">
        <f aca="false">IF($G96="","",IFERROR(1/(1/INDEX(Map_Stats!$K$2:$K$850,MATCH($F96&amp;"|"&amp;$G96,Map_Stats!$A$2:$A$850,0))),$O96))</f>
        <v>0.53</v>
      </c>
      <c r="S96" s="10" t="n">
        <f aca="false">IF(OR($G96="",$P96=""),"",IFERROR(1/(1/INDEX(Map_Stats!$I$2:$I$850,MATCH($F96&amp;"|"&amp;$G96,Map_Stats!$A$2:$A$850,0))),$P96))</f>
        <v>0.594</v>
      </c>
      <c r="T96" s="13" t="n">
        <f aca="false">IF(OR($G96="",R96=""),"",IF($O96="",R96,(Q96*R96+Config!$B$4*$O96)/(Q96+Config!$B$4)))</f>
        <v>0.520909090909091</v>
      </c>
      <c r="U96" s="10" t="n">
        <f aca="false">IF(S96="","",(Q96*S96+Config!$B$4*$P96)/(Q96+Config!$B$4))</f>
        <v>0.594</v>
      </c>
      <c r="V96" s="17" t="n">
        <f aca="false">IF(OR(T96="",$J96=""),"",T96*$J96*($J96/Config!$B$10)^Config!$B$9)</f>
        <v>11.1266181818182</v>
      </c>
      <c r="W96" s="17" t="n">
        <f aca="false">IF(OR(V96="",U96=""),"",V96*U96)</f>
        <v>6.6092112</v>
      </c>
      <c r="X96" s="9" t="n">
        <f aca="false">IF($H96="",0,SUMIFS(Map_Stats!$F$2:$F$850,Map_Stats!$A$2:$A$850,$F96&amp;"|"&amp;$H96))</f>
        <v>7</v>
      </c>
      <c r="Y96" s="13" t="n">
        <f aca="false">IF($H96="","",IFERROR(1/(1/INDEX(Map_Stats!$K$2:$K$850,MATCH($F96&amp;"|"&amp;$H96,Map_Stats!$A$2:$A$850,0))),$O96))</f>
        <v>0.48</v>
      </c>
      <c r="Z96" s="10" t="n">
        <f aca="false">IF(OR($H96="",$P96=""),"",IFERROR(1/(1/INDEX(Map_Stats!$I$2:$I$850,MATCH($F96&amp;"|"&amp;$H96,Map_Stats!$A$2:$A$850,0))),$P96))</f>
        <v>0.582</v>
      </c>
      <c r="AA96" s="13" t="n">
        <f aca="false">IF(OR($H96="",Y96=""),"",IF($O96="",Y96,(X96*Y96+Config!$B$4*$O96)/(X96+Config!$B$4)))</f>
        <v>0.4925</v>
      </c>
      <c r="AB96" s="10" t="n">
        <f aca="false">IF(Z96="","",(X96*Z96+Config!$B$4*$P96)/(X96+Config!$B$4))</f>
        <v>0.587</v>
      </c>
      <c r="AC96" s="17" t="n">
        <f aca="false">IF(OR(AA96="",$K96=""),"",AA96*$K96*($K96/Config!$B$10)^Config!$B$9)</f>
        <v>10.58875</v>
      </c>
      <c r="AD96" s="17" t="n">
        <f aca="false">IF(OR(AC96="",AB96=""),"",AC96*AB96)</f>
        <v>6.21559625</v>
      </c>
      <c r="AE96" s="9" t="n">
        <f aca="false">IF($I96="",0,SUMIFS(Map_Stats!$F$2:$F$850,Map_Stats!$A$2:$A$850,$F96&amp;"|"&amp;$I96))</f>
        <v>5</v>
      </c>
      <c r="AF96" s="13" t="n">
        <f aca="false">IF($I96="","",IFERROR(1/(1/INDEX(Map_Stats!$K$2:$K$850,MATCH($F96&amp;"|"&amp;$I96,Map_Stats!$A$2:$A$850,0))),$O96))</f>
        <v>0.39</v>
      </c>
      <c r="AG96" s="10" t="n">
        <f aca="false">IF(OR($I96="",$P96=""),"",IFERROR(1/(1/INDEX(Map_Stats!$I$2:$I$850,MATCH($F96&amp;"|"&amp;$I96,Map_Stats!$A$2:$A$850,0))),$P96))</f>
        <v>0.5</v>
      </c>
      <c r="AH96" s="13" t="n">
        <f aca="false">IF(OR($I96="",AF96=""),"",IF($O96="",AF96,(AE96*AF96+Config!$B$4*$O96)/(AE96+Config!$B$4)))</f>
        <v>0.45</v>
      </c>
      <c r="AI96" s="10" t="n">
        <f aca="false">IF(AG96="","",(AE96*AG96+Config!$B$4*$P96)/(AE96+Config!$B$4))</f>
        <v>0.547</v>
      </c>
      <c r="AJ96" s="17" t="n">
        <f aca="false">IF(OR(AH96="",$L96=""),"",AH96*$L96*($L96/Config!$B$10)^Config!$B$9)</f>
        <v>9.639</v>
      </c>
      <c r="AK96" s="17" t="n">
        <f aca="false">IF(OR(AJ96="",AI96=""),"",AJ96*AI96)</f>
        <v>5.272533</v>
      </c>
      <c r="AL96" s="17" t="n">
        <f aca="false">N(V96)+N(AC96)</f>
        <v>21.7153681818182</v>
      </c>
      <c r="AM96" s="17" t="n">
        <f aca="false">AL96+N($M96)*N(AJ96)</f>
        <v>26.5088428818182</v>
      </c>
      <c r="AN96" s="17" t="n">
        <f aca="false">IF(W96="","",N(W96)+N(AD96))</f>
        <v>12.82480745</v>
      </c>
      <c r="AO96" s="17" t="n">
        <f aca="false">IF(AN96="","",AN96+N($M96)*N(AK96))</f>
        <v>15.4468381109</v>
      </c>
      <c r="AP96" s="10" t="n">
        <f aca="false">IFERROR(AN96/AL96,"")</f>
        <v>0.590586691536639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IF($C96=Board!$B$2,COUNTIFS($C$2:$C$137,Board!$B$2,$AL$2:$AL$137,"&gt;"&amp;$AL96)+COUNTIFS($C$1:$C95,Board!$B$2,$AL$1:$AL95,$AL96)+1,"")</f>
        <v/>
      </c>
      <c r="AS96" s="0" t="str">
        <f aca="false">IFERROR(IF($D96=INDEX(Matches!$AD$5:$AD$23,MATCH($C96,Matches!$A$5:$A$23,0)),"A",IF($D96=INDEX(Matches!$AE$5:$AE$23,MATCH($C96,Matches!$A$5:$A$23,0)),"B","")),"")</f>
        <v>B</v>
      </c>
      <c r="AT96" s="10" t="n">
        <f aca="false">IF($AS96="","",IFERROR(IF($AS96="A",INDEX(Matches!$AI$5:$AI$23,MATCH($C96,Matches!$A$5:$A$23,0)),INDEX(Matches!$AJ$5:$AJ$23,MATCH($C96,Matches!$A$5:$A$23,0))),""))</f>
        <v>0.526743277654201</v>
      </c>
      <c r="AU96" s="10" t="n">
        <f aca="false">IF($AS96="","",IFERROR(IF(INDEX(Matches!$AP$5:$AP$23,MATCH($C96,Matches!$A$5:$A$23,0))="","",IF($AS96="A",INDEX(Matches!$AP$5:$AP$23,MATCH($C96,Matches!$A$5:$A$23,0)),1-INDEX(Matches!$AP$5:$AP$23,MATCH($C96,Matches!$A$5:$A$23,0)))),""))</f>
        <v>0.451414100157374</v>
      </c>
      <c r="AV96" s="13" t="n">
        <f aca="false">IF(OR($AU96="",$AT96=""),1,((Config!$B$14*$AU96+Config!$B$15*(1-$AU96))/(Config!$B$14*$AT96+Config!$B$15*(1-$AT96)))^Config!$B$13)</f>
        <v>0.934255737487823</v>
      </c>
      <c r="AW96" s="10" t="n">
        <f aca="false">IF($AS96="","",IFERROR(IF(INDEX(Matches!$AV$5:$AV$23,MATCH($C96,Matches!$A$5:$A$23,0))="","",IF($AS96="A",INDEX(Matches!$AV$5:$AV$23,MATCH($C96,Matches!$A$5:$A$23,0)),1-INDEX(Matches!$AV$5:$AV$23,MATCH($C96,Matches!$A$5:$A$23,0)))),""))</f>
        <v>0.473717308474827</v>
      </c>
      <c r="AX96" s="13" t="n">
        <f aca="false">IF(OR($AW96="",$AT96=""),1,((Config!$B$14*$AW96+Config!$B$15*(1-$AW96))/(Config!$B$14*$AT96+Config!$B$15*(1-$AT96)))^Config!$B$13)</f>
        <v>0.953721076566405</v>
      </c>
      <c r="AY96" s="10" t="n">
        <f aca="false">IF($AS96="","",IFERROR(IF(INDEX(Matches!$BB$5:$BB$23,MATCH($C96,Matches!$A$5:$A$23,0))="","",IF($AS96="A",INDEX(Matches!$BB$5:$BB$23,MATCH($C96,Matches!$A$5:$A$23,0)),1-INDEX(Matches!$BB$5:$BB$23,MATCH($C96,Matches!$A$5:$A$23,0)))),""))</f>
        <v>0.476259192243058</v>
      </c>
      <c r="AZ96" s="13" t="n">
        <f aca="false">IF(OR($AY96="",$AT96=""),1,((Config!$B$14*$AY96+Config!$B$15*(1-$AY96))/(Config!$B$14*$AT96+Config!$B$15*(1-$AT96)))^Config!$B$13)</f>
        <v>0.95593953001681</v>
      </c>
      <c r="BA96" s="17" t="n">
        <f aca="false">IF(V96="","",V96*$AV96)</f>
        <v>10.3951068752</v>
      </c>
      <c r="BB96" s="17" t="n">
        <f aca="false">IF(AC96="","",AC96*$AX96)</f>
        <v>10.0987140494925</v>
      </c>
      <c r="BC96" s="17" t="n">
        <f aca="false">IF(AJ96="","",AJ96*$AZ96)</f>
        <v>9.21430112983203</v>
      </c>
      <c r="BD96" s="17" t="n">
        <f aca="false">N(BA96)+N(BB96)</f>
        <v>20.4938209246925</v>
      </c>
      <c r="BE96" s="17" t="n">
        <f aca="false">BD96+N($M96)*N(BC96)</f>
        <v>25.076092876558</v>
      </c>
      <c r="BF96" s="17" t="n">
        <f aca="false">IF(W96="","",W96*$AV96)</f>
        <v>6.17469348386878</v>
      </c>
      <c r="BG96" s="17" t="n">
        <f aca="false">IF(AD96="","",AD96*$AX96)</f>
        <v>5.92794514705211</v>
      </c>
      <c r="BH96" s="17" t="n">
        <f aca="false">IF(AK96="","",AK96*$AZ96)</f>
        <v>5.04022271801812</v>
      </c>
      <c r="BI96" s="17" t="n">
        <f aca="false">IF(BF96="","",N(BF96)+N(BG96))</f>
        <v>12.1026386309209</v>
      </c>
      <c r="BJ96" s="17" t="n">
        <f aca="false">IF(BI96="","",BI96+N($M96)*N(BH96))</f>
        <v>14.6091413885913</v>
      </c>
      <c r="BK96" s="13" t="n">
        <f aca="false">IFERROR(BD96/AL96,1)</f>
        <v>0.943747338433411</v>
      </c>
    </row>
    <row r="97" customFormat="false" ht="15" hidden="false" customHeight="false" outlineLevel="0" collapsed="false">
      <c r="A97" s="0" t="s">
        <v>1520</v>
      </c>
      <c r="B97" s="0" t="s">
        <v>1139</v>
      </c>
      <c r="C97" s="0" t="s">
        <v>1199</v>
      </c>
      <c r="D97" s="0" t="s">
        <v>1203</v>
      </c>
      <c r="E97" s="0" t="s">
        <v>1519</v>
      </c>
      <c r="F97" s="0" t="s">
        <v>1754</v>
      </c>
      <c r="G97" s="0" t="str">
        <f aca="false">IFERROR(IF(INDEX(Matches!$W$5:$W$23,MATCH($C97,Matches!$A$5:$A$23,0))="","",INDEX(Matches!$W$5:$W$23,MATCH($C97,Matches!$A$5:$A$23,0))),"")</f>
        <v>Mirage</v>
      </c>
      <c r="H97" s="0" t="str">
        <f aca="false">IFERROR(IF(INDEX(Matches!$X$5:$X$23,MATCH($C97,Matches!$A$5:$A$23,0))="","",INDEX(Matches!$X$5:$X$23,MATCH($C97,Matches!$A$5:$A$23,0))),"")</f>
        <v>Dust2</v>
      </c>
      <c r="I97" s="0" t="str">
        <f aca="false">IFERROR(IF(INDEX(Matches!$Y$5:$Y$23,MATCH($C97,Matches!$A$5:$A$23,0))="","",INDEX(Matches!$Y$5:$Y$23,MATCH($C97,Matches!$A$5:$A$23,0))),"")</f>
        <v>Nuke</v>
      </c>
      <c r="J97" s="11" t="n">
        <f aca="false">IFERROR(IF(INDEX(Matches!$Z$5:$Z$23,MATCH($C97,Matches!$A$5:$A$23,0))="","",INDEX(Matches!$Z$5:$Z$23,MATCH($C97,Matches!$A$5:$A$23,0))),"")</f>
        <v>21.36</v>
      </c>
      <c r="K97" s="11" t="n">
        <f aca="false">IFERROR(IF(INDEX(Matches!$AA$5:$AA$23,MATCH($C97,Matches!$A$5:$A$23,0))="","",INDEX(Matches!$AA$5:$AA$23,MATCH($C97,Matches!$A$5:$A$23,0))),"")</f>
        <v>21.5</v>
      </c>
      <c r="L97" s="11" t="n">
        <f aca="false">IFERROR(IF(INDEX(Matches!$AB$5:$AB$23,MATCH($C97,Matches!$A$5:$A$23,0))="","",INDEX(Matches!$AB$5:$AB$23,MATCH($C97,Matches!$A$5:$A$23,0))),"")</f>
        <v>21.42</v>
      </c>
      <c r="M97" s="10" t="n">
        <f aca="false">IFERROR(IF(INDEX(Matches!$AC$5:$AC$23,MATCH($C97,Matches!$A$5:$A$23,0))="","",INDEX(Matches!$AC$5:$AC$23,MATCH($C97,Matches!$A$5:$A$23,0))),"")</f>
        <v>0.4973</v>
      </c>
      <c r="N97" s="9" t="n">
        <f aca="false">IFERROR(INDEX(Players!$F$2:$F$137,MATCH($F97,Players!$A$2:$A$137,0)),0)</f>
        <v>36</v>
      </c>
      <c r="O97" s="13" t="n">
        <f aca="false">IFERROR(1/(1/INDEX(Players!$H$2:$H$137,MATCH($F97,Players!$A$2:$A$137,0))),"")</f>
        <v>0.74</v>
      </c>
      <c r="P97" s="10" t="n">
        <f aca="false">IFERROR(1/(1/INDEX(Players!$I$2:$I$137,MATCH($F97,Players!$A$2:$A$137,0))),"")</f>
        <v>0.511</v>
      </c>
      <c r="Q97" s="9" t="n">
        <f aca="false">IF($G97="",0,SUMIFS(Map_Stats!$F$2:$F$850,Map_Stats!$A$2:$A$850,$F97&amp;"|"&amp;$G97))</f>
        <v>6</v>
      </c>
      <c r="R97" s="13" t="n">
        <f aca="false">IF($G97="","",IFERROR(1/(1/INDEX(Map_Stats!$K$2:$K$850,MATCH($F97&amp;"|"&amp;$G97,Map_Stats!$A$2:$A$850,0))),$O97))</f>
        <v>0.84</v>
      </c>
      <c r="S97" s="10" t="n">
        <f aca="false">IF(OR($G97="",$P97=""),"",IFERROR(1/(1/INDEX(Map_Stats!$I$2:$I$850,MATCH($F97&amp;"|"&amp;$G97,Map_Stats!$A$2:$A$850,0))),$P97))</f>
        <v>0.491</v>
      </c>
      <c r="T97" s="13" t="n">
        <f aca="false">IF(OR($G97="",R97=""),"",IF($O97="",R97,(Q97*R97+Config!$B$4*$O97)/(Q97+Config!$B$4)))</f>
        <v>0.794545454545455</v>
      </c>
      <c r="U97" s="10" t="n">
        <f aca="false">IF(S97="","",(Q97*S97+Config!$B$4*$P97)/(Q97+Config!$B$4))</f>
        <v>0.500090909090909</v>
      </c>
      <c r="V97" s="17" t="n">
        <f aca="false">IF(OR(T97="",$J97=""),"",T97*$J97*($J97/Config!$B$10)^Config!$B$9)</f>
        <v>16.9714909090909</v>
      </c>
      <c r="W97" s="17" t="n">
        <f aca="false">IF(OR(V97="",U97=""),"",V97*U97)</f>
        <v>8.48728831735537</v>
      </c>
      <c r="X97" s="9" t="n">
        <f aca="false">IF($H97="",0,SUMIFS(Map_Stats!$F$2:$F$850,Map_Stats!$A$2:$A$850,$F97&amp;"|"&amp;$H97))</f>
        <v>7</v>
      </c>
      <c r="Y97" s="13" t="n">
        <f aca="false">IF($H97="","",IFERROR(1/(1/INDEX(Map_Stats!$K$2:$K$850,MATCH($F97&amp;"|"&amp;$H97,Map_Stats!$A$2:$A$850,0))),$O97))</f>
        <v>0.68</v>
      </c>
      <c r="Z97" s="10" t="n">
        <f aca="false">IF(OR($H97="",$P97=""),"",IFERROR(1/(1/INDEX(Map_Stats!$I$2:$I$850,MATCH($F97&amp;"|"&amp;$H97,Map_Stats!$A$2:$A$850,0))),$P97))</f>
        <v>0.451</v>
      </c>
      <c r="AA97" s="13" t="n">
        <f aca="false">IF(OR($H97="",Y97=""),"",IF($O97="",Y97,(X97*Y97+Config!$B$4*$O97)/(X97+Config!$B$4)))</f>
        <v>0.705</v>
      </c>
      <c r="AB97" s="10" t="n">
        <f aca="false">IF(Z97="","",(X97*Z97+Config!$B$4*$P97)/(X97+Config!$B$4))</f>
        <v>0.476</v>
      </c>
      <c r="AC97" s="17" t="n">
        <f aca="false">IF(OR(AA97="",$K97=""),"",AA97*$K97*($K97/Config!$B$10)^Config!$B$9)</f>
        <v>15.1575</v>
      </c>
      <c r="AD97" s="17" t="n">
        <f aca="false">IF(OR(AC97="",AB97=""),"",AC97*AB97)</f>
        <v>7.21497</v>
      </c>
      <c r="AE97" s="9" t="n">
        <f aca="false">IF($I97="",0,SUMIFS(Map_Stats!$F$2:$F$850,Map_Stats!$A$2:$A$850,$F97&amp;"|"&amp;$I97))</f>
        <v>5</v>
      </c>
      <c r="AF97" s="13" t="n">
        <f aca="false">IF($I97="","",IFERROR(1/(1/INDEX(Map_Stats!$K$2:$K$850,MATCH($F97&amp;"|"&amp;$I97,Map_Stats!$A$2:$A$850,0))),$O97))</f>
        <v>0.73</v>
      </c>
      <c r="AG97" s="10" t="n">
        <f aca="false">IF(OR($I97="",$P97=""),"",IFERROR(1/(1/INDEX(Map_Stats!$I$2:$I$850,MATCH($F97&amp;"|"&amp;$I97,Map_Stats!$A$2:$A$850,0))),$P97))</f>
        <v>0.544</v>
      </c>
      <c r="AH97" s="13" t="n">
        <f aca="false">IF(OR($I97="",AF97=""),"",IF($O97="",AF97,(AE97*AF97+Config!$B$4*$O97)/(AE97+Config!$B$4)))</f>
        <v>0.735</v>
      </c>
      <c r="AI97" s="10" t="n">
        <f aca="false">IF(AG97="","",(AE97*AG97+Config!$B$4*$P97)/(AE97+Config!$B$4))</f>
        <v>0.5275</v>
      </c>
      <c r="AJ97" s="17" t="n">
        <f aca="false">IF(OR(AH97="",$L97=""),"",AH97*$L97*($L97/Config!$B$10)^Config!$B$9)</f>
        <v>15.7437</v>
      </c>
      <c r="AK97" s="17" t="n">
        <f aca="false">IF(OR(AJ97="",AI97=""),"",AJ97*AI97)</f>
        <v>8.30480175</v>
      </c>
      <c r="AL97" s="17" t="n">
        <f aca="false">N(V97)+N(AC97)</f>
        <v>32.1289909090909</v>
      </c>
      <c r="AM97" s="17" t="n">
        <f aca="false">AL97+N($M97)*N(AJ97)</f>
        <v>39.9583329190909</v>
      </c>
      <c r="AN97" s="17" t="n">
        <f aca="false">IF(W97="","",N(W97)+N(AD97))</f>
        <v>15.7022583173554</v>
      </c>
      <c r="AO97" s="17" t="n">
        <f aca="false">IF(AN97="","",AN97+N($M97)*N(AK97))</f>
        <v>19.8322362276304</v>
      </c>
      <c r="AP97" s="10" t="n">
        <f aca="false">IFERROR(AN97/AL97,"")</f>
        <v>0.488725536441059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IF($C97=Board!$B$2,COUNTIFS($C$2:$C$137,Board!$B$2,$AL$2:$AL$137,"&gt;"&amp;$AL97)+COUNTIFS($C$1:$C96,Board!$B$2,$AL$1:$AL96,$AL97)+1,"")</f>
        <v/>
      </c>
      <c r="AS97" s="0" t="str">
        <f aca="false">IFERROR(IF($D97=INDEX(Matches!$AD$5:$AD$23,MATCH($C97,Matches!$A$5:$A$23,0)),"A",IF($D97=INDEX(Matches!$AE$5:$AE$23,MATCH($C97,Matches!$A$5:$A$23,0)),"B","")),"")</f>
        <v>B</v>
      </c>
      <c r="AT97" s="10" t="n">
        <f aca="false">IF($AS97="","",IFERROR(IF($AS97="A",INDEX(Matches!$AI$5:$AI$23,MATCH($C97,Matches!$A$5:$A$23,0)),INDEX(Matches!$AJ$5:$AJ$23,MATCH($C97,Matches!$A$5:$A$23,0))),""))</f>
        <v>0.526743277654201</v>
      </c>
      <c r="AU97" s="10" t="n">
        <f aca="false">IF($AS97="","",IFERROR(IF(INDEX(Matches!$AP$5:$AP$23,MATCH($C97,Matches!$A$5:$A$23,0))="","",IF($AS97="A",INDEX(Matches!$AP$5:$AP$23,MATCH($C97,Matches!$A$5:$A$23,0)),1-INDEX(Matches!$AP$5:$AP$23,MATCH($C97,Matches!$A$5:$A$23,0)))),""))</f>
        <v>0.451414100157374</v>
      </c>
      <c r="AV97" s="13" t="n">
        <f aca="false">IF(OR($AU97="",$AT97=""),1,((Config!$B$14*$AU97+Config!$B$15*(1-$AU97))/(Config!$B$14*$AT97+Config!$B$15*(1-$AT97)))^Config!$B$13)</f>
        <v>0.934255737487823</v>
      </c>
      <c r="AW97" s="10" t="n">
        <f aca="false">IF($AS97="","",IFERROR(IF(INDEX(Matches!$AV$5:$AV$23,MATCH($C97,Matches!$A$5:$A$23,0))="","",IF($AS97="A",INDEX(Matches!$AV$5:$AV$23,MATCH($C97,Matches!$A$5:$A$23,0)),1-INDEX(Matches!$AV$5:$AV$23,MATCH($C97,Matches!$A$5:$A$23,0)))),""))</f>
        <v>0.473717308474827</v>
      </c>
      <c r="AX97" s="13" t="n">
        <f aca="false">IF(OR($AW97="",$AT97=""),1,((Config!$B$14*$AW97+Config!$B$15*(1-$AW97))/(Config!$B$14*$AT97+Config!$B$15*(1-$AT97)))^Config!$B$13)</f>
        <v>0.953721076566405</v>
      </c>
      <c r="AY97" s="10" t="n">
        <f aca="false">IF($AS97="","",IFERROR(IF(INDEX(Matches!$BB$5:$BB$23,MATCH($C97,Matches!$A$5:$A$23,0))="","",IF($AS97="A",INDEX(Matches!$BB$5:$BB$23,MATCH($C97,Matches!$A$5:$A$23,0)),1-INDEX(Matches!$BB$5:$BB$23,MATCH($C97,Matches!$A$5:$A$23,0)))),""))</f>
        <v>0.476259192243058</v>
      </c>
      <c r="AZ97" s="13" t="n">
        <f aca="false">IF(OR($AY97="",$AT97=""),1,((Config!$B$14*$AY97+Config!$B$15*(1-$AY97))/(Config!$B$14*$AT97+Config!$B$15*(1-$AT97)))^Config!$B$13)</f>
        <v>0.95593953001681</v>
      </c>
      <c r="BA97" s="17" t="n">
        <f aca="false">IF(V97="","",V97*$AV97)</f>
        <v>15.8557127555406</v>
      </c>
      <c r="BB97" s="17" t="n">
        <f aca="false">IF(AC97="","",AC97*$AX97)</f>
        <v>14.4560272180553</v>
      </c>
      <c r="BC97" s="17" t="n">
        <f aca="false">IF(AJ97="","",AJ97*$AZ97)</f>
        <v>15.0500251787257</v>
      </c>
      <c r="BD97" s="17" t="n">
        <f aca="false">N(BA97)+N(BB97)</f>
        <v>30.3117399735959</v>
      </c>
      <c r="BE97" s="17" t="n">
        <f aca="false">BD97+N($M97)*N(BC97)</f>
        <v>37.7961174949762</v>
      </c>
      <c r="BF97" s="17" t="n">
        <f aca="false">IF(W97="","",W97*$AV97)</f>
        <v>7.92929780620263</v>
      </c>
      <c r="BG97" s="17" t="n">
        <f aca="false">IF(AD97="","",AD97*$AX97)</f>
        <v>6.88106895579432</v>
      </c>
      <c r="BH97" s="17" t="n">
        <f aca="false">IF(AK97="","",AK97*$AZ97)</f>
        <v>7.93888828177778</v>
      </c>
      <c r="BI97" s="17" t="n">
        <f aca="false">IF(BF97="","",N(BF97)+N(BG97))</f>
        <v>14.8103667619969</v>
      </c>
      <c r="BJ97" s="17" t="n">
        <f aca="false">IF(BI97="","",BI97+N($M97)*N(BH97))</f>
        <v>18.758375904525</v>
      </c>
      <c r="BK97" s="13" t="n">
        <f aca="false">IFERROR(BD97/AL97,1)</f>
        <v>0.943438904115074</v>
      </c>
    </row>
    <row r="98" customFormat="false" ht="15" hidden="false" customHeight="false" outlineLevel="0" collapsed="false">
      <c r="A98" s="0" t="s">
        <v>1522</v>
      </c>
      <c r="B98" s="0" t="s">
        <v>1139</v>
      </c>
      <c r="C98" s="0" t="s">
        <v>1199</v>
      </c>
      <c r="D98" s="0" t="s">
        <v>1203</v>
      </c>
      <c r="E98" s="0" t="s">
        <v>1521</v>
      </c>
      <c r="F98" s="0" t="s">
        <v>1755</v>
      </c>
      <c r="G98" s="0" t="str">
        <f aca="false">IFERROR(IF(INDEX(Matches!$W$5:$W$23,MATCH($C98,Matches!$A$5:$A$23,0))="","",INDEX(Matches!$W$5:$W$23,MATCH($C98,Matches!$A$5:$A$23,0))),"")</f>
        <v>Mirage</v>
      </c>
      <c r="H98" s="0" t="str">
        <f aca="false">IFERROR(IF(INDEX(Matches!$X$5:$X$23,MATCH($C98,Matches!$A$5:$A$23,0))="","",INDEX(Matches!$X$5:$X$23,MATCH($C98,Matches!$A$5:$A$23,0))),"")</f>
        <v>Dust2</v>
      </c>
      <c r="I98" s="0" t="str">
        <f aca="false">IFERROR(IF(INDEX(Matches!$Y$5:$Y$23,MATCH($C98,Matches!$A$5:$A$23,0))="","",INDEX(Matches!$Y$5:$Y$23,MATCH($C98,Matches!$A$5:$A$23,0))),"")</f>
        <v>Nuke</v>
      </c>
      <c r="J98" s="11" t="n">
        <f aca="false">IFERROR(IF(INDEX(Matches!$Z$5:$Z$23,MATCH($C98,Matches!$A$5:$A$23,0))="","",INDEX(Matches!$Z$5:$Z$23,MATCH($C98,Matches!$A$5:$A$23,0))),"")</f>
        <v>21.36</v>
      </c>
      <c r="K98" s="11" t="n">
        <f aca="false">IFERROR(IF(INDEX(Matches!$AA$5:$AA$23,MATCH($C98,Matches!$A$5:$A$23,0))="","",INDEX(Matches!$AA$5:$AA$23,MATCH($C98,Matches!$A$5:$A$23,0))),"")</f>
        <v>21.5</v>
      </c>
      <c r="L98" s="11" t="n">
        <f aca="false">IFERROR(IF(INDEX(Matches!$AB$5:$AB$23,MATCH($C98,Matches!$A$5:$A$23,0))="","",INDEX(Matches!$AB$5:$AB$23,MATCH($C98,Matches!$A$5:$A$23,0))),"")</f>
        <v>21.42</v>
      </c>
      <c r="M98" s="10" t="n">
        <f aca="false">IFERROR(IF(INDEX(Matches!$AC$5:$AC$23,MATCH($C98,Matches!$A$5:$A$23,0))="","",INDEX(Matches!$AC$5:$AC$23,MATCH($C98,Matches!$A$5:$A$23,0))),"")</f>
        <v>0.4973</v>
      </c>
      <c r="N98" s="9" t="n">
        <f aca="false">IFERROR(INDEX(Players!$F$2:$F$137,MATCH($F98,Players!$A$2:$A$137,0)),0)</f>
        <v>36</v>
      </c>
      <c r="O98" s="13" t="n">
        <f aca="false">IFERROR(1/(1/INDEX(Players!$H$2:$H$137,MATCH($F98,Players!$A$2:$A$137,0))),"")</f>
        <v>0.72</v>
      </c>
      <c r="P98" s="10" t="n">
        <f aca="false">IFERROR(1/(1/INDEX(Players!$I$2:$I$137,MATCH($F98,Players!$A$2:$A$137,0))),"")</f>
        <v>0.335</v>
      </c>
      <c r="Q98" s="9" t="n">
        <f aca="false">IF($G98="",0,SUMIFS(Map_Stats!$F$2:$F$850,Map_Stats!$A$2:$A$850,$F98&amp;"|"&amp;$G98))</f>
        <v>6</v>
      </c>
      <c r="R98" s="13" t="n">
        <f aca="false">IF($G98="","",IFERROR(1/(1/INDEX(Map_Stats!$K$2:$K$850,MATCH($F98&amp;"|"&amp;$G98,Map_Stats!$A$2:$A$850,0))),$O98))</f>
        <v>0.72</v>
      </c>
      <c r="S98" s="10" t="n">
        <f aca="false">IF(OR($G98="",$P98=""),"",IFERROR(1/(1/INDEX(Map_Stats!$I$2:$I$850,MATCH($F98&amp;"|"&amp;$G98,Map_Stats!$A$2:$A$850,0))),$P98))</f>
        <v>0.29</v>
      </c>
      <c r="T98" s="13" t="n">
        <f aca="false">IF(OR($G98="",R98=""),"",IF($O98="",R98,(Q98*R98+Config!$B$4*$O98)/(Q98+Config!$B$4)))</f>
        <v>0.72</v>
      </c>
      <c r="U98" s="10" t="n">
        <f aca="false">IF(S98="","",(Q98*S98+Config!$B$4*$P98)/(Q98+Config!$B$4))</f>
        <v>0.310454545454546</v>
      </c>
      <c r="V98" s="17" t="n">
        <f aca="false">IF(OR(T98="",$J98=""),"",T98*$J98*($J98/Config!$B$10)^Config!$B$9)</f>
        <v>15.3792</v>
      </c>
      <c r="W98" s="17" t="n">
        <f aca="false">IF(OR(V98="",U98=""),"",V98*U98)</f>
        <v>4.77454254545455</v>
      </c>
      <c r="X98" s="9" t="n">
        <f aca="false">IF($H98="",0,SUMIFS(Map_Stats!$F$2:$F$850,Map_Stats!$A$2:$A$850,$F98&amp;"|"&amp;$H98))</f>
        <v>7</v>
      </c>
      <c r="Y98" s="13" t="n">
        <f aca="false">IF($H98="","",IFERROR(1/(1/INDEX(Map_Stats!$K$2:$K$850,MATCH($F98&amp;"|"&amp;$H98,Map_Stats!$A$2:$A$850,0))),$O98))</f>
        <v>0.74</v>
      </c>
      <c r="Z98" s="10" t="n">
        <f aca="false">IF(OR($H98="",$P98=""),"",IFERROR(1/(1/INDEX(Map_Stats!$I$2:$I$850,MATCH($F98&amp;"|"&amp;$H98,Map_Stats!$A$2:$A$850,0))),$P98))</f>
        <v>0.369</v>
      </c>
      <c r="AA98" s="13" t="n">
        <f aca="false">IF(OR($H98="",Y98=""),"",IF($O98="",Y98,(X98*Y98+Config!$B$4*$O98)/(X98+Config!$B$4)))</f>
        <v>0.731666666666667</v>
      </c>
      <c r="AB98" s="10" t="n">
        <f aca="false">IF(Z98="","",(X98*Z98+Config!$B$4*$P98)/(X98+Config!$B$4))</f>
        <v>0.354833333333333</v>
      </c>
      <c r="AC98" s="17" t="n">
        <f aca="false">IF(OR(AA98="",$K98=""),"",AA98*$K98*($K98/Config!$B$10)^Config!$B$9)</f>
        <v>15.7308333333333</v>
      </c>
      <c r="AD98" s="17" t="n">
        <f aca="false">IF(OR(AC98="",AB98=""),"",AC98*AB98)</f>
        <v>5.58182402777778</v>
      </c>
      <c r="AE98" s="9" t="n">
        <f aca="false">IF($I98="",0,SUMIFS(Map_Stats!$F$2:$F$850,Map_Stats!$A$2:$A$850,$F98&amp;"|"&amp;$I98))</f>
        <v>5</v>
      </c>
      <c r="AF98" s="13" t="n">
        <f aca="false">IF($I98="","",IFERROR(1/(1/INDEX(Map_Stats!$K$2:$K$850,MATCH($F98&amp;"|"&amp;$I98,Map_Stats!$A$2:$A$850,0))),$O98))</f>
        <v>0.62</v>
      </c>
      <c r="AG98" s="10" t="n">
        <f aca="false">IF(OR($I98="",$P98=""),"",IFERROR(1/(1/INDEX(Map_Stats!$I$2:$I$850,MATCH($F98&amp;"|"&amp;$I98,Map_Stats!$A$2:$A$850,0))),$P98))</f>
        <v>0.431</v>
      </c>
      <c r="AH98" s="13" t="n">
        <f aca="false">IF(OR($I98="",AF98=""),"",IF($O98="",AF98,(AE98*AF98+Config!$B$4*$O98)/(AE98+Config!$B$4)))</f>
        <v>0.67</v>
      </c>
      <c r="AI98" s="10" t="n">
        <f aca="false">IF(AG98="","",(AE98*AG98+Config!$B$4*$P98)/(AE98+Config!$B$4))</f>
        <v>0.383</v>
      </c>
      <c r="AJ98" s="17" t="n">
        <f aca="false">IF(OR(AH98="",$L98=""),"",AH98*$L98*($L98/Config!$B$10)^Config!$B$9)</f>
        <v>14.3514</v>
      </c>
      <c r="AK98" s="17" t="n">
        <f aca="false">IF(OR(AJ98="",AI98=""),"",AJ98*AI98)</f>
        <v>5.4965862</v>
      </c>
      <c r="AL98" s="17" t="n">
        <f aca="false">N(V98)+N(AC98)</f>
        <v>31.1100333333333</v>
      </c>
      <c r="AM98" s="17" t="n">
        <f aca="false">AL98+N($M98)*N(AJ98)</f>
        <v>38.2469845533333</v>
      </c>
      <c r="AN98" s="17" t="n">
        <f aca="false">IF(W98="","",N(W98)+N(AD98))</f>
        <v>10.3563665732323</v>
      </c>
      <c r="AO98" s="17" t="n">
        <f aca="false">IF(AN98="","",AN98+N($M98)*N(AK98))</f>
        <v>13.0898188904923</v>
      </c>
      <c r="AP98" s="10" t="n">
        <f aca="false">IFERROR(AN98/AL98,"")</f>
        <v>0.332894743707517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IF($C98=Board!$B$2,COUNTIFS($C$2:$C$137,Board!$B$2,$AL$2:$AL$137,"&gt;"&amp;$AL98)+COUNTIFS($C$1:$C97,Board!$B$2,$AL$1:$AL97,$AL98)+1,"")</f>
        <v/>
      </c>
      <c r="AS98" s="0" t="str">
        <f aca="false">IFERROR(IF($D98=INDEX(Matches!$AD$5:$AD$23,MATCH($C98,Matches!$A$5:$A$23,0)),"A",IF($D98=INDEX(Matches!$AE$5:$AE$23,MATCH($C98,Matches!$A$5:$A$23,0)),"B","")),"")</f>
        <v>B</v>
      </c>
      <c r="AT98" s="10" t="n">
        <f aca="false">IF($AS98="","",IFERROR(IF($AS98="A",INDEX(Matches!$AI$5:$AI$23,MATCH($C98,Matches!$A$5:$A$23,0)),INDEX(Matches!$AJ$5:$AJ$23,MATCH($C98,Matches!$A$5:$A$23,0))),""))</f>
        <v>0.526743277654201</v>
      </c>
      <c r="AU98" s="10" t="n">
        <f aca="false">IF($AS98="","",IFERROR(IF(INDEX(Matches!$AP$5:$AP$23,MATCH($C98,Matches!$A$5:$A$23,0))="","",IF($AS98="A",INDEX(Matches!$AP$5:$AP$23,MATCH($C98,Matches!$A$5:$A$23,0)),1-INDEX(Matches!$AP$5:$AP$23,MATCH($C98,Matches!$A$5:$A$23,0)))),""))</f>
        <v>0.451414100157374</v>
      </c>
      <c r="AV98" s="13" t="n">
        <f aca="false">IF(OR($AU98="",$AT98=""),1,((Config!$B$14*$AU98+Config!$B$15*(1-$AU98))/(Config!$B$14*$AT98+Config!$B$15*(1-$AT98)))^Config!$B$13)</f>
        <v>0.934255737487823</v>
      </c>
      <c r="AW98" s="10" t="n">
        <f aca="false">IF($AS98="","",IFERROR(IF(INDEX(Matches!$AV$5:$AV$23,MATCH($C98,Matches!$A$5:$A$23,0))="","",IF($AS98="A",INDEX(Matches!$AV$5:$AV$23,MATCH($C98,Matches!$A$5:$A$23,0)),1-INDEX(Matches!$AV$5:$AV$23,MATCH($C98,Matches!$A$5:$A$23,0)))),""))</f>
        <v>0.473717308474827</v>
      </c>
      <c r="AX98" s="13" t="n">
        <f aca="false">IF(OR($AW98="",$AT98=""),1,((Config!$B$14*$AW98+Config!$B$15*(1-$AW98))/(Config!$B$14*$AT98+Config!$B$15*(1-$AT98)))^Config!$B$13)</f>
        <v>0.953721076566405</v>
      </c>
      <c r="AY98" s="10" t="n">
        <f aca="false">IF($AS98="","",IFERROR(IF(INDEX(Matches!$BB$5:$BB$23,MATCH($C98,Matches!$A$5:$A$23,0))="","",IF($AS98="A",INDEX(Matches!$BB$5:$BB$23,MATCH($C98,Matches!$A$5:$A$23,0)),1-INDEX(Matches!$BB$5:$BB$23,MATCH($C98,Matches!$A$5:$A$23,0)))),""))</f>
        <v>0.476259192243058</v>
      </c>
      <c r="AZ98" s="13" t="n">
        <f aca="false">IF(OR($AY98="",$AT98=""),1,((Config!$B$14*$AY98+Config!$B$15*(1-$AY98))/(Config!$B$14*$AT98+Config!$B$15*(1-$AT98)))^Config!$B$13)</f>
        <v>0.95593953001681</v>
      </c>
      <c r="BA98" s="17" t="n">
        <f aca="false">IF(V98="","",V98*$AV98)</f>
        <v>14.3681058379727</v>
      </c>
      <c r="BB98" s="17" t="n">
        <f aca="false">IF(AC98="","",AC98*$AX98)</f>
        <v>15.0028273019534</v>
      </c>
      <c r="BC98" s="17" t="n">
        <f aca="false">IF(AJ98="","",AJ98*$AZ98)</f>
        <v>13.7190705710832</v>
      </c>
      <c r="BD98" s="17" t="n">
        <f aca="false">N(BA98)+N(BB98)</f>
        <v>29.3709331399261</v>
      </c>
      <c r="BE98" s="17" t="n">
        <f aca="false">BD98+N($M98)*N(BC98)</f>
        <v>36.1934269349258</v>
      </c>
      <c r="BF98" s="17" t="n">
        <f aca="false">IF(W98="","",W98*$AV98)</f>
        <v>4.46064376697062</v>
      </c>
      <c r="BG98" s="17" t="n">
        <f aca="false">IF(AD98="","",AD98*$AX98)</f>
        <v>5.32350322097645</v>
      </c>
      <c r="BH98" s="17" t="n">
        <f aca="false">IF(AK98="","",AK98*$AZ98)</f>
        <v>5.25440402872488</v>
      </c>
      <c r="BI98" s="17" t="n">
        <f aca="false">IF(BF98="","",N(BF98)+N(BG98))</f>
        <v>9.78414698794707</v>
      </c>
      <c r="BJ98" s="17" t="n">
        <f aca="false">IF(BI98="","",BI98+N($M98)*N(BH98))</f>
        <v>12.397162111432</v>
      </c>
      <c r="BK98" s="13" t="n">
        <f aca="false">IFERROR(BD98/AL98,1)</f>
        <v>0.944098414335549</v>
      </c>
    </row>
    <row r="99" customFormat="false" ht="15" hidden="false" customHeight="false" outlineLevel="0" collapsed="false">
      <c r="A99" s="0" t="s">
        <v>1525</v>
      </c>
      <c r="B99" s="0" t="s">
        <v>1139</v>
      </c>
      <c r="C99" s="0" t="s">
        <v>1199</v>
      </c>
      <c r="D99" s="0" t="s">
        <v>1203</v>
      </c>
      <c r="E99" s="0" t="s">
        <v>1524</v>
      </c>
      <c r="F99" s="0" t="s">
        <v>1756</v>
      </c>
      <c r="G99" s="0" t="str">
        <f aca="false">IFERROR(IF(INDEX(Matches!$W$5:$W$23,MATCH($C99,Matches!$A$5:$A$23,0))="","",INDEX(Matches!$W$5:$W$23,MATCH($C99,Matches!$A$5:$A$23,0))),"")</f>
        <v>Mirage</v>
      </c>
      <c r="H99" s="0" t="str">
        <f aca="false">IFERROR(IF(INDEX(Matches!$X$5:$X$23,MATCH($C99,Matches!$A$5:$A$23,0))="","",INDEX(Matches!$X$5:$X$23,MATCH($C99,Matches!$A$5:$A$23,0))),"")</f>
        <v>Dust2</v>
      </c>
      <c r="I99" s="0" t="str">
        <f aca="false">IFERROR(IF(INDEX(Matches!$Y$5:$Y$23,MATCH($C99,Matches!$A$5:$A$23,0))="","",INDEX(Matches!$Y$5:$Y$23,MATCH($C99,Matches!$A$5:$A$23,0))),"")</f>
        <v>Nuke</v>
      </c>
      <c r="J99" s="11" t="n">
        <f aca="false">IFERROR(IF(INDEX(Matches!$Z$5:$Z$23,MATCH($C99,Matches!$A$5:$A$23,0))="","",INDEX(Matches!$Z$5:$Z$23,MATCH($C99,Matches!$A$5:$A$23,0))),"")</f>
        <v>21.36</v>
      </c>
      <c r="K99" s="11" t="n">
        <f aca="false">IFERROR(IF(INDEX(Matches!$AA$5:$AA$23,MATCH($C99,Matches!$A$5:$A$23,0))="","",INDEX(Matches!$AA$5:$AA$23,MATCH($C99,Matches!$A$5:$A$23,0))),"")</f>
        <v>21.5</v>
      </c>
      <c r="L99" s="11" t="n">
        <f aca="false">IFERROR(IF(INDEX(Matches!$AB$5:$AB$23,MATCH($C99,Matches!$A$5:$A$23,0))="","",INDEX(Matches!$AB$5:$AB$23,MATCH($C99,Matches!$A$5:$A$23,0))),"")</f>
        <v>21.42</v>
      </c>
      <c r="M99" s="10" t="n">
        <f aca="false">IFERROR(IF(INDEX(Matches!$AC$5:$AC$23,MATCH($C99,Matches!$A$5:$A$23,0))="","",INDEX(Matches!$AC$5:$AC$23,MATCH($C99,Matches!$A$5:$A$23,0))),"")</f>
        <v>0.4973</v>
      </c>
      <c r="N99" s="9" t="n">
        <f aca="false">IFERROR(INDEX(Players!$F$2:$F$137,MATCH($F99,Players!$A$2:$A$137,0)),0)</f>
        <v>36</v>
      </c>
      <c r="O99" s="13" t="n">
        <f aca="false">IFERROR(1/(1/INDEX(Players!$H$2:$H$137,MATCH($F99,Players!$A$2:$A$137,0))),"")</f>
        <v>0.62</v>
      </c>
      <c r="P99" s="10" t="n">
        <f aca="false">IFERROR(1/(1/INDEX(Players!$I$2:$I$137,MATCH($F99,Players!$A$2:$A$137,0))),"")</f>
        <v>0.563</v>
      </c>
      <c r="Q99" s="9" t="n">
        <f aca="false">IF($G99="",0,SUMIFS(Map_Stats!$F$2:$F$850,Map_Stats!$A$2:$A$850,$F99&amp;"|"&amp;$G99))</f>
        <v>6</v>
      </c>
      <c r="R99" s="13" t="n">
        <f aca="false">IF($G99="","",IFERROR(1/(1/INDEX(Map_Stats!$K$2:$K$850,MATCH($F99&amp;"|"&amp;$G99,Map_Stats!$A$2:$A$850,0))),$O99))</f>
        <v>0.57</v>
      </c>
      <c r="S99" s="10" t="n">
        <f aca="false">IF(OR($G99="",$P99=""),"",IFERROR(1/(1/INDEX(Map_Stats!$I$2:$I$850,MATCH($F99&amp;"|"&amp;$G99,Map_Stats!$A$2:$A$850,0))),$P99))</f>
        <v>0.581</v>
      </c>
      <c r="T99" s="13" t="n">
        <f aca="false">IF(OR($G99="",R99=""),"",IF($O99="",R99,(Q99*R99+Config!$B$4*$O99)/(Q99+Config!$B$4)))</f>
        <v>0.592727272727273</v>
      </c>
      <c r="U99" s="10" t="n">
        <f aca="false">IF(S99="","",(Q99*S99+Config!$B$4*$P99)/(Q99+Config!$B$4))</f>
        <v>0.572818181818182</v>
      </c>
      <c r="V99" s="17" t="n">
        <f aca="false">IF(OR(T99="",$J99=""),"",T99*$J99*($J99/Config!$B$10)^Config!$B$9)</f>
        <v>12.6606545454545</v>
      </c>
      <c r="W99" s="17" t="n">
        <f aca="false">IF(OR(V99="",U99=""),"",V99*U99)</f>
        <v>7.25225311735537</v>
      </c>
      <c r="X99" s="9" t="n">
        <f aca="false">IF($H99="",0,SUMIFS(Map_Stats!$F$2:$F$850,Map_Stats!$A$2:$A$850,$F99&amp;"|"&amp;$H99))</f>
        <v>7</v>
      </c>
      <c r="Y99" s="13" t="n">
        <f aca="false">IF($H99="","",IFERROR(1/(1/INDEX(Map_Stats!$K$2:$K$850,MATCH($F99&amp;"|"&amp;$H99,Map_Stats!$A$2:$A$850,0))),$O99))</f>
        <v>0.61</v>
      </c>
      <c r="Z99" s="10" t="n">
        <f aca="false">IF(OR($H99="",$P99=""),"",IFERROR(1/(1/INDEX(Map_Stats!$I$2:$I$850,MATCH($F99&amp;"|"&amp;$H99,Map_Stats!$A$2:$A$850,0))),$P99))</f>
        <v>0.505</v>
      </c>
      <c r="AA99" s="13" t="n">
        <f aca="false">IF(OR($H99="",Y99=""),"",IF($O99="",Y99,(X99*Y99+Config!$B$4*$O99)/(X99+Config!$B$4)))</f>
        <v>0.614166666666667</v>
      </c>
      <c r="AB99" s="10" t="n">
        <f aca="false">IF(Z99="","",(X99*Z99+Config!$B$4*$P99)/(X99+Config!$B$4))</f>
        <v>0.529166666666667</v>
      </c>
      <c r="AC99" s="17" t="n">
        <f aca="false">IF(OR(AA99="",$K99=""),"",AA99*$K99*($K99/Config!$B$10)^Config!$B$9)</f>
        <v>13.2045833333333</v>
      </c>
      <c r="AD99" s="17" t="n">
        <f aca="false">IF(OR(AC99="",AB99=""),"",AC99*AB99)</f>
        <v>6.98742534722222</v>
      </c>
      <c r="AE99" s="9" t="n">
        <f aca="false">IF($I99="",0,SUMIFS(Map_Stats!$F$2:$F$850,Map_Stats!$A$2:$A$850,$F99&amp;"|"&amp;$I99))</f>
        <v>5</v>
      </c>
      <c r="AF99" s="13" t="n">
        <f aca="false">IF($I99="","",IFERROR(1/(1/INDEX(Map_Stats!$K$2:$K$850,MATCH($F99&amp;"|"&amp;$I99,Map_Stats!$A$2:$A$850,0))),$O99))</f>
        <v>0.47</v>
      </c>
      <c r="AG99" s="10" t="n">
        <f aca="false">IF(OR($I99="",$P99=""),"",IFERROR(1/(1/INDEX(Map_Stats!$I$2:$I$850,MATCH($F99&amp;"|"&amp;$I99,Map_Stats!$A$2:$A$850,0))),$P99))</f>
        <v>0.682</v>
      </c>
      <c r="AH99" s="13" t="n">
        <f aca="false">IF(OR($I99="",AF99=""),"",IF($O99="",AF99,(AE99*AF99+Config!$B$4*$O99)/(AE99+Config!$B$4)))</f>
        <v>0.545</v>
      </c>
      <c r="AI99" s="10" t="n">
        <f aca="false">IF(AG99="","",(AE99*AG99+Config!$B$4*$P99)/(AE99+Config!$B$4))</f>
        <v>0.6225</v>
      </c>
      <c r="AJ99" s="17" t="n">
        <f aca="false">IF(OR(AH99="",$L99=""),"",AH99*$L99*($L99/Config!$B$10)^Config!$B$9)</f>
        <v>11.6739</v>
      </c>
      <c r="AK99" s="17" t="n">
        <f aca="false">IF(OR(AJ99="",AI99=""),"",AJ99*AI99)</f>
        <v>7.26700275</v>
      </c>
      <c r="AL99" s="17" t="n">
        <f aca="false">N(V99)+N(AC99)</f>
        <v>25.8652378787879</v>
      </c>
      <c r="AM99" s="17" t="n">
        <f aca="false">AL99+N($M99)*N(AJ99)</f>
        <v>31.6706683487879</v>
      </c>
      <c r="AN99" s="17" t="n">
        <f aca="false">IF(W99="","",N(W99)+N(AD99))</f>
        <v>14.2396784645776</v>
      </c>
      <c r="AO99" s="17" t="n">
        <f aca="false">IF(AN99="","",AN99+N($M99)*N(AK99))</f>
        <v>17.8535589321526</v>
      </c>
      <c r="AP99" s="10" t="n">
        <f aca="false">IFERROR(AN99/AL99,"")</f>
        <v>0.550533443044635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IF($C99=Board!$B$2,COUNTIFS($C$2:$C$137,Board!$B$2,$AL$2:$AL$137,"&gt;"&amp;$AL99)+COUNTIFS($C$1:$C98,Board!$B$2,$AL$1:$AL98,$AL99)+1,"")</f>
        <v/>
      </c>
      <c r="AS99" s="0" t="str">
        <f aca="false">IFERROR(IF($D99=INDEX(Matches!$AD$5:$AD$23,MATCH($C99,Matches!$A$5:$A$23,0)),"A",IF($D99=INDEX(Matches!$AE$5:$AE$23,MATCH($C99,Matches!$A$5:$A$23,0)),"B","")),"")</f>
        <v>B</v>
      </c>
      <c r="AT99" s="10" t="n">
        <f aca="false">IF($AS99="","",IFERROR(IF($AS99="A",INDEX(Matches!$AI$5:$AI$23,MATCH($C99,Matches!$A$5:$A$23,0)),INDEX(Matches!$AJ$5:$AJ$23,MATCH($C99,Matches!$A$5:$A$23,0))),""))</f>
        <v>0.526743277654201</v>
      </c>
      <c r="AU99" s="10" t="n">
        <f aca="false">IF($AS99="","",IFERROR(IF(INDEX(Matches!$AP$5:$AP$23,MATCH($C99,Matches!$A$5:$A$23,0))="","",IF($AS99="A",INDEX(Matches!$AP$5:$AP$23,MATCH($C99,Matches!$A$5:$A$23,0)),1-INDEX(Matches!$AP$5:$AP$23,MATCH($C99,Matches!$A$5:$A$23,0)))),""))</f>
        <v>0.451414100157374</v>
      </c>
      <c r="AV99" s="13" t="n">
        <f aca="false">IF(OR($AU99="",$AT99=""),1,((Config!$B$14*$AU99+Config!$B$15*(1-$AU99))/(Config!$B$14*$AT99+Config!$B$15*(1-$AT99)))^Config!$B$13)</f>
        <v>0.934255737487823</v>
      </c>
      <c r="AW99" s="10" t="n">
        <f aca="false">IF($AS99="","",IFERROR(IF(INDEX(Matches!$AV$5:$AV$23,MATCH($C99,Matches!$A$5:$A$23,0))="","",IF($AS99="A",INDEX(Matches!$AV$5:$AV$23,MATCH($C99,Matches!$A$5:$A$23,0)),1-INDEX(Matches!$AV$5:$AV$23,MATCH($C99,Matches!$A$5:$A$23,0)))),""))</f>
        <v>0.473717308474827</v>
      </c>
      <c r="AX99" s="13" t="n">
        <f aca="false">IF(OR($AW99="",$AT99=""),1,((Config!$B$14*$AW99+Config!$B$15*(1-$AW99))/(Config!$B$14*$AT99+Config!$B$15*(1-$AT99)))^Config!$B$13)</f>
        <v>0.953721076566405</v>
      </c>
      <c r="AY99" s="10" t="n">
        <f aca="false">IF($AS99="","",IFERROR(IF(INDEX(Matches!$BB$5:$BB$23,MATCH($C99,Matches!$A$5:$A$23,0))="","",IF($AS99="A",INDEX(Matches!$BB$5:$BB$23,MATCH($C99,Matches!$A$5:$A$23,0)),1-INDEX(Matches!$BB$5:$BB$23,MATCH($C99,Matches!$A$5:$A$23,0)))),""))</f>
        <v>0.476259192243058</v>
      </c>
      <c r="AZ99" s="13" t="n">
        <f aca="false">IF(OR($AY99="",$AT99=""),1,((Config!$B$14*$AY99+Config!$B$15*(1-$AY99))/(Config!$B$14*$AT99+Config!$B$15*(1-$AT99)))^Config!$B$13)</f>
        <v>0.95593953001681</v>
      </c>
      <c r="BA99" s="17" t="n">
        <f aca="false">IF(V99="","",V99*$AV99)</f>
        <v>11.8282891494422</v>
      </c>
      <c r="BB99" s="17" t="n">
        <f aca="false">IF(AC99="","",AC99*$AX99)</f>
        <v>12.5934894322775</v>
      </c>
      <c r="BC99" s="17" t="n">
        <f aca="false">IF(AJ99="","",AJ99*$AZ99)</f>
        <v>11.1595424794632</v>
      </c>
      <c r="BD99" s="17" t="n">
        <f aca="false">N(BA99)+N(BB99)</f>
        <v>24.4217785817197</v>
      </c>
      <c r="BE99" s="17" t="n">
        <f aca="false">BD99+N($M99)*N(BC99)</f>
        <v>29.9714190567567</v>
      </c>
      <c r="BF99" s="17" t="n">
        <f aca="false">IF(W99="","",W99*$AV99)</f>
        <v>6.7754590846032</v>
      </c>
      <c r="BG99" s="17" t="n">
        <f aca="false">IF(AD99="","",AD99*$AX99)</f>
        <v>6.66405482458016</v>
      </c>
      <c r="BH99" s="17" t="n">
        <f aca="false">IF(AK99="","",AK99*$AZ99)</f>
        <v>6.94681519346587</v>
      </c>
      <c r="BI99" s="17" t="n">
        <f aca="false">IF(BF99="","",N(BF99)+N(BG99))</f>
        <v>13.4395139091834</v>
      </c>
      <c r="BJ99" s="17" t="n">
        <f aca="false">IF(BI99="","",BI99+N($M99)*N(BH99))</f>
        <v>16.8941651048939</v>
      </c>
      <c r="BK99" s="13" t="n">
        <f aca="false">IFERROR(BD99/AL99,1)</f>
        <v>0.944193078608723</v>
      </c>
    </row>
    <row r="100" customFormat="false" ht="15" hidden="false" customHeight="false" outlineLevel="0" collapsed="false">
      <c r="A100" s="0" t="s">
        <v>1527</v>
      </c>
      <c r="B100" s="0" t="s">
        <v>1139</v>
      </c>
      <c r="C100" s="0" t="s">
        <v>1199</v>
      </c>
      <c r="D100" s="0" t="s">
        <v>1202</v>
      </c>
      <c r="E100" s="0" t="s">
        <v>1526</v>
      </c>
      <c r="F100" s="0" t="s">
        <v>1757</v>
      </c>
      <c r="G100" s="0" t="str">
        <f aca="false">IFERROR(IF(INDEX(Matches!$W$5:$W$23,MATCH($C100,Matches!$A$5:$A$23,0))="","",INDEX(Matches!$W$5:$W$23,MATCH($C100,Matches!$A$5:$A$23,0))),"")</f>
        <v>Mirage</v>
      </c>
      <c r="H100" s="0" t="str">
        <f aca="false">IFERROR(IF(INDEX(Matches!$X$5:$X$23,MATCH($C100,Matches!$A$5:$A$23,0))="","",INDEX(Matches!$X$5:$X$23,MATCH($C100,Matches!$A$5:$A$23,0))),"")</f>
        <v>Dust2</v>
      </c>
      <c r="I100" s="0" t="str">
        <f aca="false">IFERROR(IF(INDEX(Matches!$Y$5:$Y$23,MATCH($C100,Matches!$A$5:$A$23,0))="","",INDEX(Matches!$Y$5:$Y$23,MATCH($C100,Matches!$A$5:$A$23,0))),"")</f>
        <v>Nuke</v>
      </c>
      <c r="J100" s="11" t="n">
        <f aca="false">IFERROR(IF(INDEX(Matches!$Z$5:$Z$23,MATCH($C100,Matches!$A$5:$A$23,0))="","",INDEX(Matches!$Z$5:$Z$23,MATCH($C100,Matches!$A$5:$A$23,0))),"")</f>
        <v>21.36</v>
      </c>
      <c r="K100" s="11" t="n">
        <f aca="false">IFERROR(IF(INDEX(Matches!$AA$5:$AA$23,MATCH($C100,Matches!$A$5:$A$23,0))="","",INDEX(Matches!$AA$5:$AA$23,MATCH($C100,Matches!$A$5:$A$23,0))),"")</f>
        <v>21.5</v>
      </c>
      <c r="L100" s="11" t="n">
        <f aca="false">IFERROR(IF(INDEX(Matches!$AB$5:$AB$23,MATCH($C100,Matches!$A$5:$A$23,0))="","",INDEX(Matches!$AB$5:$AB$23,MATCH($C100,Matches!$A$5:$A$23,0))),"")</f>
        <v>21.42</v>
      </c>
      <c r="M100" s="10" t="n">
        <f aca="false">IFERROR(IF(INDEX(Matches!$AC$5:$AC$23,MATCH($C100,Matches!$A$5:$A$23,0))="","",INDEX(Matches!$AC$5:$AC$23,MATCH($C100,Matches!$A$5:$A$23,0))),"")</f>
        <v>0.4973</v>
      </c>
      <c r="N100" s="9" t="n">
        <f aca="false">IFERROR(INDEX(Players!$F$2:$F$137,MATCH($F100,Players!$A$2:$A$137,0)),0)</f>
        <v>39</v>
      </c>
      <c r="O100" s="13" t="n">
        <f aca="false">IFERROR(1/(1/INDEX(Players!$H$2:$H$137,MATCH($F100,Players!$A$2:$A$137,0))),"")</f>
        <v>0.66</v>
      </c>
      <c r="P100" s="10" t="n">
        <f aca="false">IFERROR(1/(1/INDEX(Players!$I$2:$I$137,MATCH($F100,Players!$A$2:$A$137,0))),"")</f>
        <v>0.509</v>
      </c>
      <c r="Q100" s="9" t="n">
        <f aca="false">IF($G100="",0,SUMIFS(Map_Stats!$F$2:$F$850,Map_Stats!$A$2:$A$850,$F100&amp;"|"&amp;$G100))</f>
        <v>11</v>
      </c>
      <c r="R100" s="13" t="n">
        <f aca="false">IF($G100="","",IFERROR(1/(1/INDEX(Map_Stats!$K$2:$K$850,MATCH($F100&amp;"|"&amp;$G100,Map_Stats!$A$2:$A$850,0))),$O100))</f>
        <v>0.68</v>
      </c>
      <c r="S100" s="10" t="n">
        <f aca="false">IF(OR($G100="",$P100=""),"",IFERROR(1/(1/INDEX(Map_Stats!$I$2:$I$850,MATCH($F100&amp;"|"&amp;$G100,Map_Stats!$A$2:$A$850,0))),$P100))</f>
        <v>0.5</v>
      </c>
      <c r="T100" s="13" t="n">
        <f aca="false">IF(OR($G100="",R100=""),"",IF($O100="",R100,(Q100*R100+Config!$B$4*$O100)/(Q100+Config!$B$4)))</f>
        <v>0.67375</v>
      </c>
      <c r="U100" s="10" t="n">
        <f aca="false">IF(S100="","",(Q100*S100+Config!$B$4*$P100)/(Q100+Config!$B$4))</f>
        <v>0.5028125</v>
      </c>
      <c r="V100" s="17" t="n">
        <f aca="false">IF(OR(T100="",$J100=""),"",T100*$J100*($J100/Config!$B$10)^Config!$B$9)</f>
        <v>14.3913</v>
      </c>
      <c r="W100" s="17" t="n">
        <f aca="false">IF(OR(V100="",U100=""),"",V100*U100)</f>
        <v>7.23612553125</v>
      </c>
      <c r="X100" s="9" t="n">
        <f aca="false">IF($H100="",0,SUMIFS(Map_Stats!$F$2:$F$850,Map_Stats!$A$2:$A$850,$F100&amp;"|"&amp;$H100))</f>
        <v>8</v>
      </c>
      <c r="Y100" s="13" t="n">
        <f aca="false">IF($H100="","",IFERROR(1/(1/INDEX(Map_Stats!$K$2:$K$850,MATCH($F100&amp;"|"&amp;$H100,Map_Stats!$A$2:$A$850,0))),$O100))</f>
        <v>0.54</v>
      </c>
      <c r="Z100" s="10" t="n">
        <f aca="false">IF(OR($H100="",$P100=""),"",IFERROR(1/(1/INDEX(Map_Stats!$I$2:$I$850,MATCH($F100&amp;"|"&amp;$H100,Map_Stats!$A$2:$A$850,0))),$P100))</f>
        <v>0.553</v>
      </c>
      <c r="AA100" s="13" t="n">
        <f aca="false">IF(OR($H100="",Y100=""),"",IF($O100="",Y100,(X100*Y100+Config!$B$4*$O100)/(X100+Config!$B$4)))</f>
        <v>0.586153846153846</v>
      </c>
      <c r="AB100" s="10" t="n">
        <f aca="false">IF(Z100="","",(X100*Z100+Config!$B$4*$P100)/(X100+Config!$B$4))</f>
        <v>0.536076923076923</v>
      </c>
      <c r="AC100" s="17" t="n">
        <f aca="false">IF(OR(AA100="",$K100=""),"",AA100*$K100*($K100/Config!$B$10)^Config!$B$9)</f>
        <v>12.6023076923077</v>
      </c>
      <c r="AD100" s="17" t="n">
        <f aca="false">IF(OR(AC100="",AB100=""),"",AC100*AB100)</f>
        <v>6.75580633136095</v>
      </c>
      <c r="AE100" s="9" t="n">
        <f aca="false">IF($I100="",0,SUMIFS(Map_Stats!$F$2:$F$850,Map_Stats!$A$2:$A$850,$F100&amp;"|"&amp;$I100))</f>
        <v>7</v>
      </c>
      <c r="AF100" s="13" t="n">
        <f aca="false">IF($I100="","",IFERROR(1/(1/INDEX(Map_Stats!$K$2:$K$850,MATCH($F100&amp;"|"&amp;$I100,Map_Stats!$A$2:$A$850,0))),$O100))</f>
        <v>0.83</v>
      </c>
      <c r="AG100" s="10" t="n">
        <f aca="false">IF(OR($I100="",$P100=""),"",IFERROR(1/(1/INDEX(Map_Stats!$I$2:$I$850,MATCH($F100&amp;"|"&amp;$I100,Map_Stats!$A$2:$A$850,0))),$P100))</f>
        <v>0.556</v>
      </c>
      <c r="AH100" s="13" t="n">
        <f aca="false">IF(OR($I100="",AF100=""),"",IF($O100="",AF100,(AE100*AF100+Config!$B$4*$O100)/(AE100+Config!$B$4)))</f>
        <v>0.759166666666667</v>
      </c>
      <c r="AI100" s="10" t="n">
        <f aca="false">IF(AG100="","",(AE100*AG100+Config!$B$4*$P100)/(AE100+Config!$B$4))</f>
        <v>0.536416666666667</v>
      </c>
      <c r="AJ100" s="17" t="n">
        <f aca="false">IF(OR(AH100="",$L100=""),"",AH100*$L100*($L100/Config!$B$10)^Config!$B$9)</f>
        <v>16.26135</v>
      </c>
      <c r="AK100" s="17" t="n">
        <f aca="false">IF(OR(AJ100="",AI100=""),"",AJ100*AI100)</f>
        <v>8.7228591625</v>
      </c>
      <c r="AL100" s="17" t="n">
        <f aca="false">N(V100)+N(AC100)</f>
        <v>26.9936076923077</v>
      </c>
      <c r="AM100" s="17" t="n">
        <f aca="false">AL100+N($M100)*N(AJ100)</f>
        <v>35.0803770473077</v>
      </c>
      <c r="AN100" s="17" t="n">
        <f aca="false">IF(W100="","",N(W100)+N(AD100))</f>
        <v>13.9919318626109</v>
      </c>
      <c r="AO100" s="17" t="n">
        <f aca="false">IF(AN100="","",AN100+N($M100)*N(AK100))</f>
        <v>18.3298097241222</v>
      </c>
      <c r="AP100" s="10" t="n">
        <f aca="false">IFERROR(AN100/AL100,"")</f>
        <v>0.518342417290083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IF($C100=Board!$B$2,COUNTIFS($C$2:$C$137,Board!$B$2,$AL$2:$AL$137,"&gt;"&amp;$AL100)+COUNTIFS($C$1:$C99,Board!$B$2,$AL$1:$AL99,$AL100)+1,"")</f>
        <v/>
      </c>
      <c r="AS100" s="0" t="str">
        <f aca="false">IFERROR(IF($D100=INDEX(Matches!$AD$5:$AD$23,MATCH($C100,Matches!$A$5:$A$23,0)),"A",IF($D100=INDEX(Matches!$AE$5:$AE$23,MATCH($C100,Matches!$A$5:$A$23,0)),"B","")),"")</f>
        <v>A</v>
      </c>
      <c r="AT100" s="10" t="n">
        <f aca="false">IF($AS100="","",IFERROR(IF($AS100="A",INDEX(Matches!$AI$5:$AI$23,MATCH($C100,Matches!$A$5:$A$23,0)),INDEX(Matches!$AJ$5:$AJ$23,MATCH($C100,Matches!$A$5:$A$23,0))),""))</f>
        <v>0.547063407003162</v>
      </c>
      <c r="AU100" s="10" t="n">
        <f aca="false">IF($AS100="","",IFERROR(IF(INDEX(Matches!$AP$5:$AP$23,MATCH($C100,Matches!$A$5:$A$23,0))="","",IF($AS100="A",INDEX(Matches!$AP$5:$AP$23,MATCH($C100,Matches!$A$5:$A$23,0)),1-INDEX(Matches!$AP$5:$AP$23,MATCH($C100,Matches!$A$5:$A$23,0)))),""))</f>
        <v>0.548585899842627</v>
      </c>
      <c r="AV100" s="13" t="n">
        <f aca="false">IF(OR($AU100="",$AT100=""),1,((Config!$B$14*$AU100+Config!$B$15*(1-$AU100))/(Config!$B$14*$AT100+Config!$B$15*(1-$AT100)))^Config!$B$13)</f>
        <v>1.00130561567934</v>
      </c>
      <c r="AW100" s="10" t="n">
        <f aca="false">IF($AS100="","",IFERROR(IF(INDEX(Matches!$AV$5:$AV$23,MATCH($C100,Matches!$A$5:$A$23,0))="","",IF($AS100="A",INDEX(Matches!$AV$5:$AV$23,MATCH($C100,Matches!$A$5:$A$23,0)),1-INDEX(Matches!$AV$5:$AV$23,MATCH($C100,Matches!$A$5:$A$23,0)))),""))</f>
        <v>0.526282691525173</v>
      </c>
      <c r="AX100" s="13" t="n">
        <f aca="false">IF(OR($AW100="",$AT100=""),1,((Config!$B$14*$AW100+Config!$B$15*(1-$AW100))/(Config!$B$14*$AT100+Config!$B$15*(1-$AT100)))^Config!$B$13)</f>
        <v>0.98217947089621</v>
      </c>
      <c r="AY100" s="10" t="n">
        <f aca="false">IF($AS100="","",IFERROR(IF(INDEX(Matches!$BB$5:$BB$23,MATCH($C100,Matches!$A$5:$A$23,0))="","",IF($AS100="A",INDEX(Matches!$BB$5:$BB$23,MATCH($C100,Matches!$A$5:$A$23,0)),1-INDEX(Matches!$BB$5:$BB$23,MATCH($C100,Matches!$A$5:$A$23,0)))),""))</f>
        <v>0.523740807756942</v>
      </c>
      <c r="AZ100" s="13" t="n">
        <f aca="false">IF(OR($AY100="",$AT100=""),1,((Config!$B$14*$AY100+Config!$B$15*(1-$AY100))/(Config!$B$14*$AT100+Config!$B$15*(1-$AT100)))^Config!$B$13)</f>
        <v>0.979999675223718</v>
      </c>
      <c r="BA100" s="17" t="n">
        <f aca="false">IF(V100="","",V100*$AV100)</f>
        <v>14.4100895069261</v>
      </c>
      <c r="BB100" s="17" t="n">
        <f aca="false">IF(AC100="","",AC100*$AX100)</f>
        <v>12.377727901302</v>
      </c>
      <c r="BC100" s="17" t="n">
        <f aca="false">IF(AJ100="","",AJ100*$AZ100)</f>
        <v>15.9361177186992</v>
      </c>
      <c r="BD100" s="17" t="n">
        <f aca="false">N(BA100)+N(BB100)</f>
        <v>26.7878174082281</v>
      </c>
      <c r="BE100" s="17" t="n">
        <f aca="false">BD100+N($M100)*N(BC100)</f>
        <v>34.7128487497372</v>
      </c>
      <c r="BF100" s="17" t="n">
        <f aca="false">IF(W100="","",W100*$AV100)</f>
        <v>7.24557313020129</v>
      </c>
      <c r="BG100" s="17" t="n">
        <f aca="false">IF(AD100="","",AD100*$AX100)</f>
        <v>6.63541428801336</v>
      </c>
      <c r="BH100" s="17" t="n">
        <f aca="false">IF(AK100="","",AK100*$AZ100)</f>
        <v>8.54839914627223</v>
      </c>
      <c r="BI100" s="17" t="n">
        <f aca="false">IF(BF100="","",N(BF100)+N(BG100))</f>
        <v>13.8809874182146</v>
      </c>
      <c r="BJ100" s="17" t="n">
        <f aca="false">IF(BI100="","",BI100+N($M100)*N(BH100))</f>
        <v>18.1321063136558</v>
      </c>
      <c r="BK100" s="13" t="n">
        <f aca="false">IFERROR(BD100/AL100,1)</f>
        <v>0.992376332707161</v>
      </c>
    </row>
    <row r="101" customFormat="false" ht="15" hidden="false" customHeight="false" outlineLevel="0" collapsed="false">
      <c r="A101" s="0" t="s">
        <v>1529</v>
      </c>
      <c r="B101" s="0" t="s">
        <v>1139</v>
      </c>
      <c r="C101" s="0" t="s">
        <v>1199</v>
      </c>
      <c r="D101" s="0" t="s">
        <v>1202</v>
      </c>
      <c r="E101" s="0" t="s">
        <v>1528</v>
      </c>
      <c r="F101" s="0" t="s">
        <v>1758</v>
      </c>
      <c r="G101" s="0" t="str">
        <f aca="false">IFERROR(IF(INDEX(Matches!$W$5:$W$23,MATCH($C101,Matches!$A$5:$A$23,0))="","",INDEX(Matches!$W$5:$W$23,MATCH($C101,Matches!$A$5:$A$23,0))),"")</f>
        <v>Mirage</v>
      </c>
      <c r="H101" s="0" t="str">
        <f aca="false">IFERROR(IF(INDEX(Matches!$X$5:$X$23,MATCH($C101,Matches!$A$5:$A$23,0))="","",INDEX(Matches!$X$5:$X$23,MATCH($C101,Matches!$A$5:$A$23,0))),"")</f>
        <v>Dust2</v>
      </c>
      <c r="I101" s="0" t="str">
        <f aca="false">IFERROR(IF(INDEX(Matches!$Y$5:$Y$23,MATCH($C101,Matches!$A$5:$A$23,0))="","",INDEX(Matches!$Y$5:$Y$23,MATCH($C101,Matches!$A$5:$A$23,0))),"")</f>
        <v>Nuke</v>
      </c>
      <c r="J101" s="11" t="n">
        <f aca="false">IFERROR(IF(INDEX(Matches!$Z$5:$Z$23,MATCH($C101,Matches!$A$5:$A$23,0))="","",INDEX(Matches!$Z$5:$Z$23,MATCH($C101,Matches!$A$5:$A$23,0))),"")</f>
        <v>21.36</v>
      </c>
      <c r="K101" s="11" t="n">
        <f aca="false">IFERROR(IF(INDEX(Matches!$AA$5:$AA$23,MATCH($C101,Matches!$A$5:$A$23,0))="","",INDEX(Matches!$AA$5:$AA$23,MATCH($C101,Matches!$A$5:$A$23,0))),"")</f>
        <v>21.5</v>
      </c>
      <c r="L101" s="11" t="n">
        <f aca="false">IFERROR(IF(INDEX(Matches!$AB$5:$AB$23,MATCH($C101,Matches!$A$5:$A$23,0))="","",INDEX(Matches!$AB$5:$AB$23,MATCH($C101,Matches!$A$5:$A$23,0))),"")</f>
        <v>21.42</v>
      </c>
      <c r="M101" s="10" t="n">
        <f aca="false">IFERROR(IF(INDEX(Matches!$AC$5:$AC$23,MATCH($C101,Matches!$A$5:$A$23,0))="","",INDEX(Matches!$AC$5:$AC$23,MATCH($C101,Matches!$A$5:$A$23,0))),"")</f>
        <v>0.4973</v>
      </c>
      <c r="N101" s="9" t="n">
        <f aca="false">IFERROR(INDEX(Players!$F$2:$F$137,MATCH($F101,Players!$A$2:$A$137,0)),0)</f>
        <v>39</v>
      </c>
      <c r="O101" s="13" t="n">
        <f aca="false">IFERROR(1/(1/INDEX(Players!$H$2:$H$137,MATCH($F101,Players!$A$2:$A$137,0))),"")</f>
        <v>0.68</v>
      </c>
      <c r="P101" s="10" t="n">
        <f aca="false">IFERROR(1/(1/INDEX(Players!$I$2:$I$137,MATCH($F101,Players!$A$2:$A$137,0))),"")</f>
        <v>0.588</v>
      </c>
      <c r="Q101" s="9" t="n">
        <f aca="false">IF($G101="",0,SUMIFS(Map_Stats!$F$2:$F$850,Map_Stats!$A$2:$A$850,$F101&amp;"|"&amp;$G101))</f>
        <v>11</v>
      </c>
      <c r="R101" s="13" t="n">
        <f aca="false">IF($G101="","",IFERROR(1/(1/INDEX(Map_Stats!$K$2:$K$850,MATCH($F101&amp;"|"&amp;$G101,Map_Stats!$A$2:$A$850,0))),$O101))</f>
        <v>0.7</v>
      </c>
      <c r="S101" s="10" t="n">
        <f aca="false">IF(OR($G101="",$P101=""),"",IFERROR(1/(1/INDEX(Map_Stats!$I$2:$I$850,MATCH($F101&amp;"|"&amp;$G101,Map_Stats!$A$2:$A$850,0))),$P101))</f>
        <v>0.569</v>
      </c>
      <c r="T101" s="13" t="n">
        <f aca="false">IF(OR($G101="",R101=""),"",IF($O101="",R101,(Q101*R101+Config!$B$4*$O101)/(Q101+Config!$B$4)))</f>
        <v>0.69375</v>
      </c>
      <c r="U101" s="10" t="n">
        <f aca="false">IF(S101="","",(Q101*S101+Config!$B$4*$P101)/(Q101+Config!$B$4))</f>
        <v>0.5749375</v>
      </c>
      <c r="V101" s="17" t="n">
        <f aca="false">IF(OR(T101="",$J101=""),"",T101*$J101*($J101/Config!$B$10)^Config!$B$9)</f>
        <v>14.8185</v>
      </c>
      <c r="W101" s="17" t="n">
        <f aca="false">IF(OR(V101="",U101=""),"",V101*U101)</f>
        <v>8.51971134375</v>
      </c>
      <c r="X101" s="9" t="n">
        <f aca="false">IF($H101="",0,SUMIFS(Map_Stats!$F$2:$F$850,Map_Stats!$A$2:$A$850,$F101&amp;"|"&amp;$H101))</f>
        <v>8</v>
      </c>
      <c r="Y101" s="13" t="n">
        <f aca="false">IF($H101="","",IFERROR(1/(1/INDEX(Map_Stats!$K$2:$K$850,MATCH($F101&amp;"|"&amp;$H101,Map_Stats!$A$2:$A$850,0))),$O101))</f>
        <v>0.71</v>
      </c>
      <c r="Z101" s="10" t="n">
        <f aca="false">IF(OR($H101="",$P101=""),"",IFERROR(1/(1/INDEX(Map_Stats!$I$2:$I$850,MATCH($F101&amp;"|"&amp;$H101,Map_Stats!$A$2:$A$850,0))),$P101))</f>
        <v>0.602</v>
      </c>
      <c r="AA101" s="13" t="n">
        <f aca="false">IF(OR($H101="",Y101=""),"",IF($O101="",Y101,(X101*Y101+Config!$B$4*$O101)/(X101+Config!$B$4)))</f>
        <v>0.698461538461539</v>
      </c>
      <c r="AB101" s="10" t="n">
        <f aca="false">IF(Z101="","",(X101*Z101+Config!$B$4*$P101)/(X101+Config!$B$4))</f>
        <v>0.596615384615385</v>
      </c>
      <c r="AC101" s="17" t="n">
        <f aca="false">IF(OR(AA101="",$K101=""),"",AA101*$K101*($K101/Config!$B$10)^Config!$B$9)</f>
        <v>15.0169230769231</v>
      </c>
      <c r="AD101" s="17" t="n">
        <f aca="false">IF(OR(AC101="",AB101=""),"",AC101*AB101)</f>
        <v>8.95932733727811</v>
      </c>
      <c r="AE101" s="9" t="n">
        <f aca="false">IF($I101="",0,SUMIFS(Map_Stats!$F$2:$F$850,Map_Stats!$A$2:$A$850,$F101&amp;"|"&amp;$I101))</f>
        <v>7</v>
      </c>
      <c r="AF101" s="13" t="n">
        <f aca="false">IF($I101="","",IFERROR(1/(1/INDEX(Map_Stats!$K$2:$K$850,MATCH($F101&amp;"|"&amp;$I101,Map_Stats!$A$2:$A$850,0))),$O101))</f>
        <v>0.69</v>
      </c>
      <c r="AG101" s="10" t="n">
        <f aca="false">IF(OR($I101="",$P101=""),"",IFERROR(1/(1/INDEX(Map_Stats!$I$2:$I$850,MATCH($F101&amp;"|"&amp;$I101,Map_Stats!$A$2:$A$850,0))),$P101))</f>
        <v>0.598</v>
      </c>
      <c r="AH101" s="13" t="n">
        <f aca="false">IF(OR($I101="",AF101=""),"",IF($O101="",AF101,(AE101*AF101+Config!$B$4*$O101)/(AE101+Config!$B$4)))</f>
        <v>0.685833333333333</v>
      </c>
      <c r="AI101" s="10" t="n">
        <f aca="false">IF(AG101="","",(AE101*AG101+Config!$B$4*$P101)/(AE101+Config!$B$4))</f>
        <v>0.593833333333333</v>
      </c>
      <c r="AJ101" s="17" t="n">
        <f aca="false">IF(OR(AH101="",$L101=""),"",AH101*$L101*($L101/Config!$B$10)^Config!$B$9)</f>
        <v>14.69055</v>
      </c>
      <c r="AK101" s="17" t="n">
        <f aca="false">IF(OR(AJ101="",AI101=""),"",AJ101*AI101)</f>
        <v>8.723738275</v>
      </c>
      <c r="AL101" s="17" t="n">
        <f aca="false">N(V101)+N(AC101)</f>
        <v>29.8354230769231</v>
      </c>
      <c r="AM101" s="17" t="n">
        <f aca="false">AL101+N($M101)*N(AJ101)</f>
        <v>37.1410335919231</v>
      </c>
      <c r="AN101" s="17" t="n">
        <f aca="false">IF(W101="","",N(W101)+N(AD101))</f>
        <v>17.4790386810281</v>
      </c>
      <c r="AO101" s="17" t="n">
        <f aca="false">IF(AN101="","",AN101+N($M101)*N(AK101))</f>
        <v>21.8173537251856</v>
      </c>
      <c r="AP101" s="10" t="n">
        <f aca="false">IFERROR(AN101/AL101,"")</f>
        <v>0.585848527636522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IF($C101=Board!$B$2,COUNTIFS($C$2:$C$137,Board!$B$2,$AL$2:$AL$137,"&gt;"&amp;$AL101)+COUNTIFS($C$1:$C100,Board!$B$2,$AL$1:$AL100,$AL101)+1,"")</f>
        <v/>
      </c>
      <c r="AS101" s="0" t="str">
        <f aca="false">IFERROR(IF($D101=INDEX(Matches!$AD$5:$AD$23,MATCH($C101,Matches!$A$5:$A$23,0)),"A",IF($D101=INDEX(Matches!$AE$5:$AE$23,MATCH($C101,Matches!$A$5:$A$23,0)),"B","")),"")</f>
        <v>A</v>
      </c>
      <c r="AT101" s="10" t="n">
        <f aca="false">IF($AS101="","",IFERROR(IF($AS101="A",INDEX(Matches!$AI$5:$AI$23,MATCH($C101,Matches!$A$5:$A$23,0)),INDEX(Matches!$AJ$5:$AJ$23,MATCH($C101,Matches!$A$5:$A$23,0))),""))</f>
        <v>0.547063407003162</v>
      </c>
      <c r="AU101" s="10" t="n">
        <f aca="false">IF($AS101="","",IFERROR(IF(INDEX(Matches!$AP$5:$AP$23,MATCH($C101,Matches!$A$5:$A$23,0))="","",IF($AS101="A",INDEX(Matches!$AP$5:$AP$23,MATCH($C101,Matches!$A$5:$A$23,0)),1-INDEX(Matches!$AP$5:$AP$23,MATCH($C101,Matches!$A$5:$A$23,0)))),""))</f>
        <v>0.548585899842627</v>
      </c>
      <c r="AV101" s="13" t="n">
        <f aca="false">IF(OR($AU101="",$AT101=""),1,((Config!$B$14*$AU101+Config!$B$15*(1-$AU101))/(Config!$B$14*$AT101+Config!$B$15*(1-$AT101)))^Config!$B$13)</f>
        <v>1.00130561567934</v>
      </c>
      <c r="AW101" s="10" t="n">
        <f aca="false">IF($AS101="","",IFERROR(IF(INDEX(Matches!$AV$5:$AV$23,MATCH($C101,Matches!$A$5:$A$23,0))="","",IF($AS101="A",INDEX(Matches!$AV$5:$AV$23,MATCH($C101,Matches!$A$5:$A$23,0)),1-INDEX(Matches!$AV$5:$AV$23,MATCH($C101,Matches!$A$5:$A$23,0)))),""))</f>
        <v>0.526282691525173</v>
      </c>
      <c r="AX101" s="13" t="n">
        <f aca="false">IF(OR($AW101="",$AT101=""),1,((Config!$B$14*$AW101+Config!$B$15*(1-$AW101))/(Config!$B$14*$AT101+Config!$B$15*(1-$AT101)))^Config!$B$13)</f>
        <v>0.98217947089621</v>
      </c>
      <c r="AY101" s="10" t="n">
        <f aca="false">IF($AS101="","",IFERROR(IF(INDEX(Matches!$BB$5:$BB$23,MATCH($C101,Matches!$A$5:$A$23,0))="","",IF($AS101="A",INDEX(Matches!$BB$5:$BB$23,MATCH($C101,Matches!$A$5:$A$23,0)),1-INDEX(Matches!$BB$5:$BB$23,MATCH($C101,Matches!$A$5:$A$23,0)))),""))</f>
        <v>0.523740807756942</v>
      </c>
      <c r="AZ101" s="13" t="n">
        <f aca="false">IF(OR($AY101="",$AT101=""),1,((Config!$B$14*$AY101+Config!$B$15*(1-$AY101))/(Config!$B$14*$AT101+Config!$B$15*(1-$AT101)))^Config!$B$13)</f>
        <v>0.979999675223718</v>
      </c>
      <c r="BA101" s="17" t="n">
        <f aca="false">IF(V101="","",V101*$AV101)</f>
        <v>14.8378472659443</v>
      </c>
      <c r="BB101" s="17" t="n">
        <f aca="false">IF(AC101="","",AC101*$AX101)</f>
        <v>14.7493135621814</v>
      </c>
      <c r="BC101" s="17" t="n">
        <f aca="false">IF(AJ101="","",AJ101*$AZ101)</f>
        <v>14.3967342288578</v>
      </c>
      <c r="BD101" s="17" t="n">
        <f aca="false">N(BA101)+N(BB101)</f>
        <v>29.5871608281257</v>
      </c>
      <c r="BE101" s="17" t="n">
        <f aca="false">BD101+N($M101)*N(BC101)</f>
        <v>36.7466567601367</v>
      </c>
      <c r="BF101" s="17" t="n">
        <f aca="false">IF(W101="","",W101*$AV101)</f>
        <v>8.53083481246386</v>
      </c>
      <c r="BG101" s="17" t="n">
        <f aca="false">IF(AD101="","",AD101*$AX101)</f>
        <v>8.79966738371376</v>
      </c>
      <c r="BH101" s="17" t="n">
        <f aca="false">IF(AK101="","",AK101*$AZ101)</f>
        <v>8.54926067623672</v>
      </c>
      <c r="BI101" s="17" t="n">
        <f aca="false">IF(BF101="","",N(BF101)+N(BG101))</f>
        <v>17.3305021961776</v>
      </c>
      <c r="BJ101" s="17" t="n">
        <f aca="false">IF(BI101="","",BI101+N($M101)*N(BH101))</f>
        <v>21.5820495304701</v>
      </c>
      <c r="BK101" s="13" t="n">
        <f aca="false">IFERROR(BD101/AL101,1)</f>
        <v>0.991678943242827</v>
      </c>
    </row>
    <row r="102" customFormat="false" ht="15" hidden="false" customHeight="false" outlineLevel="0" collapsed="false">
      <c r="A102" s="0" t="s">
        <v>1531</v>
      </c>
      <c r="B102" s="0" t="s">
        <v>1139</v>
      </c>
      <c r="C102" s="0" t="s">
        <v>1199</v>
      </c>
      <c r="D102" s="0" t="s">
        <v>1202</v>
      </c>
      <c r="E102" s="0" t="s">
        <v>1530</v>
      </c>
      <c r="F102" s="0" t="s">
        <v>1759</v>
      </c>
      <c r="G102" s="0" t="str">
        <f aca="false">IFERROR(IF(INDEX(Matches!$W$5:$W$23,MATCH($C102,Matches!$A$5:$A$23,0))="","",INDEX(Matches!$W$5:$W$23,MATCH($C102,Matches!$A$5:$A$23,0))),"")</f>
        <v>Mirage</v>
      </c>
      <c r="H102" s="0" t="str">
        <f aca="false">IFERROR(IF(INDEX(Matches!$X$5:$X$23,MATCH($C102,Matches!$A$5:$A$23,0))="","",INDEX(Matches!$X$5:$X$23,MATCH($C102,Matches!$A$5:$A$23,0))),"")</f>
        <v>Dust2</v>
      </c>
      <c r="I102" s="0" t="str">
        <f aca="false">IFERROR(IF(INDEX(Matches!$Y$5:$Y$23,MATCH($C102,Matches!$A$5:$A$23,0))="","",INDEX(Matches!$Y$5:$Y$23,MATCH($C102,Matches!$A$5:$A$23,0))),"")</f>
        <v>Nuke</v>
      </c>
      <c r="J102" s="11" t="n">
        <f aca="false">IFERROR(IF(INDEX(Matches!$Z$5:$Z$23,MATCH($C102,Matches!$A$5:$A$23,0))="","",INDEX(Matches!$Z$5:$Z$23,MATCH($C102,Matches!$A$5:$A$23,0))),"")</f>
        <v>21.36</v>
      </c>
      <c r="K102" s="11" t="n">
        <f aca="false">IFERROR(IF(INDEX(Matches!$AA$5:$AA$23,MATCH($C102,Matches!$A$5:$A$23,0))="","",INDEX(Matches!$AA$5:$AA$23,MATCH($C102,Matches!$A$5:$A$23,0))),"")</f>
        <v>21.5</v>
      </c>
      <c r="L102" s="11" t="n">
        <f aca="false">IFERROR(IF(INDEX(Matches!$AB$5:$AB$23,MATCH($C102,Matches!$A$5:$A$23,0))="","",INDEX(Matches!$AB$5:$AB$23,MATCH($C102,Matches!$A$5:$A$23,0))),"")</f>
        <v>21.42</v>
      </c>
      <c r="M102" s="10" t="n">
        <f aca="false">IFERROR(IF(INDEX(Matches!$AC$5:$AC$23,MATCH($C102,Matches!$A$5:$A$23,0))="","",INDEX(Matches!$AC$5:$AC$23,MATCH($C102,Matches!$A$5:$A$23,0))),"")</f>
        <v>0.4973</v>
      </c>
      <c r="N102" s="9" t="n">
        <f aca="false">IFERROR(INDEX(Players!$F$2:$F$137,MATCH($F102,Players!$A$2:$A$137,0)),0)</f>
        <v>39</v>
      </c>
      <c r="O102" s="13" t="n">
        <f aca="false">IFERROR(1/(1/INDEX(Players!$H$2:$H$137,MATCH($F102,Players!$A$2:$A$137,0))),"")</f>
        <v>0.66</v>
      </c>
      <c r="P102" s="10" t="n">
        <f aca="false">IFERROR(1/(1/INDEX(Players!$I$2:$I$137,MATCH($F102,Players!$A$2:$A$137,0))),"")</f>
        <v>0.318</v>
      </c>
      <c r="Q102" s="9" t="n">
        <f aca="false">IF($G102="",0,SUMIFS(Map_Stats!$F$2:$F$850,Map_Stats!$A$2:$A$850,$F102&amp;"|"&amp;$G102))</f>
        <v>11</v>
      </c>
      <c r="R102" s="13" t="n">
        <f aca="false">IF($G102="","",IFERROR(1/(1/INDEX(Map_Stats!$K$2:$K$850,MATCH($F102&amp;"|"&amp;$G102,Map_Stats!$A$2:$A$850,0))),$O102))</f>
        <v>0.62</v>
      </c>
      <c r="S102" s="10" t="n">
        <f aca="false">IF(OR($G102="",$P102=""),"",IFERROR(1/(1/INDEX(Map_Stats!$I$2:$I$850,MATCH($F102&amp;"|"&amp;$G102,Map_Stats!$A$2:$A$850,0))),$P102))</f>
        <v>0.225</v>
      </c>
      <c r="T102" s="13" t="n">
        <f aca="false">IF(OR($G102="",R102=""),"",IF($O102="",R102,(Q102*R102+Config!$B$4*$O102)/(Q102+Config!$B$4)))</f>
        <v>0.6325</v>
      </c>
      <c r="U102" s="10" t="n">
        <f aca="false">IF(S102="","",(Q102*S102+Config!$B$4*$P102)/(Q102+Config!$B$4))</f>
        <v>0.2540625</v>
      </c>
      <c r="V102" s="17" t="n">
        <f aca="false">IF(OR(T102="",$J102=""),"",T102*$J102*($J102/Config!$B$10)^Config!$B$9)</f>
        <v>13.5102</v>
      </c>
      <c r="W102" s="17" t="n">
        <f aca="false">IF(OR(V102="",U102=""),"",V102*U102)</f>
        <v>3.4324351875</v>
      </c>
      <c r="X102" s="9" t="n">
        <f aca="false">IF($H102="",0,SUMIFS(Map_Stats!$F$2:$F$850,Map_Stats!$A$2:$A$850,$F102&amp;"|"&amp;$H102))</f>
        <v>8</v>
      </c>
      <c r="Y102" s="13" t="n">
        <f aca="false">IF($H102="","",IFERROR(1/(1/INDEX(Map_Stats!$K$2:$K$850,MATCH($F102&amp;"|"&amp;$H102,Map_Stats!$A$2:$A$850,0))),$O102))</f>
        <v>0.78</v>
      </c>
      <c r="Z102" s="10" t="n">
        <f aca="false">IF(OR($H102="",$P102=""),"",IFERROR(1/(1/INDEX(Map_Stats!$I$2:$I$850,MATCH($F102&amp;"|"&amp;$H102,Map_Stats!$A$2:$A$850,0))),$P102))</f>
        <v>0.319</v>
      </c>
      <c r="AA102" s="13" t="n">
        <f aca="false">IF(OR($H102="",Y102=""),"",IF($O102="",Y102,(X102*Y102+Config!$B$4*$O102)/(X102+Config!$B$4)))</f>
        <v>0.733846153846154</v>
      </c>
      <c r="AB102" s="10" t="n">
        <f aca="false">IF(Z102="","",(X102*Z102+Config!$B$4*$P102)/(X102+Config!$B$4))</f>
        <v>0.318615384615385</v>
      </c>
      <c r="AC102" s="17" t="n">
        <f aca="false">IF(OR(AA102="",$K102=""),"",AA102*$K102*($K102/Config!$B$10)^Config!$B$9)</f>
        <v>15.7776923076923</v>
      </c>
      <c r="AD102" s="17" t="n">
        <f aca="false">IF(OR(AC102="",AB102=""),"",AC102*AB102)</f>
        <v>5.02701550295858</v>
      </c>
      <c r="AE102" s="9" t="n">
        <f aca="false">IF($I102="",0,SUMIFS(Map_Stats!$F$2:$F$850,Map_Stats!$A$2:$A$850,$F102&amp;"|"&amp;$I102))</f>
        <v>7</v>
      </c>
      <c r="AF102" s="13" t="n">
        <f aca="false">IF($I102="","",IFERROR(1/(1/INDEX(Map_Stats!$K$2:$K$850,MATCH($F102&amp;"|"&amp;$I102,Map_Stats!$A$2:$A$850,0))),$O102))</f>
        <v>0.57</v>
      </c>
      <c r="AG102" s="10" t="n">
        <f aca="false">IF(OR($I102="",$P102=""),"",IFERROR(1/(1/INDEX(Map_Stats!$I$2:$I$850,MATCH($F102&amp;"|"&amp;$I102,Map_Stats!$A$2:$A$850,0))),$P102))</f>
        <v>0.383</v>
      </c>
      <c r="AH102" s="13" t="n">
        <f aca="false">IF(OR($I102="",AF102=""),"",IF($O102="",AF102,(AE102*AF102+Config!$B$4*$O102)/(AE102+Config!$B$4)))</f>
        <v>0.6075</v>
      </c>
      <c r="AI102" s="10" t="n">
        <f aca="false">IF(AG102="","",(AE102*AG102+Config!$B$4*$P102)/(AE102+Config!$B$4))</f>
        <v>0.355916666666667</v>
      </c>
      <c r="AJ102" s="17" t="n">
        <f aca="false">IF(OR(AH102="",$L102=""),"",AH102*$L102*($L102/Config!$B$10)^Config!$B$9)</f>
        <v>13.01265</v>
      </c>
      <c r="AK102" s="17" t="n">
        <f aca="false">IF(OR(AJ102="",AI102=""),"",AJ102*AI102)</f>
        <v>4.6314190125</v>
      </c>
      <c r="AL102" s="17" t="n">
        <f aca="false">N(V102)+N(AC102)</f>
        <v>29.2878923076923</v>
      </c>
      <c r="AM102" s="17" t="n">
        <f aca="false">AL102+N($M102)*N(AJ102)</f>
        <v>35.7590831526923</v>
      </c>
      <c r="AN102" s="17" t="n">
        <f aca="false">IF(W102="","",N(W102)+N(AD102))</f>
        <v>8.45945069045858</v>
      </c>
      <c r="AO102" s="17" t="n">
        <f aca="false">IF(AN102="","",AN102+N($M102)*N(AK102))</f>
        <v>10.7626553653748</v>
      </c>
      <c r="AP102" s="10" t="n">
        <f aca="false">IFERROR(AN102/AL102,"")</f>
        <v>0.288837810573237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IF($C102=Board!$B$2,COUNTIFS($C$2:$C$137,Board!$B$2,$AL$2:$AL$137,"&gt;"&amp;$AL102)+COUNTIFS($C$1:$C101,Board!$B$2,$AL$1:$AL101,$AL102)+1,"")</f>
        <v/>
      </c>
      <c r="AS102" s="0" t="str">
        <f aca="false">IFERROR(IF($D102=INDEX(Matches!$AD$5:$AD$23,MATCH($C102,Matches!$A$5:$A$23,0)),"A",IF($D102=INDEX(Matches!$AE$5:$AE$23,MATCH($C102,Matches!$A$5:$A$23,0)),"B","")),"")</f>
        <v>A</v>
      </c>
      <c r="AT102" s="10" t="n">
        <f aca="false">IF($AS102="","",IFERROR(IF($AS102="A",INDEX(Matches!$AI$5:$AI$23,MATCH($C102,Matches!$A$5:$A$23,0)),INDEX(Matches!$AJ$5:$AJ$23,MATCH($C102,Matches!$A$5:$A$23,0))),""))</f>
        <v>0.547063407003162</v>
      </c>
      <c r="AU102" s="10" t="n">
        <f aca="false">IF($AS102="","",IFERROR(IF(INDEX(Matches!$AP$5:$AP$23,MATCH($C102,Matches!$A$5:$A$23,0))="","",IF($AS102="A",INDEX(Matches!$AP$5:$AP$23,MATCH($C102,Matches!$A$5:$A$23,0)),1-INDEX(Matches!$AP$5:$AP$23,MATCH($C102,Matches!$A$5:$A$23,0)))),""))</f>
        <v>0.548585899842627</v>
      </c>
      <c r="AV102" s="13" t="n">
        <f aca="false">IF(OR($AU102="",$AT102=""),1,((Config!$B$14*$AU102+Config!$B$15*(1-$AU102))/(Config!$B$14*$AT102+Config!$B$15*(1-$AT102)))^Config!$B$13)</f>
        <v>1.00130561567934</v>
      </c>
      <c r="AW102" s="10" t="n">
        <f aca="false">IF($AS102="","",IFERROR(IF(INDEX(Matches!$AV$5:$AV$23,MATCH($C102,Matches!$A$5:$A$23,0))="","",IF($AS102="A",INDEX(Matches!$AV$5:$AV$23,MATCH($C102,Matches!$A$5:$A$23,0)),1-INDEX(Matches!$AV$5:$AV$23,MATCH($C102,Matches!$A$5:$A$23,0)))),""))</f>
        <v>0.526282691525173</v>
      </c>
      <c r="AX102" s="13" t="n">
        <f aca="false">IF(OR($AW102="",$AT102=""),1,((Config!$B$14*$AW102+Config!$B$15*(1-$AW102))/(Config!$B$14*$AT102+Config!$B$15*(1-$AT102)))^Config!$B$13)</f>
        <v>0.98217947089621</v>
      </c>
      <c r="AY102" s="10" t="n">
        <f aca="false">IF($AS102="","",IFERROR(IF(INDEX(Matches!$BB$5:$BB$23,MATCH($C102,Matches!$A$5:$A$23,0))="","",IF($AS102="A",INDEX(Matches!$BB$5:$BB$23,MATCH($C102,Matches!$A$5:$A$23,0)),1-INDEX(Matches!$BB$5:$BB$23,MATCH($C102,Matches!$A$5:$A$23,0)))),""))</f>
        <v>0.523740807756942</v>
      </c>
      <c r="AZ102" s="13" t="n">
        <f aca="false">IF(OR($AY102="",$AT102=""),1,((Config!$B$14*$AY102+Config!$B$15*(1-$AY102))/(Config!$B$14*$AT102+Config!$B$15*(1-$AT102)))^Config!$B$13)</f>
        <v>0.979999675223718</v>
      </c>
      <c r="BA102" s="17" t="n">
        <f aca="false">IF(V102="","",V102*$AV102)</f>
        <v>13.527839128951</v>
      </c>
      <c r="BB102" s="17" t="n">
        <f aca="false">IF(AC102="","",AC102*$AX102)</f>
        <v>15.4965254827324</v>
      </c>
      <c r="BC102" s="17" t="n">
        <f aca="false">IF(AJ102="","",AJ102*$AZ102)</f>
        <v>12.7523927737999</v>
      </c>
      <c r="BD102" s="17" t="n">
        <f aca="false">N(BA102)+N(BB102)</f>
        <v>29.0243646116835</v>
      </c>
      <c r="BE102" s="17" t="n">
        <f aca="false">BD102+N($M102)*N(BC102)</f>
        <v>35.3661295380942</v>
      </c>
      <c r="BF102" s="17" t="n">
        <f aca="false">IF(W102="","",W102*$AV102)</f>
        <v>3.43691662869912</v>
      </c>
      <c r="BG102" s="17" t="n">
        <f aca="false">IF(AD102="","",AD102*$AX102)</f>
        <v>4.9374314268829</v>
      </c>
      <c r="BH102" s="17" t="n">
        <f aca="false">IF(AK102="","",AK102*$AZ102)</f>
        <v>4.53878912807495</v>
      </c>
      <c r="BI102" s="17" t="n">
        <f aca="false">IF(BF102="","",N(BF102)+N(BG102))</f>
        <v>8.37434805558203</v>
      </c>
      <c r="BJ102" s="17" t="n">
        <f aca="false">IF(BI102="","",BI102+N($M102)*N(BH102))</f>
        <v>10.6314878889737</v>
      </c>
      <c r="BK102" s="13" t="n">
        <f aca="false">IFERROR(BD102/AL102,1)</f>
        <v>0.991002162489527</v>
      </c>
    </row>
    <row r="103" customFormat="false" ht="15" hidden="false" customHeight="false" outlineLevel="0" collapsed="false">
      <c r="A103" s="0" t="s">
        <v>1533</v>
      </c>
      <c r="B103" s="0" t="s">
        <v>1139</v>
      </c>
      <c r="C103" s="0" t="s">
        <v>1199</v>
      </c>
      <c r="D103" s="0" t="s">
        <v>1202</v>
      </c>
      <c r="E103" s="0" t="s">
        <v>1532</v>
      </c>
      <c r="F103" s="0" t="s">
        <v>1760</v>
      </c>
      <c r="G103" s="0" t="str">
        <f aca="false">IFERROR(IF(INDEX(Matches!$W$5:$W$23,MATCH($C103,Matches!$A$5:$A$23,0))="","",INDEX(Matches!$W$5:$W$23,MATCH($C103,Matches!$A$5:$A$23,0))),"")</f>
        <v>Mirage</v>
      </c>
      <c r="H103" s="0" t="str">
        <f aca="false">IFERROR(IF(INDEX(Matches!$X$5:$X$23,MATCH($C103,Matches!$A$5:$A$23,0))="","",INDEX(Matches!$X$5:$X$23,MATCH($C103,Matches!$A$5:$A$23,0))),"")</f>
        <v>Dust2</v>
      </c>
      <c r="I103" s="0" t="str">
        <f aca="false">IFERROR(IF(INDEX(Matches!$Y$5:$Y$23,MATCH($C103,Matches!$A$5:$A$23,0))="","",INDEX(Matches!$Y$5:$Y$23,MATCH($C103,Matches!$A$5:$A$23,0))),"")</f>
        <v>Nuke</v>
      </c>
      <c r="J103" s="11" t="n">
        <f aca="false">IFERROR(IF(INDEX(Matches!$Z$5:$Z$23,MATCH($C103,Matches!$A$5:$A$23,0))="","",INDEX(Matches!$Z$5:$Z$23,MATCH($C103,Matches!$A$5:$A$23,0))),"")</f>
        <v>21.36</v>
      </c>
      <c r="K103" s="11" t="n">
        <f aca="false">IFERROR(IF(INDEX(Matches!$AA$5:$AA$23,MATCH($C103,Matches!$A$5:$A$23,0))="","",INDEX(Matches!$AA$5:$AA$23,MATCH($C103,Matches!$A$5:$A$23,0))),"")</f>
        <v>21.5</v>
      </c>
      <c r="L103" s="11" t="n">
        <f aca="false">IFERROR(IF(INDEX(Matches!$AB$5:$AB$23,MATCH($C103,Matches!$A$5:$A$23,0))="","",INDEX(Matches!$AB$5:$AB$23,MATCH($C103,Matches!$A$5:$A$23,0))),"")</f>
        <v>21.42</v>
      </c>
      <c r="M103" s="10" t="n">
        <f aca="false">IFERROR(IF(INDEX(Matches!$AC$5:$AC$23,MATCH($C103,Matches!$A$5:$A$23,0))="","",INDEX(Matches!$AC$5:$AC$23,MATCH($C103,Matches!$A$5:$A$23,0))),"")</f>
        <v>0.4973</v>
      </c>
      <c r="N103" s="9" t="n">
        <f aca="false">IFERROR(INDEX(Players!$F$2:$F$137,MATCH($F103,Players!$A$2:$A$137,0)),0)</f>
        <v>39</v>
      </c>
      <c r="O103" s="13" t="n">
        <f aca="false">IFERROR(1/(1/INDEX(Players!$H$2:$H$137,MATCH($F103,Players!$A$2:$A$137,0))),"")</f>
        <v>0.65</v>
      </c>
      <c r="P103" s="10" t="n">
        <f aca="false">IFERROR(1/(1/INDEX(Players!$I$2:$I$137,MATCH($F103,Players!$A$2:$A$137,0))),"")</f>
        <v>0.671</v>
      </c>
      <c r="Q103" s="9" t="n">
        <f aca="false">IF($G103="",0,SUMIFS(Map_Stats!$F$2:$F$850,Map_Stats!$A$2:$A$850,$F103&amp;"|"&amp;$G103))</f>
        <v>11</v>
      </c>
      <c r="R103" s="13" t="n">
        <f aca="false">IF($G103="","",IFERROR(1/(1/INDEX(Map_Stats!$K$2:$K$850,MATCH($F103&amp;"|"&amp;$G103,Map_Stats!$A$2:$A$850,0))),$O103))</f>
        <v>0.73</v>
      </c>
      <c r="S103" s="10" t="n">
        <f aca="false">IF(OR($G103="",$P103=""),"",IFERROR(1/(1/INDEX(Map_Stats!$I$2:$I$850,MATCH($F103&amp;"|"&amp;$G103,Map_Stats!$A$2:$A$850,0))),$P103))</f>
        <v>0.62</v>
      </c>
      <c r="T103" s="13" t="n">
        <f aca="false">IF(OR($G103="",R103=""),"",IF($O103="",R103,(Q103*R103+Config!$B$4*$O103)/(Q103+Config!$B$4)))</f>
        <v>0.705</v>
      </c>
      <c r="U103" s="10" t="n">
        <f aca="false">IF(S103="","",(Q103*S103+Config!$B$4*$P103)/(Q103+Config!$B$4))</f>
        <v>0.6359375</v>
      </c>
      <c r="V103" s="17" t="n">
        <f aca="false">IF(OR(T103="",$J103=""),"",T103*$J103*($J103/Config!$B$10)^Config!$B$9)</f>
        <v>15.0588</v>
      </c>
      <c r="W103" s="17" t="n">
        <f aca="false">IF(OR(V103="",U103=""),"",V103*U103)</f>
        <v>9.576455625</v>
      </c>
      <c r="X103" s="9" t="n">
        <f aca="false">IF($H103="",0,SUMIFS(Map_Stats!$F$2:$F$850,Map_Stats!$A$2:$A$850,$F103&amp;"|"&amp;$H103))</f>
        <v>8</v>
      </c>
      <c r="Y103" s="13" t="n">
        <f aca="false">IF($H103="","",IFERROR(1/(1/INDEX(Map_Stats!$K$2:$K$850,MATCH($F103&amp;"|"&amp;$H103,Map_Stats!$A$2:$A$850,0))),$O103))</f>
        <v>0.62</v>
      </c>
      <c r="Z103" s="10" t="n">
        <f aca="false">IF(OR($H103="",$P103=""),"",IFERROR(1/(1/INDEX(Map_Stats!$I$2:$I$850,MATCH($F103&amp;"|"&amp;$H103,Map_Stats!$A$2:$A$850,0))),$P103))</f>
        <v>0.713</v>
      </c>
      <c r="AA103" s="13" t="n">
        <f aca="false">IF(OR($H103="",Y103=""),"",IF($O103="",Y103,(X103*Y103+Config!$B$4*$O103)/(X103+Config!$B$4)))</f>
        <v>0.631538461538462</v>
      </c>
      <c r="AB103" s="10" t="n">
        <f aca="false">IF(Z103="","",(X103*Z103+Config!$B$4*$P103)/(X103+Config!$B$4))</f>
        <v>0.696846153846154</v>
      </c>
      <c r="AC103" s="17" t="n">
        <f aca="false">IF(OR(AA103="",$K103=""),"",AA103*$K103*($K103/Config!$B$10)^Config!$B$9)</f>
        <v>13.5780769230769</v>
      </c>
      <c r="AD103" s="17" t="n">
        <f aca="false">IF(OR(AC103="",AB103=""),"",AC103*AB103)</f>
        <v>9.46183068047337</v>
      </c>
      <c r="AE103" s="9" t="n">
        <f aca="false">IF($I103="",0,SUMIFS(Map_Stats!$F$2:$F$850,Map_Stats!$A$2:$A$850,$F103&amp;"|"&amp;$I103))</f>
        <v>7</v>
      </c>
      <c r="AF103" s="13" t="n">
        <f aca="false">IF($I103="","",IFERROR(1/(1/INDEX(Map_Stats!$K$2:$K$850,MATCH($F103&amp;"|"&amp;$I103,Map_Stats!$A$2:$A$850,0))),$O103))</f>
        <v>0.58</v>
      </c>
      <c r="AG103" s="10" t="n">
        <f aca="false">IF(OR($I103="",$P103=""),"",IFERROR(1/(1/INDEX(Map_Stats!$I$2:$I$850,MATCH($F103&amp;"|"&amp;$I103,Map_Stats!$A$2:$A$850,0))),$P103))</f>
        <v>0.671</v>
      </c>
      <c r="AH103" s="13" t="n">
        <f aca="false">IF(OR($I103="",AF103=""),"",IF($O103="",AF103,(AE103*AF103+Config!$B$4*$O103)/(AE103+Config!$B$4)))</f>
        <v>0.609166666666667</v>
      </c>
      <c r="AI103" s="10" t="n">
        <f aca="false">IF(AG103="","",(AE103*AG103+Config!$B$4*$P103)/(AE103+Config!$B$4))</f>
        <v>0.671</v>
      </c>
      <c r="AJ103" s="17" t="n">
        <f aca="false">IF(OR(AH103="",$L103=""),"",AH103*$L103*($L103/Config!$B$10)^Config!$B$9)</f>
        <v>13.04835</v>
      </c>
      <c r="AK103" s="17" t="n">
        <f aca="false">IF(OR(AJ103="",AI103=""),"",AJ103*AI103)</f>
        <v>8.75544285</v>
      </c>
      <c r="AL103" s="17" t="n">
        <f aca="false">N(V103)+N(AC103)</f>
        <v>28.6368769230769</v>
      </c>
      <c r="AM103" s="17" t="n">
        <f aca="false">AL103+N($M103)*N(AJ103)</f>
        <v>35.1258213780769</v>
      </c>
      <c r="AN103" s="17" t="n">
        <f aca="false">IF(W103="","",N(W103)+N(AD103))</f>
        <v>19.0382863054734</v>
      </c>
      <c r="AO103" s="17" t="n">
        <f aca="false">IF(AN103="","",AN103+N($M103)*N(AK103))</f>
        <v>23.3923680347784</v>
      </c>
      <c r="AP103" s="10" t="n">
        <f aca="false">IFERROR(AN103/AL103,"")</f>
        <v>0.66481712920767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IF($C103=Board!$B$2,COUNTIFS($C$2:$C$137,Board!$B$2,$AL$2:$AL$137,"&gt;"&amp;$AL103)+COUNTIFS($C$1:$C102,Board!$B$2,$AL$1:$AL102,$AL103)+1,"")</f>
        <v/>
      </c>
      <c r="AS103" s="0" t="str">
        <f aca="false">IFERROR(IF($D103=INDEX(Matches!$AD$5:$AD$23,MATCH($C103,Matches!$A$5:$A$23,0)),"A",IF($D103=INDEX(Matches!$AE$5:$AE$23,MATCH($C103,Matches!$A$5:$A$23,0)),"B","")),"")</f>
        <v>A</v>
      </c>
      <c r="AT103" s="10" t="n">
        <f aca="false">IF($AS103="","",IFERROR(IF($AS103="A",INDEX(Matches!$AI$5:$AI$23,MATCH($C103,Matches!$A$5:$A$23,0)),INDEX(Matches!$AJ$5:$AJ$23,MATCH($C103,Matches!$A$5:$A$23,0))),""))</f>
        <v>0.547063407003162</v>
      </c>
      <c r="AU103" s="10" t="n">
        <f aca="false">IF($AS103="","",IFERROR(IF(INDEX(Matches!$AP$5:$AP$23,MATCH($C103,Matches!$A$5:$A$23,0))="","",IF($AS103="A",INDEX(Matches!$AP$5:$AP$23,MATCH($C103,Matches!$A$5:$A$23,0)),1-INDEX(Matches!$AP$5:$AP$23,MATCH($C103,Matches!$A$5:$A$23,0)))),""))</f>
        <v>0.548585899842627</v>
      </c>
      <c r="AV103" s="13" t="n">
        <f aca="false">IF(OR($AU103="",$AT103=""),1,((Config!$B$14*$AU103+Config!$B$15*(1-$AU103))/(Config!$B$14*$AT103+Config!$B$15*(1-$AT103)))^Config!$B$13)</f>
        <v>1.00130561567934</v>
      </c>
      <c r="AW103" s="10" t="n">
        <f aca="false">IF($AS103="","",IFERROR(IF(INDEX(Matches!$AV$5:$AV$23,MATCH($C103,Matches!$A$5:$A$23,0))="","",IF($AS103="A",INDEX(Matches!$AV$5:$AV$23,MATCH($C103,Matches!$A$5:$A$23,0)),1-INDEX(Matches!$AV$5:$AV$23,MATCH($C103,Matches!$A$5:$A$23,0)))),""))</f>
        <v>0.526282691525173</v>
      </c>
      <c r="AX103" s="13" t="n">
        <f aca="false">IF(OR($AW103="",$AT103=""),1,((Config!$B$14*$AW103+Config!$B$15*(1-$AW103))/(Config!$B$14*$AT103+Config!$B$15*(1-$AT103)))^Config!$B$13)</f>
        <v>0.98217947089621</v>
      </c>
      <c r="AY103" s="10" t="n">
        <f aca="false">IF($AS103="","",IFERROR(IF(INDEX(Matches!$BB$5:$BB$23,MATCH($C103,Matches!$A$5:$A$23,0))="","",IF($AS103="A",INDEX(Matches!$BB$5:$BB$23,MATCH($C103,Matches!$A$5:$A$23,0)),1-INDEX(Matches!$BB$5:$BB$23,MATCH($C103,Matches!$A$5:$A$23,0)))),""))</f>
        <v>0.523740807756942</v>
      </c>
      <c r="AZ103" s="13" t="n">
        <f aca="false">IF(OR($AY103="",$AT103=""),1,((Config!$B$14*$AY103+Config!$B$15*(1-$AY103))/(Config!$B$14*$AT103+Config!$B$15*(1-$AT103)))^Config!$B$13)</f>
        <v>0.979999675223718</v>
      </c>
      <c r="BA103" s="17" t="n">
        <f aca="false">IF(V103="","",V103*$AV103)</f>
        <v>15.0784610053921</v>
      </c>
      <c r="BB103" s="17" t="n">
        <f aca="false">IF(AC103="","",AC103*$AX103)</f>
        <v>13.3361084080957</v>
      </c>
      <c r="BC103" s="17" t="n">
        <f aca="false">IF(AJ103="","",AJ103*$AZ103)</f>
        <v>12.7873787622054</v>
      </c>
      <c r="BD103" s="17" t="n">
        <f aca="false">N(BA103)+N(BB103)</f>
        <v>28.4145694134878</v>
      </c>
      <c r="BE103" s="17" t="n">
        <f aca="false">BD103+N($M103)*N(BC103)</f>
        <v>34.7737328719326</v>
      </c>
      <c r="BF103" s="17" t="n">
        <f aca="false">IF(W103="","",W103*$AV103)</f>
        <v>9.58895879561652</v>
      </c>
      <c r="BG103" s="17" t="n">
        <f aca="false">IF(AD103="","",AD103*$AX103)</f>
        <v>9.29321585145686</v>
      </c>
      <c r="BH103" s="17" t="n">
        <f aca="false">IF(AK103="","",AK103*$AZ103)</f>
        <v>8.58033114943982</v>
      </c>
      <c r="BI103" s="17" t="n">
        <f aca="false">IF(BF103="","",N(BF103)+N(BG103))</f>
        <v>18.8821746470734</v>
      </c>
      <c r="BJ103" s="17" t="n">
        <f aca="false">IF(BI103="","",BI103+N($M103)*N(BH103))</f>
        <v>23.1491733276898</v>
      </c>
      <c r="BK103" s="13" t="n">
        <f aca="false">IFERROR(BD103/AL103,1)</f>
        <v>0.992237019763493</v>
      </c>
    </row>
    <row r="104" customFormat="false" ht="15" hidden="false" customHeight="false" outlineLevel="0" collapsed="false">
      <c r="A104" s="0" t="s">
        <v>1535</v>
      </c>
      <c r="B104" s="0" t="s">
        <v>1139</v>
      </c>
      <c r="C104" s="0" t="s">
        <v>1199</v>
      </c>
      <c r="D104" s="0" t="s">
        <v>1202</v>
      </c>
      <c r="E104" s="0" t="s">
        <v>1534</v>
      </c>
      <c r="F104" s="0" t="s">
        <v>1761</v>
      </c>
      <c r="G104" s="0" t="str">
        <f aca="false">IFERROR(IF(INDEX(Matches!$W$5:$W$23,MATCH($C104,Matches!$A$5:$A$23,0))="","",INDEX(Matches!$W$5:$W$23,MATCH($C104,Matches!$A$5:$A$23,0))),"")</f>
        <v>Mirage</v>
      </c>
      <c r="H104" s="0" t="str">
        <f aca="false">IFERROR(IF(INDEX(Matches!$X$5:$X$23,MATCH($C104,Matches!$A$5:$A$23,0))="","",INDEX(Matches!$X$5:$X$23,MATCH($C104,Matches!$A$5:$A$23,0))),"")</f>
        <v>Dust2</v>
      </c>
      <c r="I104" s="0" t="str">
        <f aca="false">IFERROR(IF(INDEX(Matches!$Y$5:$Y$23,MATCH($C104,Matches!$A$5:$A$23,0))="","",INDEX(Matches!$Y$5:$Y$23,MATCH($C104,Matches!$A$5:$A$23,0))),"")</f>
        <v>Nuke</v>
      </c>
      <c r="J104" s="11" t="n">
        <f aca="false">IFERROR(IF(INDEX(Matches!$Z$5:$Z$23,MATCH($C104,Matches!$A$5:$A$23,0))="","",INDEX(Matches!$Z$5:$Z$23,MATCH($C104,Matches!$A$5:$A$23,0))),"")</f>
        <v>21.36</v>
      </c>
      <c r="K104" s="11" t="n">
        <f aca="false">IFERROR(IF(INDEX(Matches!$AA$5:$AA$23,MATCH($C104,Matches!$A$5:$A$23,0))="","",INDEX(Matches!$AA$5:$AA$23,MATCH($C104,Matches!$A$5:$A$23,0))),"")</f>
        <v>21.5</v>
      </c>
      <c r="L104" s="11" t="n">
        <f aca="false">IFERROR(IF(INDEX(Matches!$AB$5:$AB$23,MATCH($C104,Matches!$A$5:$A$23,0))="","",INDEX(Matches!$AB$5:$AB$23,MATCH($C104,Matches!$A$5:$A$23,0))),"")</f>
        <v>21.42</v>
      </c>
      <c r="M104" s="10" t="n">
        <f aca="false">IFERROR(IF(INDEX(Matches!$AC$5:$AC$23,MATCH($C104,Matches!$A$5:$A$23,0))="","",INDEX(Matches!$AC$5:$AC$23,MATCH($C104,Matches!$A$5:$A$23,0))),"")</f>
        <v>0.4973</v>
      </c>
      <c r="N104" s="9" t="n">
        <f aca="false">IFERROR(INDEX(Players!$F$2:$F$137,MATCH($F104,Players!$A$2:$A$137,0)),0)</f>
        <v>39</v>
      </c>
      <c r="O104" s="13" t="n">
        <f aca="false">IFERROR(1/(1/INDEX(Players!$H$2:$H$137,MATCH($F104,Players!$A$2:$A$137,0))),"")</f>
        <v>0.68</v>
      </c>
      <c r="P104" s="10" t="n">
        <f aca="false">IFERROR(1/(1/INDEX(Players!$I$2:$I$137,MATCH($F104,Players!$A$2:$A$137,0))),"")</f>
        <v>0.521</v>
      </c>
      <c r="Q104" s="9" t="n">
        <f aca="false">IF($G104="",0,SUMIFS(Map_Stats!$F$2:$F$850,Map_Stats!$A$2:$A$850,$F104&amp;"|"&amp;$G104))</f>
        <v>11</v>
      </c>
      <c r="R104" s="13" t="n">
        <f aca="false">IF($G104="","",IFERROR(1/(1/INDEX(Map_Stats!$K$2:$K$850,MATCH($F104&amp;"|"&amp;$G104,Map_Stats!$A$2:$A$850,0))),$O104))</f>
        <v>0.72</v>
      </c>
      <c r="S104" s="10" t="n">
        <f aca="false">IF(OR($G104="",$P104=""),"",IFERROR(1/(1/INDEX(Map_Stats!$I$2:$I$850,MATCH($F104&amp;"|"&amp;$G104,Map_Stats!$A$2:$A$850,0))),$P104))</f>
        <v>0.505</v>
      </c>
      <c r="T104" s="13" t="n">
        <f aca="false">IF(OR($G104="",R104=""),"",IF($O104="",R104,(Q104*R104+Config!$B$4*$O104)/(Q104+Config!$B$4)))</f>
        <v>0.7075</v>
      </c>
      <c r="U104" s="10" t="n">
        <f aca="false">IF(S104="","",(Q104*S104+Config!$B$4*$P104)/(Q104+Config!$B$4))</f>
        <v>0.51</v>
      </c>
      <c r="V104" s="17" t="n">
        <f aca="false">IF(OR(T104="",$J104=""),"",T104*$J104*($J104/Config!$B$10)^Config!$B$9)</f>
        <v>15.1122</v>
      </c>
      <c r="W104" s="17" t="n">
        <f aca="false">IF(OR(V104="",U104=""),"",V104*U104)</f>
        <v>7.707222</v>
      </c>
      <c r="X104" s="9" t="n">
        <f aca="false">IF($H104="",0,SUMIFS(Map_Stats!$F$2:$F$850,Map_Stats!$A$2:$A$850,$F104&amp;"|"&amp;$H104))</f>
        <v>8</v>
      </c>
      <c r="Y104" s="13" t="n">
        <f aca="false">IF($H104="","",IFERROR(1/(1/INDEX(Map_Stats!$K$2:$K$850,MATCH($F104&amp;"|"&amp;$H104,Map_Stats!$A$2:$A$850,0))),$O104))</f>
        <v>0.8</v>
      </c>
      <c r="Z104" s="10" t="n">
        <f aca="false">IF(OR($H104="",$P104=""),"",IFERROR(1/(1/INDEX(Map_Stats!$I$2:$I$850,MATCH($F104&amp;"|"&amp;$H104,Map_Stats!$A$2:$A$850,0))),$P104))</f>
        <v>0.604</v>
      </c>
      <c r="AA104" s="13" t="n">
        <f aca="false">IF(OR($H104="",Y104=""),"",IF($O104="",Y104,(X104*Y104+Config!$B$4*$O104)/(X104+Config!$B$4)))</f>
        <v>0.753846153846154</v>
      </c>
      <c r="AB104" s="10" t="n">
        <f aca="false">IF(Z104="","",(X104*Z104+Config!$B$4*$P104)/(X104+Config!$B$4))</f>
        <v>0.572076923076923</v>
      </c>
      <c r="AC104" s="17" t="n">
        <f aca="false">IF(OR(AA104="",$K104=""),"",AA104*$K104*($K104/Config!$B$10)^Config!$B$9)</f>
        <v>16.2076923076923</v>
      </c>
      <c r="AD104" s="17" t="n">
        <f aca="false">IF(OR(AC104="",AB104=""),"",AC104*AB104)</f>
        <v>9.27204674556213</v>
      </c>
      <c r="AE104" s="9" t="n">
        <f aca="false">IF($I104="",0,SUMIFS(Map_Stats!$F$2:$F$850,Map_Stats!$A$2:$A$850,$F104&amp;"|"&amp;$I104))</f>
        <v>7</v>
      </c>
      <c r="AF104" s="13" t="n">
        <f aca="false">IF($I104="","",IFERROR(1/(1/INDEX(Map_Stats!$K$2:$K$850,MATCH($F104&amp;"|"&amp;$I104,Map_Stats!$A$2:$A$850,0))),$O104))</f>
        <v>0.52</v>
      </c>
      <c r="AG104" s="10" t="n">
        <f aca="false">IF(OR($I104="",$P104=""),"",IFERROR(1/(1/INDEX(Map_Stats!$I$2:$I$850,MATCH($F104&amp;"|"&amp;$I104,Map_Stats!$A$2:$A$850,0))),$P104))</f>
        <v>0.432</v>
      </c>
      <c r="AH104" s="13" t="n">
        <f aca="false">IF(OR($I104="",AF104=""),"",IF($O104="",AF104,(AE104*AF104+Config!$B$4*$O104)/(AE104+Config!$B$4)))</f>
        <v>0.586666666666667</v>
      </c>
      <c r="AI104" s="10" t="n">
        <f aca="false">IF(AG104="","",(AE104*AG104+Config!$B$4*$P104)/(AE104+Config!$B$4))</f>
        <v>0.469083333333333</v>
      </c>
      <c r="AJ104" s="17" t="n">
        <f aca="false">IF(OR(AH104="",$L104=""),"",AH104*$L104*($L104/Config!$B$10)^Config!$B$9)</f>
        <v>12.5664</v>
      </c>
      <c r="AK104" s="17" t="n">
        <f aca="false">IF(OR(AJ104="",AI104=""),"",AJ104*AI104)</f>
        <v>5.8946888</v>
      </c>
      <c r="AL104" s="17" t="n">
        <f aca="false">N(V104)+N(AC104)</f>
        <v>31.3198923076923</v>
      </c>
      <c r="AM104" s="17" t="n">
        <f aca="false">AL104+N($M104)*N(AJ104)</f>
        <v>37.5691630276923</v>
      </c>
      <c r="AN104" s="17" t="n">
        <f aca="false">IF(W104="","",N(W104)+N(AD104))</f>
        <v>16.9792687455621</v>
      </c>
      <c r="AO104" s="17" t="n">
        <f aca="false">IF(AN104="","",AN104+N($M104)*N(AK104))</f>
        <v>19.9106974858021</v>
      </c>
      <c r="AP104" s="10" t="n">
        <f aca="false">IFERROR(AN104/AL104,"")</f>
        <v>0.542124110094464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IF($C104=Board!$B$2,COUNTIFS($C$2:$C$137,Board!$B$2,$AL$2:$AL$137,"&gt;"&amp;$AL104)+COUNTIFS($C$1:$C103,Board!$B$2,$AL$1:$AL103,$AL104)+1,"")</f>
        <v/>
      </c>
      <c r="AS104" s="0" t="str">
        <f aca="false">IFERROR(IF($D104=INDEX(Matches!$AD$5:$AD$23,MATCH($C104,Matches!$A$5:$A$23,0)),"A",IF($D104=INDEX(Matches!$AE$5:$AE$23,MATCH($C104,Matches!$A$5:$A$23,0)),"B","")),"")</f>
        <v>A</v>
      </c>
      <c r="AT104" s="10" t="n">
        <f aca="false">IF($AS104="","",IFERROR(IF($AS104="A",INDEX(Matches!$AI$5:$AI$23,MATCH($C104,Matches!$A$5:$A$23,0)),INDEX(Matches!$AJ$5:$AJ$23,MATCH($C104,Matches!$A$5:$A$23,0))),""))</f>
        <v>0.547063407003162</v>
      </c>
      <c r="AU104" s="10" t="n">
        <f aca="false">IF($AS104="","",IFERROR(IF(INDEX(Matches!$AP$5:$AP$23,MATCH($C104,Matches!$A$5:$A$23,0))="","",IF($AS104="A",INDEX(Matches!$AP$5:$AP$23,MATCH($C104,Matches!$A$5:$A$23,0)),1-INDEX(Matches!$AP$5:$AP$23,MATCH($C104,Matches!$A$5:$A$23,0)))),""))</f>
        <v>0.548585899842627</v>
      </c>
      <c r="AV104" s="13" t="n">
        <f aca="false">IF(OR($AU104="",$AT104=""),1,((Config!$B$14*$AU104+Config!$B$15*(1-$AU104))/(Config!$B$14*$AT104+Config!$B$15*(1-$AT104)))^Config!$B$13)</f>
        <v>1.00130561567934</v>
      </c>
      <c r="AW104" s="10" t="n">
        <f aca="false">IF($AS104="","",IFERROR(IF(INDEX(Matches!$AV$5:$AV$23,MATCH($C104,Matches!$A$5:$A$23,0))="","",IF($AS104="A",INDEX(Matches!$AV$5:$AV$23,MATCH($C104,Matches!$A$5:$A$23,0)),1-INDEX(Matches!$AV$5:$AV$23,MATCH($C104,Matches!$A$5:$A$23,0)))),""))</f>
        <v>0.526282691525173</v>
      </c>
      <c r="AX104" s="13" t="n">
        <f aca="false">IF(OR($AW104="",$AT104=""),1,((Config!$B$14*$AW104+Config!$B$15*(1-$AW104))/(Config!$B$14*$AT104+Config!$B$15*(1-$AT104)))^Config!$B$13)</f>
        <v>0.98217947089621</v>
      </c>
      <c r="AY104" s="10" t="n">
        <f aca="false">IF($AS104="","",IFERROR(IF(INDEX(Matches!$BB$5:$BB$23,MATCH($C104,Matches!$A$5:$A$23,0))="","",IF($AS104="A",INDEX(Matches!$BB$5:$BB$23,MATCH($C104,Matches!$A$5:$A$23,0)),1-INDEX(Matches!$BB$5:$BB$23,MATCH($C104,Matches!$A$5:$A$23,0)))),""))</f>
        <v>0.523740807756942</v>
      </c>
      <c r="AZ104" s="13" t="n">
        <f aca="false">IF(OR($AY104="",$AT104=""),1,((Config!$B$14*$AY104+Config!$B$15*(1-$AY104))/(Config!$B$14*$AT104+Config!$B$15*(1-$AT104)))^Config!$B$13)</f>
        <v>0.979999675223718</v>
      </c>
      <c r="BA104" s="17" t="n">
        <f aca="false">IF(V104="","",V104*$AV104)</f>
        <v>15.1319307252693</v>
      </c>
      <c r="BB104" s="17" t="n">
        <f aca="false">IF(AC104="","",AC104*$AX104)</f>
        <v>15.9188626552178</v>
      </c>
      <c r="BC104" s="17" t="n">
        <f aca="false">IF(AJ104="","",AJ104*$AZ104)</f>
        <v>12.3150679187313</v>
      </c>
      <c r="BD104" s="17" t="n">
        <f aca="false">N(BA104)+N(BB104)</f>
        <v>31.0507933804872</v>
      </c>
      <c r="BE104" s="17" t="n">
        <f aca="false">BD104+N($M104)*N(BC104)</f>
        <v>37.1750766564722</v>
      </c>
      <c r="BF104" s="17" t="n">
        <f aca="false">IF(W104="","",W104*$AV104)</f>
        <v>7.71728466988737</v>
      </c>
      <c r="BG104" s="17" t="n">
        <f aca="false">IF(AD104="","",AD104*$AX104)</f>
        <v>9.10681396668114</v>
      </c>
      <c r="BH104" s="17" t="n">
        <f aca="false">IF(AK104="","",AK104*$AZ104)</f>
        <v>5.77679310954489</v>
      </c>
      <c r="BI104" s="17" t="n">
        <f aca="false">IF(BF104="","",N(BF104)+N(BG104))</f>
        <v>16.8240986365685</v>
      </c>
      <c r="BJ104" s="17" t="n">
        <f aca="false">IF(BI104="","",BI104+N($M104)*N(BH104))</f>
        <v>19.6968978499452</v>
      </c>
      <c r="BK104" s="13" t="n">
        <f aca="false">IFERROR(BD104/AL104,1)</f>
        <v>0.991408050686718</v>
      </c>
    </row>
    <row r="105" customFormat="false" ht="15" hidden="false" customHeight="false" outlineLevel="0" collapsed="false">
      <c r="A105" s="0" t="s">
        <v>1537</v>
      </c>
      <c r="B105" s="0" t="s">
        <v>1139</v>
      </c>
      <c r="C105" s="0" t="s">
        <v>1229</v>
      </c>
      <c r="D105" s="0" t="s">
        <v>1233</v>
      </c>
      <c r="E105" s="0" t="s">
        <v>1536</v>
      </c>
      <c r="F105" s="0" t="s">
        <v>1762</v>
      </c>
      <c r="G105" s="0" t="str">
        <f aca="false">IFERROR(IF(INDEX(Matches!$W$5:$W$23,MATCH($C105,Matches!$A$5:$A$23,0))="","",INDEX(Matches!$W$5:$W$23,MATCH($C105,Matches!$A$5:$A$23,0))),"")</f>
        <v>Cache</v>
      </c>
      <c r="H105" s="0" t="str">
        <f aca="false">IFERROR(IF(INDEX(Matches!$X$5:$X$23,MATCH($C105,Matches!$A$5:$A$23,0))="","",INDEX(Matches!$X$5:$X$23,MATCH($C105,Matches!$A$5:$A$23,0))),"")</f>
        <v>Mirage</v>
      </c>
      <c r="I105" s="0" t="str">
        <f aca="false">IFERROR(IF(INDEX(Matches!$Y$5:$Y$23,MATCH($C105,Matches!$A$5:$A$23,0))="","",INDEX(Matches!$Y$5:$Y$23,MATCH($C105,Matches!$A$5:$A$23,0))),"")</f>
        <v>Inferno</v>
      </c>
      <c r="J105" s="11" t="n">
        <f aca="false">IFERROR(IF(INDEX(Matches!$Z$5:$Z$23,MATCH($C105,Matches!$A$5:$A$23,0))="","",INDEX(Matches!$Z$5:$Z$23,MATCH($C105,Matches!$A$5:$A$23,0))),"")</f>
        <v>21.5</v>
      </c>
      <c r="K105" s="11" t="n">
        <f aca="false">IFERROR(IF(INDEX(Matches!$AA$5:$AA$23,MATCH($C105,Matches!$A$5:$A$23,0))="","",INDEX(Matches!$AA$5:$AA$23,MATCH($C105,Matches!$A$5:$A$23,0))),"")</f>
        <v>21.5</v>
      </c>
      <c r="L105" s="11" t="n">
        <f aca="false">IFERROR(IF(INDEX(Matches!$AB$5:$AB$23,MATCH($C105,Matches!$A$5:$A$23,0))="","",INDEX(Matches!$AB$5:$AB$23,MATCH($C105,Matches!$A$5:$A$23,0))),"")</f>
        <v>21.5</v>
      </c>
      <c r="M105" s="10" t="n">
        <f aca="false">IFERROR(IF(INDEX(Matches!$AC$5:$AC$23,MATCH($C105,Matches!$A$5:$A$23,0))="","",INDEX(Matches!$AC$5:$AC$23,MATCH($C105,Matches!$A$5:$A$23,0))),"")</f>
        <v>0</v>
      </c>
      <c r="N105" s="9" t="n">
        <f aca="false">IFERROR(INDEX(Players!$F$2:$F$137,MATCH($F105,Players!$A$2:$A$137,0)),0)</f>
        <v>35</v>
      </c>
      <c r="O105" s="13" t="n">
        <f aca="false">IFERROR(1/(1/INDEX(Players!$H$2:$H$137,MATCH($F105,Players!$A$2:$A$137,0))),"")</f>
        <v>0.73</v>
      </c>
      <c r="P105" s="10" t="n">
        <f aca="false">IFERROR(1/(1/INDEX(Players!$I$2:$I$137,MATCH($F105,Players!$A$2:$A$137,0))),"")</f>
        <v>0.559</v>
      </c>
      <c r="Q105" s="9" t="n">
        <f aca="false">IF($G105="",0,SUMIFS(Map_Stats!$F$2:$F$850,Map_Stats!$A$2:$A$850,$F105&amp;"|"&amp;$G105))</f>
        <v>8</v>
      </c>
      <c r="R105" s="13" t="n">
        <f aca="false">IF($G105="","",IFERROR(1/(1/INDEX(Map_Stats!$K$2:$K$850,MATCH($F105&amp;"|"&amp;$G105,Map_Stats!$A$2:$A$850,0))),$O105))</f>
        <v>0.63</v>
      </c>
      <c r="S105" s="10" t="n">
        <f aca="false">IF(OR($G105="",$P105=""),"",IFERROR(1/(1/INDEX(Map_Stats!$I$2:$I$850,MATCH($F105&amp;"|"&amp;$G105,Map_Stats!$A$2:$A$850,0))),$P105))</f>
        <v>0.667</v>
      </c>
      <c r="T105" s="13" t="n">
        <f aca="false">IF(OR($G105="",R105=""),"",IF($O105="",R105,(Q105*R105+Config!$B$4*$O105)/(Q105+Config!$B$4)))</f>
        <v>0.668461538461539</v>
      </c>
      <c r="U105" s="10" t="n">
        <f aca="false">IF(S105="","",(Q105*S105+Config!$B$4*$P105)/(Q105+Config!$B$4))</f>
        <v>0.625461538461539</v>
      </c>
      <c r="V105" s="17" t="n">
        <f aca="false">IF(OR(T105="",$J105=""),"",T105*$J105*($J105/Config!$B$10)^Config!$B$9)</f>
        <v>14.3719230769231</v>
      </c>
      <c r="W105" s="17" t="n">
        <f aca="false">IF(OR(V105="",U105=""),"",V105*U105)</f>
        <v>8.9890851183432</v>
      </c>
      <c r="X105" s="9" t="n">
        <f aca="false">IF($H105="",0,SUMIFS(Map_Stats!$F$2:$F$850,Map_Stats!$A$2:$A$850,$F105&amp;"|"&amp;$H105))</f>
        <v>7</v>
      </c>
      <c r="Y105" s="13" t="n">
        <f aca="false">IF($H105="","",IFERROR(1/(1/INDEX(Map_Stats!$K$2:$K$850,MATCH($F105&amp;"|"&amp;$H105,Map_Stats!$A$2:$A$850,0))),$O105))</f>
        <v>0.77</v>
      </c>
      <c r="Z105" s="10" t="n">
        <f aca="false">IF(OR($H105="",$P105=""),"",IFERROR(1/(1/INDEX(Map_Stats!$I$2:$I$850,MATCH($F105&amp;"|"&amp;$H105,Map_Stats!$A$2:$A$850,0))),$P105))</f>
        <v>0.485</v>
      </c>
      <c r="AA105" s="13" t="n">
        <f aca="false">IF(OR($H105="",Y105=""),"",IF($O105="",Y105,(X105*Y105+Config!$B$4*$O105)/(X105+Config!$B$4)))</f>
        <v>0.753333333333333</v>
      </c>
      <c r="AB105" s="10" t="n">
        <f aca="false">IF(Z105="","",(X105*Z105+Config!$B$4*$P105)/(X105+Config!$B$4))</f>
        <v>0.515833333333333</v>
      </c>
      <c r="AC105" s="17" t="n">
        <f aca="false">IF(OR(AA105="",$K105=""),"",AA105*$K105*($K105/Config!$B$10)^Config!$B$9)</f>
        <v>16.1966666666667</v>
      </c>
      <c r="AD105" s="17" t="n">
        <f aca="false">IF(OR(AC105="",AB105=""),"",AC105*AB105)</f>
        <v>8.35478055555556</v>
      </c>
      <c r="AE105" s="9" t="n">
        <f aca="false">IF($I105="",0,SUMIFS(Map_Stats!$F$2:$F$850,Map_Stats!$A$2:$A$850,$F105&amp;"|"&amp;$I105))</f>
        <v>6</v>
      </c>
      <c r="AF105" s="13" t="n">
        <f aca="false">IF($I105="","",IFERROR(1/(1/INDEX(Map_Stats!$K$2:$K$850,MATCH($F105&amp;"|"&amp;$I105,Map_Stats!$A$2:$A$850,0))),$O105))</f>
        <v>0.71</v>
      </c>
      <c r="AG105" s="10" t="n">
        <f aca="false">IF(OR($I105="",$P105=""),"",IFERROR(1/(1/INDEX(Map_Stats!$I$2:$I$850,MATCH($F105&amp;"|"&amp;$I105,Map_Stats!$A$2:$A$850,0))),$P105))</f>
        <v>0.558</v>
      </c>
      <c r="AH105" s="13" t="n">
        <f aca="false">IF(OR($I105="",AF105=""),"",IF($O105="",AF105,(AE105*AF105+Config!$B$4*$O105)/(AE105+Config!$B$4)))</f>
        <v>0.719090909090909</v>
      </c>
      <c r="AI105" s="10" t="n">
        <f aca="false">IF(AG105="","",(AE105*AG105+Config!$B$4*$P105)/(AE105+Config!$B$4))</f>
        <v>0.558454545454545</v>
      </c>
      <c r="AJ105" s="17" t="n">
        <f aca="false">IF(OR(AH105="",$L105=""),"",AH105*$L105*($L105/Config!$B$10)^Config!$B$9)</f>
        <v>15.4604545454545</v>
      </c>
      <c r="AK105" s="17" t="n">
        <f aca="false">IF(OR(AJ105="",AI105=""),"",AJ105*AI105)</f>
        <v>8.63396111570248</v>
      </c>
      <c r="AL105" s="17" t="n">
        <f aca="false">N(V105)+N(AC105)</f>
        <v>30.5685897435897</v>
      </c>
      <c r="AM105" s="17" t="n">
        <f aca="false">AL105+N($M105)*N(AJ105)</f>
        <v>30.5685897435897</v>
      </c>
      <c r="AN105" s="17" t="n">
        <f aca="false">IF(W105="","",N(W105)+N(AD105))</f>
        <v>17.3438656738988</v>
      </c>
      <c r="AO105" s="17" t="n">
        <f aca="false">IF(AN105="","",AN105+N($M105)*N(AK105))</f>
        <v>17.3438656738988</v>
      </c>
      <c r="AP105" s="10" t="n">
        <f aca="false">IFERROR(AN105/AL105,"")</f>
        <v>0.56737539478856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IF($C105=Board!$B$2,COUNTIFS($C$2:$C$137,Board!$B$2,$AL$2:$AL$137,"&gt;"&amp;$AL105)+COUNTIFS($C$1:$C104,Board!$B$2,$AL$1:$AL104,$AL105)+1,"")</f>
        <v/>
      </c>
      <c r="AS105" s="0" t="str">
        <f aca="false">IFERROR(IF($D105=INDEX(Matches!$AD$5:$AD$23,MATCH($C105,Matches!$A$5:$A$23,0)),"A",IF($D105=INDEX(Matches!$AE$5:$AE$23,MATCH($C105,Matches!$A$5:$A$23,0)),"B","")),"")</f>
        <v>A</v>
      </c>
      <c r="AT105" s="10" t="n">
        <f aca="false">IF($AS105="","",IFERROR(IF($AS105="A",INDEX(Matches!$AI$5:$AI$23,MATCH($C105,Matches!$A$5:$A$23,0)),INDEX(Matches!$AJ$5:$AJ$23,MATCH($C105,Matches!$A$5:$A$23,0))),""))</f>
        <v>0.536265306122449</v>
      </c>
      <c r="AU105" s="10" t="n">
        <f aca="false">IF($AS105="","",IFERROR(IF(INDEX(Matches!$AP$5:$AP$23,MATCH($C105,Matches!$A$5:$A$23,0))="","",IF($AS105="A",INDEX(Matches!$AP$5:$AP$23,MATCH($C105,Matches!$A$5:$A$23,0)),1-INDEX(Matches!$AP$5:$AP$23,MATCH($C105,Matches!$A$5:$A$23,0)))),""))</f>
        <v>0.668619613426053</v>
      </c>
      <c r="AV105" s="13" t="n">
        <f aca="false">IF(OR($AU105="",$AT105=""),1,((Config!$B$14*$AU105+Config!$B$15*(1-$AU105))/(Config!$B$14*$AT105+Config!$B$15*(1-$AT105)))^Config!$B$13)</f>
        <v>1.114561435625</v>
      </c>
      <c r="AW105" s="10" t="n">
        <f aca="false">IF($AS105="","",IFERROR(IF(INDEX(Matches!$AV$5:$AV$23,MATCH($C105,Matches!$A$5:$A$23,0))="","",IF($AS105="A",INDEX(Matches!$AV$5:$AV$23,MATCH($C105,Matches!$A$5:$A$23,0)),1-INDEX(Matches!$AV$5:$AV$23,MATCH($C105,Matches!$A$5:$A$23,0)))),""))</f>
        <v>0.640687242971773</v>
      </c>
      <c r="AX105" s="13" t="n">
        <f aca="false">IF(OR($AW105="",$AT105=""),1,((Config!$B$14*$AW105+Config!$B$15*(1-$AW105))/(Config!$B$14*$AT105+Config!$B$15*(1-$AT105)))^Config!$B$13)</f>
        <v>1.09038411548451</v>
      </c>
      <c r="AY105" s="10" t="n">
        <f aca="false">IF($AS105="","",IFERROR(IF(INDEX(Matches!$BB$5:$BB$23,MATCH($C105,Matches!$A$5:$A$23,0))="","",IF($AS105="A",INDEX(Matches!$BB$5:$BB$23,MATCH($C105,Matches!$A$5:$A$23,0)),1-INDEX(Matches!$BB$5:$BB$23,MATCH($C105,Matches!$A$5:$A$23,0)))),""))</f>
        <v>0.630555433252737</v>
      </c>
      <c r="AZ105" s="13" t="n">
        <f aca="false">IF(OR($AY105="",$AT105=""),1,((Config!$B$14*$AY105+Config!$B$15*(1-$AY105))/(Config!$B$14*$AT105+Config!$B$15*(1-$AT105)))^Config!$B$13)</f>
        <v>1.08161436185474</v>
      </c>
      <c r="BA105" s="17" t="n">
        <f aca="false">IF(V105="","",V105*$AV105)</f>
        <v>16.0183912173075</v>
      </c>
      <c r="BB105" s="17" t="n">
        <f aca="false">IF(AC105="","",AC105*$AX105)</f>
        <v>17.6605880571309</v>
      </c>
      <c r="BC105" s="17" t="n">
        <f aca="false">IF(AJ105="","",AJ105*$AZ105)</f>
        <v>16.722249677166</v>
      </c>
      <c r="BD105" s="17" t="n">
        <f aca="false">N(BA105)+N(BB105)</f>
        <v>33.6789792744384</v>
      </c>
      <c r="BE105" s="17" t="n">
        <f aca="false">BD105+N($M105)*N(BC105)</f>
        <v>33.6789792744384</v>
      </c>
      <c r="BF105" s="17" t="n">
        <f aca="false">IF(W105="","",W105*$AV105)</f>
        <v>10.0188876144559</v>
      </c>
      <c r="BG105" s="17" t="n">
        <f aca="false">IF(AD105="","",AD105*$AX105)</f>
        <v>9.10992000613667</v>
      </c>
      <c r="BH105" s="17" t="n">
        <f aca="false">IF(AK105="","",AK105*$AZ105)</f>
        <v>9.33861634243918</v>
      </c>
      <c r="BI105" s="17" t="n">
        <f aca="false">IF(BF105="","",N(BF105)+N(BG105))</f>
        <v>19.1288076205926</v>
      </c>
      <c r="BJ105" s="17" t="n">
        <f aca="false">IF(BI105="","",BI105+N($M105)*N(BH105))</f>
        <v>19.1288076205926</v>
      </c>
      <c r="BK105" s="13" t="n">
        <f aca="false">IFERROR(BD105/AL105,1)</f>
        <v>1.10175116212225</v>
      </c>
    </row>
    <row r="106" customFormat="false" ht="15" hidden="false" customHeight="false" outlineLevel="0" collapsed="false">
      <c r="A106" s="0" t="s">
        <v>1539</v>
      </c>
      <c r="B106" s="0" t="s">
        <v>1139</v>
      </c>
      <c r="C106" s="0" t="s">
        <v>1229</v>
      </c>
      <c r="D106" s="0" t="s">
        <v>1233</v>
      </c>
      <c r="E106" s="0" t="s">
        <v>1538</v>
      </c>
      <c r="F106" s="0" t="s">
        <v>1763</v>
      </c>
      <c r="G106" s="0" t="str">
        <f aca="false">IFERROR(IF(INDEX(Matches!$W$5:$W$23,MATCH($C106,Matches!$A$5:$A$23,0))="","",INDEX(Matches!$W$5:$W$23,MATCH($C106,Matches!$A$5:$A$23,0))),"")</f>
        <v>Cache</v>
      </c>
      <c r="H106" s="0" t="str">
        <f aca="false">IFERROR(IF(INDEX(Matches!$X$5:$X$23,MATCH($C106,Matches!$A$5:$A$23,0))="","",INDEX(Matches!$X$5:$X$23,MATCH($C106,Matches!$A$5:$A$23,0))),"")</f>
        <v>Mirage</v>
      </c>
      <c r="I106" s="0" t="str">
        <f aca="false">IFERROR(IF(INDEX(Matches!$Y$5:$Y$23,MATCH($C106,Matches!$A$5:$A$23,0))="","",INDEX(Matches!$Y$5:$Y$23,MATCH($C106,Matches!$A$5:$A$23,0))),"")</f>
        <v>Inferno</v>
      </c>
      <c r="J106" s="11" t="n">
        <f aca="false">IFERROR(IF(INDEX(Matches!$Z$5:$Z$23,MATCH($C106,Matches!$A$5:$A$23,0))="","",INDEX(Matches!$Z$5:$Z$23,MATCH($C106,Matches!$A$5:$A$23,0))),"")</f>
        <v>21.5</v>
      </c>
      <c r="K106" s="11" t="n">
        <f aca="false">IFERROR(IF(INDEX(Matches!$AA$5:$AA$23,MATCH($C106,Matches!$A$5:$A$23,0))="","",INDEX(Matches!$AA$5:$AA$23,MATCH($C106,Matches!$A$5:$A$23,0))),"")</f>
        <v>21.5</v>
      </c>
      <c r="L106" s="11" t="n">
        <f aca="false">IFERROR(IF(INDEX(Matches!$AB$5:$AB$23,MATCH($C106,Matches!$A$5:$A$23,0))="","",INDEX(Matches!$AB$5:$AB$23,MATCH($C106,Matches!$A$5:$A$23,0))),"")</f>
        <v>21.5</v>
      </c>
      <c r="M106" s="10" t="n">
        <f aca="false">IFERROR(IF(INDEX(Matches!$AC$5:$AC$23,MATCH($C106,Matches!$A$5:$A$23,0))="","",INDEX(Matches!$AC$5:$AC$23,MATCH($C106,Matches!$A$5:$A$23,0))),"")</f>
        <v>0</v>
      </c>
      <c r="N106" s="9" t="n">
        <f aca="false">IFERROR(INDEX(Players!$F$2:$F$137,MATCH($F106,Players!$A$2:$A$137,0)),0)</f>
        <v>35</v>
      </c>
      <c r="O106" s="13" t="n">
        <f aca="false">IFERROR(1/(1/INDEX(Players!$H$2:$H$137,MATCH($F106,Players!$A$2:$A$137,0))),"")</f>
        <v>0.72</v>
      </c>
      <c r="P106" s="10" t="n">
        <f aca="false">IFERROR(1/(1/INDEX(Players!$I$2:$I$137,MATCH($F106,Players!$A$2:$A$137,0))),"")</f>
        <v>0.394</v>
      </c>
      <c r="Q106" s="9" t="n">
        <f aca="false">IF($G106="",0,SUMIFS(Map_Stats!$F$2:$F$850,Map_Stats!$A$2:$A$850,$F106&amp;"|"&amp;$G106))</f>
        <v>8</v>
      </c>
      <c r="R106" s="13" t="n">
        <f aca="false">IF($G106="","",IFERROR(1/(1/INDEX(Map_Stats!$K$2:$K$850,MATCH($F106&amp;"|"&amp;$G106,Map_Stats!$A$2:$A$850,0))),$O106))</f>
        <v>0.65</v>
      </c>
      <c r="S106" s="10" t="n">
        <f aca="false">IF(OR($G106="",$P106=""),"",IFERROR(1/(1/INDEX(Map_Stats!$I$2:$I$850,MATCH($F106&amp;"|"&amp;$G106,Map_Stats!$A$2:$A$850,0))),$P106))</f>
        <v>0.434</v>
      </c>
      <c r="T106" s="13" t="n">
        <f aca="false">IF(OR($G106="",R106=""),"",IF($O106="",R106,(Q106*R106+Config!$B$4*$O106)/(Q106+Config!$B$4)))</f>
        <v>0.676923076923077</v>
      </c>
      <c r="U106" s="10" t="n">
        <f aca="false">IF(S106="","",(Q106*S106+Config!$B$4*$P106)/(Q106+Config!$B$4))</f>
        <v>0.418615384615385</v>
      </c>
      <c r="V106" s="17" t="n">
        <f aca="false">IF(OR(T106="",$J106=""),"",T106*$J106*($J106/Config!$B$10)^Config!$B$9)</f>
        <v>14.5538461538462</v>
      </c>
      <c r="W106" s="17" t="n">
        <f aca="false">IF(OR(V106="",U106=""),"",V106*U106)</f>
        <v>6.09246390532544</v>
      </c>
      <c r="X106" s="9" t="n">
        <f aca="false">IF($H106="",0,SUMIFS(Map_Stats!$F$2:$F$850,Map_Stats!$A$2:$A$850,$F106&amp;"|"&amp;$H106))</f>
        <v>7</v>
      </c>
      <c r="Y106" s="13" t="n">
        <f aca="false">IF($H106="","",IFERROR(1/(1/INDEX(Map_Stats!$K$2:$K$850,MATCH($F106&amp;"|"&amp;$H106,Map_Stats!$A$2:$A$850,0))),$O106))</f>
        <v>0.72</v>
      </c>
      <c r="Z106" s="10" t="n">
        <f aca="false">IF(OR($H106="",$P106=""),"",IFERROR(1/(1/INDEX(Map_Stats!$I$2:$I$850,MATCH($F106&amp;"|"&amp;$H106,Map_Stats!$A$2:$A$850,0))),$P106))</f>
        <v>0.355</v>
      </c>
      <c r="AA106" s="13" t="n">
        <f aca="false">IF(OR($H106="",Y106=""),"",IF($O106="",Y106,(X106*Y106+Config!$B$4*$O106)/(X106+Config!$B$4)))</f>
        <v>0.72</v>
      </c>
      <c r="AB106" s="10" t="n">
        <f aca="false">IF(Z106="","",(X106*Z106+Config!$B$4*$P106)/(X106+Config!$B$4))</f>
        <v>0.37125</v>
      </c>
      <c r="AC106" s="17" t="n">
        <f aca="false">IF(OR(AA106="",$K106=""),"",AA106*$K106*($K106/Config!$B$10)^Config!$B$9)</f>
        <v>15.48</v>
      </c>
      <c r="AD106" s="17" t="n">
        <f aca="false">IF(OR(AC106="",AB106=""),"",AC106*AB106)</f>
        <v>5.74695</v>
      </c>
      <c r="AE106" s="9" t="n">
        <f aca="false">IF($I106="",0,SUMIFS(Map_Stats!$F$2:$F$850,Map_Stats!$A$2:$A$850,$F106&amp;"|"&amp;$I106))</f>
        <v>6</v>
      </c>
      <c r="AF106" s="13" t="n">
        <f aca="false">IF($I106="","",IFERROR(1/(1/INDEX(Map_Stats!$K$2:$K$850,MATCH($F106&amp;"|"&amp;$I106,Map_Stats!$A$2:$A$850,0))),$O106))</f>
        <v>0.65</v>
      </c>
      <c r="AG106" s="10" t="n">
        <f aca="false">IF(OR($I106="",$P106=""),"",IFERROR(1/(1/INDEX(Map_Stats!$I$2:$I$850,MATCH($F106&amp;"|"&amp;$I106,Map_Stats!$A$2:$A$850,0))),$P106))</f>
        <v>0.408</v>
      </c>
      <c r="AH106" s="13" t="n">
        <f aca="false">IF(OR($I106="",AF106=""),"",IF($O106="",AF106,(AE106*AF106+Config!$B$4*$O106)/(AE106+Config!$B$4)))</f>
        <v>0.681818181818182</v>
      </c>
      <c r="AI106" s="10" t="n">
        <f aca="false">IF(AG106="","",(AE106*AG106+Config!$B$4*$P106)/(AE106+Config!$B$4))</f>
        <v>0.401636363636364</v>
      </c>
      <c r="AJ106" s="17" t="n">
        <f aca="false">IF(OR(AH106="",$L106=""),"",AH106*$L106*($L106/Config!$B$10)^Config!$B$9)</f>
        <v>14.6590909090909</v>
      </c>
      <c r="AK106" s="17" t="n">
        <f aca="false">IF(OR(AJ106="",AI106=""),"",AJ106*AI106)</f>
        <v>5.88762396694215</v>
      </c>
      <c r="AL106" s="17" t="n">
        <f aca="false">N(V106)+N(AC106)</f>
        <v>30.0338461538462</v>
      </c>
      <c r="AM106" s="17" t="n">
        <f aca="false">AL106+N($M106)*N(AJ106)</f>
        <v>30.0338461538462</v>
      </c>
      <c r="AN106" s="17" t="n">
        <f aca="false">IF(W106="","",N(W106)+N(AD106))</f>
        <v>11.8394139053254</v>
      </c>
      <c r="AO106" s="17" t="n">
        <f aca="false">IF(AN106="","",AN106+N($M106)*N(AK106))</f>
        <v>11.8394139053254</v>
      </c>
      <c r="AP106" s="10" t="n">
        <f aca="false">IFERROR(AN106/AL106,"")</f>
        <v>0.394202389020671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IF($C106=Board!$B$2,COUNTIFS($C$2:$C$137,Board!$B$2,$AL$2:$AL$137,"&gt;"&amp;$AL106)+COUNTIFS($C$1:$C105,Board!$B$2,$AL$1:$AL105,$AL106)+1,"")</f>
        <v/>
      </c>
      <c r="AS106" s="0" t="str">
        <f aca="false">IFERROR(IF($D106=INDEX(Matches!$AD$5:$AD$23,MATCH($C106,Matches!$A$5:$A$23,0)),"A",IF($D106=INDEX(Matches!$AE$5:$AE$23,MATCH($C106,Matches!$A$5:$A$23,0)),"B","")),"")</f>
        <v>A</v>
      </c>
      <c r="AT106" s="10" t="n">
        <f aca="false">IF($AS106="","",IFERROR(IF($AS106="A",INDEX(Matches!$AI$5:$AI$23,MATCH($C106,Matches!$A$5:$A$23,0)),INDEX(Matches!$AJ$5:$AJ$23,MATCH($C106,Matches!$A$5:$A$23,0))),""))</f>
        <v>0.536265306122449</v>
      </c>
      <c r="AU106" s="10" t="n">
        <f aca="false">IF($AS106="","",IFERROR(IF(INDEX(Matches!$AP$5:$AP$23,MATCH($C106,Matches!$A$5:$A$23,0))="","",IF($AS106="A",INDEX(Matches!$AP$5:$AP$23,MATCH($C106,Matches!$A$5:$A$23,0)),1-INDEX(Matches!$AP$5:$AP$23,MATCH($C106,Matches!$A$5:$A$23,0)))),""))</f>
        <v>0.668619613426053</v>
      </c>
      <c r="AV106" s="13" t="n">
        <f aca="false">IF(OR($AU106="",$AT106=""),1,((Config!$B$14*$AU106+Config!$B$15*(1-$AU106))/(Config!$B$14*$AT106+Config!$B$15*(1-$AT106)))^Config!$B$13)</f>
        <v>1.114561435625</v>
      </c>
      <c r="AW106" s="10" t="n">
        <f aca="false">IF($AS106="","",IFERROR(IF(INDEX(Matches!$AV$5:$AV$23,MATCH($C106,Matches!$A$5:$A$23,0))="","",IF($AS106="A",INDEX(Matches!$AV$5:$AV$23,MATCH($C106,Matches!$A$5:$A$23,0)),1-INDEX(Matches!$AV$5:$AV$23,MATCH($C106,Matches!$A$5:$A$23,0)))),""))</f>
        <v>0.640687242971773</v>
      </c>
      <c r="AX106" s="13" t="n">
        <f aca="false">IF(OR($AW106="",$AT106=""),1,((Config!$B$14*$AW106+Config!$B$15*(1-$AW106))/(Config!$B$14*$AT106+Config!$B$15*(1-$AT106)))^Config!$B$13)</f>
        <v>1.09038411548451</v>
      </c>
      <c r="AY106" s="10" t="n">
        <f aca="false">IF($AS106="","",IFERROR(IF(INDEX(Matches!$BB$5:$BB$23,MATCH($C106,Matches!$A$5:$A$23,0))="","",IF($AS106="A",INDEX(Matches!$BB$5:$BB$23,MATCH($C106,Matches!$A$5:$A$23,0)),1-INDEX(Matches!$BB$5:$BB$23,MATCH($C106,Matches!$A$5:$A$23,0)))),""))</f>
        <v>0.630555433252737</v>
      </c>
      <c r="AZ106" s="13" t="n">
        <f aca="false">IF(OR($AY106="",$AT106=""),1,((Config!$B$14*$AY106+Config!$B$15*(1-$AY106))/(Config!$B$14*$AT106+Config!$B$15*(1-$AT106)))^Config!$B$13)</f>
        <v>1.08161436185474</v>
      </c>
      <c r="BA106" s="17" t="n">
        <f aca="false">IF(V106="","",V106*$AV106)</f>
        <v>16.2211556630962</v>
      </c>
      <c r="BB106" s="17" t="n">
        <f aca="false">IF(AC106="","",AC106*$AX106)</f>
        <v>16.8791461077003</v>
      </c>
      <c r="BC106" s="17" t="n">
        <f aca="false">IF(AJ106="","",AJ106*$AZ106)</f>
        <v>15.855483259007</v>
      </c>
      <c r="BD106" s="17" t="n">
        <f aca="false">N(BA106)+N(BB106)</f>
        <v>33.1003017707965</v>
      </c>
      <c r="BE106" s="17" t="n">
        <f aca="false">BD106+N($M106)*N(BC106)</f>
        <v>33.1003017707965</v>
      </c>
      <c r="BF106" s="17" t="n">
        <f aca="false">IF(W106="","",W106*$AV106)</f>
        <v>6.79042531681303</v>
      </c>
      <c r="BG106" s="17" t="n">
        <f aca="false">IF(AD106="","",AD106*$AX106)</f>
        <v>6.26638299248373</v>
      </c>
      <c r="BH106" s="17" t="n">
        <f aca="false">IF(AK106="","",AK106*$AZ106)</f>
        <v>6.36813863984481</v>
      </c>
      <c r="BI106" s="17" t="n">
        <f aca="false">IF(BF106="","",N(BF106)+N(BG106))</f>
        <v>13.0568083092968</v>
      </c>
      <c r="BJ106" s="17" t="n">
        <f aca="false">IF(BI106="","",BI106+N($M106)*N(BH106))</f>
        <v>13.0568083092968</v>
      </c>
      <c r="BK106" s="13" t="n">
        <f aca="false">IFERROR(BD106/AL106,1)</f>
        <v>1.10209999749092</v>
      </c>
    </row>
    <row r="107" customFormat="false" ht="15" hidden="false" customHeight="false" outlineLevel="0" collapsed="false">
      <c r="A107" s="0" t="s">
        <v>1541</v>
      </c>
      <c r="B107" s="0" t="s">
        <v>1139</v>
      </c>
      <c r="C107" s="0" t="s">
        <v>1229</v>
      </c>
      <c r="D107" s="0" t="s">
        <v>1233</v>
      </c>
      <c r="E107" s="0" t="s">
        <v>1540</v>
      </c>
      <c r="F107" s="0" t="s">
        <v>1764</v>
      </c>
      <c r="G107" s="0" t="str">
        <f aca="false">IFERROR(IF(INDEX(Matches!$W$5:$W$23,MATCH($C107,Matches!$A$5:$A$23,0))="","",INDEX(Matches!$W$5:$W$23,MATCH($C107,Matches!$A$5:$A$23,0))),"")</f>
        <v>Cache</v>
      </c>
      <c r="H107" s="0" t="str">
        <f aca="false">IFERROR(IF(INDEX(Matches!$X$5:$X$23,MATCH($C107,Matches!$A$5:$A$23,0))="","",INDEX(Matches!$X$5:$X$23,MATCH($C107,Matches!$A$5:$A$23,0))),"")</f>
        <v>Mirage</v>
      </c>
      <c r="I107" s="0" t="str">
        <f aca="false">IFERROR(IF(INDEX(Matches!$Y$5:$Y$23,MATCH($C107,Matches!$A$5:$A$23,0))="","",INDEX(Matches!$Y$5:$Y$23,MATCH($C107,Matches!$A$5:$A$23,0))),"")</f>
        <v>Inferno</v>
      </c>
      <c r="J107" s="11" t="n">
        <f aca="false">IFERROR(IF(INDEX(Matches!$Z$5:$Z$23,MATCH($C107,Matches!$A$5:$A$23,0))="","",INDEX(Matches!$Z$5:$Z$23,MATCH($C107,Matches!$A$5:$A$23,0))),"")</f>
        <v>21.5</v>
      </c>
      <c r="K107" s="11" t="n">
        <f aca="false">IFERROR(IF(INDEX(Matches!$AA$5:$AA$23,MATCH($C107,Matches!$A$5:$A$23,0))="","",INDEX(Matches!$AA$5:$AA$23,MATCH($C107,Matches!$A$5:$A$23,0))),"")</f>
        <v>21.5</v>
      </c>
      <c r="L107" s="11" t="n">
        <f aca="false">IFERROR(IF(INDEX(Matches!$AB$5:$AB$23,MATCH($C107,Matches!$A$5:$A$23,0))="","",INDEX(Matches!$AB$5:$AB$23,MATCH($C107,Matches!$A$5:$A$23,0))),"")</f>
        <v>21.5</v>
      </c>
      <c r="M107" s="10" t="n">
        <f aca="false">IFERROR(IF(INDEX(Matches!$AC$5:$AC$23,MATCH($C107,Matches!$A$5:$A$23,0))="","",INDEX(Matches!$AC$5:$AC$23,MATCH($C107,Matches!$A$5:$A$23,0))),"")</f>
        <v>0</v>
      </c>
      <c r="N107" s="9" t="n">
        <f aca="false">IFERROR(INDEX(Players!$F$2:$F$137,MATCH($F107,Players!$A$2:$A$137,0)),0)</f>
        <v>35</v>
      </c>
      <c r="O107" s="13" t="n">
        <f aca="false">IFERROR(1/(1/INDEX(Players!$H$2:$H$137,MATCH($F107,Players!$A$2:$A$137,0))),"")</f>
        <v>0.62</v>
      </c>
      <c r="P107" s="10" t="n">
        <f aca="false">IFERROR(1/(1/INDEX(Players!$I$2:$I$137,MATCH($F107,Players!$A$2:$A$137,0))),"")</f>
        <v>0.494</v>
      </c>
      <c r="Q107" s="9" t="n">
        <f aca="false">IF($G107="",0,SUMIFS(Map_Stats!$F$2:$F$850,Map_Stats!$A$2:$A$850,$F107&amp;"|"&amp;$G107))</f>
        <v>8</v>
      </c>
      <c r="R107" s="13" t="n">
        <f aca="false">IF($G107="","",IFERROR(1/(1/INDEX(Map_Stats!$K$2:$K$850,MATCH($F107&amp;"|"&amp;$G107,Map_Stats!$A$2:$A$850,0))),$O107))</f>
        <v>0.61</v>
      </c>
      <c r="S107" s="10" t="n">
        <f aca="false">IF(OR($G107="",$P107=""),"",IFERROR(1/(1/INDEX(Map_Stats!$I$2:$I$850,MATCH($F107&amp;"|"&amp;$G107,Map_Stats!$A$2:$A$850,0))),$P107))</f>
        <v>0.495</v>
      </c>
      <c r="T107" s="13" t="n">
        <f aca="false">IF(OR($G107="",R107=""),"",IF($O107="",R107,(Q107*R107+Config!$B$4*$O107)/(Q107+Config!$B$4)))</f>
        <v>0.613846153846154</v>
      </c>
      <c r="U107" s="10" t="n">
        <f aca="false">IF(S107="","",(Q107*S107+Config!$B$4*$P107)/(Q107+Config!$B$4))</f>
        <v>0.494615384615385</v>
      </c>
      <c r="V107" s="17" t="n">
        <f aca="false">IF(OR(T107="",$J107=""),"",T107*$J107*($J107/Config!$B$10)^Config!$B$9)</f>
        <v>13.1976923076923</v>
      </c>
      <c r="W107" s="17" t="n">
        <f aca="false">IF(OR(V107="",U107=""),"",V107*U107)</f>
        <v>6.52778165680473</v>
      </c>
      <c r="X107" s="9" t="n">
        <f aca="false">IF($H107="",0,SUMIFS(Map_Stats!$F$2:$F$850,Map_Stats!$A$2:$A$850,$F107&amp;"|"&amp;$H107))</f>
        <v>7</v>
      </c>
      <c r="Y107" s="13" t="n">
        <f aca="false">IF($H107="","",IFERROR(1/(1/INDEX(Map_Stats!$K$2:$K$850,MATCH($F107&amp;"|"&amp;$H107,Map_Stats!$A$2:$A$850,0))),$O107))</f>
        <v>0.58</v>
      </c>
      <c r="Z107" s="10" t="n">
        <f aca="false">IF(OR($H107="",$P107=""),"",IFERROR(1/(1/INDEX(Map_Stats!$I$2:$I$850,MATCH($F107&amp;"|"&amp;$H107,Map_Stats!$A$2:$A$850,0))),$P107))</f>
        <v>0.47</v>
      </c>
      <c r="AA107" s="13" t="n">
        <f aca="false">IF(OR($H107="",Y107=""),"",IF($O107="",Y107,(X107*Y107+Config!$B$4*$O107)/(X107+Config!$B$4)))</f>
        <v>0.596666666666667</v>
      </c>
      <c r="AB107" s="10" t="n">
        <f aca="false">IF(Z107="","",(X107*Z107+Config!$B$4*$P107)/(X107+Config!$B$4))</f>
        <v>0.48</v>
      </c>
      <c r="AC107" s="17" t="n">
        <f aca="false">IF(OR(AA107="",$K107=""),"",AA107*$K107*($K107/Config!$B$10)^Config!$B$9)</f>
        <v>12.8283333333333</v>
      </c>
      <c r="AD107" s="17" t="n">
        <f aca="false">IF(OR(AC107="",AB107=""),"",AC107*AB107)</f>
        <v>6.1576</v>
      </c>
      <c r="AE107" s="9" t="n">
        <f aca="false">IF($I107="",0,SUMIFS(Map_Stats!$F$2:$F$850,Map_Stats!$A$2:$A$850,$F107&amp;"|"&amp;$I107))</f>
        <v>6</v>
      </c>
      <c r="AF107" s="13" t="n">
        <f aca="false">IF($I107="","",IFERROR(1/(1/INDEX(Map_Stats!$K$2:$K$850,MATCH($F107&amp;"|"&amp;$I107,Map_Stats!$A$2:$A$850,0))),$O107))</f>
        <v>0.58</v>
      </c>
      <c r="AG107" s="10" t="n">
        <f aca="false">IF(OR($I107="",$P107=""),"",IFERROR(1/(1/INDEX(Map_Stats!$I$2:$I$850,MATCH($F107&amp;"|"&amp;$I107,Map_Stats!$A$2:$A$850,0))),$P107))</f>
        <v>0.444</v>
      </c>
      <c r="AH107" s="13" t="n">
        <f aca="false">IF(OR($I107="",AF107=""),"",IF($O107="",AF107,(AE107*AF107+Config!$B$4*$O107)/(AE107+Config!$B$4)))</f>
        <v>0.598181818181818</v>
      </c>
      <c r="AI107" s="10" t="n">
        <f aca="false">IF(AG107="","",(AE107*AG107+Config!$B$4*$P107)/(AE107+Config!$B$4))</f>
        <v>0.466727272727273</v>
      </c>
      <c r="AJ107" s="17" t="n">
        <f aca="false">IF(OR(AH107="",$L107=""),"",AH107*$L107*($L107/Config!$B$10)^Config!$B$9)</f>
        <v>12.8609090909091</v>
      </c>
      <c r="AK107" s="17" t="n">
        <f aca="false">IF(OR(AJ107="",AI107=""),"",AJ107*AI107)</f>
        <v>6.00253702479339</v>
      </c>
      <c r="AL107" s="17" t="n">
        <f aca="false">N(V107)+N(AC107)</f>
        <v>26.0260256410256</v>
      </c>
      <c r="AM107" s="17" t="n">
        <f aca="false">AL107+N($M107)*N(AJ107)</f>
        <v>26.0260256410256</v>
      </c>
      <c r="AN107" s="17" t="n">
        <f aca="false">IF(W107="","",N(W107)+N(AD107))</f>
        <v>12.6853816568047</v>
      </c>
      <c r="AO107" s="17" t="n">
        <f aca="false">IF(AN107="","",AN107+N($M107)*N(AK107))</f>
        <v>12.6853816568047</v>
      </c>
      <c r="AP107" s="10" t="n">
        <f aca="false">IFERROR(AN107/AL107,"")</f>
        <v>0.487411402408225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IF($C107=Board!$B$2,COUNTIFS($C$2:$C$137,Board!$B$2,$AL$2:$AL$137,"&gt;"&amp;$AL107)+COUNTIFS($C$1:$C106,Board!$B$2,$AL$1:$AL106,$AL107)+1,"")</f>
        <v/>
      </c>
      <c r="AS107" s="0" t="str">
        <f aca="false">IFERROR(IF($D107=INDEX(Matches!$AD$5:$AD$23,MATCH($C107,Matches!$A$5:$A$23,0)),"A",IF($D107=INDEX(Matches!$AE$5:$AE$23,MATCH($C107,Matches!$A$5:$A$23,0)),"B","")),"")</f>
        <v>A</v>
      </c>
      <c r="AT107" s="10" t="n">
        <f aca="false">IF($AS107="","",IFERROR(IF($AS107="A",INDEX(Matches!$AI$5:$AI$23,MATCH($C107,Matches!$A$5:$A$23,0)),INDEX(Matches!$AJ$5:$AJ$23,MATCH($C107,Matches!$A$5:$A$23,0))),""))</f>
        <v>0.536265306122449</v>
      </c>
      <c r="AU107" s="10" t="n">
        <f aca="false">IF($AS107="","",IFERROR(IF(INDEX(Matches!$AP$5:$AP$23,MATCH($C107,Matches!$A$5:$A$23,0))="","",IF($AS107="A",INDEX(Matches!$AP$5:$AP$23,MATCH($C107,Matches!$A$5:$A$23,0)),1-INDEX(Matches!$AP$5:$AP$23,MATCH($C107,Matches!$A$5:$A$23,0)))),""))</f>
        <v>0.668619613426053</v>
      </c>
      <c r="AV107" s="13" t="n">
        <f aca="false">IF(OR($AU107="",$AT107=""),1,((Config!$B$14*$AU107+Config!$B$15*(1-$AU107))/(Config!$B$14*$AT107+Config!$B$15*(1-$AT107)))^Config!$B$13)</f>
        <v>1.114561435625</v>
      </c>
      <c r="AW107" s="10" t="n">
        <f aca="false">IF($AS107="","",IFERROR(IF(INDEX(Matches!$AV$5:$AV$23,MATCH($C107,Matches!$A$5:$A$23,0))="","",IF($AS107="A",INDEX(Matches!$AV$5:$AV$23,MATCH($C107,Matches!$A$5:$A$23,0)),1-INDEX(Matches!$AV$5:$AV$23,MATCH($C107,Matches!$A$5:$A$23,0)))),""))</f>
        <v>0.640687242971773</v>
      </c>
      <c r="AX107" s="13" t="n">
        <f aca="false">IF(OR($AW107="",$AT107=""),1,((Config!$B$14*$AW107+Config!$B$15*(1-$AW107))/(Config!$B$14*$AT107+Config!$B$15*(1-$AT107)))^Config!$B$13)</f>
        <v>1.09038411548451</v>
      </c>
      <c r="AY107" s="10" t="n">
        <f aca="false">IF($AS107="","",IFERROR(IF(INDEX(Matches!$BB$5:$BB$23,MATCH($C107,Matches!$A$5:$A$23,0))="","",IF($AS107="A",INDEX(Matches!$BB$5:$BB$23,MATCH($C107,Matches!$A$5:$A$23,0)),1-INDEX(Matches!$BB$5:$BB$23,MATCH($C107,Matches!$A$5:$A$23,0)))),""))</f>
        <v>0.630555433252737</v>
      </c>
      <c r="AZ107" s="13" t="n">
        <f aca="false">IF(OR($AY107="",$AT107=""),1,((Config!$B$14*$AY107+Config!$B$15*(1-$AY107))/(Config!$B$14*$AT107+Config!$B$15*(1-$AT107)))^Config!$B$13)</f>
        <v>1.08161436185474</v>
      </c>
      <c r="BA107" s="17" t="n">
        <f aca="false">IF(V107="","",V107*$AV107)</f>
        <v>14.7096388853986</v>
      </c>
      <c r="BB107" s="17" t="n">
        <f aca="false">IF(AC107="","",AC107*$AX107)</f>
        <v>13.9878108948072</v>
      </c>
      <c r="BC107" s="17" t="n">
        <f aca="false">IF(AJ107="","",AJ107*$AZ107)</f>
        <v>13.9105439792355</v>
      </c>
      <c r="BD107" s="17" t="n">
        <f aca="false">N(BA107)+N(BB107)</f>
        <v>28.6974497802058</v>
      </c>
      <c r="BE107" s="17" t="n">
        <f aca="false">BD107+N($M107)*N(BC107)</f>
        <v>28.6974497802058</v>
      </c>
      <c r="BF107" s="17" t="n">
        <f aca="false">IF(W107="","",W107*$AV107)</f>
        <v>7.27561369485484</v>
      </c>
      <c r="BG107" s="17" t="n">
        <f aca="false">IF(AD107="","",AD107*$AX107)</f>
        <v>6.71414922950745</v>
      </c>
      <c r="BH107" s="17" t="n">
        <f aca="false">IF(AK107="","",AK107*$AZ107)</f>
        <v>6.49243025358135</v>
      </c>
      <c r="BI107" s="17" t="n">
        <f aca="false">IF(BF107="","",N(BF107)+N(BG107))</f>
        <v>13.9897629243623</v>
      </c>
      <c r="BJ107" s="17" t="n">
        <f aca="false">IF(BI107="","",BI107+N($M107)*N(BH107))</f>
        <v>13.9897629243623</v>
      </c>
      <c r="BK107" s="13" t="n">
        <f aca="false">IFERROR(BD107/AL107,1)</f>
        <v>1.10264433671229</v>
      </c>
    </row>
    <row r="108" customFormat="false" ht="15" hidden="false" customHeight="false" outlineLevel="0" collapsed="false">
      <c r="A108" s="0" t="s">
        <v>1543</v>
      </c>
      <c r="B108" s="0" t="s">
        <v>1139</v>
      </c>
      <c r="C108" s="0" t="s">
        <v>1229</v>
      </c>
      <c r="D108" s="0" t="s">
        <v>1233</v>
      </c>
      <c r="E108" s="0" t="s">
        <v>1542</v>
      </c>
      <c r="F108" s="0" t="s">
        <v>1765</v>
      </c>
      <c r="G108" s="0" t="str">
        <f aca="false">IFERROR(IF(INDEX(Matches!$W$5:$W$23,MATCH($C108,Matches!$A$5:$A$23,0))="","",INDEX(Matches!$W$5:$W$23,MATCH($C108,Matches!$A$5:$A$23,0))),"")</f>
        <v>Cache</v>
      </c>
      <c r="H108" s="0" t="str">
        <f aca="false">IFERROR(IF(INDEX(Matches!$X$5:$X$23,MATCH($C108,Matches!$A$5:$A$23,0))="","",INDEX(Matches!$X$5:$X$23,MATCH($C108,Matches!$A$5:$A$23,0))),"")</f>
        <v>Mirage</v>
      </c>
      <c r="I108" s="0" t="str">
        <f aca="false">IFERROR(IF(INDEX(Matches!$Y$5:$Y$23,MATCH($C108,Matches!$A$5:$A$23,0))="","",INDEX(Matches!$Y$5:$Y$23,MATCH($C108,Matches!$A$5:$A$23,0))),"")</f>
        <v>Inferno</v>
      </c>
      <c r="J108" s="11" t="n">
        <f aca="false">IFERROR(IF(INDEX(Matches!$Z$5:$Z$23,MATCH($C108,Matches!$A$5:$A$23,0))="","",INDEX(Matches!$Z$5:$Z$23,MATCH($C108,Matches!$A$5:$A$23,0))),"")</f>
        <v>21.5</v>
      </c>
      <c r="K108" s="11" t="n">
        <f aca="false">IFERROR(IF(INDEX(Matches!$AA$5:$AA$23,MATCH($C108,Matches!$A$5:$A$23,0))="","",INDEX(Matches!$AA$5:$AA$23,MATCH($C108,Matches!$A$5:$A$23,0))),"")</f>
        <v>21.5</v>
      </c>
      <c r="L108" s="11" t="n">
        <f aca="false">IFERROR(IF(INDEX(Matches!$AB$5:$AB$23,MATCH($C108,Matches!$A$5:$A$23,0))="","",INDEX(Matches!$AB$5:$AB$23,MATCH($C108,Matches!$A$5:$A$23,0))),"")</f>
        <v>21.5</v>
      </c>
      <c r="M108" s="10" t="n">
        <f aca="false">IFERROR(IF(INDEX(Matches!$AC$5:$AC$23,MATCH($C108,Matches!$A$5:$A$23,0))="","",INDEX(Matches!$AC$5:$AC$23,MATCH($C108,Matches!$A$5:$A$23,0))),"")</f>
        <v>0</v>
      </c>
      <c r="N108" s="9" t="n">
        <f aca="false">IFERROR(INDEX(Players!$F$2:$F$137,MATCH($F108,Players!$A$2:$A$137,0)),0)</f>
        <v>35</v>
      </c>
      <c r="O108" s="13" t="n">
        <f aca="false">IFERROR(1/(1/INDEX(Players!$H$2:$H$137,MATCH($F108,Players!$A$2:$A$137,0))),"")</f>
        <v>0.61</v>
      </c>
      <c r="P108" s="10" t="n">
        <f aca="false">IFERROR(1/(1/INDEX(Players!$I$2:$I$137,MATCH($F108,Players!$A$2:$A$137,0))),"")</f>
        <v>0.595</v>
      </c>
      <c r="Q108" s="9" t="n">
        <f aca="false">IF($G108="",0,SUMIFS(Map_Stats!$F$2:$F$850,Map_Stats!$A$2:$A$850,$F108&amp;"|"&amp;$G108))</f>
        <v>8</v>
      </c>
      <c r="R108" s="13" t="n">
        <f aca="false">IF($G108="","",IFERROR(1/(1/INDEX(Map_Stats!$K$2:$K$850,MATCH($F108&amp;"|"&amp;$G108,Map_Stats!$A$2:$A$850,0))),$O108))</f>
        <v>0.6</v>
      </c>
      <c r="S108" s="10" t="n">
        <f aca="false">IF(OR($G108="",$P108=""),"",IFERROR(1/(1/INDEX(Map_Stats!$I$2:$I$850,MATCH($F108&amp;"|"&amp;$G108,Map_Stats!$A$2:$A$850,0))),$P108))</f>
        <v>0.592</v>
      </c>
      <c r="T108" s="13" t="n">
        <f aca="false">IF(OR($G108="",R108=""),"",IF($O108="",R108,(Q108*R108+Config!$B$4*$O108)/(Q108+Config!$B$4)))</f>
        <v>0.603846153846154</v>
      </c>
      <c r="U108" s="10" t="n">
        <f aca="false">IF(S108="","",(Q108*S108+Config!$B$4*$P108)/(Q108+Config!$B$4))</f>
        <v>0.593153846153846</v>
      </c>
      <c r="V108" s="17" t="n">
        <f aca="false">IF(OR(T108="",$J108=""),"",T108*$J108*($J108/Config!$B$10)^Config!$B$9)</f>
        <v>12.9826923076923</v>
      </c>
      <c r="W108" s="17" t="n">
        <f aca="false">IF(OR(V108="",U108=""),"",V108*U108)</f>
        <v>7.70073387573965</v>
      </c>
      <c r="X108" s="9" t="n">
        <f aca="false">IF($H108="",0,SUMIFS(Map_Stats!$F$2:$F$850,Map_Stats!$A$2:$A$850,$F108&amp;"|"&amp;$H108))</f>
        <v>7</v>
      </c>
      <c r="Y108" s="13" t="n">
        <f aca="false">IF($H108="","",IFERROR(1/(1/INDEX(Map_Stats!$K$2:$K$850,MATCH($F108&amp;"|"&amp;$H108,Map_Stats!$A$2:$A$850,0))),$O108))</f>
        <v>0.54</v>
      </c>
      <c r="Z108" s="10" t="n">
        <f aca="false">IF(OR($H108="",$P108=""),"",IFERROR(1/(1/INDEX(Map_Stats!$I$2:$I$850,MATCH($F108&amp;"|"&amp;$H108,Map_Stats!$A$2:$A$850,0))),$P108))</f>
        <v>0.613</v>
      </c>
      <c r="AA108" s="13" t="n">
        <f aca="false">IF(OR($H108="",Y108=""),"",IF($O108="",Y108,(X108*Y108+Config!$B$4*$O108)/(X108+Config!$B$4)))</f>
        <v>0.569166666666667</v>
      </c>
      <c r="AB108" s="10" t="n">
        <f aca="false">IF(Z108="","",(X108*Z108+Config!$B$4*$P108)/(X108+Config!$B$4))</f>
        <v>0.6055</v>
      </c>
      <c r="AC108" s="17" t="n">
        <f aca="false">IF(OR(AA108="",$K108=""),"",AA108*$K108*($K108/Config!$B$10)^Config!$B$9)</f>
        <v>12.2370833333333</v>
      </c>
      <c r="AD108" s="17" t="n">
        <f aca="false">IF(OR(AC108="",AB108=""),"",AC108*AB108)</f>
        <v>7.40955395833333</v>
      </c>
      <c r="AE108" s="9" t="n">
        <f aca="false">IF($I108="",0,SUMIFS(Map_Stats!$F$2:$F$850,Map_Stats!$A$2:$A$850,$F108&amp;"|"&amp;$I108))</f>
        <v>6</v>
      </c>
      <c r="AF108" s="13" t="n">
        <f aca="false">IF($I108="","",IFERROR(1/(1/INDEX(Map_Stats!$K$2:$K$850,MATCH($F108&amp;"|"&amp;$I108,Map_Stats!$A$2:$A$850,0))),$O108))</f>
        <v>0.56</v>
      </c>
      <c r="AG108" s="10" t="n">
        <f aca="false">IF(OR($I108="",$P108=""),"",IFERROR(1/(1/INDEX(Map_Stats!$I$2:$I$850,MATCH($F108&amp;"|"&amp;$I108,Map_Stats!$A$2:$A$850,0))),$P108))</f>
        <v>0.639</v>
      </c>
      <c r="AH108" s="13" t="n">
        <f aca="false">IF(OR($I108="",AF108=""),"",IF($O108="",AF108,(AE108*AF108+Config!$B$4*$O108)/(AE108+Config!$B$4)))</f>
        <v>0.582727272727273</v>
      </c>
      <c r="AI108" s="10" t="n">
        <f aca="false">IF(AG108="","",(AE108*AG108+Config!$B$4*$P108)/(AE108+Config!$B$4))</f>
        <v>0.619</v>
      </c>
      <c r="AJ108" s="17" t="n">
        <f aca="false">IF(OR(AH108="",$L108=""),"",AH108*$L108*($L108/Config!$B$10)^Config!$B$9)</f>
        <v>12.5286363636364</v>
      </c>
      <c r="AK108" s="17" t="n">
        <f aca="false">IF(OR(AJ108="",AI108=""),"",AJ108*AI108)</f>
        <v>7.75522590909091</v>
      </c>
      <c r="AL108" s="17" t="n">
        <f aca="false">N(V108)+N(AC108)</f>
        <v>25.2197756410256</v>
      </c>
      <c r="AM108" s="17" t="n">
        <f aca="false">AL108+N($M108)*N(AJ108)</f>
        <v>25.2197756410256</v>
      </c>
      <c r="AN108" s="17" t="n">
        <f aca="false">IF(W108="","",N(W108)+N(AD108))</f>
        <v>15.110287834073</v>
      </c>
      <c r="AO108" s="17" t="n">
        <f aca="false">IF(AN108="","",AN108+N($M108)*N(AK108))</f>
        <v>15.110287834073</v>
      </c>
      <c r="AP108" s="10" t="n">
        <f aca="false">IFERROR(AN108/AL108,"")</f>
        <v>0.599144419409215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IF($C108=Board!$B$2,COUNTIFS($C$2:$C$137,Board!$B$2,$AL$2:$AL$137,"&gt;"&amp;$AL108)+COUNTIFS($C$1:$C107,Board!$B$2,$AL$1:$AL107,$AL108)+1,"")</f>
        <v/>
      </c>
      <c r="AS108" s="0" t="str">
        <f aca="false">IFERROR(IF($D108=INDEX(Matches!$AD$5:$AD$23,MATCH($C108,Matches!$A$5:$A$23,0)),"A",IF($D108=INDEX(Matches!$AE$5:$AE$23,MATCH($C108,Matches!$A$5:$A$23,0)),"B","")),"")</f>
        <v>A</v>
      </c>
      <c r="AT108" s="10" t="n">
        <f aca="false">IF($AS108="","",IFERROR(IF($AS108="A",INDEX(Matches!$AI$5:$AI$23,MATCH($C108,Matches!$A$5:$A$23,0)),INDEX(Matches!$AJ$5:$AJ$23,MATCH($C108,Matches!$A$5:$A$23,0))),""))</f>
        <v>0.536265306122449</v>
      </c>
      <c r="AU108" s="10" t="n">
        <f aca="false">IF($AS108="","",IFERROR(IF(INDEX(Matches!$AP$5:$AP$23,MATCH($C108,Matches!$A$5:$A$23,0))="","",IF($AS108="A",INDEX(Matches!$AP$5:$AP$23,MATCH($C108,Matches!$A$5:$A$23,0)),1-INDEX(Matches!$AP$5:$AP$23,MATCH($C108,Matches!$A$5:$A$23,0)))),""))</f>
        <v>0.668619613426053</v>
      </c>
      <c r="AV108" s="13" t="n">
        <f aca="false">IF(OR($AU108="",$AT108=""),1,((Config!$B$14*$AU108+Config!$B$15*(1-$AU108))/(Config!$B$14*$AT108+Config!$B$15*(1-$AT108)))^Config!$B$13)</f>
        <v>1.114561435625</v>
      </c>
      <c r="AW108" s="10" t="n">
        <f aca="false">IF($AS108="","",IFERROR(IF(INDEX(Matches!$AV$5:$AV$23,MATCH($C108,Matches!$A$5:$A$23,0))="","",IF($AS108="A",INDEX(Matches!$AV$5:$AV$23,MATCH($C108,Matches!$A$5:$A$23,0)),1-INDEX(Matches!$AV$5:$AV$23,MATCH($C108,Matches!$A$5:$A$23,0)))),""))</f>
        <v>0.640687242971773</v>
      </c>
      <c r="AX108" s="13" t="n">
        <f aca="false">IF(OR($AW108="",$AT108=""),1,((Config!$B$14*$AW108+Config!$B$15*(1-$AW108))/(Config!$B$14*$AT108+Config!$B$15*(1-$AT108)))^Config!$B$13)</f>
        <v>1.09038411548451</v>
      </c>
      <c r="AY108" s="10" t="n">
        <f aca="false">IF($AS108="","",IFERROR(IF(INDEX(Matches!$BB$5:$BB$23,MATCH($C108,Matches!$A$5:$A$23,0))="","",IF($AS108="A",INDEX(Matches!$BB$5:$BB$23,MATCH($C108,Matches!$A$5:$A$23,0)),1-INDEX(Matches!$BB$5:$BB$23,MATCH($C108,Matches!$A$5:$A$23,0)))),""))</f>
        <v>0.630555433252737</v>
      </c>
      <c r="AZ108" s="13" t="n">
        <f aca="false">IF(OR($AY108="",$AT108=""),1,((Config!$B$14*$AY108+Config!$B$15*(1-$AY108))/(Config!$B$14*$AT108+Config!$B$15*(1-$AT108)))^Config!$B$13)</f>
        <v>1.08161436185474</v>
      </c>
      <c r="BA108" s="17" t="n">
        <f aca="false">IF(V108="","",V108*$AV108)</f>
        <v>14.4700081767392</v>
      </c>
      <c r="BB108" s="17" t="n">
        <f aca="false">IF(AC108="","",AC108*$AX108)</f>
        <v>13.343121286527</v>
      </c>
      <c r="BC108" s="17" t="n">
        <f aca="false">IF(AJ108="","",AJ108*$AZ108)</f>
        <v>13.5511530253646</v>
      </c>
      <c r="BD108" s="17" t="n">
        <f aca="false">N(BA108)+N(BB108)</f>
        <v>27.8131294632662</v>
      </c>
      <c r="BE108" s="17" t="n">
        <f aca="false">BD108+N($M108)*N(BC108)</f>
        <v>27.8131294632662</v>
      </c>
      <c r="BF108" s="17" t="n">
        <f aca="false">IF(W108="","",W108*$AV108)</f>
        <v>8.58294100391047</v>
      </c>
      <c r="BG108" s="17" t="n">
        <f aca="false">IF(AD108="","",AD108*$AX108)</f>
        <v>8.07925993899208</v>
      </c>
      <c r="BH108" s="17" t="n">
        <f aca="false">IF(AK108="","",AK108*$AZ108)</f>
        <v>8.38816372270071</v>
      </c>
      <c r="BI108" s="17" t="n">
        <f aca="false">IF(BF108="","",N(BF108)+N(BG108))</f>
        <v>16.6622009429025</v>
      </c>
      <c r="BJ108" s="17" t="n">
        <f aca="false">IF(BI108="","",BI108+N($M108)*N(BH108))</f>
        <v>16.6622009429025</v>
      </c>
      <c r="BK108" s="13" t="n">
        <f aca="false">IFERROR(BD108/AL108,1)</f>
        <v>1.10283017022649</v>
      </c>
    </row>
    <row r="109" customFormat="false" ht="15" hidden="false" customHeight="false" outlineLevel="0" collapsed="false">
      <c r="A109" s="0" t="s">
        <v>1545</v>
      </c>
      <c r="B109" s="0" t="s">
        <v>1139</v>
      </c>
      <c r="C109" s="0" t="s">
        <v>1229</v>
      </c>
      <c r="D109" s="0" t="s">
        <v>1233</v>
      </c>
      <c r="E109" s="0" t="s">
        <v>1544</v>
      </c>
      <c r="F109" s="0" t="s">
        <v>1766</v>
      </c>
      <c r="G109" s="0" t="str">
        <f aca="false">IFERROR(IF(INDEX(Matches!$W$5:$W$23,MATCH($C109,Matches!$A$5:$A$23,0))="","",INDEX(Matches!$W$5:$W$23,MATCH($C109,Matches!$A$5:$A$23,0))),"")</f>
        <v>Cache</v>
      </c>
      <c r="H109" s="0" t="str">
        <f aca="false">IFERROR(IF(INDEX(Matches!$X$5:$X$23,MATCH($C109,Matches!$A$5:$A$23,0))="","",INDEX(Matches!$X$5:$X$23,MATCH($C109,Matches!$A$5:$A$23,0))),"")</f>
        <v>Mirage</v>
      </c>
      <c r="I109" s="0" t="str">
        <f aca="false">IFERROR(IF(INDEX(Matches!$Y$5:$Y$23,MATCH($C109,Matches!$A$5:$A$23,0))="","",INDEX(Matches!$Y$5:$Y$23,MATCH($C109,Matches!$A$5:$A$23,0))),"")</f>
        <v>Inferno</v>
      </c>
      <c r="J109" s="11" t="n">
        <f aca="false">IFERROR(IF(INDEX(Matches!$Z$5:$Z$23,MATCH($C109,Matches!$A$5:$A$23,0))="","",INDEX(Matches!$Z$5:$Z$23,MATCH($C109,Matches!$A$5:$A$23,0))),"")</f>
        <v>21.5</v>
      </c>
      <c r="K109" s="11" t="n">
        <f aca="false">IFERROR(IF(INDEX(Matches!$AA$5:$AA$23,MATCH($C109,Matches!$A$5:$A$23,0))="","",INDEX(Matches!$AA$5:$AA$23,MATCH($C109,Matches!$A$5:$A$23,0))),"")</f>
        <v>21.5</v>
      </c>
      <c r="L109" s="11" t="n">
        <f aca="false">IFERROR(IF(INDEX(Matches!$AB$5:$AB$23,MATCH($C109,Matches!$A$5:$A$23,0))="","",INDEX(Matches!$AB$5:$AB$23,MATCH($C109,Matches!$A$5:$A$23,0))),"")</f>
        <v>21.5</v>
      </c>
      <c r="M109" s="10" t="n">
        <f aca="false">IFERROR(IF(INDEX(Matches!$AC$5:$AC$23,MATCH($C109,Matches!$A$5:$A$23,0))="","",INDEX(Matches!$AC$5:$AC$23,MATCH($C109,Matches!$A$5:$A$23,0))),"")</f>
        <v>0</v>
      </c>
      <c r="N109" s="9" t="n">
        <f aca="false">IFERROR(INDEX(Players!$F$2:$F$137,MATCH($F109,Players!$A$2:$A$137,0)),0)</f>
        <v>35</v>
      </c>
      <c r="O109" s="13" t="n">
        <f aca="false">IFERROR(1/(1/INDEX(Players!$H$2:$H$137,MATCH($F109,Players!$A$2:$A$137,0))),"")</f>
        <v>0.66</v>
      </c>
      <c r="P109" s="10" t="n">
        <f aca="false">IFERROR(1/(1/INDEX(Players!$I$2:$I$137,MATCH($F109,Players!$A$2:$A$137,0))),"")</f>
        <v>0.596</v>
      </c>
      <c r="Q109" s="9" t="n">
        <f aca="false">IF($G109="",0,SUMIFS(Map_Stats!$F$2:$F$850,Map_Stats!$A$2:$A$850,$F109&amp;"|"&amp;$G109))</f>
        <v>8</v>
      </c>
      <c r="R109" s="13" t="n">
        <f aca="false">IF($G109="","",IFERROR(1/(1/INDEX(Map_Stats!$K$2:$K$850,MATCH($F109&amp;"|"&amp;$G109,Map_Stats!$A$2:$A$850,0))),$O109))</f>
        <v>0.57</v>
      </c>
      <c r="S109" s="10" t="n">
        <f aca="false">IF(OR($G109="",$P109=""),"",IFERROR(1/(1/INDEX(Map_Stats!$I$2:$I$850,MATCH($F109&amp;"|"&amp;$G109,Map_Stats!$A$2:$A$850,0))),$P109))</f>
        <v>0.71</v>
      </c>
      <c r="T109" s="13" t="n">
        <f aca="false">IF(OR($G109="",R109=""),"",IF($O109="",R109,(Q109*R109+Config!$B$4*$O109)/(Q109+Config!$B$4)))</f>
        <v>0.604615384615385</v>
      </c>
      <c r="U109" s="10" t="n">
        <f aca="false">IF(S109="","",(Q109*S109+Config!$B$4*$P109)/(Q109+Config!$B$4))</f>
        <v>0.666153846153846</v>
      </c>
      <c r="V109" s="17" t="n">
        <f aca="false">IF(OR(T109="",$J109=""),"",T109*$J109*($J109/Config!$B$10)^Config!$B$9)</f>
        <v>12.9992307692308</v>
      </c>
      <c r="W109" s="17" t="n">
        <f aca="false">IF(OR(V109="",U109=""),"",V109*U109)</f>
        <v>8.6594875739645</v>
      </c>
      <c r="X109" s="9" t="n">
        <f aca="false">IF($H109="",0,SUMIFS(Map_Stats!$F$2:$F$850,Map_Stats!$A$2:$A$850,$F109&amp;"|"&amp;$H109))</f>
        <v>7</v>
      </c>
      <c r="Y109" s="13" t="n">
        <f aca="false">IF($H109="","",IFERROR(1/(1/INDEX(Map_Stats!$K$2:$K$850,MATCH($F109&amp;"|"&amp;$H109,Map_Stats!$A$2:$A$850,0))),$O109))</f>
        <v>0.69</v>
      </c>
      <c r="Z109" s="10" t="n">
        <f aca="false">IF(OR($H109="",$P109=""),"",IFERROR(1/(1/INDEX(Map_Stats!$I$2:$I$850,MATCH($F109&amp;"|"&amp;$H109,Map_Stats!$A$2:$A$850,0))),$P109))</f>
        <v>0.542</v>
      </c>
      <c r="AA109" s="13" t="n">
        <f aca="false">IF(OR($H109="",Y109=""),"",IF($O109="",Y109,(X109*Y109+Config!$B$4*$O109)/(X109+Config!$B$4)))</f>
        <v>0.6775</v>
      </c>
      <c r="AB109" s="10" t="n">
        <f aca="false">IF(Z109="","",(X109*Z109+Config!$B$4*$P109)/(X109+Config!$B$4))</f>
        <v>0.5645</v>
      </c>
      <c r="AC109" s="17" t="n">
        <f aca="false">IF(OR(AA109="",$K109=""),"",AA109*$K109*($K109/Config!$B$10)^Config!$B$9)</f>
        <v>14.56625</v>
      </c>
      <c r="AD109" s="17" t="n">
        <f aca="false">IF(OR(AC109="",AB109=""),"",AC109*AB109)</f>
        <v>8.222648125</v>
      </c>
      <c r="AE109" s="9" t="n">
        <f aca="false">IF($I109="",0,SUMIFS(Map_Stats!$F$2:$F$850,Map_Stats!$A$2:$A$850,$F109&amp;"|"&amp;$I109))</f>
        <v>6</v>
      </c>
      <c r="AF109" s="13" t="n">
        <f aca="false">IF($I109="","",IFERROR(1/(1/INDEX(Map_Stats!$K$2:$K$850,MATCH($F109&amp;"|"&amp;$I109,Map_Stats!$A$2:$A$850,0))),$O109))</f>
        <v>0.68</v>
      </c>
      <c r="AG109" s="10" t="n">
        <f aca="false">IF(OR($I109="",$P109=""),"",IFERROR(1/(1/INDEX(Map_Stats!$I$2:$I$850,MATCH($F109&amp;"|"&amp;$I109,Map_Stats!$A$2:$A$850,0))),$P109))</f>
        <v>0.595</v>
      </c>
      <c r="AH109" s="13" t="n">
        <f aca="false">IF(OR($I109="",AF109=""),"",IF($O109="",AF109,(AE109*AF109+Config!$B$4*$O109)/(AE109+Config!$B$4)))</f>
        <v>0.670909090909091</v>
      </c>
      <c r="AI109" s="10" t="n">
        <f aca="false">IF(AG109="","",(AE109*AG109+Config!$B$4*$P109)/(AE109+Config!$B$4))</f>
        <v>0.595454545454546</v>
      </c>
      <c r="AJ109" s="17" t="n">
        <f aca="false">IF(OR(AH109="",$L109=""),"",AH109*$L109*($L109/Config!$B$10)^Config!$B$9)</f>
        <v>14.4245454545455</v>
      </c>
      <c r="AK109" s="17" t="n">
        <f aca="false">IF(OR(AJ109="",AI109=""),"",AJ109*AI109)</f>
        <v>8.5891611570248</v>
      </c>
      <c r="AL109" s="17" t="n">
        <f aca="false">N(V109)+N(AC109)</f>
        <v>27.5654807692308</v>
      </c>
      <c r="AM109" s="17" t="n">
        <f aca="false">AL109+N($M109)*N(AJ109)</f>
        <v>27.5654807692308</v>
      </c>
      <c r="AN109" s="17" t="n">
        <f aca="false">IF(W109="","",N(W109)+N(AD109))</f>
        <v>16.8821356989645</v>
      </c>
      <c r="AO109" s="17" t="n">
        <f aca="false">IF(AN109="","",AN109+N($M109)*N(AK109))</f>
        <v>16.8821356989645</v>
      </c>
      <c r="AP109" s="10" t="n">
        <f aca="false">IFERROR(AN109/AL109,"")</f>
        <v>0.612437556968306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IF($C109=Board!$B$2,COUNTIFS($C$2:$C$137,Board!$B$2,$AL$2:$AL$137,"&gt;"&amp;$AL109)+COUNTIFS($C$1:$C108,Board!$B$2,$AL$1:$AL108,$AL109)+1,"")</f>
        <v/>
      </c>
      <c r="AS109" s="0" t="str">
        <f aca="false">IFERROR(IF($D109=INDEX(Matches!$AD$5:$AD$23,MATCH($C109,Matches!$A$5:$A$23,0)),"A",IF($D109=INDEX(Matches!$AE$5:$AE$23,MATCH($C109,Matches!$A$5:$A$23,0)),"B","")),"")</f>
        <v>A</v>
      </c>
      <c r="AT109" s="10" t="n">
        <f aca="false">IF($AS109="","",IFERROR(IF($AS109="A",INDEX(Matches!$AI$5:$AI$23,MATCH($C109,Matches!$A$5:$A$23,0)),INDEX(Matches!$AJ$5:$AJ$23,MATCH($C109,Matches!$A$5:$A$23,0))),""))</f>
        <v>0.536265306122449</v>
      </c>
      <c r="AU109" s="10" t="n">
        <f aca="false">IF($AS109="","",IFERROR(IF(INDEX(Matches!$AP$5:$AP$23,MATCH($C109,Matches!$A$5:$A$23,0))="","",IF($AS109="A",INDEX(Matches!$AP$5:$AP$23,MATCH($C109,Matches!$A$5:$A$23,0)),1-INDEX(Matches!$AP$5:$AP$23,MATCH($C109,Matches!$A$5:$A$23,0)))),""))</f>
        <v>0.668619613426053</v>
      </c>
      <c r="AV109" s="13" t="n">
        <f aca="false">IF(OR($AU109="",$AT109=""),1,((Config!$B$14*$AU109+Config!$B$15*(1-$AU109))/(Config!$B$14*$AT109+Config!$B$15*(1-$AT109)))^Config!$B$13)</f>
        <v>1.114561435625</v>
      </c>
      <c r="AW109" s="10" t="n">
        <f aca="false">IF($AS109="","",IFERROR(IF(INDEX(Matches!$AV$5:$AV$23,MATCH($C109,Matches!$A$5:$A$23,0))="","",IF($AS109="A",INDEX(Matches!$AV$5:$AV$23,MATCH($C109,Matches!$A$5:$A$23,0)),1-INDEX(Matches!$AV$5:$AV$23,MATCH($C109,Matches!$A$5:$A$23,0)))),""))</f>
        <v>0.640687242971773</v>
      </c>
      <c r="AX109" s="13" t="n">
        <f aca="false">IF(OR($AW109="",$AT109=""),1,((Config!$B$14*$AW109+Config!$B$15*(1-$AW109))/(Config!$B$14*$AT109+Config!$B$15*(1-$AT109)))^Config!$B$13)</f>
        <v>1.09038411548451</v>
      </c>
      <c r="AY109" s="10" t="n">
        <f aca="false">IF($AS109="","",IFERROR(IF(INDEX(Matches!$BB$5:$BB$23,MATCH($C109,Matches!$A$5:$A$23,0))="","",IF($AS109="A",INDEX(Matches!$BB$5:$BB$23,MATCH($C109,Matches!$A$5:$A$23,0)),1-INDEX(Matches!$BB$5:$BB$23,MATCH($C109,Matches!$A$5:$A$23,0)))),""))</f>
        <v>0.630555433252737</v>
      </c>
      <c r="AZ109" s="13" t="n">
        <f aca="false">IF(OR($AY109="",$AT109=""),1,((Config!$B$14*$AY109+Config!$B$15*(1-$AY109))/(Config!$B$14*$AT109+Config!$B$15*(1-$AT109)))^Config!$B$13)</f>
        <v>1.08161436185474</v>
      </c>
      <c r="BA109" s="17" t="n">
        <f aca="false">IF(V109="","",V109*$AV109)</f>
        <v>14.4884413081745</v>
      </c>
      <c r="BB109" s="17" t="n">
        <f aca="false">IF(AC109="","",AC109*$AX109)</f>
        <v>15.8828076221763</v>
      </c>
      <c r="BC109" s="17" t="n">
        <f aca="false">IF(AJ109="","",AJ109*$AZ109)</f>
        <v>15.6017955268629</v>
      </c>
      <c r="BD109" s="17" t="n">
        <f aca="false">N(BA109)+N(BB109)</f>
        <v>30.3712489303509</v>
      </c>
      <c r="BE109" s="17" t="n">
        <f aca="false">BD109+N($M109)*N(BC109)</f>
        <v>30.3712489303509</v>
      </c>
      <c r="BF109" s="17" t="n">
        <f aca="false">IF(W109="","",W109*$AV109)</f>
        <v>9.65153090221474</v>
      </c>
      <c r="BG109" s="17" t="n">
        <f aca="false">IF(AD109="","",AD109*$AX109)</f>
        <v>8.96584490271853</v>
      </c>
      <c r="BH109" s="17" t="n">
        <f aca="false">IF(AK109="","",AK109*$AZ109)</f>
        <v>9.2901600637229</v>
      </c>
      <c r="BI109" s="17" t="n">
        <f aca="false">IF(BF109="","",N(BF109)+N(BG109))</f>
        <v>18.6173758049333</v>
      </c>
      <c r="BJ109" s="17" t="n">
        <f aca="false">IF(BI109="","",BI109+N($M109)*N(BH109))</f>
        <v>18.6173758049333</v>
      </c>
      <c r="BK109" s="13" t="n">
        <f aca="false">IFERROR(BD109/AL109,1)</f>
        <v>1.10178556959006</v>
      </c>
    </row>
    <row r="110" customFormat="false" ht="15" hidden="false" customHeight="false" outlineLevel="0" collapsed="false">
      <c r="A110" s="0" t="s">
        <v>1547</v>
      </c>
      <c r="B110" s="0" t="s">
        <v>1139</v>
      </c>
      <c r="C110" s="0" t="s">
        <v>1239</v>
      </c>
      <c r="D110" s="0" t="s">
        <v>1245</v>
      </c>
      <c r="E110" s="0" t="s">
        <v>1546</v>
      </c>
      <c r="F110" s="0" t="s">
        <v>1767</v>
      </c>
      <c r="G110" s="0" t="str">
        <f aca="false">IFERROR(IF(INDEX(Matches!$W$5:$W$23,MATCH($C110,Matches!$A$5:$A$23,0))="","",INDEX(Matches!$W$5:$W$23,MATCH($C110,Matches!$A$5:$A$23,0))),"")</f>
        <v>Ancient</v>
      </c>
      <c r="H110" s="0" t="str">
        <f aca="false">IFERROR(IF(INDEX(Matches!$X$5:$X$23,MATCH($C110,Matches!$A$5:$A$23,0))="","",INDEX(Matches!$X$5:$X$23,MATCH($C110,Matches!$A$5:$A$23,0))),"")</f>
        <v>Dust2</v>
      </c>
      <c r="I110" s="0" t="str">
        <f aca="false">IFERROR(IF(INDEX(Matches!$Y$5:$Y$23,MATCH($C110,Matches!$A$5:$A$23,0))="","",INDEX(Matches!$Y$5:$Y$23,MATCH($C110,Matches!$A$5:$A$23,0))),"")</f>
        <v>Nuke</v>
      </c>
      <c r="J110" s="11" t="n">
        <f aca="false">IFERROR(IF(INDEX(Matches!$Z$5:$Z$23,MATCH($C110,Matches!$A$5:$A$23,0))="","",INDEX(Matches!$Z$5:$Z$23,MATCH($C110,Matches!$A$5:$A$23,0))),"")</f>
        <v>20.8</v>
      </c>
      <c r="K110" s="11" t="n">
        <f aca="false">IFERROR(IF(INDEX(Matches!$AA$5:$AA$23,MATCH($C110,Matches!$A$5:$A$23,0))="","",INDEX(Matches!$AA$5:$AA$23,MATCH($C110,Matches!$A$5:$A$23,0))),"")</f>
        <v>20.8</v>
      </c>
      <c r="L110" s="11" t="n">
        <f aca="false">IFERROR(IF(INDEX(Matches!$AB$5:$AB$23,MATCH($C110,Matches!$A$5:$A$23,0))="","",INDEX(Matches!$AB$5:$AB$23,MATCH($C110,Matches!$A$5:$A$23,0))),"")</f>
        <v>21.5</v>
      </c>
      <c r="M110" s="10" t="n">
        <f aca="false">IFERROR(IF(INDEX(Matches!$AC$5:$AC$23,MATCH($C110,Matches!$A$5:$A$23,0))="","",INDEX(Matches!$AC$5:$AC$23,MATCH($C110,Matches!$A$5:$A$23,0))),"")</f>
        <v>0.4109</v>
      </c>
      <c r="N110" s="9" t="n">
        <f aca="false">IFERROR(INDEX(Players!$F$2:$F$137,MATCH($F110,Players!$A$2:$A$137,0)),0)</f>
        <v>36</v>
      </c>
      <c r="O110" s="13" t="n">
        <f aca="false">IFERROR(1/(1/INDEX(Players!$H$2:$H$137,MATCH($F110,Players!$A$2:$A$137,0))),"")</f>
        <v>0.62</v>
      </c>
      <c r="P110" s="10" t="n">
        <f aca="false">IFERROR(1/(1/INDEX(Players!$I$2:$I$137,MATCH($F110,Players!$A$2:$A$137,0))),"")</f>
        <v>0.517</v>
      </c>
      <c r="Q110" s="9" t="n">
        <f aca="false">IF($G110="",0,SUMIFS(Map_Stats!$F$2:$F$850,Map_Stats!$A$2:$A$850,$F110&amp;"|"&amp;$G110))</f>
        <v>10</v>
      </c>
      <c r="R110" s="13" t="n">
        <f aca="false">IF($G110="","",IFERROR(1/(1/INDEX(Map_Stats!$K$2:$K$850,MATCH($F110&amp;"|"&amp;$G110,Map_Stats!$A$2:$A$850,0))),$O110))</f>
        <v>0.58</v>
      </c>
      <c r="S110" s="10" t="n">
        <f aca="false">IF(OR($G110="",$P110=""),"",IFERROR(1/(1/INDEX(Map_Stats!$I$2:$I$850,MATCH($F110&amp;"|"&amp;$G110,Map_Stats!$A$2:$A$850,0))),$P110))</f>
        <v>0.457</v>
      </c>
      <c r="T110" s="13" t="n">
        <f aca="false">IF(OR($G110="",R110=""),"",IF($O110="",R110,(Q110*R110+Config!$B$4*$O110)/(Q110+Config!$B$4)))</f>
        <v>0.593333333333333</v>
      </c>
      <c r="U110" s="10" t="n">
        <f aca="false">IF(S110="","",(Q110*S110+Config!$B$4*$P110)/(Q110+Config!$B$4))</f>
        <v>0.477</v>
      </c>
      <c r="V110" s="17" t="n">
        <f aca="false">IF(OR(T110="",$J110=""),"",T110*$J110*($J110/Config!$B$10)^Config!$B$9)</f>
        <v>12.3413333333333</v>
      </c>
      <c r="W110" s="17" t="n">
        <f aca="false">IF(OR(V110="",U110=""),"",V110*U110)</f>
        <v>5.886816</v>
      </c>
      <c r="X110" s="9" t="n">
        <f aca="false">IF($H110="",0,SUMIFS(Map_Stats!$F$2:$F$850,Map_Stats!$A$2:$A$850,$F110&amp;"|"&amp;$H110))</f>
        <v>12</v>
      </c>
      <c r="Y110" s="13" t="n">
        <f aca="false">IF($H110="","",IFERROR(1/(1/INDEX(Map_Stats!$K$2:$K$850,MATCH($F110&amp;"|"&amp;$H110,Map_Stats!$A$2:$A$850,0))),$O110))</f>
        <v>0.66</v>
      </c>
      <c r="Z110" s="10" t="n">
        <f aca="false">IF(OR($H110="",$P110=""),"",IFERROR(1/(1/INDEX(Map_Stats!$I$2:$I$850,MATCH($F110&amp;"|"&amp;$H110,Map_Stats!$A$2:$A$850,0))),$P110))</f>
        <v>0.549</v>
      </c>
      <c r="AA110" s="13" t="n">
        <f aca="false">IF(OR($H110="",Y110=""),"",IF($O110="",Y110,(X110*Y110+Config!$B$4*$O110)/(X110+Config!$B$4)))</f>
        <v>0.648235294117647</v>
      </c>
      <c r="AB110" s="10" t="n">
        <f aca="false">IF(Z110="","",(X110*Z110+Config!$B$4*$P110)/(X110+Config!$B$4))</f>
        <v>0.539588235294118</v>
      </c>
      <c r="AC110" s="17" t="n">
        <f aca="false">IF(OR(AA110="",$K110=""),"",AA110*$K110*($K110/Config!$B$10)^Config!$B$9)</f>
        <v>13.4832941176471</v>
      </c>
      <c r="AD110" s="17" t="n">
        <f aca="false">IF(OR(AC110="",AB110=""),"",AC110*AB110)</f>
        <v>7.27542687889273</v>
      </c>
      <c r="AE110" s="9" t="n">
        <f aca="false">IF($I110="",0,SUMIFS(Map_Stats!$F$2:$F$850,Map_Stats!$A$2:$A$850,$F110&amp;"|"&amp;$I110))</f>
        <v>6</v>
      </c>
      <c r="AF110" s="13" t="n">
        <f aca="false">IF($I110="","",IFERROR(1/(1/INDEX(Map_Stats!$K$2:$K$850,MATCH($F110&amp;"|"&amp;$I110,Map_Stats!$A$2:$A$850,0))),$O110))</f>
        <v>0.53</v>
      </c>
      <c r="AG110" s="10" t="n">
        <f aca="false">IF(OR($I110="",$P110=""),"",IFERROR(1/(1/INDEX(Map_Stats!$I$2:$I$850,MATCH($F110&amp;"|"&amp;$I110,Map_Stats!$A$2:$A$850,0))),$P110))</f>
        <v>0.577</v>
      </c>
      <c r="AH110" s="13" t="n">
        <f aca="false">IF(OR($I110="",AF110=""),"",IF($O110="",AF110,(AE110*AF110+Config!$B$4*$O110)/(AE110+Config!$B$4)))</f>
        <v>0.570909090909091</v>
      </c>
      <c r="AI110" s="10" t="n">
        <f aca="false">IF(AG110="","",(AE110*AG110+Config!$B$4*$P110)/(AE110+Config!$B$4))</f>
        <v>0.549727272727273</v>
      </c>
      <c r="AJ110" s="17" t="n">
        <f aca="false">IF(OR(AH110="",$L110=""),"",AH110*$L110*($L110/Config!$B$10)^Config!$B$9)</f>
        <v>12.2745454545455</v>
      </c>
      <c r="AK110" s="17" t="n">
        <f aca="false">IF(OR(AJ110="",AI110=""),"",AJ110*AI110)</f>
        <v>6.74765239669422</v>
      </c>
      <c r="AL110" s="17" t="n">
        <f aca="false">N(V110)+N(AC110)</f>
        <v>25.8246274509804</v>
      </c>
      <c r="AM110" s="17" t="n">
        <f aca="false">AL110+N($M110)*N(AJ110)</f>
        <v>30.8682381782531</v>
      </c>
      <c r="AN110" s="17" t="n">
        <f aca="false">IF(W110="","",N(W110)+N(AD110))</f>
        <v>13.1622428788927</v>
      </c>
      <c r="AO110" s="17" t="n">
        <f aca="false">IF(AN110="","",AN110+N($M110)*N(AK110))</f>
        <v>15.9348532486944</v>
      </c>
      <c r="AP110" s="10" t="n">
        <f aca="false">IFERROR(AN110/AL110,"")</f>
        <v>0.509677938389506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IF($C110=Board!$B$2,COUNTIFS($C$2:$C$137,Board!$B$2,$AL$2:$AL$137,"&gt;"&amp;$AL110)+COUNTIFS($C$1:$C109,Board!$B$2,$AL$1:$AL109,$AL110)+1,"")</f>
        <v/>
      </c>
      <c r="AS110" s="0" t="str">
        <f aca="false">IFERROR(IF($D110=INDEX(Matches!$AD$5:$AD$23,MATCH($C110,Matches!$A$5:$A$23,0)),"A",IF($D110=INDEX(Matches!$AE$5:$AE$23,MATCH($C110,Matches!$A$5:$A$23,0)),"B","")),"")</f>
        <v>B</v>
      </c>
      <c r="AT110" s="10" t="n">
        <f aca="false">IF($AS110="","",IFERROR(IF($AS110="A",INDEX(Matches!$AI$5:$AI$23,MATCH($C110,Matches!$A$5:$A$23,0)),INDEX(Matches!$AJ$5:$AJ$23,MATCH($C110,Matches!$A$5:$A$23,0))),""))</f>
        <v>0.491965863115539</v>
      </c>
      <c r="AU110" s="10" t="n">
        <f aca="false">IF($AS110="","",IFERROR(IF(INDEX(Matches!$AP$5:$AP$23,MATCH($C110,Matches!$A$5:$A$23,0))="","",IF($AS110="A",INDEX(Matches!$AP$5:$AP$23,MATCH($C110,Matches!$A$5:$A$23,0)),1-INDEX(Matches!$AP$5:$AP$23,MATCH($C110,Matches!$A$5:$A$23,0)))),""))</f>
        <v>0.462797388208837</v>
      </c>
      <c r="AV110" s="13" t="n">
        <f aca="false">IF(OR($AU110="",$AT110=""),1,((Config!$B$14*$AU110+Config!$B$15*(1-$AU110))/(Config!$B$14*$AT110+Config!$B$15*(1-$AT110)))^Config!$B$13)</f>
        <v>0.973746065754386</v>
      </c>
      <c r="AW110" s="10" t="n">
        <f aca="false">IF($AS110="","",IFERROR(IF(INDEX(Matches!$AV$5:$AV$23,MATCH($C110,Matches!$A$5:$A$23,0))="","",IF($AS110="A",INDEX(Matches!$AV$5:$AV$23,MATCH($C110,Matches!$A$5:$A$23,0)),1-INDEX(Matches!$AV$5:$AV$23,MATCH($C110,Matches!$A$5:$A$23,0)))),""))</f>
        <v>0.452970311086512</v>
      </c>
      <c r="AX110" s="13" t="n">
        <f aca="false">IF(OR($AW110="",$AT110=""),1,((Config!$B$14*$AW110+Config!$B$15*(1-$AW110))/(Config!$B$14*$AT110+Config!$B$15*(1-$AT110)))^Config!$B$13)</f>
        <v>0.964900919156173</v>
      </c>
      <c r="AY110" s="10" t="n">
        <f aca="false">IF($AS110="","",IFERROR(IF(INDEX(Matches!$BB$5:$BB$23,MATCH($C110,Matches!$A$5:$A$23,0))="","",IF($AS110="A",INDEX(Matches!$BB$5:$BB$23,MATCH($C110,Matches!$A$5:$A$23,0)),1-INDEX(Matches!$BB$5:$BB$23,MATCH($C110,Matches!$A$5:$A$23,0)))),""))</f>
        <v>0.469123001899991</v>
      </c>
      <c r="AZ110" s="13" t="n">
        <f aca="false">IF(OR($AY110="",$AT110=""),1,((Config!$B$14*$AY110+Config!$B$15*(1-$AY110))/(Config!$B$14*$AT110+Config!$B$15*(1-$AT110)))^Config!$B$13)</f>
        <v>0.97943961834642</v>
      </c>
      <c r="BA110" s="17" t="n">
        <f aca="false">IF(V110="","",V110*$AV110)</f>
        <v>12.0173247794968</v>
      </c>
      <c r="BB110" s="17" t="n">
        <f aca="false">IF(AC110="","",AC110*$AX110)</f>
        <v>13.0100428873707</v>
      </c>
      <c r="BC110" s="17" t="n">
        <f aca="false">IF(AJ110="","",AJ110*$AZ110)</f>
        <v>12.0221761153758</v>
      </c>
      <c r="BD110" s="17" t="n">
        <f aca="false">N(BA110)+N(BB110)</f>
        <v>25.0273676668675</v>
      </c>
      <c r="BE110" s="17" t="n">
        <f aca="false">BD110+N($M110)*N(BC110)</f>
        <v>29.9672798326754</v>
      </c>
      <c r="BF110" s="17" t="n">
        <f aca="false">IF(W110="","",W110*$AV110)</f>
        <v>5.73226391981998</v>
      </c>
      <c r="BG110" s="17" t="n">
        <f aca="false">IF(AD110="","",AD110*$AX110)</f>
        <v>7.02006608269713</v>
      </c>
      <c r="BH110" s="17" t="n">
        <f aca="false">IF(AK110="","",AK110*$AZ110)</f>
        <v>6.60891808815249</v>
      </c>
      <c r="BI110" s="17" t="n">
        <f aca="false">IF(BF110="","",N(BF110)+N(BG110))</f>
        <v>12.7523300025171</v>
      </c>
      <c r="BJ110" s="17" t="n">
        <f aca="false">IF(BI110="","",BI110+N($M110)*N(BH110))</f>
        <v>15.467934444939</v>
      </c>
      <c r="BK110" s="13" t="n">
        <f aca="false">IFERROR(BD110/AL110,1)</f>
        <v>0.969127926990379</v>
      </c>
    </row>
    <row r="111" customFormat="false" ht="15" hidden="false" customHeight="false" outlineLevel="0" collapsed="false">
      <c r="A111" s="0" t="s">
        <v>1549</v>
      </c>
      <c r="B111" s="0" t="s">
        <v>1139</v>
      </c>
      <c r="C111" s="0" t="s">
        <v>1239</v>
      </c>
      <c r="D111" s="0" t="s">
        <v>1245</v>
      </c>
      <c r="E111" s="0" t="s">
        <v>1548</v>
      </c>
      <c r="F111" s="0" t="s">
        <v>1768</v>
      </c>
      <c r="G111" s="0" t="str">
        <f aca="false">IFERROR(IF(INDEX(Matches!$W$5:$W$23,MATCH($C111,Matches!$A$5:$A$23,0))="","",INDEX(Matches!$W$5:$W$23,MATCH($C111,Matches!$A$5:$A$23,0))),"")</f>
        <v>Ancient</v>
      </c>
      <c r="H111" s="0" t="str">
        <f aca="false">IFERROR(IF(INDEX(Matches!$X$5:$X$23,MATCH($C111,Matches!$A$5:$A$23,0))="","",INDEX(Matches!$X$5:$X$23,MATCH($C111,Matches!$A$5:$A$23,0))),"")</f>
        <v>Dust2</v>
      </c>
      <c r="I111" s="0" t="str">
        <f aca="false">IFERROR(IF(INDEX(Matches!$Y$5:$Y$23,MATCH($C111,Matches!$A$5:$A$23,0))="","",INDEX(Matches!$Y$5:$Y$23,MATCH($C111,Matches!$A$5:$A$23,0))),"")</f>
        <v>Nuke</v>
      </c>
      <c r="J111" s="11" t="n">
        <f aca="false">IFERROR(IF(INDEX(Matches!$Z$5:$Z$23,MATCH($C111,Matches!$A$5:$A$23,0))="","",INDEX(Matches!$Z$5:$Z$23,MATCH($C111,Matches!$A$5:$A$23,0))),"")</f>
        <v>20.8</v>
      </c>
      <c r="K111" s="11" t="n">
        <f aca="false">IFERROR(IF(INDEX(Matches!$AA$5:$AA$23,MATCH($C111,Matches!$A$5:$A$23,0))="","",INDEX(Matches!$AA$5:$AA$23,MATCH($C111,Matches!$A$5:$A$23,0))),"")</f>
        <v>20.8</v>
      </c>
      <c r="L111" s="11" t="n">
        <f aca="false">IFERROR(IF(INDEX(Matches!$AB$5:$AB$23,MATCH($C111,Matches!$A$5:$A$23,0))="","",INDEX(Matches!$AB$5:$AB$23,MATCH($C111,Matches!$A$5:$A$23,0))),"")</f>
        <v>21.5</v>
      </c>
      <c r="M111" s="10" t="n">
        <f aca="false">IFERROR(IF(INDEX(Matches!$AC$5:$AC$23,MATCH($C111,Matches!$A$5:$A$23,0))="","",INDEX(Matches!$AC$5:$AC$23,MATCH($C111,Matches!$A$5:$A$23,0))),"")</f>
        <v>0.4109</v>
      </c>
      <c r="N111" s="9" t="n">
        <f aca="false">IFERROR(INDEX(Players!$F$2:$F$137,MATCH($F111,Players!$A$2:$A$137,0)),0)</f>
        <v>36</v>
      </c>
      <c r="O111" s="13" t="n">
        <f aca="false">IFERROR(1/(1/INDEX(Players!$H$2:$H$137,MATCH($F111,Players!$A$2:$A$137,0))),"")</f>
        <v>0.65</v>
      </c>
      <c r="P111" s="10" t="n">
        <f aca="false">IFERROR(1/(1/INDEX(Players!$I$2:$I$137,MATCH($F111,Players!$A$2:$A$137,0))),"")</f>
        <v>0.493</v>
      </c>
      <c r="Q111" s="9" t="n">
        <f aca="false">IF($G111="",0,SUMIFS(Map_Stats!$F$2:$F$850,Map_Stats!$A$2:$A$850,$F111&amp;"|"&amp;$G111))</f>
        <v>10</v>
      </c>
      <c r="R111" s="13" t="n">
        <f aca="false">IF($G111="","",IFERROR(1/(1/INDEX(Map_Stats!$K$2:$K$850,MATCH($F111&amp;"|"&amp;$G111,Map_Stats!$A$2:$A$850,0))),$O111))</f>
        <v>0.68</v>
      </c>
      <c r="S111" s="10" t="n">
        <f aca="false">IF(OR($G111="",$P111=""),"",IFERROR(1/(1/INDEX(Map_Stats!$I$2:$I$850,MATCH($F111&amp;"|"&amp;$G111,Map_Stats!$A$2:$A$850,0))),$P111))</f>
        <v>0.45</v>
      </c>
      <c r="T111" s="13" t="n">
        <f aca="false">IF(OR($G111="",R111=""),"",IF($O111="",R111,(Q111*R111+Config!$B$4*$O111)/(Q111+Config!$B$4)))</f>
        <v>0.67</v>
      </c>
      <c r="U111" s="10" t="n">
        <f aca="false">IF(S111="","",(Q111*S111+Config!$B$4*$P111)/(Q111+Config!$B$4))</f>
        <v>0.464333333333333</v>
      </c>
      <c r="V111" s="17" t="n">
        <f aca="false">IF(OR(T111="",$J111=""),"",T111*$J111*($J111/Config!$B$10)^Config!$B$9)</f>
        <v>13.936</v>
      </c>
      <c r="W111" s="17" t="n">
        <f aca="false">IF(OR(V111="",U111=""),"",V111*U111)</f>
        <v>6.47094933333333</v>
      </c>
      <c r="X111" s="9" t="n">
        <f aca="false">IF($H111="",0,SUMIFS(Map_Stats!$F$2:$F$850,Map_Stats!$A$2:$A$850,$F111&amp;"|"&amp;$H111))</f>
        <v>12</v>
      </c>
      <c r="Y111" s="13" t="n">
        <f aca="false">IF($H111="","",IFERROR(1/(1/INDEX(Map_Stats!$K$2:$K$850,MATCH($F111&amp;"|"&amp;$H111,Map_Stats!$A$2:$A$850,0))),$O111))</f>
        <v>0.68</v>
      </c>
      <c r="Z111" s="10" t="n">
        <f aca="false">IF(OR($H111="",$P111=""),"",IFERROR(1/(1/INDEX(Map_Stats!$I$2:$I$850,MATCH($F111&amp;"|"&amp;$H111,Map_Stats!$A$2:$A$850,0))),$P111))</f>
        <v>0.515</v>
      </c>
      <c r="AA111" s="13" t="n">
        <f aca="false">IF(OR($H111="",Y111=""),"",IF($O111="",Y111,(X111*Y111+Config!$B$4*$O111)/(X111+Config!$B$4)))</f>
        <v>0.671176470588235</v>
      </c>
      <c r="AB111" s="10" t="n">
        <f aca="false">IF(Z111="","",(X111*Z111+Config!$B$4*$P111)/(X111+Config!$B$4))</f>
        <v>0.508529411764706</v>
      </c>
      <c r="AC111" s="17" t="n">
        <f aca="false">IF(OR(AA111="",$K111=""),"",AA111*$K111*($K111/Config!$B$10)^Config!$B$9)</f>
        <v>13.9604705882353</v>
      </c>
      <c r="AD111" s="17" t="n">
        <f aca="false">IF(OR(AC111="",AB111=""),"",AC111*AB111)</f>
        <v>7.09930989619377</v>
      </c>
      <c r="AE111" s="9" t="n">
        <f aca="false">IF($I111="",0,SUMIFS(Map_Stats!$F$2:$F$850,Map_Stats!$A$2:$A$850,$F111&amp;"|"&amp;$I111))</f>
        <v>6</v>
      </c>
      <c r="AF111" s="13" t="n">
        <f aca="false">IF($I111="","",IFERROR(1/(1/INDEX(Map_Stats!$K$2:$K$850,MATCH($F111&amp;"|"&amp;$I111,Map_Stats!$A$2:$A$850,0))),$O111))</f>
        <v>0.66</v>
      </c>
      <c r="AG111" s="10" t="n">
        <f aca="false">IF(OR($I111="",$P111=""),"",IFERROR(1/(1/INDEX(Map_Stats!$I$2:$I$850,MATCH($F111&amp;"|"&amp;$I111,Map_Stats!$A$2:$A$850,0))),$P111))</f>
        <v>0.506</v>
      </c>
      <c r="AH111" s="13" t="n">
        <f aca="false">IF(OR($I111="",AF111=""),"",IF($O111="",AF111,(AE111*AF111+Config!$B$4*$O111)/(AE111+Config!$B$4)))</f>
        <v>0.655454545454545</v>
      </c>
      <c r="AI111" s="10" t="n">
        <f aca="false">IF(AG111="","",(AE111*AG111+Config!$B$4*$P111)/(AE111+Config!$B$4))</f>
        <v>0.500090909090909</v>
      </c>
      <c r="AJ111" s="17" t="n">
        <f aca="false">IF(OR(AH111="",$L111=""),"",AH111*$L111*($L111/Config!$B$10)^Config!$B$9)</f>
        <v>14.0922727272727</v>
      </c>
      <c r="AK111" s="17" t="n">
        <f aca="false">IF(OR(AJ111="",AI111=""),"",AJ111*AI111)</f>
        <v>7.04741747933884</v>
      </c>
      <c r="AL111" s="17" t="n">
        <f aca="false">N(V111)+N(AC111)</f>
        <v>27.8964705882353</v>
      </c>
      <c r="AM111" s="17" t="n">
        <f aca="false">AL111+N($M111)*N(AJ111)</f>
        <v>33.6869854518717</v>
      </c>
      <c r="AN111" s="17" t="n">
        <f aca="false">IF(W111="","",N(W111)+N(AD111))</f>
        <v>13.5702592295271</v>
      </c>
      <c r="AO111" s="17" t="n">
        <f aca="false">IF(AN111="","",AN111+N($M111)*N(AK111))</f>
        <v>16.4660430717874</v>
      </c>
      <c r="AP111" s="10" t="n">
        <f aca="false">IFERROR(AN111/AL111,"")</f>
        <v>0.486450756793946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IF($C111=Board!$B$2,COUNTIFS($C$2:$C$137,Board!$B$2,$AL$2:$AL$137,"&gt;"&amp;$AL111)+COUNTIFS($C$1:$C110,Board!$B$2,$AL$1:$AL110,$AL111)+1,"")</f>
        <v/>
      </c>
      <c r="AS111" s="0" t="str">
        <f aca="false">IFERROR(IF($D111=INDEX(Matches!$AD$5:$AD$23,MATCH($C111,Matches!$A$5:$A$23,0)),"A",IF($D111=INDEX(Matches!$AE$5:$AE$23,MATCH($C111,Matches!$A$5:$A$23,0)),"B","")),"")</f>
        <v>B</v>
      </c>
      <c r="AT111" s="10" t="n">
        <f aca="false">IF($AS111="","",IFERROR(IF($AS111="A",INDEX(Matches!$AI$5:$AI$23,MATCH($C111,Matches!$A$5:$A$23,0)),INDEX(Matches!$AJ$5:$AJ$23,MATCH($C111,Matches!$A$5:$A$23,0))),""))</f>
        <v>0.491965863115539</v>
      </c>
      <c r="AU111" s="10" t="n">
        <f aca="false">IF($AS111="","",IFERROR(IF(INDEX(Matches!$AP$5:$AP$23,MATCH($C111,Matches!$A$5:$A$23,0))="","",IF($AS111="A",INDEX(Matches!$AP$5:$AP$23,MATCH($C111,Matches!$A$5:$A$23,0)),1-INDEX(Matches!$AP$5:$AP$23,MATCH($C111,Matches!$A$5:$A$23,0)))),""))</f>
        <v>0.462797388208837</v>
      </c>
      <c r="AV111" s="13" t="n">
        <f aca="false">IF(OR($AU111="",$AT111=""),1,((Config!$B$14*$AU111+Config!$B$15*(1-$AU111))/(Config!$B$14*$AT111+Config!$B$15*(1-$AT111)))^Config!$B$13)</f>
        <v>0.973746065754386</v>
      </c>
      <c r="AW111" s="10" t="n">
        <f aca="false">IF($AS111="","",IFERROR(IF(INDEX(Matches!$AV$5:$AV$23,MATCH($C111,Matches!$A$5:$A$23,0))="","",IF($AS111="A",INDEX(Matches!$AV$5:$AV$23,MATCH($C111,Matches!$A$5:$A$23,0)),1-INDEX(Matches!$AV$5:$AV$23,MATCH($C111,Matches!$A$5:$A$23,0)))),""))</f>
        <v>0.452970311086512</v>
      </c>
      <c r="AX111" s="13" t="n">
        <f aca="false">IF(OR($AW111="",$AT111=""),1,((Config!$B$14*$AW111+Config!$B$15*(1-$AW111))/(Config!$B$14*$AT111+Config!$B$15*(1-$AT111)))^Config!$B$13)</f>
        <v>0.964900919156173</v>
      </c>
      <c r="AY111" s="10" t="n">
        <f aca="false">IF($AS111="","",IFERROR(IF(INDEX(Matches!$BB$5:$BB$23,MATCH($C111,Matches!$A$5:$A$23,0))="","",IF($AS111="A",INDEX(Matches!$BB$5:$BB$23,MATCH($C111,Matches!$A$5:$A$23,0)),1-INDEX(Matches!$BB$5:$BB$23,MATCH($C111,Matches!$A$5:$A$23,0)))),""))</f>
        <v>0.469123001899991</v>
      </c>
      <c r="AZ111" s="13" t="n">
        <f aca="false">IF(OR($AY111="",$AT111=""),1,((Config!$B$14*$AY111+Config!$B$15*(1-$AY111))/(Config!$B$14*$AT111+Config!$B$15*(1-$AT111)))^Config!$B$13)</f>
        <v>0.97943961834642</v>
      </c>
      <c r="BA111" s="17" t="n">
        <f aca="false">IF(V111="","",V111*$AV111)</f>
        <v>13.5701251723531</v>
      </c>
      <c r="BB111" s="17" t="n">
        <f aca="false">IF(AC111="","",AC111*$AX111)</f>
        <v>13.470470902441</v>
      </c>
      <c r="BC111" s="17" t="n">
        <f aca="false">IF(AJ111="","",AJ111*$AZ111)</f>
        <v>13.8025302216337</v>
      </c>
      <c r="BD111" s="17" t="n">
        <f aca="false">N(BA111)+N(BB111)</f>
        <v>27.0405960747941</v>
      </c>
      <c r="BE111" s="17" t="n">
        <f aca="false">BD111+N($M111)*N(BC111)</f>
        <v>32.7120557428634</v>
      </c>
      <c r="BF111" s="17" t="n">
        <f aca="false">IF(W111="","",W111*$AV111)</f>
        <v>6.3010614550293</v>
      </c>
      <c r="BG111" s="17" t="n">
        <f aca="false">IF(AD111="","",AD111*$AX111)</f>
        <v>6.85013064421189</v>
      </c>
      <c r="BH111" s="17" t="n">
        <f aca="false">IF(AK111="","",AK111*$AZ111)</f>
        <v>6.90251988629152</v>
      </c>
      <c r="BI111" s="17" t="n">
        <f aca="false">IF(BF111="","",N(BF111)+N(BG111))</f>
        <v>13.1511920992412</v>
      </c>
      <c r="BJ111" s="17" t="n">
        <f aca="false">IF(BI111="","",BI111+N($M111)*N(BH111))</f>
        <v>15.9874375205184</v>
      </c>
      <c r="BK111" s="13" t="n">
        <f aca="false">IFERROR(BD111/AL111,1)</f>
        <v>0.969319613005018</v>
      </c>
    </row>
    <row r="112" customFormat="false" ht="15" hidden="false" customHeight="false" outlineLevel="0" collapsed="false">
      <c r="A112" s="0" t="s">
        <v>1551</v>
      </c>
      <c r="B112" s="0" t="s">
        <v>1139</v>
      </c>
      <c r="C112" s="0" t="s">
        <v>1239</v>
      </c>
      <c r="D112" s="0" t="s">
        <v>1245</v>
      </c>
      <c r="E112" s="0" t="s">
        <v>1550</v>
      </c>
      <c r="F112" s="0" t="s">
        <v>1769</v>
      </c>
      <c r="G112" s="0" t="str">
        <f aca="false">IFERROR(IF(INDEX(Matches!$W$5:$W$23,MATCH($C112,Matches!$A$5:$A$23,0))="","",INDEX(Matches!$W$5:$W$23,MATCH($C112,Matches!$A$5:$A$23,0))),"")</f>
        <v>Ancient</v>
      </c>
      <c r="H112" s="0" t="str">
        <f aca="false">IFERROR(IF(INDEX(Matches!$X$5:$X$23,MATCH($C112,Matches!$A$5:$A$23,0))="","",INDEX(Matches!$X$5:$X$23,MATCH($C112,Matches!$A$5:$A$23,0))),"")</f>
        <v>Dust2</v>
      </c>
      <c r="I112" s="0" t="str">
        <f aca="false">IFERROR(IF(INDEX(Matches!$Y$5:$Y$23,MATCH($C112,Matches!$A$5:$A$23,0))="","",INDEX(Matches!$Y$5:$Y$23,MATCH($C112,Matches!$A$5:$A$23,0))),"")</f>
        <v>Nuke</v>
      </c>
      <c r="J112" s="11" t="n">
        <f aca="false">IFERROR(IF(INDEX(Matches!$Z$5:$Z$23,MATCH($C112,Matches!$A$5:$A$23,0))="","",INDEX(Matches!$Z$5:$Z$23,MATCH($C112,Matches!$A$5:$A$23,0))),"")</f>
        <v>20.8</v>
      </c>
      <c r="K112" s="11" t="n">
        <f aca="false">IFERROR(IF(INDEX(Matches!$AA$5:$AA$23,MATCH($C112,Matches!$A$5:$A$23,0))="","",INDEX(Matches!$AA$5:$AA$23,MATCH($C112,Matches!$A$5:$A$23,0))),"")</f>
        <v>20.8</v>
      </c>
      <c r="L112" s="11" t="n">
        <f aca="false">IFERROR(IF(INDEX(Matches!$AB$5:$AB$23,MATCH($C112,Matches!$A$5:$A$23,0))="","",INDEX(Matches!$AB$5:$AB$23,MATCH($C112,Matches!$A$5:$A$23,0))),"")</f>
        <v>21.5</v>
      </c>
      <c r="M112" s="10" t="n">
        <f aca="false">IFERROR(IF(INDEX(Matches!$AC$5:$AC$23,MATCH($C112,Matches!$A$5:$A$23,0))="","",INDEX(Matches!$AC$5:$AC$23,MATCH($C112,Matches!$A$5:$A$23,0))),"")</f>
        <v>0.4109</v>
      </c>
      <c r="N112" s="9" t="n">
        <f aca="false">IFERROR(INDEX(Players!$F$2:$F$137,MATCH($F112,Players!$A$2:$A$137,0)),0)</f>
        <v>36</v>
      </c>
      <c r="O112" s="13" t="n">
        <f aca="false">IFERROR(1/(1/INDEX(Players!$H$2:$H$137,MATCH($F112,Players!$A$2:$A$137,0))),"")</f>
        <v>0.73</v>
      </c>
      <c r="P112" s="10" t="n">
        <f aca="false">IFERROR(1/(1/INDEX(Players!$I$2:$I$137,MATCH($F112,Players!$A$2:$A$137,0))),"")</f>
        <v>0.333</v>
      </c>
      <c r="Q112" s="9" t="n">
        <f aca="false">IF($G112="",0,SUMIFS(Map_Stats!$F$2:$F$850,Map_Stats!$A$2:$A$850,$F112&amp;"|"&amp;$G112))</f>
        <v>10</v>
      </c>
      <c r="R112" s="13" t="n">
        <f aca="false">IF($G112="","",IFERROR(1/(1/INDEX(Map_Stats!$K$2:$K$850,MATCH($F112&amp;"|"&amp;$G112,Map_Stats!$A$2:$A$850,0))),$O112))</f>
        <v>0.73</v>
      </c>
      <c r="S112" s="10" t="n">
        <f aca="false">IF(OR($G112="",$P112=""),"",IFERROR(1/(1/INDEX(Map_Stats!$I$2:$I$850,MATCH($F112&amp;"|"&amp;$G112,Map_Stats!$A$2:$A$850,0))),$P112))</f>
        <v>0.329</v>
      </c>
      <c r="T112" s="13" t="n">
        <f aca="false">IF(OR($G112="",R112=""),"",IF($O112="",R112,(Q112*R112+Config!$B$4*$O112)/(Q112+Config!$B$4)))</f>
        <v>0.73</v>
      </c>
      <c r="U112" s="10" t="n">
        <f aca="false">IF(S112="","",(Q112*S112+Config!$B$4*$P112)/(Q112+Config!$B$4))</f>
        <v>0.330333333333333</v>
      </c>
      <c r="V112" s="17" t="n">
        <f aca="false">IF(OR(T112="",$J112=""),"",T112*$J112*($J112/Config!$B$10)^Config!$B$9)</f>
        <v>15.184</v>
      </c>
      <c r="W112" s="17" t="n">
        <f aca="false">IF(OR(V112="",U112=""),"",V112*U112)</f>
        <v>5.01578133333333</v>
      </c>
      <c r="X112" s="9" t="n">
        <f aca="false">IF($H112="",0,SUMIFS(Map_Stats!$F$2:$F$850,Map_Stats!$A$2:$A$850,$F112&amp;"|"&amp;$H112))</f>
        <v>12</v>
      </c>
      <c r="Y112" s="13" t="n">
        <f aca="false">IF($H112="","",IFERROR(1/(1/INDEX(Map_Stats!$K$2:$K$850,MATCH($F112&amp;"|"&amp;$H112,Map_Stats!$A$2:$A$850,0))),$O112))</f>
        <v>0.71</v>
      </c>
      <c r="Z112" s="10" t="n">
        <f aca="false">IF(OR($H112="",$P112=""),"",IFERROR(1/(1/INDEX(Map_Stats!$I$2:$I$850,MATCH($F112&amp;"|"&amp;$H112,Map_Stats!$A$2:$A$850,0))),$P112))</f>
        <v>0.41</v>
      </c>
      <c r="AA112" s="13" t="n">
        <f aca="false">IF(OR($H112="",Y112=""),"",IF($O112="",Y112,(X112*Y112+Config!$B$4*$O112)/(X112+Config!$B$4)))</f>
        <v>0.715882352941176</v>
      </c>
      <c r="AB112" s="10" t="n">
        <f aca="false">IF(Z112="","",(X112*Z112+Config!$B$4*$P112)/(X112+Config!$B$4))</f>
        <v>0.387352941176471</v>
      </c>
      <c r="AC112" s="17" t="n">
        <f aca="false">IF(OR(AA112="",$K112=""),"",AA112*$K112*($K112/Config!$B$10)^Config!$B$9)</f>
        <v>14.8903529411765</v>
      </c>
      <c r="AD112" s="17" t="n">
        <f aca="false">IF(OR(AC112="",AB112=""),"",AC112*AB112)</f>
        <v>5.76782200692042</v>
      </c>
      <c r="AE112" s="9" t="n">
        <f aca="false">IF($I112="",0,SUMIFS(Map_Stats!$F$2:$F$850,Map_Stats!$A$2:$A$850,$F112&amp;"|"&amp;$I112))</f>
        <v>6</v>
      </c>
      <c r="AF112" s="13" t="n">
        <f aca="false">IF($I112="","",IFERROR(1/(1/INDEX(Map_Stats!$K$2:$K$850,MATCH($F112&amp;"|"&amp;$I112,Map_Stats!$A$2:$A$850,0))),$O112))</f>
        <v>0.81</v>
      </c>
      <c r="AG112" s="10" t="n">
        <f aca="false">IF(OR($I112="",$P112=""),"",IFERROR(1/(1/INDEX(Map_Stats!$I$2:$I$850,MATCH($F112&amp;"|"&amp;$I112,Map_Stats!$A$2:$A$850,0))),$P112))</f>
        <v>0.321</v>
      </c>
      <c r="AH112" s="13" t="n">
        <f aca="false">IF(OR($I112="",AF112=""),"",IF($O112="",AF112,(AE112*AF112+Config!$B$4*$O112)/(AE112+Config!$B$4)))</f>
        <v>0.773636363636364</v>
      </c>
      <c r="AI112" s="10" t="n">
        <f aca="false">IF(AG112="","",(AE112*AG112+Config!$B$4*$P112)/(AE112+Config!$B$4))</f>
        <v>0.326454545454546</v>
      </c>
      <c r="AJ112" s="17" t="n">
        <f aca="false">IF(OR(AH112="",$L112=""),"",AH112*$L112*($L112/Config!$B$10)^Config!$B$9)</f>
        <v>16.6331818181818</v>
      </c>
      <c r="AK112" s="17" t="n">
        <f aca="false">IF(OR(AJ112="",AI112=""),"",AJ112*AI112)</f>
        <v>5.42997780991736</v>
      </c>
      <c r="AL112" s="17" t="n">
        <f aca="false">N(V112)+N(AC112)</f>
        <v>30.0743529411765</v>
      </c>
      <c r="AM112" s="17" t="n">
        <f aca="false">AL112+N($M112)*N(AJ112)</f>
        <v>36.9089273502674</v>
      </c>
      <c r="AN112" s="17" t="n">
        <f aca="false">IF(W112="","",N(W112)+N(AD112))</f>
        <v>10.7836033402537</v>
      </c>
      <c r="AO112" s="17" t="n">
        <f aca="false">IF(AN112="","",AN112+N($M112)*N(AK112))</f>
        <v>13.0147812223488</v>
      </c>
      <c r="AP112" s="10" t="n">
        <f aca="false">IFERROR(AN112/AL112,"")</f>
        <v>0.358564766508719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IF($C112=Board!$B$2,COUNTIFS($C$2:$C$137,Board!$B$2,$AL$2:$AL$137,"&gt;"&amp;$AL112)+COUNTIFS($C$1:$C111,Board!$B$2,$AL$1:$AL111,$AL112)+1,"")</f>
        <v/>
      </c>
      <c r="AS112" s="0" t="str">
        <f aca="false">IFERROR(IF($D112=INDEX(Matches!$AD$5:$AD$23,MATCH($C112,Matches!$A$5:$A$23,0)),"A",IF($D112=INDEX(Matches!$AE$5:$AE$23,MATCH($C112,Matches!$A$5:$A$23,0)),"B","")),"")</f>
        <v>B</v>
      </c>
      <c r="AT112" s="10" t="n">
        <f aca="false">IF($AS112="","",IFERROR(IF($AS112="A",INDEX(Matches!$AI$5:$AI$23,MATCH($C112,Matches!$A$5:$A$23,0)),INDEX(Matches!$AJ$5:$AJ$23,MATCH($C112,Matches!$A$5:$A$23,0))),""))</f>
        <v>0.491965863115539</v>
      </c>
      <c r="AU112" s="10" t="n">
        <f aca="false">IF($AS112="","",IFERROR(IF(INDEX(Matches!$AP$5:$AP$23,MATCH($C112,Matches!$A$5:$A$23,0))="","",IF($AS112="A",INDEX(Matches!$AP$5:$AP$23,MATCH($C112,Matches!$A$5:$A$23,0)),1-INDEX(Matches!$AP$5:$AP$23,MATCH($C112,Matches!$A$5:$A$23,0)))),""))</f>
        <v>0.462797388208837</v>
      </c>
      <c r="AV112" s="13" t="n">
        <f aca="false">IF(OR($AU112="",$AT112=""),1,((Config!$B$14*$AU112+Config!$B$15*(1-$AU112))/(Config!$B$14*$AT112+Config!$B$15*(1-$AT112)))^Config!$B$13)</f>
        <v>0.973746065754386</v>
      </c>
      <c r="AW112" s="10" t="n">
        <f aca="false">IF($AS112="","",IFERROR(IF(INDEX(Matches!$AV$5:$AV$23,MATCH($C112,Matches!$A$5:$A$23,0))="","",IF($AS112="A",INDEX(Matches!$AV$5:$AV$23,MATCH($C112,Matches!$A$5:$A$23,0)),1-INDEX(Matches!$AV$5:$AV$23,MATCH($C112,Matches!$A$5:$A$23,0)))),""))</f>
        <v>0.452970311086512</v>
      </c>
      <c r="AX112" s="13" t="n">
        <f aca="false">IF(OR($AW112="",$AT112=""),1,((Config!$B$14*$AW112+Config!$B$15*(1-$AW112))/(Config!$B$14*$AT112+Config!$B$15*(1-$AT112)))^Config!$B$13)</f>
        <v>0.964900919156173</v>
      </c>
      <c r="AY112" s="10" t="n">
        <f aca="false">IF($AS112="","",IFERROR(IF(INDEX(Matches!$BB$5:$BB$23,MATCH($C112,Matches!$A$5:$A$23,0))="","",IF($AS112="A",INDEX(Matches!$BB$5:$BB$23,MATCH($C112,Matches!$A$5:$A$23,0)),1-INDEX(Matches!$BB$5:$BB$23,MATCH($C112,Matches!$A$5:$A$23,0)))),""))</f>
        <v>0.469123001899991</v>
      </c>
      <c r="AZ112" s="13" t="n">
        <f aca="false">IF(OR($AY112="",$AT112=""),1,((Config!$B$14*$AY112+Config!$B$15*(1-$AY112))/(Config!$B$14*$AT112+Config!$B$15*(1-$AT112)))^Config!$B$13)</f>
        <v>0.97943961834642</v>
      </c>
      <c r="BA112" s="17" t="n">
        <f aca="false">IF(V112="","",V112*$AV112)</f>
        <v>14.7853602624146</v>
      </c>
      <c r="BB112" s="17" t="n">
        <f aca="false">IF(AC112="","",AC112*$AX112)</f>
        <v>14.367715239501</v>
      </c>
      <c r="BC112" s="17" t="n">
        <f aca="false">IF(AJ112="","",AJ112*$AZ112)</f>
        <v>16.2911972518866</v>
      </c>
      <c r="BD112" s="17" t="n">
        <f aca="false">N(BA112)+N(BB112)</f>
        <v>29.1530755019156</v>
      </c>
      <c r="BE112" s="17" t="n">
        <f aca="false">BD112+N($M112)*N(BC112)</f>
        <v>35.8471284527158</v>
      </c>
      <c r="BF112" s="17" t="n">
        <f aca="false">IF(W112="","",W112*$AV112)</f>
        <v>4.88409734001762</v>
      </c>
      <c r="BG112" s="17" t="n">
        <f aca="false">IF(AD112="","",AD112*$AX112)</f>
        <v>5.56537675600671</v>
      </c>
      <c r="BH112" s="17" t="n">
        <f aca="false">IF(AK112="","",AK112*$AZ112)</f>
        <v>5.31833539377499</v>
      </c>
      <c r="BI112" s="17" t="n">
        <f aca="false">IF(BF112="","",N(BF112)+N(BG112))</f>
        <v>10.4494740960243</v>
      </c>
      <c r="BJ112" s="17" t="n">
        <f aca="false">IF(BI112="","",BI112+N($M112)*N(BH112))</f>
        <v>12.6347781093265</v>
      </c>
      <c r="BK112" s="13" t="n">
        <f aca="false">IFERROR(BD112/AL112,1)</f>
        <v>0.969366674619307</v>
      </c>
    </row>
    <row r="113" customFormat="false" ht="15" hidden="false" customHeight="false" outlineLevel="0" collapsed="false">
      <c r="A113" s="0" t="s">
        <v>1553</v>
      </c>
      <c r="B113" s="0" t="s">
        <v>1139</v>
      </c>
      <c r="C113" s="0" t="s">
        <v>1239</v>
      </c>
      <c r="D113" s="0" t="s">
        <v>1245</v>
      </c>
      <c r="E113" s="0" t="s">
        <v>1552</v>
      </c>
      <c r="F113" s="0" t="s">
        <v>1770</v>
      </c>
      <c r="G113" s="0" t="str">
        <f aca="false">IFERROR(IF(INDEX(Matches!$W$5:$W$23,MATCH($C113,Matches!$A$5:$A$23,0))="","",INDEX(Matches!$W$5:$W$23,MATCH($C113,Matches!$A$5:$A$23,0))),"")</f>
        <v>Ancient</v>
      </c>
      <c r="H113" s="0" t="str">
        <f aca="false">IFERROR(IF(INDEX(Matches!$X$5:$X$23,MATCH($C113,Matches!$A$5:$A$23,0))="","",INDEX(Matches!$X$5:$X$23,MATCH($C113,Matches!$A$5:$A$23,0))),"")</f>
        <v>Dust2</v>
      </c>
      <c r="I113" s="0" t="str">
        <f aca="false">IFERROR(IF(INDEX(Matches!$Y$5:$Y$23,MATCH($C113,Matches!$A$5:$A$23,0))="","",INDEX(Matches!$Y$5:$Y$23,MATCH($C113,Matches!$A$5:$A$23,0))),"")</f>
        <v>Nuke</v>
      </c>
      <c r="J113" s="11" t="n">
        <f aca="false">IFERROR(IF(INDEX(Matches!$Z$5:$Z$23,MATCH($C113,Matches!$A$5:$A$23,0))="","",INDEX(Matches!$Z$5:$Z$23,MATCH($C113,Matches!$A$5:$A$23,0))),"")</f>
        <v>20.8</v>
      </c>
      <c r="K113" s="11" t="n">
        <f aca="false">IFERROR(IF(INDEX(Matches!$AA$5:$AA$23,MATCH($C113,Matches!$A$5:$A$23,0))="","",INDEX(Matches!$AA$5:$AA$23,MATCH($C113,Matches!$A$5:$A$23,0))),"")</f>
        <v>20.8</v>
      </c>
      <c r="L113" s="11" t="n">
        <f aca="false">IFERROR(IF(INDEX(Matches!$AB$5:$AB$23,MATCH($C113,Matches!$A$5:$A$23,0))="","",INDEX(Matches!$AB$5:$AB$23,MATCH($C113,Matches!$A$5:$A$23,0))),"")</f>
        <v>21.5</v>
      </c>
      <c r="M113" s="10" t="n">
        <f aca="false">IFERROR(IF(INDEX(Matches!$AC$5:$AC$23,MATCH($C113,Matches!$A$5:$A$23,0))="","",INDEX(Matches!$AC$5:$AC$23,MATCH($C113,Matches!$A$5:$A$23,0))),"")</f>
        <v>0.4109</v>
      </c>
      <c r="N113" s="9" t="n">
        <f aca="false">IFERROR(INDEX(Players!$F$2:$F$137,MATCH($F113,Players!$A$2:$A$137,0)),0)</f>
        <v>36</v>
      </c>
      <c r="O113" s="13" t="n">
        <f aca="false">IFERROR(1/(1/INDEX(Players!$H$2:$H$137,MATCH($F113,Players!$A$2:$A$137,0))),"")</f>
        <v>0.6</v>
      </c>
      <c r="P113" s="10" t="n">
        <f aca="false">IFERROR(1/(1/INDEX(Players!$I$2:$I$137,MATCH($F113,Players!$A$2:$A$137,0))),"")</f>
        <v>0.537</v>
      </c>
      <c r="Q113" s="9" t="n">
        <f aca="false">IF($G113="",0,SUMIFS(Map_Stats!$F$2:$F$850,Map_Stats!$A$2:$A$850,$F113&amp;"|"&amp;$G113))</f>
        <v>10</v>
      </c>
      <c r="R113" s="13" t="n">
        <f aca="false">IF($G113="","",IFERROR(1/(1/INDEX(Map_Stats!$K$2:$K$850,MATCH($F113&amp;"|"&amp;$G113,Map_Stats!$A$2:$A$850,0))),$O113))</f>
        <v>0.6</v>
      </c>
      <c r="S113" s="10" t="n">
        <f aca="false">IF(OR($G113="",$P113=""),"",IFERROR(1/(1/INDEX(Map_Stats!$I$2:$I$850,MATCH($F113&amp;"|"&amp;$G113,Map_Stats!$A$2:$A$850,0))),$P113))</f>
        <v>0.466</v>
      </c>
      <c r="T113" s="13" t="n">
        <f aca="false">IF(OR($G113="",R113=""),"",IF($O113="",R113,(Q113*R113+Config!$B$4*$O113)/(Q113+Config!$B$4)))</f>
        <v>0.6</v>
      </c>
      <c r="U113" s="10" t="n">
        <f aca="false">IF(S113="","",(Q113*S113+Config!$B$4*$P113)/(Q113+Config!$B$4))</f>
        <v>0.489666666666667</v>
      </c>
      <c r="V113" s="17" t="n">
        <f aca="false">IF(OR(T113="",$J113=""),"",T113*$J113*($J113/Config!$B$10)^Config!$B$9)</f>
        <v>12.48</v>
      </c>
      <c r="W113" s="17" t="n">
        <f aca="false">IF(OR(V113="",U113=""),"",V113*U113)</f>
        <v>6.11104</v>
      </c>
      <c r="X113" s="9" t="n">
        <f aca="false">IF($H113="",0,SUMIFS(Map_Stats!$F$2:$F$850,Map_Stats!$A$2:$A$850,$F113&amp;"|"&amp;$H113))</f>
        <v>12</v>
      </c>
      <c r="Y113" s="13" t="n">
        <f aca="false">IF($H113="","",IFERROR(1/(1/INDEX(Map_Stats!$K$2:$K$850,MATCH($F113&amp;"|"&amp;$H113,Map_Stats!$A$2:$A$850,0))),$O113))</f>
        <v>0.58</v>
      </c>
      <c r="Z113" s="10" t="n">
        <f aca="false">IF(OR($H113="",$P113=""),"",IFERROR(1/(1/INDEX(Map_Stats!$I$2:$I$850,MATCH($F113&amp;"|"&amp;$H113,Map_Stats!$A$2:$A$850,0))),$P113))</f>
        <v>0.549</v>
      </c>
      <c r="AA113" s="13" t="n">
        <f aca="false">IF(OR($H113="",Y113=""),"",IF($O113="",Y113,(X113*Y113+Config!$B$4*$O113)/(X113+Config!$B$4)))</f>
        <v>0.585882352941176</v>
      </c>
      <c r="AB113" s="10" t="n">
        <f aca="false">IF(Z113="","",(X113*Z113+Config!$B$4*$P113)/(X113+Config!$B$4))</f>
        <v>0.545470588235294</v>
      </c>
      <c r="AC113" s="17" t="n">
        <f aca="false">IF(OR(AA113="",$K113=""),"",AA113*$K113*($K113/Config!$B$10)^Config!$B$9)</f>
        <v>12.1863529411765</v>
      </c>
      <c r="AD113" s="17" t="n">
        <f aca="false">IF(OR(AC113="",AB113=""),"",AC113*AB113)</f>
        <v>6.64729710726644</v>
      </c>
      <c r="AE113" s="9" t="n">
        <f aca="false">IF($I113="",0,SUMIFS(Map_Stats!$F$2:$F$850,Map_Stats!$A$2:$A$850,$F113&amp;"|"&amp;$I113))</f>
        <v>6</v>
      </c>
      <c r="AF113" s="13" t="n">
        <f aca="false">IF($I113="","",IFERROR(1/(1/INDEX(Map_Stats!$K$2:$K$850,MATCH($F113&amp;"|"&amp;$I113,Map_Stats!$A$2:$A$850,0))),$O113))</f>
        <v>0.6</v>
      </c>
      <c r="AG113" s="10" t="n">
        <f aca="false">IF(OR($I113="",$P113=""),"",IFERROR(1/(1/INDEX(Map_Stats!$I$2:$I$850,MATCH($F113&amp;"|"&amp;$I113,Map_Stats!$A$2:$A$850,0))),$P113))</f>
        <v>0.63</v>
      </c>
      <c r="AH113" s="13" t="n">
        <f aca="false">IF(OR($I113="",AF113=""),"",IF($O113="",AF113,(AE113*AF113+Config!$B$4*$O113)/(AE113+Config!$B$4)))</f>
        <v>0.6</v>
      </c>
      <c r="AI113" s="10" t="n">
        <f aca="false">IF(AG113="","",(AE113*AG113+Config!$B$4*$P113)/(AE113+Config!$B$4))</f>
        <v>0.587727272727273</v>
      </c>
      <c r="AJ113" s="17" t="n">
        <f aca="false">IF(OR(AH113="",$L113=""),"",AH113*$L113*($L113/Config!$B$10)^Config!$B$9)</f>
        <v>12.9</v>
      </c>
      <c r="AK113" s="17" t="n">
        <f aca="false">IF(OR(AJ113="",AI113=""),"",AJ113*AI113)</f>
        <v>7.58168181818182</v>
      </c>
      <c r="AL113" s="17" t="n">
        <f aca="false">N(V113)+N(AC113)</f>
        <v>24.6663529411765</v>
      </c>
      <c r="AM113" s="17" t="n">
        <f aca="false">AL113+N($M113)*N(AJ113)</f>
        <v>29.9669629411765</v>
      </c>
      <c r="AN113" s="17" t="n">
        <f aca="false">IF(W113="","",N(W113)+N(AD113))</f>
        <v>12.7583371072664</v>
      </c>
      <c r="AO113" s="17" t="n">
        <f aca="false">IF(AN113="","",AN113+N($M113)*N(AK113))</f>
        <v>15.8736501663573</v>
      </c>
      <c r="AP113" s="10" t="n">
        <f aca="false">IFERROR(AN113/AL113,"")</f>
        <v>0.517236461251167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IF($C113=Board!$B$2,COUNTIFS($C$2:$C$137,Board!$B$2,$AL$2:$AL$137,"&gt;"&amp;$AL113)+COUNTIFS($C$1:$C112,Board!$B$2,$AL$1:$AL112,$AL113)+1,"")</f>
        <v/>
      </c>
      <c r="AS113" s="0" t="str">
        <f aca="false">IFERROR(IF($D113=INDEX(Matches!$AD$5:$AD$23,MATCH($C113,Matches!$A$5:$A$23,0)),"A",IF($D113=INDEX(Matches!$AE$5:$AE$23,MATCH($C113,Matches!$A$5:$A$23,0)),"B","")),"")</f>
        <v>B</v>
      </c>
      <c r="AT113" s="10" t="n">
        <f aca="false">IF($AS113="","",IFERROR(IF($AS113="A",INDEX(Matches!$AI$5:$AI$23,MATCH($C113,Matches!$A$5:$A$23,0)),INDEX(Matches!$AJ$5:$AJ$23,MATCH($C113,Matches!$A$5:$A$23,0))),""))</f>
        <v>0.491965863115539</v>
      </c>
      <c r="AU113" s="10" t="n">
        <f aca="false">IF($AS113="","",IFERROR(IF(INDEX(Matches!$AP$5:$AP$23,MATCH($C113,Matches!$A$5:$A$23,0))="","",IF($AS113="A",INDEX(Matches!$AP$5:$AP$23,MATCH($C113,Matches!$A$5:$A$23,0)),1-INDEX(Matches!$AP$5:$AP$23,MATCH($C113,Matches!$A$5:$A$23,0)))),""))</f>
        <v>0.462797388208837</v>
      </c>
      <c r="AV113" s="13" t="n">
        <f aca="false">IF(OR($AU113="",$AT113=""),1,((Config!$B$14*$AU113+Config!$B$15*(1-$AU113))/(Config!$B$14*$AT113+Config!$B$15*(1-$AT113)))^Config!$B$13)</f>
        <v>0.973746065754386</v>
      </c>
      <c r="AW113" s="10" t="n">
        <f aca="false">IF($AS113="","",IFERROR(IF(INDEX(Matches!$AV$5:$AV$23,MATCH($C113,Matches!$A$5:$A$23,0))="","",IF($AS113="A",INDEX(Matches!$AV$5:$AV$23,MATCH($C113,Matches!$A$5:$A$23,0)),1-INDEX(Matches!$AV$5:$AV$23,MATCH($C113,Matches!$A$5:$A$23,0)))),""))</f>
        <v>0.452970311086512</v>
      </c>
      <c r="AX113" s="13" t="n">
        <f aca="false">IF(OR($AW113="",$AT113=""),1,((Config!$B$14*$AW113+Config!$B$15*(1-$AW113))/(Config!$B$14*$AT113+Config!$B$15*(1-$AT113)))^Config!$B$13)</f>
        <v>0.964900919156173</v>
      </c>
      <c r="AY113" s="10" t="n">
        <f aca="false">IF($AS113="","",IFERROR(IF(INDEX(Matches!$BB$5:$BB$23,MATCH($C113,Matches!$A$5:$A$23,0))="","",IF($AS113="A",INDEX(Matches!$BB$5:$BB$23,MATCH($C113,Matches!$A$5:$A$23,0)),1-INDEX(Matches!$BB$5:$BB$23,MATCH($C113,Matches!$A$5:$A$23,0)))),""))</f>
        <v>0.469123001899991</v>
      </c>
      <c r="AZ113" s="13" t="n">
        <f aca="false">IF(OR($AY113="",$AT113=""),1,((Config!$B$14*$AY113+Config!$B$15*(1-$AY113))/(Config!$B$14*$AT113+Config!$B$15*(1-$AT113)))^Config!$B$13)</f>
        <v>0.97943961834642</v>
      </c>
      <c r="BA113" s="17" t="n">
        <f aca="false">IF(V113="","",V113*$AV113)</f>
        <v>12.1523509006147</v>
      </c>
      <c r="BB113" s="17" t="n">
        <f aca="false">IF(AC113="","",AC113*$AX113)</f>
        <v>11.7586231541027</v>
      </c>
      <c r="BC113" s="17" t="n">
        <f aca="false">IF(AJ113="","",AJ113*$AZ113)</f>
        <v>12.6347710766688</v>
      </c>
      <c r="BD113" s="17" t="n">
        <f aca="false">N(BA113)+N(BB113)</f>
        <v>23.9109740547175</v>
      </c>
      <c r="BE113" s="17" t="n">
        <f aca="false">BD113+N($M113)*N(BC113)</f>
        <v>29.1026014901207</v>
      </c>
      <c r="BF113" s="17" t="n">
        <f aca="false">IF(W113="","",W113*$AV113)</f>
        <v>5.95060115766769</v>
      </c>
      <c r="BG113" s="17" t="n">
        <f aca="false">IF(AD113="","",AD113*$AX113)</f>
        <v>6.41398308870556</v>
      </c>
      <c r="BH113" s="17" t="n">
        <f aca="false">IF(AK113="","",AK113*$AZ113)</f>
        <v>7.42579954642399</v>
      </c>
      <c r="BI113" s="17" t="n">
        <f aca="false">IF(BF113="","",N(BF113)+N(BG113))</f>
        <v>12.3645842463732</v>
      </c>
      <c r="BJ113" s="17" t="n">
        <f aca="false">IF(BI113="","",BI113+N($M113)*N(BH113))</f>
        <v>15.4158452799989</v>
      </c>
      <c r="BK113" s="13" t="n">
        <f aca="false">IFERROR(BD113/AL113,1)</f>
        <v>0.969376142137412</v>
      </c>
    </row>
    <row r="114" customFormat="false" ht="15" hidden="false" customHeight="false" outlineLevel="0" collapsed="false">
      <c r="A114" s="0" t="s">
        <v>1555</v>
      </c>
      <c r="B114" s="0" t="s">
        <v>1139</v>
      </c>
      <c r="C114" s="0" t="s">
        <v>1239</v>
      </c>
      <c r="D114" s="0" t="s">
        <v>1245</v>
      </c>
      <c r="E114" s="0" t="s">
        <v>1554</v>
      </c>
      <c r="F114" s="0" t="s">
        <v>1771</v>
      </c>
      <c r="G114" s="0" t="str">
        <f aca="false">IFERROR(IF(INDEX(Matches!$W$5:$W$23,MATCH($C114,Matches!$A$5:$A$23,0))="","",INDEX(Matches!$W$5:$W$23,MATCH($C114,Matches!$A$5:$A$23,0))),"")</f>
        <v>Ancient</v>
      </c>
      <c r="H114" s="0" t="str">
        <f aca="false">IFERROR(IF(INDEX(Matches!$X$5:$X$23,MATCH($C114,Matches!$A$5:$A$23,0))="","",INDEX(Matches!$X$5:$X$23,MATCH($C114,Matches!$A$5:$A$23,0))),"")</f>
        <v>Dust2</v>
      </c>
      <c r="I114" s="0" t="str">
        <f aca="false">IFERROR(IF(INDEX(Matches!$Y$5:$Y$23,MATCH($C114,Matches!$A$5:$A$23,0))="","",INDEX(Matches!$Y$5:$Y$23,MATCH($C114,Matches!$A$5:$A$23,0))),"")</f>
        <v>Nuke</v>
      </c>
      <c r="J114" s="11" t="n">
        <f aca="false">IFERROR(IF(INDEX(Matches!$Z$5:$Z$23,MATCH($C114,Matches!$A$5:$A$23,0))="","",INDEX(Matches!$Z$5:$Z$23,MATCH($C114,Matches!$A$5:$A$23,0))),"")</f>
        <v>20.8</v>
      </c>
      <c r="K114" s="11" t="n">
        <f aca="false">IFERROR(IF(INDEX(Matches!$AA$5:$AA$23,MATCH($C114,Matches!$A$5:$A$23,0))="","",INDEX(Matches!$AA$5:$AA$23,MATCH($C114,Matches!$A$5:$A$23,0))),"")</f>
        <v>20.8</v>
      </c>
      <c r="L114" s="11" t="n">
        <f aca="false">IFERROR(IF(INDEX(Matches!$AB$5:$AB$23,MATCH($C114,Matches!$A$5:$A$23,0))="","",INDEX(Matches!$AB$5:$AB$23,MATCH($C114,Matches!$A$5:$A$23,0))),"")</f>
        <v>21.5</v>
      </c>
      <c r="M114" s="10" t="n">
        <f aca="false">IFERROR(IF(INDEX(Matches!$AC$5:$AC$23,MATCH($C114,Matches!$A$5:$A$23,0))="","",INDEX(Matches!$AC$5:$AC$23,MATCH($C114,Matches!$A$5:$A$23,0))),"")</f>
        <v>0.4109</v>
      </c>
      <c r="N114" s="9" t="n">
        <f aca="false">IFERROR(INDEX(Players!$F$2:$F$137,MATCH($F114,Players!$A$2:$A$137,0)),0)</f>
        <v>36</v>
      </c>
      <c r="O114" s="13" t="n">
        <f aca="false">IFERROR(1/(1/INDEX(Players!$H$2:$H$137,MATCH($F114,Players!$A$2:$A$137,0))),"")</f>
        <v>0.67</v>
      </c>
      <c r="P114" s="10" t="n">
        <f aca="false">IFERROR(1/(1/INDEX(Players!$I$2:$I$137,MATCH($F114,Players!$A$2:$A$137,0))),"")</f>
        <v>0.567</v>
      </c>
      <c r="Q114" s="9" t="n">
        <f aca="false">IF($G114="",0,SUMIFS(Map_Stats!$F$2:$F$850,Map_Stats!$A$2:$A$850,$F114&amp;"|"&amp;$G114))</f>
        <v>10</v>
      </c>
      <c r="R114" s="13" t="n">
        <f aca="false">IF($G114="","",IFERROR(1/(1/INDEX(Map_Stats!$K$2:$K$850,MATCH($F114&amp;"|"&amp;$G114,Map_Stats!$A$2:$A$850,0))),$O114))</f>
        <v>0.67</v>
      </c>
      <c r="S114" s="10" t="n">
        <f aca="false">IF(OR($G114="",$P114=""),"",IFERROR(1/(1/INDEX(Map_Stats!$I$2:$I$850,MATCH($F114&amp;"|"&amp;$G114,Map_Stats!$A$2:$A$850,0))),$P114))</f>
        <v>0.615</v>
      </c>
      <c r="T114" s="13" t="n">
        <f aca="false">IF(OR($G114="",R114=""),"",IF($O114="",R114,(Q114*R114+Config!$B$4*$O114)/(Q114+Config!$B$4)))</f>
        <v>0.67</v>
      </c>
      <c r="U114" s="10" t="n">
        <f aca="false">IF(S114="","",(Q114*S114+Config!$B$4*$P114)/(Q114+Config!$B$4))</f>
        <v>0.599</v>
      </c>
      <c r="V114" s="17" t="n">
        <f aca="false">IF(OR(T114="",$J114=""),"",T114*$J114*($J114/Config!$B$10)^Config!$B$9)</f>
        <v>13.936</v>
      </c>
      <c r="W114" s="17" t="n">
        <f aca="false">IF(OR(V114="",U114=""),"",V114*U114)</f>
        <v>8.347664</v>
      </c>
      <c r="X114" s="9" t="n">
        <f aca="false">IF($H114="",0,SUMIFS(Map_Stats!$F$2:$F$850,Map_Stats!$A$2:$A$850,$F114&amp;"|"&amp;$H114))</f>
        <v>12</v>
      </c>
      <c r="Y114" s="13" t="n">
        <f aca="false">IF($H114="","",IFERROR(1/(1/INDEX(Map_Stats!$K$2:$K$850,MATCH($F114&amp;"|"&amp;$H114,Map_Stats!$A$2:$A$850,0))),$O114))</f>
        <v>0.65</v>
      </c>
      <c r="Z114" s="10" t="n">
        <f aca="false">IF(OR($H114="",$P114=""),"",IFERROR(1/(1/INDEX(Map_Stats!$I$2:$I$850,MATCH($F114&amp;"|"&amp;$H114,Map_Stats!$A$2:$A$850,0))),$P114))</f>
        <v>0.544</v>
      </c>
      <c r="AA114" s="13" t="n">
        <f aca="false">IF(OR($H114="",Y114=""),"",IF($O114="",Y114,(X114*Y114+Config!$B$4*$O114)/(X114+Config!$B$4)))</f>
        <v>0.655882352941177</v>
      </c>
      <c r="AB114" s="10" t="n">
        <f aca="false">IF(Z114="","",(X114*Z114+Config!$B$4*$P114)/(X114+Config!$B$4))</f>
        <v>0.550764705882353</v>
      </c>
      <c r="AC114" s="17" t="n">
        <f aca="false">IF(OR(AA114="",$K114=""),"",AA114*$K114*($K114/Config!$B$10)^Config!$B$9)</f>
        <v>13.6423529411765</v>
      </c>
      <c r="AD114" s="17" t="n">
        <f aca="false">IF(OR(AC114="",AB114=""),"",AC114*AB114)</f>
        <v>7.51372650519031</v>
      </c>
      <c r="AE114" s="9" t="n">
        <f aca="false">IF($I114="",0,SUMIFS(Map_Stats!$F$2:$F$850,Map_Stats!$A$2:$A$850,$F114&amp;"|"&amp;$I114))</f>
        <v>6</v>
      </c>
      <c r="AF114" s="13" t="n">
        <f aca="false">IF($I114="","",IFERROR(1/(1/INDEX(Map_Stats!$K$2:$K$850,MATCH($F114&amp;"|"&amp;$I114,Map_Stats!$A$2:$A$850,0))),$O114))</f>
        <v>0.7</v>
      </c>
      <c r="AG114" s="10" t="n">
        <f aca="false">IF(OR($I114="",$P114=""),"",IFERROR(1/(1/INDEX(Map_Stats!$I$2:$I$850,MATCH($F114&amp;"|"&amp;$I114,Map_Stats!$A$2:$A$850,0))),$P114))</f>
        <v>0.511</v>
      </c>
      <c r="AH114" s="13" t="n">
        <f aca="false">IF(OR($I114="",AF114=""),"",IF($O114="",AF114,(AE114*AF114+Config!$B$4*$O114)/(AE114+Config!$B$4)))</f>
        <v>0.686363636363636</v>
      </c>
      <c r="AI114" s="10" t="n">
        <f aca="false">IF(AG114="","",(AE114*AG114+Config!$B$4*$P114)/(AE114+Config!$B$4))</f>
        <v>0.536454545454545</v>
      </c>
      <c r="AJ114" s="17" t="n">
        <f aca="false">IF(OR(AH114="",$L114=""),"",AH114*$L114*($L114/Config!$B$10)^Config!$B$9)</f>
        <v>14.7568181818182</v>
      </c>
      <c r="AK114" s="17" t="n">
        <f aca="false">IF(OR(AJ114="",AI114=""),"",AJ114*AI114)</f>
        <v>7.91636219008264</v>
      </c>
      <c r="AL114" s="17" t="n">
        <f aca="false">N(V114)+N(AC114)</f>
        <v>27.5783529411765</v>
      </c>
      <c r="AM114" s="17" t="n">
        <f aca="false">AL114+N($M114)*N(AJ114)</f>
        <v>33.6419295320856</v>
      </c>
      <c r="AN114" s="17" t="n">
        <f aca="false">IF(W114="","",N(W114)+N(AD114))</f>
        <v>15.8613905051903</v>
      </c>
      <c r="AO114" s="17" t="n">
        <f aca="false">IF(AN114="","",AN114+N($M114)*N(AK114))</f>
        <v>19.1142237290953</v>
      </c>
      <c r="AP114" s="10" t="n">
        <f aca="false">IFERROR(AN114/AL114,"")</f>
        <v>0.575139151312699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IF($C114=Board!$B$2,COUNTIFS($C$2:$C$137,Board!$B$2,$AL$2:$AL$137,"&gt;"&amp;$AL114)+COUNTIFS($C$1:$C113,Board!$B$2,$AL$1:$AL113,$AL114)+1,"")</f>
        <v/>
      </c>
      <c r="AS114" s="0" t="str">
        <f aca="false">IFERROR(IF($D114=INDEX(Matches!$AD$5:$AD$23,MATCH($C114,Matches!$A$5:$A$23,0)),"A",IF($D114=INDEX(Matches!$AE$5:$AE$23,MATCH($C114,Matches!$A$5:$A$23,0)),"B","")),"")</f>
        <v>B</v>
      </c>
      <c r="AT114" s="10" t="n">
        <f aca="false">IF($AS114="","",IFERROR(IF($AS114="A",INDEX(Matches!$AI$5:$AI$23,MATCH($C114,Matches!$A$5:$A$23,0)),INDEX(Matches!$AJ$5:$AJ$23,MATCH($C114,Matches!$A$5:$A$23,0))),""))</f>
        <v>0.491965863115539</v>
      </c>
      <c r="AU114" s="10" t="n">
        <f aca="false">IF($AS114="","",IFERROR(IF(INDEX(Matches!$AP$5:$AP$23,MATCH($C114,Matches!$A$5:$A$23,0))="","",IF($AS114="A",INDEX(Matches!$AP$5:$AP$23,MATCH($C114,Matches!$A$5:$A$23,0)),1-INDEX(Matches!$AP$5:$AP$23,MATCH($C114,Matches!$A$5:$A$23,0)))),""))</f>
        <v>0.462797388208837</v>
      </c>
      <c r="AV114" s="13" t="n">
        <f aca="false">IF(OR($AU114="",$AT114=""),1,((Config!$B$14*$AU114+Config!$B$15*(1-$AU114))/(Config!$B$14*$AT114+Config!$B$15*(1-$AT114)))^Config!$B$13)</f>
        <v>0.973746065754386</v>
      </c>
      <c r="AW114" s="10" t="n">
        <f aca="false">IF($AS114="","",IFERROR(IF(INDEX(Matches!$AV$5:$AV$23,MATCH($C114,Matches!$A$5:$A$23,0))="","",IF($AS114="A",INDEX(Matches!$AV$5:$AV$23,MATCH($C114,Matches!$A$5:$A$23,0)),1-INDEX(Matches!$AV$5:$AV$23,MATCH($C114,Matches!$A$5:$A$23,0)))),""))</f>
        <v>0.452970311086512</v>
      </c>
      <c r="AX114" s="13" t="n">
        <f aca="false">IF(OR($AW114="",$AT114=""),1,((Config!$B$14*$AW114+Config!$B$15*(1-$AW114))/(Config!$B$14*$AT114+Config!$B$15*(1-$AT114)))^Config!$B$13)</f>
        <v>0.964900919156173</v>
      </c>
      <c r="AY114" s="10" t="n">
        <f aca="false">IF($AS114="","",IFERROR(IF(INDEX(Matches!$BB$5:$BB$23,MATCH($C114,Matches!$A$5:$A$23,0))="","",IF($AS114="A",INDEX(Matches!$BB$5:$BB$23,MATCH($C114,Matches!$A$5:$A$23,0)),1-INDEX(Matches!$BB$5:$BB$23,MATCH($C114,Matches!$A$5:$A$23,0)))),""))</f>
        <v>0.469123001899991</v>
      </c>
      <c r="AZ114" s="13" t="n">
        <f aca="false">IF(OR($AY114="",$AT114=""),1,((Config!$B$14*$AY114+Config!$B$15*(1-$AY114))/(Config!$B$14*$AT114+Config!$B$15*(1-$AT114)))^Config!$B$13)</f>
        <v>0.97943961834642</v>
      </c>
      <c r="BA114" s="17" t="n">
        <f aca="false">IF(V114="","",V114*$AV114)</f>
        <v>13.5701251723531</v>
      </c>
      <c r="BB114" s="17" t="n">
        <f aca="false">IF(AC114="","",AC114*$AX114)</f>
        <v>13.1635188923941</v>
      </c>
      <c r="BC114" s="17" t="n">
        <f aca="false">IF(AJ114="","",AJ114*$AZ114)</f>
        <v>14.4534123680075</v>
      </c>
      <c r="BD114" s="17" t="n">
        <f aca="false">N(BA114)+N(BB114)</f>
        <v>26.7336440647472</v>
      </c>
      <c r="BE114" s="17" t="n">
        <f aca="false">BD114+N($M114)*N(BC114)</f>
        <v>32.6725512067615</v>
      </c>
      <c r="BF114" s="17" t="n">
        <f aca="false">IF(W114="","",W114*$AV114)</f>
        <v>8.12850497823953</v>
      </c>
      <c r="BG114" s="17" t="n">
        <f aca="false">IF(AD114="","",AD114*$AX114)</f>
        <v>7.25000161114623</v>
      </c>
      <c r="BH114" s="17" t="n">
        <f aca="false">IF(AK114="","",AK114*$AZ114)</f>
        <v>7.75359876214657</v>
      </c>
      <c r="BI114" s="17" t="n">
        <f aca="false">IF(BF114="","",N(BF114)+N(BG114))</f>
        <v>15.3785065893858</v>
      </c>
      <c r="BJ114" s="17" t="n">
        <f aca="false">IF(BI114="","",BI114+N($M114)*N(BH114))</f>
        <v>18.5644603207518</v>
      </c>
      <c r="BK114" s="13" t="n">
        <f aca="false">IFERROR(BD114/AL114,1)</f>
        <v>0.969370582854205</v>
      </c>
    </row>
    <row r="115" customFormat="false" ht="15" hidden="false" customHeight="false" outlineLevel="0" collapsed="false">
      <c r="A115" s="0" t="s">
        <v>1557</v>
      </c>
      <c r="B115" s="0" t="s">
        <v>1139</v>
      </c>
      <c r="C115" s="0" t="s">
        <v>1239</v>
      </c>
      <c r="D115" s="0" t="s">
        <v>1244</v>
      </c>
      <c r="E115" s="0" t="s">
        <v>1556</v>
      </c>
      <c r="F115" s="0" t="s">
        <v>1772</v>
      </c>
      <c r="G115" s="0" t="str">
        <f aca="false">IFERROR(IF(INDEX(Matches!$W$5:$W$23,MATCH($C115,Matches!$A$5:$A$23,0))="","",INDEX(Matches!$W$5:$W$23,MATCH($C115,Matches!$A$5:$A$23,0))),"")</f>
        <v>Ancient</v>
      </c>
      <c r="H115" s="0" t="str">
        <f aca="false">IFERROR(IF(INDEX(Matches!$X$5:$X$23,MATCH($C115,Matches!$A$5:$A$23,0))="","",INDEX(Matches!$X$5:$X$23,MATCH($C115,Matches!$A$5:$A$23,0))),"")</f>
        <v>Dust2</v>
      </c>
      <c r="I115" s="0" t="str">
        <f aca="false">IFERROR(IF(INDEX(Matches!$Y$5:$Y$23,MATCH($C115,Matches!$A$5:$A$23,0))="","",INDEX(Matches!$Y$5:$Y$23,MATCH($C115,Matches!$A$5:$A$23,0))),"")</f>
        <v>Nuke</v>
      </c>
      <c r="J115" s="11" t="n">
        <f aca="false">IFERROR(IF(INDEX(Matches!$Z$5:$Z$23,MATCH($C115,Matches!$A$5:$A$23,0))="","",INDEX(Matches!$Z$5:$Z$23,MATCH($C115,Matches!$A$5:$A$23,0))),"")</f>
        <v>20.8</v>
      </c>
      <c r="K115" s="11" t="n">
        <f aca="false">IFERROR(IF(INDEX(Matches!$AA$5:$AA$23,MATCH($C115,Matches!$A$5:$A$23,0))="","",INDEX(Matches!$AA$5:$AA$23,MATCH($C115,Matches!$A$5:$A$23,0))),"")</f>
        <v>20.8</v>
      </c>
      <c r="L115" s="11" t="n">
        <f aca="false">IFERROR(IF(INDEX(Matches!$AB$5:$AB$23,MATCH($C115,Matches!$A$5:$A$23,0))="","",INDEX(Matches!$AB$5:$AB$23,MATCH($C115,Matches!$A$5:$A$23,0))),"")</f>
        <v>21.5</v>
      </c>
      <c r="M115" s="10" t="n">
        <f aca="false">IFERROR(IF(INDEX(Matches!$AC$5:$AC$23,MATCH($C115,Matches!$A$5:$A$23,0))="","",INDEX(Matches!$AC$5:$AC$23,MATCH($C115,Matches!$A$5:$A$23,0))),"")</f>
        <v>0.4109</v>
      </c>
      <c r="N115" s="9" t="n">
        <f aca="false">IFERROR(INDEX(Players!$F$2:$F$137,MATCH($F115,Players!$A$2:$A$137,0)),0)</f>
        <v>36</v>
      </c>
      <c r="O115" s="13" t="n">
        <f aca="false">IFERROR(1/(1/INDEX(Players!$H$2:$H$137,MATCH($F115,Players!$A$2:$A$137,0))),"")</f>
        <v>0.63</v>
      </c>
      <c r="P115" s="10" t="n">
        <f aca="false">IFERROR(1/(1/INDEX(Players!$I$2:$I$137,MATCH($F115,Players!$A$2:$A$137,0))),"")</f>
        <v>0.531</v>
      </c>
      <c r="Q115" s="9" t="n">
        <f aca="false">IF($G115="",0,SUMIFS(Map_Stats!$F$2:$F$850,Map_Stats!$A$2:$A$850,$F115&amp;"|"&amp;$G115))</f>
        <v>12</v>
      </c>
      <c r="R115" s="13" t="n">
        <f aca="false">IF($G115="","",IFERROR(1/(1/INDEX(Map_Stats!$K$2:$K$850,MATCH($F115&amp;"|"&amp;$G115,Map_Stats!$A$2:$A$850,0))),$O115))</f>
        <v>0.64</v>
      </c>
      <c r="S115" s="10" t="n">
        <f aca="false">IF(OR($G115="",$P115=""),"",IFERROR(1/(1/INDEX(Map_Stats!$I$2:$I$850,MATCH($F115&amp;"|"&amp;$G115,Map_Stats!$A$2:$A$850,0))),$P115))</f>
        <v>0.564</v>
      </c>
      <c r="T115" s="13" t="n">
        <f aca="false">IF(OR($G115="",R115=""),"",IF($O115="",R115,(Q115*R115+Config!$B$4*$O115)/(Q115+Config!$B$4)))</f>
        <v>0.637058823529412</v>
      </c>
      <c r="U115" s="10" t="n">
        <f aca="false">IF(S115="","",(Q115*S115+Config!$B$4*$P115)/(Q115+Config!$B$4))</f>
        <v>0.554294117647059</v>
      </c>
      <c r="V115" s="17" t="n">
        <f aca="false">IF(OR(T115="",$J115=""),"",T115*$J115*($J115/Config!$B$10)^Config!$B$9)</f>
        <v>13.2508235294118</v>
      </c>
      <c r="W115" s="17" t="n">
        <f aca="false">IF(OR(V115="",U115=""),"",V115*U115)</f>
        <v>7.34485353633218</v>
      </c>
      <c r="X115" s="9" t="n">
        <f aca="false">IF($H115="",0,SUMIFS(Map_Stats!$F$2:$F$850,Map_Stats!$A$2:$A$850,$F115&amp;"|"&amp;$H115))</f>
        <v>8</v>
      </c>
      <c r="Y115" s="13" t="n">
        <f aca="false">IF($H115="","",IFERROR(1/(1/INDEX(Map_Stats!$K$2:$K$850,MATCH($F115&amp;"|"&amp;$H115,Map_Stats!$A$2:$A$850,0))),$O115))</f>
        <v>0.58</v>
      </c>
      <c r="Z115" s="10" t="n">
        <f aca="false">IF(OR($H115="",$P115=""),"",IFERROR(1/(1/INDEX(Map_Stats!$I$2:$I$850,MATCH($F115&amp;"|"&amp;$H115,Map_Stats!$A$2:$A$850,0))),$P115))</f>
        <v>0.593</v>
      </c>
      <c r="AA115" s="13" t="n">
        <f aca="false">IF(OR($H115="",Y115=""),"",IF($O115="",Y115,(X115*Y115+Config!$B$4*$O115)/(X115+Config!$B$4)))</f>
        <v>0.599230769230769</v>
      </c>
      <c r="AB115" s="10" t="n">
        <f aca="false">IF(Z115="","",(X115*Z115+Config!$B$4*$P115)/(X115+Config!$B$4))</f>
        <v>0.569153846153846</v>
      </c>
      <c r="AC115" s="17" t="n">
        <f aca="false">IF(OR(AA115="",$K115=""),"",AA115*$K115*($K115/Config!$B$10)^Config!$B$9)</f>
        <v>12.464</v>
      </c>
      <c r="AD115" s="17" t="n">
        <f aca="false">IF(OR(AC115="",AB115=""),"",AC115*AB115)</f>
        <v>7.09393353846154</v>
      </c>
      <c r="AE115" s="9" t="n">
        <f aca="false">IF($I115="",0,SUMIFS(Map_Stats!$F$2:$F$850,Map_Stats!$A$2:$A$850,$F115&amp;"|"&amp;$I115))</f>
        <v>2</v>
      </c>
      <c r="AF115" s="13" t="n">
        <f aca="false">IF($I115="","",IFERROR(1/(1/INDEX(Map_Stats!$K$2:$K$850,MATCH($F115&amp;"|"&amp;$I115,Map_Stats!$A$2:$A$850,0))),$O115))</f>
        <v>0.74</v>
      </c>
      <c r="AG115" s="10" t="n">
        <f aca="false">IF(OR($I115="",$P115=""),"",IFERROR(1/(1/INDEX(Map_Stats!$I$2:$I$850,MATCH($F115&amp;"|"&amp;$I115,Map_Stats!$A$2:$A$850,0))),$P115))</f>
        <v>0.647</v>
      </c>
      <c r="AH115" s="13" t="n">
        <f aca="false">IF(OR($I115="",AF115=""),"",IF($O115="",AF115,(AE115*AF115+Config!$B$4*$O115)/(AE115+Config!$B$4)))</f>
        <v>0.661428571428571</v>
      </c>
      <c r="AI115" s="10" t="n">
        <f aca="false">IF(AG115="","",(AE115*AG115+Config!$B$4*$P115)/(AE115+Config!$B$4))</f>
        <v>0.564142857142857</v>
      </c>
      <c r="AJ115" s="17" t="n">
        <f aca="false">IF(OR(AH115="",$L115=""),"",AH115*$L115*($L115/Config!$B$10)^Config!$B$9)</f>
        <v>14.2207142857143</v>
      </c>
      <c r="AK115" s="17" t="n">
        <f aca="false">IF(OR(AJ115="",AI115=""),"",AJ115*AI115)</f>
        <v>8.0225143877551</v>
      </c>
      <c r="AL115" s="17" t="n">
        <f aca="false">N(V115)+N(AC115)</f>
        <v>25.7148235294118</v>
      </c>
      <c r="AM115" s="17" t="n">
        <f aca="false">AL115+N($M115)*N(AJ115)</f>
        <v>31.5581150294118</v>
      </c>
      <c r="AN115" s="17" t="n">
        <f aca="false">IF(W115="","",N(W115)+N(AD115))</f>
        <v>14.4387870747937</v>
      </c>
      <c r="AO115" s="17" t="n">
        <f aca="false">IF(AN115="","",AN115+N($M115)*N(AK115))</f>
        <v>17.7352382367223</v>
      </c>
      <c r="AP115" s="10" t="n">
        <f aca="false">IFERROR(AN115/AL115,"")</f>
        <v>0.56149664252135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IF($C115=Board!$B$2,COUNTIFS($C$2:$C$137,Board!$B$2,$AL$2:$AL$137,"&gt;"&amp;$AL115)+COUNTIFS($C$1:$C114,Board!$B$2,$AL$1:$AL114,$AL115)+1,"")</f>
        <v/>
      </c>
      <c r="AS115" s="0" t="str">
        <f aca="false">IFERROR(IF($D115=INDEX(Matches!$AD$5:$AD$23,MATCH($C115,Matches!$A$5:$A$23,0)),"A",IF($D115=INDEX(Matches!$AE$5:$AE$23,MATCH($C115,Matches!$A$5:$A$23,0)),"B","")),"")</f>
        <v>A</v>
      </c>
      <c r="AT115" s="10" t="n">
        <f aca="false">IF($AS115="","",IFERROR(IF($AS115="A",INDEX(Matches!$AI$5:$AI$23,MATCH($C115,Matches!$A$5:$A$23,0)),INDEX(Matches!$AJ$5:$AJ$23,MATCH($C115,Matches!$A$5:$A$23,0))),""))</f>
        <v>0.515636268922114</v>
      </c>
      <c r="AU115" s="10" t="n">
        <f aca="false">IF($AS115="","",IFERROR(IF(INDEX(Matches!$AP$5:$AP$23,MATCH($C115,Matches!$A$5:$A$23,0))="","",IF($AS115="A",INDEX(Matches!$AP$5:$AP$23,MATCH($C115,Matches!$A$5:$A$23,0)),1-INDEX(Matches!$AP$5:$AP$23,MATCH($C115,Matches!$A$5:$A$23,0)))),""))</f>
        <v>0.537202611791164</v>
      </c>
      <c r="AV115" s="13" t="n">
        <f aca="false">IF(OR($AU115="",$AT115=""),1,((Config!$B$14*$AU115+Config!$B$15*(1-$AU115))/(Config!$B$14*$AT115+Config!$B$15*(1-$AT115)))^Config!$B$13)</f>
        <v>1.01900647669162</v>
      </c>
      <c r="AW115" s="10" t="n">
        <f aca="false">IF($AS115="","",IFERROR(IF(INDEX(Matches!$AV$5:$AV$23,MATCH($C115,Matches!$A$5:$A$23,0))="","",IF($AS115="A",INDEX(Matches!$AV$5:$AV$23,MATCH($C115,Matches!$A$5:$A$23,0)),1-INDEX(Matches!$AV$5:$AV$23,MATCH($C115,Matches!$A$5:$A$23,0)))),""))</f>
        <v>0.547029688913488</v>
      </c>
      <c r="AX115" s="13" t="n">
        <f aca="false">IF(OR($AW115="",$AT115=""),1,((Config!$B$14*$AW115+Config!$B$15*(1-$AW115))/(Config!$B$14*$AT115+Config!$B$15*(1-$AT115)))^Config!$B$13)</f>
        <v>1.02766710651682</v>
      </c>
      <c r="AY115" s="10" t="n">
        <f aca="false">IF($AS115="","",IFERROR(IF(INDEX(Matches!$BB$5:$BB$23,MATCH($C115,Matches!$A$5:$A$23,0))="","",IF($AS115="A",INDEX(Matches!$BB$5:$BB$23,MATCH($C115,Matches!$A$5:$A$23,0)),1-INDEX(Matches!$BB$5:$BB$23,MATCH($C115,Matches!$A$5:$A$23,0)))),""))</f>
        <v>0.530876998100009</v>
      </c>
      <c r="AZ115" s="13" t="n">
        <f aca="false">IF(OR($AY115="",$AT115=""),1,((Config!$B$14*$AY115+Config!$B$15*(1-$AY115))/(Config!$B$14*$AT115+Config!$B$15*(1-$AT115)))^Config!$B$13)</f>
        <v>1.01343169612214</v>
      </c>
      <c r="BA115" s="17" t="n">
        <f aca="false">IF(V115="","",V115*$AV115)</f>
        <v>13.5026749979683</v>
      </c>
      <c r="BB115" s="17" t="n">
        <f aca="false">IF(AC115="","",AC115*$AX115)</f>
        <v>12.8088428156256</v>
      </c>
      <c r="BC115" s="17" t="n">
        <f aca="false">IF(AJ115="","",AJ115*$AZ115)</f>
        <v>14.4117225986397</v>
      </c>
      <c r="BD115" s="17" t="n">
        <f aca="false">N(BA115)+N(BB115)</f>
        <v>26.3115178135939</v>
      </c>
      <c r="BE115" s="17" t="n">
        <f aca="false">BD115+N($M115)*N(BC115)</f>
        <v>32.2332946293749</v>
      </c>
      <c r="BF115" s="17" t="n">
        <f aca="false">IF(W115="","",W115*$AV115)</f>
        <v>7.48445332387381</v>
      </c>
      <c r="BG115" s="17" t="n">
        <f aca="false">IF(AD115="","",AD115*$AX115)</f>
        <v>7.29020215329337</v>
      </c>
      <c r="BH115" s="17" t="n">
        <f aca="false">IF(AK115="","",AK115*$AZ115)</f>
        <v>8.13027036314691</v>
      </c>
      <c r="BI115" s="17" t="n">
        <f aca="false">IF(BF115="","",N(BF115)+N(BG115))</f>
        <v>14.7746554771672</v>
      </c>
      <c r="BJ115" s="17" t="n">
        <f aca="false">IF(BI115="","",BI115+N($M115)*N(BH115))</f>
        <v>18.1153835693842</v>
      </c>
      <c r="BK115" s="13" t="n">
        <f aca="false">IFERROR(BD115/AL115,1)</f>
        <v>1.02320429239966</v>
      </c>
    </row>
    <row r="116" customFormat="false" ht="15" hidden="false" customHeight="false" outlineLevel="0" collapsed="false">
      <c r="A116" s="0" t="s">
        <v>1559</v>
      </c>
      <c r="B116" s="0" t="s">
        <v>1139</v>
      </c>
      <c r="C116" s="0" t="s">
        <v>1239</v>
      </c>
      <c r="D116" s="0" t="s">
        <v>1244</v>
      </c>
      <c r="E116" s="0" t="s">
        <v>1558</v>
      </c>
      <c r="F116" s="0" t="s">
        <v>1773</v>
      </c>
      <c r="G116" s="0" t="str">
        <f aca="false">IFERROR(IF(INDEX(Matches!$W$5:$W$23,MATCH($C116,Matches!$A$5:$A$23,0))="","",INDEX(Matches!$W$5:$W$23,MATCH($C116,Matches!$A$5:$A$23,0))),"")</f>
        <v>Ancient</v>
      </c>
      <c r="H116" s="0" t="str">
        <f aca="false">IFERROR(IF(INDEX(Matches!$X$5:$X$23,MATCH($C116,Matches!$A$5:$A$23,0))="","",INDEX(Matches!$X$5:$X$23,MATCH($C116,Matches!$A$5:$A$23,0))),"")</f>
        <v>Dust2</v>
      </c>
      <c r="I116" s="0" t="str">
        <f aca="false">IFERROR(IF(INDEX(Matches!$Y$5:$Y$23,MATCH($C116,Matches!$A$5:$A$23,0))="","",INDEX(Matches!$Y$5:$Y$23,MATCH($C116,Matches!$A$5:$A$23,0))),"")</f>
        <v>Nuke</v>
      </c>
      <c r="J116" s="11" t="n">
        <f aca="false">IFERROR(IF(INDEX(Matches!$Z$5:$Z$23,MATCH($C116,Matches!$A$5:$A$23,0))="","",INDEX(Matches!$Z$5:$Z$23,MATCH($C116,Matches!$A$5:$A$23,0))),"")</f>
        <v>20.8</v>
      </c>
      <c r="K116" s="11" t="n">
        <f aca="false">IFERROR(IF(INDEX(Matches!$AA$5:$AA$23,MATCH($C116,Matches!$A$5:$A$23,0))="","",INDEX(Matches!$AA$5:$AA$23,MATCH($C116,Matches!$A$5:$A$23,0))),"")</f>
        <v>20.8</v>
      </c>
      <c r="L116" s="11" t="n">
        <f aca="false">IFERROR(IF(INDEX(Matches!$AB$5:$AB$23,MATCH($C116,Matches!$A$5:$A$23,0))="","",INDEX(Matches!$AB$5:$AB$23,MATCH($C116,Matches!$A$5:$A$23,0))),"")</f>
        <v>21.5</v>
      </c>
      <c r="M116" s="10" t="n">
        <f aca="false">IFERROR(IF(INDEX(Matches!$AC$5:$AC$23,MATCH($C116,Matches!$A$5:$A$23,0))="","",INDEX(Matches!$AC$5:$AC$23,MATCH($C116,Matches!$A$5:$A$23,0))),"")</f>
        <v>0.4109</v>
      </c>
      <c r="N116" s="9" t="n">
        <f aca="false">IFERROR(INDEX(Players!$F$2:$F$137,MATCH($F116,Players!$A$2:$A$137,0)),0)</f>
        <v>35</v>
      </c>
      <c r="O116" s="13" t="n">
        <f aca="false">IFERROR(1/(1/INDEX(Players!$H$2:$H$137,MATCH($F116,Players!$A$2:$A$137,0))),"")</f>
        <v>0.68</v>
      </c>
      <c r="P116" s="10" t="n">
        <f aca="false">IFERROR(1/(1/INDEX(Players!$I$2:$I$137,MATCH($F116,Players!$A$2:$A$137,0))),"")</f>
        <v>0.611</v>
      </c>
      <c r="Q116" s="9" t="n">
        <f aca="false">IF($G116="",0,SUMIFS(Map_Stats!$F$2:$F$850,Map_Stats!$A$2:$A$850,$F116&amp;"|"&amp;$G116))</f>
        <v>13</v>
      </c>
      <c r="R116" s="13" t="n">
        <f aca="false">IF($G116="","",IFERROR(1/(1/INDEX(Map_Stats!$K$2:$K$850,MATCH($F116&amp;"|"&amp;$G116,Map_Stats!$A$2:$A$850,0))),$O116))</f>
        <v>0.74</v>
      </c>
      <c r="S116" s="10" t="n">
        <f aca="false">IF(OR($G116="",$P116=""),"",IFERROR(1/(1/INDEX(Map_Stats!$I$2:$I$850,MATCH($F116&amp;"|"&amp;$G116,Map_Stats!$A$2:$A$850,0))),$P116))</f>
        <v>0.606</v>
      </c>
      <c r="T116" s="13" t="n">
        <f aca="false">IF(OR($G116="",R116=""),"",IF($O116="",R116,(Q116*R116+Config!$B$4*$O116)/(Q116+Config!$B$4)))</f>
        <v>0.723333333333333</v>
      </c>
      <c r="U116" s="10" t="n">
        <f aca="false">IF(S116="","",(Q116*S116+Config!$B$4*$P116)/(Q116+Config!$B$4))</f>
        <v>0.607388888888889</v>
      </c>
      <c r="V116" s="17" t="n">
        <f aca="false">IF(OR(T116="",$J116=""),"",T116*$J116*($J116/Config!$B$10)^Config!$B$9)</f>
        <v>15.0453333333333</v>
      </c>
      <c r="W116" s="17" t="n">
        <f aca="false">IF(OR(V116="",U116=""),"",V116*U116)</f>
        <v>9.1383682962963</v>
      </c>
      <c r="X116" s="9" t="n">
        <f aca="false">IF($H116="",0,SUMIFS(Map_Stats!$F$2:$F$850,Map_Stats!$A$2:$A$850,$F116&amp;"|"&amp;$H116))</f>
        <v>6</v>
      </c>
      <c r="Y116" s="13" t="n">
        <f aca="false">IF($H116="","",IFERROR(1/(1/INDEX(Map_Stats!$K$2:$K$850,MATCH($F116&amp;"|"&amp;$H116,Map_Stats!$A$2:$A$850,0))),$O116))</f>
        <v>0.62</v>
      </c>
      <c r="Z116" s="10" t="n">
        <f aca="false">IF(OR($H116="",$P116=""),"",IFERROR(1/(1/INDEX(Map_Stats!$I$2:$I$850,MATCH($F116&amp;"|"&amp;$H116,Map_Stats!$A$2:$A$850,0))),$P116))</f>
        <v>0.577</v>
      </c>
      <c r="AA116" s="13" t="n">
        <f aca="false">IF(OR($H116="",Y116=""),"",IF($O116="",Y116,(X116*Y116+Config!$B$4*$O116)/(X116+Config!$B$4)))</f>
        <v>0.647272727272727</v>
      </c>
      <c r="AB116" s="10" t="n">
        <f aca="false">IF(Z116="","",(X116*Z116+Config!$B$4*$P116)/(X116+Config!$B$4))</f>
        <v>0.592454545454546</v>
      </c>
      <c r="AC116" s="17" t="n">
        <f aca="false">IF(OR(AA116="",$K116=""),"",AA116*$K116*($K116/Config!$B$10)^Config!$B$9)</f>
        <v>13.4632727272727</v>
      </c>
      <c r="AD116" s="17" t="n">
        <f aca="false">IF(OR(AC116="",AB116=""),"",AC116*AB116)</f>
        <v>7.97637712396694</v>
      </c>
      <c r="AE116" s="9" t="n">
        <f aca="false">IF($I116="",0,SUMIFS(Map_Stats!$F$2:$F$850,Map_Stats!$A$2:$A$850,$F116&amp;"|"&amp;$I116))</f>
        <v>3</v>
      </c>
      <c r="AF116" s="13" t="n">
        <f aca="false">IF($I116="","",IFERROR(1/(1/INDEX(Map_Stats!$K$2:$K$850,MATCH($F116&amp;"|"&amp;$I116,Map_Stats!$A$2:$A$850,0))),$O116))</f>
        <v>0.67</v>
      </c>
      <c r="AG116" s="10" t="n">
        <f aca="false">IF(OR($I116="",$P116=""),"",IFERROR(1/(1/INDEX(Map_Stats!$I$2:$I$850,MATCH($F116&amp;"|"&amp;$I116,Map_Stats!$A$2:$A$850,0))),$P116))</f>
        <v>0.681</v>
      </c>
      <c r="AH116" s="13" t="n">
        <f aca="false">IF(OR($I116="",AF116=""),"",IF($O116="",AF116,(AE116*AF116+Config!$B$4*$O116)/(AE116+Config!$B$4)))</f>
        <v>0.67625</v>
      </c>
      <c r="AI116" s="10" t="n">
        <f aca="false">IF(AG116="","",(AE116*AG116+Config!$B$4*$P116)/(AE116+Config!$B$4))</f>
        <v>0.63725</v>
      </c>
      <c r="AJ116" s="17" t="n">
        <f aca="false">IF(OR(AH116="",$L116=""),"",AH116*$L116*($L116/Config!$B$10)^Config!$B$9)</f>
        <v>14.539375</v>
      </c>
      <c r="AK116" s="17" t="n">
        <f aca="false">IF(OR(AJ116="",AI116=""),"",AJ116*AI116)</f>
        <v>9.26521671875</v>
      </c>
      <c r="AL116" s="17" t="n">
        <f aca="false">N(V116)+N(AC116)</f>
        <v>28.5086060606061</v>
      </c>
      <c r="AM116" s="17" t="n">
        <f aca="false">AL116+N($M116)*N(AJ116)</f>
        <v>34.4828352481061</v>
      </c>
      <c r="AN116" s="17" t="n">
        <f aca="false">IF(W116="","",N(W116)+N(AD116))</f>
        <v>17.1147454202632</v>
      </c>
      <c r="AO116" s="17" t="n">
        <f aca="false">IF(AN116="","",AN116+N($M116)*N(AK116))</f>
        <v>20.9218229699976</v>
      </c>
      <c r="AP116" s="10" t="n">
        <f aca="false">IFERROR(AN116/AL116,"")</f>
        <v>0.600336101452285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IF($C116=Board!$B$2,COUNTIFS($C$2:$C$137,Board!$B$2,$AL$2:$AL$137,"&gt;"&amp;$AL116)+COUNTIFS($C$1:$C115,Board!$B$2,$AL$1:$AL115,$AL116)+1,"")</f>
        <v/>
      </c>
      <c r="AS116" s="0" t="str">
        <f aca="false">IFERROR(IF($D116=INDEX(Matches!$AD$5:$AD$23,MATCH($C116,Matches!$A$5:$A$23,0)),"A",IF($D116=INDEX(Matches!$AE$5:$AE$23,MATCH($C116,Matches!$A$5:$A$23,0)),"B","")),"")</f>
        <v>A</v>
      </c>
      <c r="AT116" s="10" t="n">
        <f aca="false">IF($AS116="","",IFERROR(IF($AS116="A",INDEX(Matches!$AI$5:$AI$23,MATCH($C116,Matches!$A$5:$A$23,0)),INDEX(Matches!$AJ$5:$AJ$23,MATCH($C116,Matches!$A$5:$A$23,0))),""))</f>
        <v>0.515636268922114</v>
      </c>
      <c r="AU116" s="10" t="n">
        <f aca="false">IF($AS116="","",IFERROR(IF(INDEX(Matches!$AP$5:$AP$23,MATCH($C116,Matches!$A$5:$A$23,0))="","",IF($AS116="A",INDEX(Matches!$AP$5:$AP$23,MATCH($C116,Matches!$A$5:$A$23,0)),1-INDEX(Matches!$AP$5:$AP$23,MATCH($C116,Matches!$A$5:$A$23,0)))),""))</f>
        <v>0.537202611791164</v>
      </c>
      <c r="AV116" s="13" t="n">
        <f aca="false">IF(OR($AU116="",$AT116=""),1,((Config!$B$14*$AU116+Config!$B$15*(1-$AU116))/(Config!$B$14*$AT116+Config!$B$15*(1-$AT116)))^Config!$B$13)</f>
        <v>1.01900647669162</v>
      </c>
      <c r="AW116" s="10" t="n">
        <f aca="false">IF($AS116="","",IFERROR(IF(INDEX(Matches!$AV$5:$AV$23,MATCH($C116,Matches!$A$5:$A$23,0))="","",IF($AS116="A",INDEX(Matches!$AV$5:$AV$23,MATCH($C116,Matches!$A$5:$A$23,0)),1-INDEX(Matches!$AV$5:$AV$23,MATCH($C116,Matches!$A$5:$A$23,0)))),""))</f>
        <v>0.547029688913488</v>
      </c>
      <c r="AX116" s="13" t="n">
        <f aca="false">IF(OR($AW116="",$AT116=""),1,((Config!$B$14*$AW116+Config!$B$15*(1-$AW116))/(Config!$B$14*$AT116+Config!$B$15*(1-$AT116)))^Config!$B$13)</f>
        <v>1.02766710651682</v>
      </c>
      <c r="AY116" s="10" t="n">
        <f aca="false">IF($AS116="","",IFERROR(IF(INDEX(Matches!$BB$5:$BB$23,MATCH($C116,Matches!$A$5:$A$23,0))="","",IF($AS116="A",INDEX(Matches!$BB$5:$BB$23,MATCH($C116,Matches!$A$5:$A$23,0)),1-INDEX(Matches!$BB$5:$BB$23,MATCH($C116,Matches!$A$5:$A$23,0)))),""))</f>
        <v>0.530876998100009</v>
      </c>
      <c r="AZ116" s="13" t="n">
        <f aca="false">IF(OR($AY116="",$AT116=""),1,((Config!$B$14*$AY116+Config!$B$15*(1-$AY116))/(Config!$B$14*$AT116+Config!$B$15*(1-$AT116)))^Config!$B$13)</f>
        <v>1.01343169612214</v>
      </c>
      <c r="BA116" s="17" t="n">
        <f aca="false">IF(V116="","",V116*$AV116)</f>
        <v>15.3312921106509</v>
      </c>
      <c r="BB116" s="17" t="n">
        <f aca="false">IF(AC116="","",AC116*$AX116)</f>
        <v>13.8357625278831</v>
      </c>
      <c r="BC116" s="17" t="n">
        <f aca="false">IF(AJ116="","",AJ116*$AZ116)</f>
        <v>14.7346634668058</v>
      </c>
      <c r="BD116" s="17" t="n">
        <f aca="false">N(BA116)+N(BB116)</f>
        <v>29.1670546385341</v>
      </c>
      <c r="BE116" s="17" t="n">
        <f aca="false">BD116+N($M116)*N(BC116)</f>
        <v>35.2215278570446</v>
      </c>
      <c r="BF116" s="17" t="n">
        <f aca="false">IF(W116="","",W116*$AV116)</f>
        <v>9.31205648031926</v>
      </c>
      <c r="BG116" s="17" t="n">
        <f aca="false">IF(AD116="","",AD116*$AX116)</f>
        <v>8.19706039947404</v>
      </c>
      <c r="BH116" s="17" t="n">
        <f aca="false">IF(AK116="","",AK116*$AZ116)</f>
        <v>9.389664294222</v>
      </c>
      <c r="BI116" s="17" t="n">
        <f aca="false">IF(BF116="","",N(BF116)+N(BG116))</f>
        <v>17.5091168797933</v>
      </c>
      <c r="BJ116" s="17" t="n">
        <f aca="false">IF(BI116="","",BI116+N($M116)*N(BH116))</f>
        <v>21.3673299382891</v>
      </c>
      <c r="BK116" s="13" t="n">
        <f aca="false">IFERROR(BD116/AL116,1)</f>
        <v>1.02309648449764</v>
      </c>
    </row>
    <row r="117" customFormat="false" ht="15" hidden="false" customHeight="false" outlineLevel="0" collapsed="false">
      <c r="A117" s="0" t="s">
        <v>1561</v>
      </c>
      <c r="B117" s="0" t="s">
        <v>1139</v>
      </c>
      <c r="C117" s="0" t="s">
        <v>1239</v>
      </c>
      <c r="D117" s="0" t="s">
        <v>1244</v>
      </c>
      <c r="E117" s="0" t="s">
        <v>1560</v>
      </c>
      <c r="F117" s="0" t="s">
        <v>1774</v>
      </c>
      <c r="G117" s="0" t="str">
        <f aca="false">IFERROR(IF(INDEX(Matches!$W$5:$W$23,MATCH($C117,Matches!$A$5:$A$23,0))="","",INDEX(Matches!$W$5:$W$23,MATCH($C117,Matches!$A$5:$A$23,0))),"")</f>
        <v>Ancient</v>
      </c>
      <c r="H117" s="0" t="str">
        <f aca="false">IFERROR(IF(INDEX(Matches!$X$5:$X$23,MATCH($C117,Matches!$A$5:$A$23,0))="","",INDEX(Matches!$X$5:$X$23,MATCH($C117,Matches!$A$5:$A$23,0))),"")</f>
        <v>Dust2</v>
      </c>
      <c r="I117" s="0" t="str">
        <f aca="false">IFERROR(IF(INDEX(Matches!$Y$5:$Y$23,MATCH($C117,Matches!$A$5:$A$23,0))="","",INDEX(Matches!$Y$5:$Y$23,MATCH($C117,Matches!$A$5:$A$23,0))),"")</f>
        <v>Nuke</v>
      </c>
      <c r="J117" s="11" t="n">
        <f aca="false">IFERROR(IF(INDEX(Matches!$Z$5:$Z$23,MATCH($C117,Matches!$A$5:$A$23,0))="","",INDEX(Matches!$Z$5:$Z$23,MATCH($C117,Matches!$A$5:$A$23,0))),"")</f>
        <v>20.8</v>
      </c>
      <c r="K117" s="11" t="n">
        <f aca="false">IFERROR(IF(INDEX(Matches!$AA$5:$AA$23,MATCH($C117,Matches!$A$5:$A$23,0))="","",INDEX(Matches!$AA$5:$AA$23,MATCH($C117,Matches!$A$5:$A$23,0))),"")</f>
        <v>20.8</v>
      </c>
      <c r="L117" s="11" t="n">
        <f aca="false">IFERROR(IF(INDEX(Matches!$AB$5:$AB$23,MATCH($C117,Matches!$A$5:$A$23,0))="","",INDEX(Matches!$AB$5:$AB$23,MATCH($C117,Matches!$A$5:$A$23,0))),"")</f>
        <v>21.5</v>
      </c>
      <c r="M117" s="10" t="n">
        <f aca="false">IFERROR(IF(INDEX(Matches!$AC$5:$AC$23,MATCH($C117,Matches!$A$5:$A$23,0))="","",INDEX(Matches!$AC$5:$AC$23,MATCH($C117,Matches!$A$5:$A$23,0))),"")</f>
        <v>0.4109</v>
      </c>
      <c r="N117" s="9" t="n">
        <f aca="false">IFERROR(INDEX(Players!$F$2:$F$137,MATCH($F117,Players!$A$2:$A$137,0)),0)</f>
        <v>39</v>
      </c>
      <c r="O117" s="13" t="n">
        <f aca="false">IFERROR(1/(1/INDEX(Players!$H$2:$H$137,MATCH($F117,Players!$A$2:$A$137,0))),"")</f>
        <v>0.63</v>
      </c>
      <c r="P117" s="10" t="n">
        <f aca="false">IFERROR(1/(1/INDEX(Players!$I$2:$I$137,MATCH($F117,Players!$A$2:$A$137,0))),"")</f>
        <v>0.518</v>
      </c>
      <c r="Q117" s="9" t="n">
        <f aca="false">IF($G117="",0,SUMIFS(Map_Stats!$F$2:$F$850,Map_Stats!$A$2:$A$850,$F117&amp;"|"&amp;$G117))</f>
        <v>9</v>
      </c>
      <c r="R117" s="13" t="n">
        <f aca="false">IF($G117="","",IFERROR(1/(1/INDEX(Map_Stats!$K$2:$K$850,MATCH($F117&amp;"|"&amp;$G117,Map_Stats!$A$2:$A$850,0))),$O117))</f>
        <v>0.64</v>
      </c>
      <c r="S117" s="10" t="n">
        <f aca="false">IF(OR($G117="",$P117=""),"",IFERROR(1/(1/INDEX(Map_Stats!$I$2:$I$850,MATCH($F117&amp;"|"&amp;$G117,Map_Stats!$A$2:$A$850,0))),$P117))</f>
        <v>0.529</v>
      </c>
      <c r="T117" s="13" t="n">
        <f aca="false">IF(OR($G117="",R117=""),"",IF($O117="",R117,(Q117*R117+Config!$B$4*$O117)/(Q117+Config!$B$4)))</f>
        <v>0.636428571428572</v>
      </c>
      <c r="U117" s="10" t="n">
        <f aca="false">IF(S117="","",(Q117*S117+Config!$B$4*$P117)/(Q117+Config!$B$4))</f>
        <v>0.525071428571429</v>
      </c>
      <c r="V117" s="17" t="n">
        <f aca="false">IF(OR(T117="",$J117=""),"",T117*$J117*($J117/Config!$B$10)^Config!$B$9)</f>
        <v>13.2377142857143</v>
      </c>
      <c r="W117" s="17" t="n">
        <f aca="false">IF(OR(V117="",U117=""),"",V117*U117)</f>
        <v>6.95074555102041</v>
      </c>
      <c r="X117" s="9" t="n">
        <f aca="false">IF($H117="",0,SUMIFS(Map_Stats!$F$2:$F$850,Map_Stats!$A$2:$A$850,$F117&amp;"|"&amp;$H117))</f>
        <v>8</v>
      </c>
      <c r="Y117" s="13" t="n">
        <f aca="false">IF($H117="","",IFERROR(1/(1/INDEX(Map_Stats!$K$2:$K$850,MATCH($F117&amp;"|"&amp;$H117,Map_Stats!$A$2:$A$850,0))),$O117))</f>
        <v>0.61</v>
      </c>
      <c r="Z117" s="10" t="n">
        <f aca="false">IF(OR($H117="",$P117=""),"",IFERROR(1/(1/INDEX(Map_Stats!$I$2:$I$850,MATCH($F117&amp;"|"&amp;$H117,Map_Stats!$A$2:$A$850,0))),$P117))</f>
        <v>0.551</v>
      </c>
      <c r="AA117" s="13" t="n">
        <f aca="false">IF(OR($H117="",Y117=""),"",IF($O117="",Y117,(X117*Y117+Config!$B$4*$O117)/(X117+Config!$B$4)))</f>
        <v>0.617692307692308</v>
      </c>
      <c r="AB117" s="10" t="n">
        <f aca="false">IF(Z117="","",(X117*Z117+Config!$B$4*$P117)/(X117+Config!$B$4))</f>
        <v>0.538307692307692</v>
      </c>
      <c r="AC117" s="17" t="n">
        <f aca="false">IF(OR(AA117="",$K117=""),"",AA117*$K117*($K117/Config!$B$10)^Config!$B$9)</f>
        <v>12.848</v>
      </c>
      <c r="AD117" s="17" t="n">
        <f aca="false">IF(OR(AC117="",AB117=""),"",AC117*AB117)</f>
        <v>6.91617723076923</v>
      </c>
      <c r="AE117" s="9" t="n">
        <f aca="false">IF($I117="",0,SUMIFS(Map_Stats!$F$2:$F$850,Map_Stats!$A$2:$A$850,$F117&amp;"|"&amp;$I117))</f>
        <v>10</v>
      </c>
      <c r="AF117" s="13" t="n">
        <f aca="false">IF($I117="","",IFERROR(1/(1/INDEX(Map_Stats!$K$2:$K$850,MATCH($F117&amp;"|"&amp;$I117,Map_Stats!$A$2:$A$850,0))),$O117))</f>
        <v>0.59</v>
      </c>
      <c r="AG117" s="10" t="n">
        <f aca="false">IF(OR($I117="",$P117=""),"",IFERROR(1/(1/INDEX(Map_Stats!$I$2:$I$850,MATCH($F117&amp;"|"&amp;$I117,Map_Stats!$A$2:$A$850,0))),$P117))</f>
        <v>0.478</v>
      </c>
      <c r="AH117" s="13" t="n">
        <f aca="false">IF(OR($I117="",AF117=""),"",IF($O117="",AF117,(AE117*AF117+Config!$B$4*$O117)/(AE117+Config!$B$4)))</f>
        <v>0.603333333333333</v>
      </c>
      <c r="AI117" s="10" t="n">
        <f aca="false">IF(AG117="","",(AE117*AG117+Config!$B$4*$P117)/(AE117+Config!$B$4))</f>
        <v>0.491333333333333</v>
      </c>
      <c r="AJ117" s="17" t="n">
        <f aca="false">IF(OR(AH117="",$L117=""),"",AH117*$L117*($L117/Config!$B$10)^Config!$B$9)</f>
        <v>12.9716666666667</v>
      </c>
      <c r="AK117" s="17" t="n">
        <f aca="false">IF(OR(AJ117="",AI117=""),"",AJ117*AI117)</f>
        <v>6.37341222222222</v>
      </c>
      <c r="AL117" s="17" t="n">
        <f aca="false">N(V117)+N(AC117)</f>
        <v>26.0857142857143</v>
      </c>
      <c r="AM117" s="17" t="n">
        <f aca="false">AL117+N($M117)*N(AJ117)</f>
        <v>31.4157721190476</v>
      </c>
      <c r="AN117" s="17" t="n">
        <f aca="false">IF(W117="","",N(W117)+N(AD117))</f>
        <v>13.8669227817896</v>
      </c>
      <c r="AO117" s="17" t="n">
        <f aca="false">IF(AN117="","",AN117+N($M117)*N(AK117))</f>
        <v>16.4857578639008</v>
      </c>
      <c r="AP117" s="10" t="n">
        <f aca="false">IFERROR(AN117/AL117,"")</f>
        <v>0.531590687144181</v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IF($C117=Board!$B$2,COUNTIFS($C$2:$C$137,Board!$B$2,$AL$2:$AL$137,"&gt;"&amp;$AL117)+COUNTIFS($C$1:$C116,Board!$B$2,$AL$1:$AL116,$AL117)+1,"")</f>
        <v/>
      </c>
      <c r="AS117" s="0" t="str">
        <f aca="false">IFERROR(IF($D117=INDEX(Matches!$AD$5:$AD$23,MATCH($C117,Matches!$A$5:$A$23,0)),"A",IF($D117=INDEX(Matches!$AE$5:$AE$23,MATCH($C117,Matches!$A$5:$A$23,0)),"B","")),"")</f>
        <v>A</v>
      </c>
      <c r="AT117" s="10" t="n">
        <f aca="false">IF($AS117="","",IFERROR(IF($AS117="A",INDEX(Matches!$AI$5:$AI$23,MATCH($C117,Matches!$A$5:$A$23,0)),INDEX(Matches!$AJ$5:$AJ$23,MATCH($C117,Matches!$A$5:$A$23,0))),""))</f>
        <v>0.515636268922114</v>
      </c>
      <c r="AU117" s="10" t="n">
        <f aca="false">IF($AS117="","",IFERROR(IF(INDEX(Matches!$AP$5:$AP$23,MATCH($C117,Matches!$A$5:$A$23,0))="","",IF($AS117="A",INDEX(Matches!$AP$5:$AP$23,MATCH($C117,Matches!$A$5:$A$23,0)),1-INDEX(Matches!$AP$5:$AP$23,MATCH($C117,Matches!$A$5:$A$23,0)))),""))</f>
        <v>0.537202611791164</v>
      </c>
      <c r="AV117" s="13" t="n">
        <f aca="false">IF(OR($AU117="",$AT117=""),1,((Config!$B$14*$AU117+Config!$B$15*(1-$AU117))/(Config!$B$14*$AT117+Config!$B$15*(1-$AT117)))^Config!$B$13)</f>
        <v>1.01900647669162</v>
      </c>
      <c r="AW117" s="10" t="n">
        <f aca="false">IF($AS117="","",IFERROR(IF(INDEX(Matches!$AV$5:$AV$23,MATCH($C117,Matches!$A$5:$A$23,0))="","",IF($AS117="A",INDEX(Matches!$AV$5:$AV$23,MATCH($C117,Matches!$A$5:$A$23,0)),1-INDEX(Matches!$AV$5:$AV$23,MATCH($C117,Matches!$A$5:$A$23,0)))),""))</f>
        <v>0.547029688913488</v>
      </c>
      <c r="AX117" s="13" t="n">
        <f aca="false">IF(OR($AW117="",$AT117=""),1,((Config!$B$14*$AW117+Config!$B$15*(1-$AW117))/(Config!$B$14*$AT117+Config!$B$15*(1-$AT117)))^Config!$B$13)</f>
        <v>1.02766710651682</v>
      </c>
      <c r="AY117" s="10" t="n">
        <f aca="false">IF($AS117="","",IFERROR(IF(INDEX(Matches!$BB$5:$BB$23,MATCH($C117,Matches!$A$5:$A$23,0))="","",IF($AS117="A",INDEX(Matches!$BB$5:$BB$23,MATCH($C117,Matches!$A$5:$A$23,0)),1-INDEX(Matches!$BB$5:$BB$23,MATCH($C117,Matches!$A$5:$A$23,0)))),""))</f>
        <v>0.530876998100009</v>
      </c>
      <c r="AZ117" s="13" t="n">
        <f aca="false">IF(OR($AY117="",$AT117=""),1,((Config!$B$14*$AY117+Config!$B$15*(1-$AY117))/(Config!$B$14*$AT117+Config!$B$15*(1-$AT117)))^Config!$B$13)</f>
        <v>1.01343169612214</v>
      </c>
      <c r="BA117" s="17" t="n">
        <f aca="false">IF(V117="","",V117*$AV117)</f>
        <v>13.489316593736</v>
      </c>
      <c r="BB117" s="17" t="n">
        <f aca="false">IF(AC117="","",AC117*$AX117)</f>
        <v>13.2034669845281</v>
      </c>
      <c r="BC117" s="17" t="n">
        <f aca="false">IF(AJ117="","",AJ117*$AZ117)</f>
        <v>13.145898151531</v>
      </c>
      <c r="BD117" s="17" t="n">
        <f aca="false">N(BA117)+N(BB117)</f>
        <v>26.6927835782641</v>
      </c>
      <c r="BE117" s="17" t="n">
        <f aca="false">BD117+N($M117)*N(BC117)</f>
        <v>32.0944331287281</v>
      </c>
      <c r="BF117" s="17" t="n">
        <f aca="false">IF(W117="","",W117*$AV117)</f>
        <v>7.08285473432523</v>
      </c>
      <c r="BG117" s="17" t="n">
        <f aca="false">IF(AD117="","",AD117*$AX117)</f>
        <v>7.1075278429021</v>
      </c>
      <c r="BH117" s="17" t="n">
        <f aca="false">IF(AK117="","",AK117*$AZ117)</f>
        <v>6.45901795845223</v>
      </c>
      <c r="BI117" s="17" t="n">
        <f aca="false">IF(BF117="","",N(BF117)+N(BG117))</f>
        <v>14.1903825772273</v>
      </c>
      <c r="BJ117" s="17" t="n">
        <f aca="false">IF(BI117="","",BI117+N($M117)*N(BH117))</f>
        <v>16.8443930563554</v>
      </c>
      <c r="BK117" s="13" t="n">
        <f aca="false">IFERROR(BD117/AL117,1)</f>
        <v>1.02327209774287</v>
      </c>
    </row>
    <row r="118" customFormat="false" ht="15" hidden="false" customHeight="false" outlineLevel="0" collapsed="false">
      <c r="A118" s="0" t="s">
        <v>1563</v>
      </c>
      <c r="B118" s="0" t="s">
        <v>1139</v>
      </c>
      <c r="C118" s="0" t="s">
        <v>1239</v>
      </c>
      <c r="D118" s="0" t="s">
        <v>1244</v>
      </c>
      <c r="E118" s="0" t="s">
        <v>1562</v>
      </c>
      <c r="F118" s="0" t="s">
        <v>1775</v>
      </c>
      <c r="G118" s="0" t="str">
        <f aca="false">IFERROR(IF(INDEX(Matches!$W$5:$W$23,MATCH($C118,Matches!$A$5:$A$23,0))="","",INDEX(Matches!$W$5:$W$23,MATCH($C118,Matches!$A$5:$A$23,0))),"")</f>
        <v>Ancient</v>
      </c>
      <c r="H118" s="0" t="str">
        <f aca="false">IFERROR(IF(INDEX(Matches!$X$5:$X$23,MATCH($C118,Matches!$A$5:$A$23,0))="","",INDEX(Matches!$X$5:$X$23,MATCH($C118,Matches!$A$5:$A$23,0))),"")</f>
        <v>Dust2</v>
      </c>
      <c r="I118" s="0" t="str">
        <f aca="false">IFERROR(IF(INDEX(Matches!$Y$5:$Y$23,MATCH($C118,Matches!$A$5:$A$23,0))="","",INDEX(Matches!$Y$5:$Y$23,MATCH($C118,Matches!$A$5:$A$23,0))),"")</f>
        <v>Nuke</v>
      </c>
      <c r="J118" s="11" t="n">
        <f aca="false">IFERROR(IF(INDEX(Matches!$Z$5:$Z$23,MATCH($C118,Matches!$A$5:$A$23,0))="","",INDEX(Matches!$Z$5:$Z$23,MATCH($C118,Matches!$A$5:$A$23,0))),"")</f>
        <v>20.8</v>
      </c>
      <c r="K118" s="11" t="n">
        <f aca="false">IFERROR(IF(INDEX(Matches!$AA$5:$AA$23,MATCH($C118,Matches!$A$5:$A$23,0))="","",INDEX(Matches!$AA$5:$AA$23,MATCH($C118,Matches!$A$5:$A$23,0))),"")</f>
        <v>20.8</v>
      </c>
      <c r="L118" s="11" t="n">
        <f aca="false">IFERROR(IF(INDEX(Matches!$AB$5:$AB$23,MATCH($C118,Matches!$A$5:$A$23,0))="","",INDEX(Matches!$AB$5:$AB$23,MATCH($C118,Matches!$A$5:$A$23,0))),"")</f>
        <v>21.5</v>
      </c>
      <c r="M118" s="10" t="n">
        <f aca="false">IFERROR(IF(INDEX(Matches!$AC$5:$AC$23,MATCH($C118,Matches!$A$5:$A$23,0))="","",INDEX(Matches!$AC$5:$AC$23,MATCH($C118,Matches!$A$5:$A$23,0))),"")</f>
        <v>0.4109</v>
      </c>
      <c r="N118" s="9" t="n">
        <f aca="false">IFERROR(INDEX(Players!$F$2:$F$137,MATCH($F118,Players!$A$2:$A$137,0)),0)</f>
        <v>35</v>
      </c>
      <c r="O118" s="13" t="n">
        <f aca="false">IFERROR(1/(1/INDEX(Players!$H$2:$H$137,MATCH($F118,Players!$A$2:$A$137,0))),"")</f>
        <v>0.69</v>
      </c>
      <c r="P118" s="10" t="n">
        <f aca="false">IFERROR(1/(1/INDEX(Players!$I$2:$I$137,MATCH($F118,Players!$A$2:$A$137,0))),"")</f>
        <v>0.562</v>
      </c>
      <c r="Q118" s="9" t="n">
        <f aca="false">IF($G118="",0,SUMIFS(Map_Stats!$F$2:$F$850,Map_Stats!$A$2:$A$850,$F118&amp;"|"&amp;$G118))</f>
        <v>13</v>
      </c>
      <c r="R118" s="13" t="n">
        <f aca="false">IF($G118="","",IFERROR(1/(1/INDEX(Map_Stats!$K$2:$K$850,MATCH($F118&amp;"|"&amp;$G118,Map_Stats!$A$2:$A$850,0))),$O118))</f>
        <v>0.73</v>
      </c>
      <c r="S118" s="10" t="n">
        <f aca="false">IF(OR($G118="",$P118=""),"",IFERROR(1/(1/INDEX(Map_Stats!$I$2:$I$850,MATCH($F118&amp;"|"&amp;$G118,Map_Stats!$A$2:$A$850,0))),$P118))</f>
        <v>0.578</v>
      </c>
      <c r="T118" s="13" t="n">
        <f aca="false">IF(OR($G118="",R118=""),"",IF($O118="",R118,(Q118*R118+Config!$B$4*$O118)/(Q118+Config!$B$4)))</f>
        <v>0.718888888888889</v>
      </c>
      <c r="U118" s="10" t="n">
        <f aca="false">IF(S118="","",(Q118*S118+Config!$B$4*$P118)/(Q118+Config!$B$4))</f>
        <v>0.573555555555556</v>
      </c>
      <c r="V118" s="17" t="n">
        <f aca="false">IF(OR(T118="",$J118=""),"",T118*$J118*($J118/Config!$B$10)^Config!$B$9)</f>
        <v>14.9528888888889</v>
      </c>
      <c r="W118" s="17" t="n">
        <f aca="false">IF(OR(V118="",U118=""),"",V118*U118)</f>
        <v>8.57631249382716</v>
      </c>
      <c r="X118" s="9" t="n">
        <f aca="false">IF($H118="",0,SUMIFS(Map_Stats!$F$2:$F$850,Map_Stats!$A$2:$A$850,$F118&amp;"|"&amp;$H118))</f>
        <v>6</v>
      </c>
      <c r="Y118" s="13" t="n">
        <f aca="false">IF($H118="","",IFERROR(1/(1/INDEX(Map_Stats!$K$2:$K$850,MATCH($F118&amp;"|"&amp;$H118,Map_Stats!$A$2:$A$850,0))),$O118))</f>
        <v>0.63</v>
      </c>
      <c r="Z118" s="10" t="n">
        <f aca="false">IF(OR($H118="",$P118=""),"",IFERROR(1/(1/INDEX(Map_Stats!$I$2:$I$850,MATCH($F118&amp;"|"&amp;$H118,Map_Stats!$A$2:$A$850,0))),$P118))</f>
        <v>0.645</v>
      </c>
      <c r="AA118" s="13" t="n">
        <f aca="false">IF(OR($H118="",Y118=""),"",IF($O118="",Y118,(X118*Y118+Config!$B$4*$O118)/(X118+Config!$B$4)))</f>
        <v>0.657272727272727</v>
      </c>
      <c r="AB118" s="10" t="n">
        <f aca="false">IF(Z118="","",(X118*Z118+Config!$B$4*$P118)/(X118+Config!$B$4))</f>
        <v>0.607272727272727</v>
      </c>
      <c r="AC118" s="17" t="n">
        <f aca="false">IF(OR(AA118="",$K118=""),"",AA118*$K118*($K118/Config!$B$10)^Config!$B$9)</f>
        <v>13.6712727272727</v>
      </c>
      <c r="AD118" s="17" t="n">
        <f aca="false">IF(OR(AC118="",AB118=""),"",AC118*AB118)</f>
        <v>8.30219107438017</v>
      </c>
      <c r="AE118" s="9" t="n">
        <f aca="false">IF($I118="",0,SUMIFS(Map_Stats!$F$2:$F$850,Map_Stats!$A$2:$A$850,$F118&amp;"|"&amp;$I118))</f>
        <v>3</v>
      </c>
      <c r="AF118" s="13" t="n">
        <f aca="false">IF($I118="","",IFERROR(1/(1/INDEX(Map_Stats!$K$2:$K$850,MATCH($F118&amp;"|"&amp;$I118,Map_Stats!$A$2:$A$850,0))),$O118))</f>
        <v>0.79</v>
      </c>
      <c r="AG118" s="10" t="n">
        <f aca="false">IF(OR($I118="",$P118=""),"",IFERROR(1/(1/INDEX(Map_Stats!$I$2:$I$850,MATCH($F118&amp;"|"&amp;$I118,Map_Stats!$A$2:$A$850,0))),$P118))</f>
        <v>0.545</v>
      </c>
      <c r="AH118" s="13" t="n">
        <f aca="false">IF(OR($I118="",AF118=""),"",IF($O118="",AF118,(AE118*AF118+Config!$B$4*$O118)/(AE118+Config!$B$4)))</f>
        <v>0.7275</v>
      </c>
      <c r="AI118" s="10" t="n">
        <f aca="false">IF(AG118="","",(AE118*AG118+Config!$B$4*$P118)/(AE118+Config!$B$4))</f>
        <v>0.555625</v>
      </c>
      <c r="AJ118" s="17" t="n">
        <f aca="false">IF(OR(AH118="",$L118=""),"",AH118*$L118*($L118/Config!$B$10)^Config!$B$9)</f>
        <v>15.64125</v>
      </c>
      <c r="AK118" s="17" t="n">
        <f aca="false">IF(OR(AJ118="",AI118=""),"",AJ118*AI118)</f>
        <v>8.69066953125</v>
      </c>
      <c r="AL118" s="17" t="n">
        <f aca="false">N(V118)+N(AC118)</f>
        <v>28.6241616161616</v>
      </c>
      <c r="AM118" s="17" t="n">
        <f aca="false">AL118+N($M118)*N(AJ118)</f>
        <v>35.0511512411616</v>
      </c>
      <c r="AN118" s="17" t="n">
        <f aca="false">IF(W118="","",N(W118)+N(AD118))</f>
        <v>16.8785035682073</v>
      </c>
      <c r="AO118" s="17" t="n">
        <f aca="false">IF(AN118="","",AN118+N($M118)*N(AK118))</f>
        <v>20.449499678598</v>
      </c>
      <c r="AP118" s="10" t="n">
        <f aca="false">IFERROR(AN118/AL118,"")</f>
        <v>0.589659316298629</v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IF($C118=Board!$B$2,COUNTIFS($C$2:$C$137,Board!$B$2,$AL$2:$AL$137,"&gt;"&amp;$AL118)+COUNTIFS($C$1:$C117,Board!$B$2,$AL$1:$AL117,$AL118)+1,"")</f>
        <v/>
      </c>
      <c r="AS118" s="0" t="str">
        <f aca="false">IFERROR(IF($D118=INDEX(Matches!$AD$5:$AD$23,MATCH($C118,Matches!$A$5:$A$23,0)),"A",IF($D118=INDEX(Matches!$AE$5:$AE$23,MATCH($C118,Matches!$A$5:$A$23,0)),"B","")),"")</f>
        <v>A</v>
      </c>
      <c r="AT118" s="10" t="n">
        <f aca="false">IF($AS118="","",IFERROR(IF($AS118="A",INDEX(Matches!$AI$5:$AI$23,MATCH($C118,Matches!$A$5:$A$23,0)),INDEX(Matches!$AJ$5:$AJ$23,MATCH($C118,Matches!$A$5:$A$23,0))),""))</f>
        <v>0.515636268922114</v>
      </c>
      <c r="AU118" s="10" t="n">
        <f aca="false">IF($AS118="","",IFERROR(IF(INDEX(Matches!$AP$5:$AP$23,MATCH($C118,Matches!$A$5:$A$23,0))="","",IF($AS118="A",INDEX(Matches!$AP$5:$AP$23,MATCH($C118,Matches!$A$5:$A$23,0)),1-INDEX(Matches!$AP$5:$AP$23,MATCH($C118,Matches!$A$5:$A$23,0)))),""))</f>
        <v>0.537202611791164</v>
      </c>
      <c r="AV118" s="13" t="n">
        <f aca="false">IF(OR($AU118="",$AT118=""),1,((Config!$B$14*$AU118+Config!$B$15*(1-$AU118))/(Config!$B$14*$AT118+Config!$B$15*(1-$AT118)))^Config!$B$13)</f>
        <v>1.01900647669162</v>
      </c>
      <c r="AW118" s="10" t="n">
        <f aca="false">IF($AS118="","",IFERROR(IF(INDEX(Matches!$AV$5:$AV$23,MATCH($C118,Matches!$A$5:$A$23,0))="","",IF($AS118="A",INDEX(Matches!$AV$5:$AV$23,MATCH($C118,Matches!$A$5:$A$23,0)),1-INDEX(Matches!$AV$5:$AV$23,MATCH($C118,Matches!$A$5:$A$23,0)))),""))</f>
        <v>0.547029688913488</v>
      </c>
      <c r="AX118" s="13" t="n">
        <f aca="false">IF(OR($AW118="",$AT118=""),1,((Config!$B$14*$AW118+Config!$B$15*(1-$AW118))/(Config!$B$14*$AT118+Config!$B$15*(1-$AT118)))^Config!$B$13)</f>
        <v>1.02766710651682</v>
      </c>
      <c r="AY118" s="10" t="n">
        <f aca="false">IF($AS118="","",IFERROR(IF(INDEX(Matches!$BB$5:$BB$23,MATCH($C118,Matches!$A$5:$A$23,0))="","",IF($AS118="A",INDEX(Matches!$BB$5:$BB$23,MATCH($C118,Matches!$A$5:$A$23,0)),1-INDEX(Matches!$BB$5:$BB$23,MATCH($C118,Matches!$A$5:$A$23,0)))),""))</f>
        <v>0.530876998100009</v>
      </c>
      <c r="AZ118" s="13" t="n">
        <f aca="false">IF(OR($AY118="",$AT118=""),1,((Config!$B$14*$AY118+Config!$B$15*(1-$AY118))/(Config!$B$14*$AT118+Config!$B$15*(1-$AT118)))^Config!$B$13)</f>
        <v>1.01343169612214</v>
      </c>
      <c r="BA118" s="17" t="n">
        <f aca="false">IF(V118="","",V118*$AV118)</f>
        <v>15.2370906230279</v>
      </c>
      <c r="BB118" s="17" t="n">
        <f aca="false">IF(AC118="","",AC118*$AX118)</f>
        <v>14.0495172860386</v>
      </c>
      <c r="BC118" s="17" t="n">
        <f aca="false">IF(AJ118="","",AJ118*$AZ118)</f>
        <v>15.8513385169704</v>
      </c>
      <c r="BD118" s="17" t="n">
        <f aca="false">N(BA118)+N(BB118)</f>
        <v>29.2866079090665</v>
      </c>
      <c r="BE118" s="17" t="n">
        <f aca="false">BD118+N($M118)*N(BC118)</f>
        <v>35.7999229056897</v>
      </c>
      <c r="BF118" s="17" t="n">
        <f aca="false">IF(W118="","",W118*$AV118)</f>
        <v>8.73931797734111</v>
      </c>
      <c r="BG118" s="17" t="n">
        <f aca="false">IF(AD118="","",AD118*$AX118)</f>
        <v>8.53188867915801</v>
      </c>
      <c r="BH118" s="17" t="n">
        <f aca="false">IF(AK118="","",AK118*$AZ118)</f>
        <v>8.80739996349167</v>
      </c>
      <c r="BI118" s="17" t="n">
        <f aca="false">IF(BF118="","",N(BF118)+N(BG118))</f>
        <v>17.2712066564991</v>
      </c>
      <c r="BJ118" s="17" t="n">
        <f aca="false">IF(BI118="","",BI118+N($M118)*N(BH118))</f>
        <v>20.8901673014978</v>
      </c>
      <c r="BK118" s="13" t="n">
        <f aca="false">IFERROR(BD118/AL118,1)</f>
        <v>1.02314290639454</v>
      </c>
    </row>
    <row r="119" customFormat="false" ht="15" hidden="false" customHeight="false" outlineLevel="0" collapsed="false">
      <c r="A119" s="0" t="s">
        <v>1565</v>
      </c>
      <c r="B119" s="0" t="s">
        <v>1139</v>
      </c>
      <c r="C119" s="0" t="s">
        <v>1239</v>
      </c>
      <c r="D119" s="0" t="s">
        <v>1244</v>
      </c>
      <c r="E119" s="0" t="s">
        <v>1564</v>
      </c>
      <c r="F119" s="0" t="s">
        <v>1776</v>
      </c>
      <c r="G119" s="0" t="str">
        <f aca="false">IFERROR(IF(INDEX(Matches!$W$5:$W$23,MATCH($C119,Matches!$A$5:$A$23,0))="","",INDEX(Matches!$W$5:$W$23,MATCH($C119,Matches!$A$5:$A$23,0))),"")</f>
        <v>Ancient</v>
      </c>
      <c r="H119" s="0" t="str">
        <f aca="false">IFERROR(IF(INDEX(Matches!$X$5:$X$23,MATCH($C119,Matches!$A$5:$A$23,0))="","",INDEX(Matches!$X$5:$X$23,MATCH($C119,Matches!$A$5:$A$23,0))),"")</f>
        <v>Dust2</v>
      </c>
      <c r="I119" s="0" t="str">
        <f aca="false">IFERROR(IF(INDEX(Matches!$Y$5:$Y$23,MATCH($C119,Matches!$A$5:$A$23,0))="","",INDEX(Matches!$Y$5:$Y$23,MATCH($C119,Matches!$A$5:$A$23,0))),"")</f>
        <v>Nuke</v>
      </c>
      <c r="J119" s="11" t="n">
        <f aca="false">IFERROR(IF(INDEX(Matches!$Z$5:$Z$23,MATCH($C119,Matches!$A$5:$A$23,0))="","",INDEX(Matches!$Z$5:$Z$23,MATCH($C119,Matches!$A$5:$A$23,0))),"")</f>
        <v>20.8</v>
      </c>
      <c r="K119" s="11" t="n">
        <f aca="false">IFERROR(IF(INDEX(Matches!$AA$5:$AA$23,MATCH($C119,Matches!$A$5:$A$23,0))="","",INDEX(Matches!$AA$5:$AA$23,MATCH($C119,Matches!$A$5:$A$23,0))),"")</f>
        <v>20.8</v>
      </c>
      <c r="L119" s="11" t="n">
        <f aca="false">IFERROR(IF(INDEX(Matches!$AB$5:$AB$23,MATCH($C119,Matches!$A$5:$A$23,0))="","",INDEX(Matches!$AB$5:$AB$23,MATCH($C119,Matches!$A$5:$A$23,0))),"")</f>
        <v>21.5</v>
      </c>
      <c r="M119" s="10" t="n">
        <f aca="false">IFERROR(IF(INDEX(Matches!$AC$5:$AC$23,MATCH($C119,Matches!$A$5:$A$23,0))="","",INDEX(Matches!$AC$5:$AC$23,MATCH($C119,Matches!$A$5:$A$23,0))),"")</f>
        <v>0.4109</v>
      </c>
      <c r="N119" s="9" t="n">
        <f aca="false">IFERROR(INDEX(Players!$F$2:$F$137,MATCH($F119,Players!$A$2:$A$137,0)),0)</f>
        <v>35</v>
      </c>
      <c r="O119" s="13" t="n">
        <f aca="false">IFERROR(1/(1/INDEX(Players!$H$2:$H$137,MATCH($F119,Players!$A$2:$A$137,0))),"")</f>
        <v>0.64</v>
      </c>
      <c r="P119" s="10" t="n">
        <f aca="false">IFERROR(1/(1/INDEX(Players!$I$2:$I$137,MATCH($F119,Players!$A$2:$A$137,0))),"")</f>
        <v>0.317</v>
      </c>
      <c r="Q119" s="9" t="n">
        <f aca="false">IF($G119="",0,SUMIFS(Map_Stats!$F$2:$F$850,Map_Stats!$A$2:$A$850,$F119&amp;"|"&amp;$G119))</f>
        <v>13</v>
      </c>
      <c r="R119" s="13" t="n">
        <f aca="false">IF($G119="","",IFERROR(1/(1/INDEX(Map_Stats!$K$2:$K$850,MATCH($F119&amp;"|"&amp;$G119,Map_Stats!$A$2:$A$850,0))),$O119))</f>
        <v>0.64</v>
      </c>
      <c r="S119" s="10" t="n">
        <f aca="false">IF(OR($G119="",$P119=""),"",IFERROR(1/(1/INDEX(Map_Stats!$I$2:$I$850,MATCH($F119&amp;"|"&amp;$G119,Map_Stats!$A$2:$A$850,0))),$P119))</f>
        <v>0.34</v>
      </c>
      <c r="T119" s="13" t="n">
        <f aca="false">IF(OR($G119="",R119=""),"",IF($O119="",R119,(Q119*R119+Config!$B$4*$O119)/(Q119+Config!$B$4)))</f>
        <v>0.64</v>
      </c>
      <c r="U119" s="10" t="n">
        <f aca="false">IF(S119="","",(Q119*S119+Config!$B$4*$P119)/(Q119+Config!$B$4))</f>
        <v>0.333611111111111</v>
      </c>
      <c r="V119" s="17" t="n">
        <f aca="false">IF(OR(T119="",$J119=""),"",T119*$J119*($J119/Config!$B$10)^Config!$B$9)</f>
        <v>13.312</v>
      </c>
      <c r="W119" s="17" t="n">
        <f aca="false">IF(OR(V119="",U119=""),"",V119*U119)</f>
        <v>4.44103111111111</v>
      </c>
      <c r="X119" s="9" t="n">
        <f aca="false">IF($H119="",0,SUMIFS(Map_Stats!$F$2:$F$850,Map_Stats!$A$2:$A$850,$F119&amp;"|"&amp;$H119))</f>
        <v>6</v>
      </c>
      <c r="Y119" s="13" t="n">
        <f aca="false">IF($H119="","",IFERROR(1/(1/INDEX(Map_Stats!$K$2:$K$850,MATCH($F119&amp;"|"&amp;$H119,Map_Stats!$A$2:$A$850,0))),$O119))</f>
        <v>0.55</v>
      </c>
      <c r="Z119" s="10" t="n">
        <f aca="false">IF(OR($H119="",$P119=""),"",IFERROR(1/(1/INDEX(Map_Stats!$I$2:$I$850,MATCH($F119&amp;"|"&amp;$H119,Map_Stats!$A$2:$A$850,0))),$P119))</f>
        <v>0.348</v>
      </c>
      <c r="AA119" s="13" t="n">
        <f aca="false">IF(OR($H119="",Y119=""),"",IF($O119="",Y119,(X119*Y119+Config!$B$4*$O119)/(X119+Config!$B$4)))</f>
        <v>0.590909090909091</v>
      </c>
      <c r="AB119" s="10" t="n">
        <f aca="false">IF(Z119="","",(X119*Z119+Config!$B$4*$P119)/(X119+Config!$B$4))</f>
        <v>0.333909090909091</v>
      </c>
      <c r="AC119" s="17" t="n">
        <f aca="false">IF(OR(AA119="",$K119=""),"",AA119*$K119*($K119/Config!$B$10)^Config!$B$9)</f>
        <v>12.2909090909091</v>
      </c>
      <c r="AD119" s="17" t="n">
        <f aca="false">IF(OR(AC119="",AB119=""),"",AC119*AB119)</f>
        <v>4.10404628099174</v>
      </c>
      <c r="AE119" s="9" t="n">
        <f aca="false">IF($I119="",0,SUMIFS(Map_Stats!$F$2:$F$850,Map_Stats!$A$2:$A$850,$F119&amp;"|"&amp;$I119))</f>
        <v>3</v>
      </c>
      <c r="AF119" s="13" t="n">
        <f aca="false">IF($I119="","",IFERROR(1/(1/INDEX(Map_Stats!$K$2:$K$850,MATCH($F119&amp;"|"&amp;$I119,Map_Stats!$A$2:$A$850,0))),$O119))</f>
        <v>0.56</v>
      </c>
      <c r="AG119" s="10" t="n">
        <f aca="false">IF(OR($I119="",$P119=""),"",IFERROR(1/(1/INDEX(Map_Stats!$I$2:$I$850,MATCH($F119&amp;"|"&amp;$I119,Map_Stats!$A$2:$A$850,0))),$P119))</f>
        <v>0.333</v>
      </c>
      <c r="AH119" s="13" t="n">
        <f aca="false">IF(OR($I119="",AF119=""),"",IF($O119="",AF119,(AE119*AF119+Config!$B$4*$O119)/(AE119+Config!$B$4)))</f>
        <v>0.61</v>
      </c>
      <c r="AI119" s="10" t="n">
        <f aca="false">IF(AG119="","",(AE119*AG119+Config!$B$4*$P119)/(AE119+Config!$B$4))</f>
        <v>0.323</v>
      </c>
      <c r="AJ119" s="17" t="n">
        <f aca="false">IF(OR(AH119="",$L119=""),"",AH119*$L119*($L119/Config!$B$10)^Config!$B$9)</f>
        <v>13.115</v>
      </c>
      <c r="AK119" s="17" t="n">
        <f aca="false">IF(OR(AJ119="",AI119=""),"",AJ119*AI119)</f>
        <v>4.236145</v>
      </c>
      <c r="AL119" s="17" t="n">
        <f aca="false">N(V119)+N(AC119)</f>
        <v>25.6029090909091</v>
      </c>
      <c r="AM119" s="17" t="n">
        <f aca="false">AL119+N($M119)*N(AJ119)</f>
        <v>30.9918625909091</v>
      </c>
      <c r="AN119" s="17" t="n">
        <f aca="false">IF(W119="","",N(W119)+N(AD119))</f>
        <v>8.54507739210285</v>
      </c>
      <c r="AO119" s="17" t="n">
        <f aca="false">IF(AN119="","",AN119+N($M119)*N(AK119))</f>
        <v>10.2857093726028</v>
      </c>
      <c r="AP119" s="10" t="n">
        <f aca="false">IFERROR(AN119/AL119,"")</f>
        <v>0.333754159020038</v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IF($C119=Board!$B$2,COUNTIFS($C$2:$C$137,Board!$B$2,$AL$2:$AL$137,"&gt;"&amp;$AL119)+COUNTIFS($C$1:$C118,Board!$B$2,$AL$1:$AL118,$AL119)+1,"")</f>
        <v/>
      </c>
      <c r="AS119" s="0" t="str">
        <f aca="false">IFERROR(IF($D119=INDEX(Matches!$AD$5:$AD$23,MATCH($C119,Matches!$A$5:$A$23,0)),"A",IF($D119=INDEX(Matches!$AE$5:$AE$23,MATCH($C119,Matches!$A$5:$A$23,0)),"B","")),"")</f>
        <v>A</v>
      </c>
      <c r="AT119" s="10" t="n">
        <f aca="false">IF($AS119="","",IFERROR(IF($AS119="A",INDEX(Matches!$AI$5:$AI$23,MATCH($C119,Matches!$A$5:$A$23,0)),INDEX(Matches!$AJ$5:$AJ$23,MATCH($C119,Matches!$A$5:$A$23,0))),""))</f>
        <v>0.515636268922114</v>
      </c>
      <c r="AU119" s="10" t="n">
        <f aca="false">IF($AS119="","",IFERROR(IF(INDEX(Matches!$AP$5:$AP$23,MATCH($C119,Matches!$A$5:$A$23,0))="","",IF($AS119="A",INDEX(Matches!$AP$5:$AP$23,MATCH($C119,Matches!$A$5:$A$23,0)),1-INDEX(Matches!$AP$5:$AP$23,MATCH($C119,Matches!$A$5:$A$23,0)))),""))</f>
        <v>0.537202611791164</v>
      </c>
      <c r="AV119" s="13" t="n">
        <f aca="false">IF(OR($AU119="",$AT119=""),1,((Config!$B$14*$AU119+Config!$B$15*(1-$AU119))/(Config!$B$14*$AT119+Config!$B$15*(1-$AT119)))^Config!$B$13)</f>
        <v>1.01900647669162</v>
      </c>
      <c r="AW119" s="10" t="n">
        <f aca="false">IF($AS119="","",IFERROR(IF(INDEX(Matches!$AV$5:$AV$23,MATCH($C119,Matches!$A$5:$A$23,0))="","",IF($AS119="A",INDEX(Matches!$AV$5:$AV$23,MATCH($C119,Matches!$A$5:$A$23,0)),1-INDEX(Matches!$AV$5:$AV$23,MATCH($C119,Matches!$A$5:$A$23,0)))),""))</f>
        <v>0.547029688913488</v>
      </c>
      <c r="AX119" s="13" t="n">
        <f aca="false">IF(OR($AW119="",$AT119=""),1,((Config!$B$14*$AW119+Config!$B$15*(1-$AW119))/(Config!$B$14*$AT119+Config!$B$15*(1-$AT119)))^Config!$B$13)</f>
        <v>1.02766710651682</v>
      </c>
      <c r="AY119" s="10" t="n">
        <f aca="false">IF($AS119="","",IFERROR(IF(INDEX(Matches!$BB$5:$BB$23,MATCH($C119,Matches!$A$5:$A$23,0))="","",IF($AS119="A",INDEX(Matches!$BB$5:$BB$23,MATCH($C119,Matches!$A$5:$A$23,0)),1-INDEX(Matches!$BB$5:$BB$23,MATCH($C119,Matches!$A$5:$A$23,0)))),""))</f>
        <v>0.530876998100009</v>
      </c>
      <c r="AZ119" s="13" t="n">
        <f aca="false">IF(OR($AY119="",$AT119=""),1,((Config!$B$14*$AY119+Config!$B$15*(1-$AY119))/(Config!$B$14*$AT119+Config!$B$15*(1-$AT119)))^Config!$B$13)</f>
        <v>1.01343169612214</v>
      </c>
      <c r="BA119" s="17" t="n">
        <f aca="false">IF(V119="","",V119*$AV119)</f>
        <v>13.5650142177188</v>
      </c>
      <c r="BB119" s="17" t="n">
        <f aca="false">IF(AC119="","",AC119*$AX119)</f>
        <v>12.6309629819158</v>
      </c>
      <c r="BC119" s="17" t="n">
        <f aca="false">IF(AJ119="","",AJ119*$AZ119)</f>
        <v>13.2911566946418</v>
      </c>
      <c r="BD119" s="17" t="n">
        <f aca="false">N(BA119)+N(BB119)</f>
        <v>26.1959771996346</v>
      </c>
      <c r="BE119" s="17" t="n">
        <f aca="false">BD119+N($M119)*N(BC119)</f>
        <v>31.6573134854629</v>
      </c>
      <c r="BF119" s="17" t="n">
        <f aca="false">IF(W119="","",W119*$AV119)</f>
        <v>4.52543946541119</v>
      </c>
      <c r="BG119" s="17" t="n">
        <f aca="false">IF(AD119="","",AD119*$AX119)</f>
        <v>4.21759336659788</v>
      </c>
      <c r="BH119" s="17" t="n">
        <f aca="false">IF(AK119="","",AK119*$AZ119)</f>
        <v>4.29304361236931</v>
      </c>
      <c r="BI119" s="17" t="n">
        <f aca="false">IF(BF119="","",N(BF119)+N(BG119))</f>
        <v>8.74303283200907</v>
      </c>
      <c r="BJ119" s="17" t="n">
        <f aca="false">IF(BI119="","",BI119+N($M119)*N(BH119))</f>
        <v>10.5070444523316</v>
      </c>
      <c r="BK119" s="13" t="n">
        <f aca="false">IFERROR(BD119/AL119,1)</f>
        <v>1.02316409071405</v>
      </c>
    </row>
    <row r="120" customFormat="false" ht="15" hidden="false" customHeight="false" outlineLevel="0" collapsed="false">
      <c r="A120" s="0" t="s">
        <v>1567</v>
      </c>
      <c r="B120" s="0" t="s">
        <v>1139</v>
      </c>
      <c r="C120" s="0" t="s">
        <v>1161</v>
      </c>
      <c r="D120" s="0" t="s">
        <v>1166</v>
      </c>
      <c r="E120" s="0" t="s">
        <v>1566</v>
      </c>
      <c r="F120" s="0" t="s">
        <v>1777</v>
      </c>
      <c r="G120" s="0" t="str">
        <f aca="false">IFERROR(IF(INDEX(Matches!$W$5:$W$23,MATCH($C120,Matches!$A$5:$A$23,0))="","",INDEX(Matches!$W$5:$W$23,MATCH($C120,Matches!$A$5:$A$23,0))),"")</f>
        <v>Dust2</v>
      </c>
      <c r="H120" s="0" t="str">
        <f aca="false">IFERROR(IF(INDEX(Matches!$X$5:$X$23,MATCH($C120,Matches!$A$5:$A$23,0))="","",INDEX(Matches!$X$5:$X$23,MATCH($C120,Matches!$A$5:$A$23,0))),"")</f>
        <v>Mirage</v>
      </c>
      <c r="I120" s="0" t="str">
        <f aca="false">IFERROR(IF(INDEX(Matches!$Y$5:$Y$23,MATCH($C120,Matches!$A$5:$A$23,0))="","",INDEX(Matches!$Y$5:$Y$23,MATCH($C120,Matches!$A$5:$A$23,0))),"")</f>
        <v>Inferno</v>
      </c>
      <c r="J120" s="11" t="n">
        <f aca="false">IFERROR(IF(INDEX(Matches!$Z$5:$Z$23,MATCH($C120,Matches!$A$5:$A$23,0))="","",INDEX(Matches!$Z$5:$Z$23,MATCH($C120,Matches!$A$5:$A$23,0))),"")</f>
        <v>21.36</v>
      </c>
      <c r="K120" s="11" t="n">
        <f aca="false">IFERROR(IF(INDEX(Matches!$AA$5:$AA$23,MATCH($C120,Matches!$A$5:$A$23,0))="","",INDEX(Matches!$AA$5:$AA$23,MATCH($C120,Matches!$A$5:$A$23,0))),"")</f>
        <v>21.11</v>
      </c>
      <c r="L120" s="11" t="n">
        <f aca="false">IFERROR(IF(INDEX(Matches!$AB$5:$AB$23,MATCH($C120,Matches!$A$5:$A$23,0))="","",INDEX(Matches!$AB$5:$AB$23,MATCH($C120,Matches!$A$5:$A$23,0))),"")</f>
        <v>21.22</v>
      </c>
      <c r="M120" s="10" t="n">
        <f aca="false">IFERROR(IF(INDEX(Matches!$AC$5:$AC$23,MATCH($C120,Matches!$A$5:$A$23,0))="","",INDEX(Matches!$AC$5:$AC$23,MATCH($C120,Matches!$A$5:$A$23,0))),"")</f>
        <v>0.4618</v>
      </c>
      <c r="N120" s="9" t="n">
        <f aca="false">IFERROR(INDEX(Players!$F$2:$F$137,MATCH($F120,Players!$A$2:$A$137,0)),0)</f>
        <v>36</v>
      </c>
      <c r="O120" s="13" t="n">
        <f aca="false">IFERROR(1/(1/INDEX(Players!$H$2:$H$137,MATCH($F120,Players!$A$2:$A$137,0))),"")</f>
        <v>0.5</v>
      </c>
      <c r="P120" s="10" t="n">
        <f aca="false">IFERROR(1/(1/INDEX(Players!$I$2:$I$137,MATCH($F120,Players!$A$2:$A$137,0))),"")</f>
        <v>0.534</v>
      </c>
      <c r="Q120" s="9" t="n">
        <f aca="false">IF($G120="",0,SUMIFS(Map_Stats!$F$2:$F$850,Map_Stats!$A$2:$A$850,$F120&amp;"|"&amp;$G120))</f>
        <v>5</v>
      </c>
      <c r="R120" s="13" t="n">
        <f aca="false">IF($G120="","",IFERROR(1/(1/INDEX(Map_Stats!$K$2:$K$850,MATCH($F120&amp;"|"&amp;$G120,Map_Stats!$A$2:$A$850,0))),$O120))</f>
        <v>0.57</v>
      </c>
      <c r="S120" s="10" t="n">
        <f aca="false">IF(OR($G120="",$P120=""),"",IFERROR(1/(1/INDEX(Map_Stats!$I$2:$I$850,MATCH($F120&amp;"|"&amp;$G120,Map_Stats!$A$2:$A$850,0))),$P120))</f>
        <v>0.452</v>
      </c>
      <c r="T120" s="13" t="n">
        <f aca="false">IF(OR($G120="",R120=""),"",IF($O120="",R120,(Q120*R120+Config!$B$4*$O120)/(Q120+Config!$B$4)))</f>
        <v>0.535</v>
      </c>
      <c r="U120" s="10" t="n">
        <f aca="false">IF(S120="","",(Q120*S120+Config!$B$4*$P120)/(Q120+Config!$B$4))</f>
        <v>0.493</v>
      </c>
      <c r="V120" s="17" t="n">
        <f aca="false">IF(OR(T120="",$J120=""),"",T120*$J120*($J120/Config!$B$10)^Config!$B$9)</f>
        <v>11.4276</v>
      </c>
      <c r="W120" s="17" t="n">
        <f aca="false">IF(OR(V120="",U120=""),"",V120*U120)</f>
        <v>5.6338068</v>
      </c>
      <c r="X120" s="9" t="n">
        <f aca="false">IF($H120="",0,SUMIFS(Map_Stats!$F$2:$F$850,Map_Stats!$A$2:$A$850,$F120&amp;"|"&amp;$H120))</f>
        <v>7</v>
      </c>
      <c r="Y120" s="13" t="n">
        <f aca="false">IF($H120="","",IFERROR(1/(1/INDEX(Map_Stats!$K$2:$K$850,MATCH($F120&amp;"|"&amp;$H120,Map_Stats!$A$2:$A$850,0))),$O120))</f>
        <v>0.51</v>
      </c>
      <c r="Z120" s="10" t="n">
        <f aca="false">IF(OR($H120="",$P120=""),"",IFERROR(1/(1/INDEX(Map_Stats!$I$2:$I$850,MATCH($F120&amp;"|"&amp;$H120,Map_Stats!$A$2:$A$850,0))),$P120))</f>
        <v>0.507</v>
      </c>
      <c r="AA120" s="13" t="n">
        <f aca="false">IF(OR($H120="",Y120=""),"",IF($O120="",Y120,(X120*Y120+Config!$B$4*$O120)/(X120+Config!$B$4)))</f>
        <v>0.505833333333333</v>
      </c>
      <c r="AB120" s="10" t="n">
        <f aca="false">IF(Z120="","",(X120*Z120+Config!$B$4*$P120)/(X120+Config!$B$4))</f>
        <v>0.51825</v>
      </c>
      <c r="AC120" s="17" t="n">
        <f aca="false">IF(OR(AA120="",$K120=""),"",AA120*$K120*($K120/Config!$B$10)^Config!$B$9)</f>
        <v>10.6781416666667</v>
      </c>
      <c r="AD120" s="17" t="n">
        <f aca="false">IF(OR(AC120="",AB120=""),"",AC120*AB120)</f>
        <v>5.53394691875</v>
      </c>
      <c r="AE120" s="9" t="n">
        <f aca="false">IF($I120="",0,SUMIFS(Map_Stats!$F$2:$F$850,Map_Stats!$A$2:$A$850,$F120&amp;"|"&amp;$I120))</f>
        <v>7</v>
      </c>
      <c r="AF120" s="13" t="n">
        <f aca="false">IF($I120="","",IFERROR(1/(1/INDEX(Map_Stats!$K$2:$K$850,MATCH($F120&amp;"|"&amp;$I120,Map_Stats!$A$2:$A$850,0))),$O120))</f>
        <v>0.42</v>
      </c>
      <c r="AG120" s="10" t="n">
        <f aca="false">IF(OR($I120="",$P120=""),"",IFERROR(1/(1/INDEX(Map_Stats!$I$2:$I$850,MATCH($F120&amp;"|"&amp;$I120,Map_Stats!$A$2:$A$850,0))),$P120))</f>
        <v>0.596</v>
      </c>
      <c r="AH120" s="13" t="n">
        <f aca="false">IF(OR($I120="",AF120=""),"",IF($O120="",AF120,(AE120*AF120+Config!$B$4*$O120)/(AE120+Config!$B$4)))</f>
        <v>0.453333333333333</v>
      </c>
      <c r="AI120" s="10" t="n">
        <f aca="false">IF(AG120="","",(AE120*AG120+Config!$B$4*$P120)/(AE120+Config!$B$4))</f>
        <v>0.570166666666667</v>
      </c>
      <c r="AJ120" s="17" t="n">
        <f aca="false">IF(OR(AH120="",$L120=""),"",AH120*$L120*($L120/Config!$B$10)^Config!$B$9)</f>
        <v>9.61973333333333</v>
      </c>
      <c r="AK120" s="17" t="n">
        <f aca="false">IF(OR(AJ120="",AI120=""),"",AJ120*AI120)</f>
        <v>5.48485128888889</v>
      </c>
      <c r="AL120" s="17" t="n">
        <f aca="false">N(V120)+N(AC120)</f>
        <v>22.1057416666667</v>
      </c>
      <c r="AM120" s="17" t="n">
        <f aca="false">AL120+N($M120)*N(AJ120)</f>
        <v>26.54813452</v>
      </c>
      <c r="AN120" s="17" t="n">
        <f aca="false">IF(W120="","",N(W120)+N(AD120))</f>
        <v>11.16775371875</v>
      </c>
      <c r="AO120" s="17" t="n">
        <f aca="false">IF(AN120="","",AN120+N($M120)*N(AK120))</f>
        <v>13.7006580439589</v>
      </c>
      <c r="AP120" s="10" t="n">
        <f aca="false">IFERROR(AN120/AL120,"")</f>
        <v>0.505196970413795</v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IF($C120=Board!$B$2,COUNTIFS($C$2:$C$137,Board!$B$2,$AL$2:$AL$137,"&gt;"&amp;$AL120)+COUNTIFS($C$1:$C119,Board!$B$2,$AL$1:$AL119,$AL120)+1,"")</f>
        <v/>
      </c>
      <c r="AS120" s="0" t="str">
        <f aca="false">IFERROR(IF($D120=INDEX(Matches!$AD$5:$AD$23,MATCH($C120,Matches!$A$5:$A$23,0)),"A",IF($D120=INDEX(Matches!$AE$5:$AE$23,MATCH($C120,Matches!$A$5:$A$23,0)),"B","")),"")</f>
        <v>B</v>
      </c>
      <c r="AT120" s="10" t="n">
        <f aca="false">IF($AS120="","",IFERROR(IF($AS120="A",INDEX(Matches!$AI$5:$AI$23,MATCH($C120,Matches!$A$5:$A$23,0)),INDEX(Matches!$AJ$5:$AJ$23,MATCH($C120,Matches!$A$5:$A$23,0))),""))</f>
        <v>0.487018140566789</v>
      </c>
      <c r="AU120" s="10" t="n">
        <f aca="false">IF($AS120="","",IFERROR(IF(INDEX(Matches!$AP$5:$AP$23,MATCH($C120,Matches!$A$5:$A$23,0))="","",IF($AS120="A",INDEX(Matches!$AP$5:$AP$23,MATCH($C120,Matches!$A$5:$A$23,0)),1-INDEX(Matches!$AP$5:$AP$23,MATCH($C120,Matches!$A$5:$A$23,0)))),""))</f>
        <v>0.453897758533856</v>
      </c>
      <c r="AV120" s="13" t="n">
        <f aca="false">IF(OR($AU120="",$AT120=""),1,((Config!$B$14*$AU120+Config!$B$15*(1-$AU120))/(Config!$B$14*$AT120+Config!$B$15*(1-$AT120)))^Config!$B$13)</f>
        <v>0.970055684533188</v>
      </c>
      <c r="AW120" s="10" t="n">
        <f aca="false">IF($AS120="","",IFERROR(IF(INDEX(Matches!$AV$5:$AV$23,MATCH($C120,Matches!$A$5:$A$23,0))="","",IF($AS120="A",INDEX(Matches!$AV$5:$AV$23,MATCH($C120,Matches!$A$5:$A$23,0)),1-INDEX(Matches!$AV$5:$AV$23,MATCH($C120,Matches!$A$5:$A$23,0)))),""))</f>
        <v>0.455378365466649</v>
      </c>
      <c r="AX120" s="13" t="n">
        <f aca="false">IF(OR($AW120="",$AT120=""),1,((Config!$B$14*$AW120+Config!$B$15*(1-$AW120))/(Config!$B$14*$AT120+Config!$B$15*(1-$AT120)))^Config!$B$13)</f>
        <v>0.971394309221569</v>
      </c>
      <c r="AY120" s="10" t="n">
        <f aca="false">IF($AS120="","",IFERROR(IF(INDEX(Matches!$BB$5:$BB$23,MATCH($C120,Matches!$A$5:$A$23,0))="","",IF($AS120="A",INDEX(Matches!$BB$5:$BB$23,MATCH($C120,Matches!$A$5:$A$23,0)),1-INDEX(Matches!$BB$5:$BB$23,MATCH($C120,Matches!$A$5:$A$23,0)))),""))</f>
        <v>0.428288945581688</v>
      </c>
      <c r="AZ120" s="13" t="n">
        <f aca="false">IF(OR($AY120="",$AT120=""),1,((Config!$B$14*$AY120+Config!$B$15*(1-$AY120))/(Config!$B$14*$AT120+Config!$B$15*(1-$AT120)))^Config!$B$13)</f>
        <v>0.946902619058043</v>
      </c>
      <c r="BA120" s="17" t="n">
        <f aca="false">IF(V120="","",V120*$AV120)</f>
        <v>11.0854083405715</v>
      </c>
      <c r="BB120" s="17" t="n">
        <f aca="false">IF(AC120="","",AC120*$AX120)</f>
        <v>10.3726860480617</v>
      </c>
      <c r="BC120" s="17" t="n">
        <f aca="false">IF(AJ120="","",AJ120*$AZ120)</f>
        <v>9.10895068797329</v>
      </c>
      <c r="BD120" s="17" t="n">
        <f aca="false">N(BA120)+N(BB120)</f>
        <v>21.4580943886332</v>
      </c>
      <c r="BE120" s="17" t="n">
        <f aca="false">BD120+N($M120)*N(BC120)</f>
        <v>25.6646078163392</v>
      </c>
      <c r="BF120" s="17" t="n">
        <f aca="false">IF(W120="","",W120*$AV120)</f>
        <v>5.46510631190173</v>
      </c>
      <c r="BG120" s="17" t="n">
        <f aca="false">IF(AD120="","",AD120*$AX120)</f>
        <v>5.37564454440799</v>
      </c>
      <c r="BH120" s="17" t="n">
        <f aca="false">IF(AK120="","",AK120*$AZ120)</f>
        <v>5.19362005059277</v>
      </c>
      <c r="BI120" s="17" t="n">
        <f aca="false">IF(BF120="","",N(BF120)+N(BG120))</f>
        <v>10.8407508563097</v>
      </c>
      <c r="BJ120" s="17" t="n">
        <f aca="false">IF(BI120="","",BI120+N($M120)*N(BH120))</f>
        <v>13.2391645956735</v>
      </c>
      <c r="BK120" s="13" t="n">
        <f aca="false">IFERROR(BD120/AL120,1)</f>
        <v>0.970702304957717</v>
      </c>
    </row>
    <row r="121" customFormat="false" ht="15" hidden="false" customHeight="false" outlineLevel="0" collapsed="false">
      <c r="A121" s="0" t="s">
        <v>1569</v>
      </c>
      <c r="B121" s="0" t="s">
        <v>1139</v>
      </c>
      <c r="C121" s="0" t="s">
        <v>1161</v>
      </c>
      <c r="D121" s="0" t="s">
        <v>1166</v>
      </c>
      <c r="E121" s="0" t="s">
        <v>1568</v>
      </c>
      <c r="F121" s="0" t="s">
        <v>1778</v>
      </c>
      <c r="G121" s="0" t="str">
        <f aca="false">IFERROR(IF(INDEX(Matches!$W$5:$W$23,MATCH($C121,Matches!$A$5:$A$23,0))="","",INDEX(Matches!$W$5:$W$23,MATCH($C121,Matches!$A$5:$A$23,0))),"")</f>
        <v>Dust2</v>
      </c>
      <c r="H121" s="0" t="str">
        <f aca="false">IFERROR(IF(INDEX(Matches!$X$5:$X$23,MATCH($C121,Matches!$A$5:$A$23,0))="","",INDEX(Matches!$X$5:$X$23,MATCH($C121,Matches!$A$5:$A$23,0))),"")</f>
        <v>Mirage</v>
      </c>
      <c r="I121" s="0" t="str">
        <f aca="false">IFERROR(IF(INDEX(Matches!$Y$5:$Y$23,MATCH($C121,Matches!$A$5:$A$23,0))="","",INDEX(Matches!$Y$5:$Y$23,MATCH($C121,Matches!$A$5:$A$23,0))),"")</f>
        <v>Inferno</v>
      </c>
      <c r="J121" s="11" t="n">
        <f aca="false">IFERROR(IF(INDEX(Matches!$Z$5:$Z$23,MATCH($C121,Matches!$A$5:$A$23,0))="","",INDEX(Matches!$Z$5:$Z$23,MATCH($C121,Matches!$A$5:$A$23,0))),"")</f>
        <v>21.36</v>
      </c>
      <c r="K121" s="11" t="n">
        <f aca="false">IFERROR(IF(INDEX(Matches!$AA$5:$AA$23,MATCH($C121,Matches!$A$5:$A$23,0))="","",INDEX(Matches!$AA$5:$AA$23,MATCH($C121,Matches!$A$5:$A$23,0))),"")</f>
        <v>21.11</v>
      </c>
      <c r="L121" s="11" t="n">
        <f aca="false">IFERROR(IF(INDEX(Matches!$AB$5:$AB$23,MATCH($C121,Matches!$A$5:$A$23,0))="","",INDEX(Matches!$AB$5:$AB$23,MATCH($C121,Matches!$A$5:$A$23,0))),"")</f>
        <v>21.22</v>
      </c>
      <c r="M121" s="10" t="n">
        <f aca="false">IFERROR(IF(INDEX(Matches!$AC$5:$AC$23,MATCH($C121,Matches!$A$5:$A$23,0))="","",INDEX(Matches!$AC$5:$AC$23,MATCH($C121,Matches!$A$5:$A$23,0))),"")</f>
        <v>0.4618</v>
      </c>
      <c r="N121" s="9" t="n">
        <f aca="false">IFERROR(INDEX(Players!$F$2:$F$137,MATCH($F121,Players!$A$2:$A$137,0)),0)</f>
        <v>36</v>
      </c>
      <c r="O121" s="13" t="n">
        <f aca="false">IFERROR(1/(1/INDEX(Players!$H$2:$H$137,MATCH($F121,Players!$A$2:$A$137,0))),"")</f>
        <v>0.66</v>
      </c>
      <c r="P121" s="10" t="n">
        <f aca="false">IFERROR(1/(1/INDEX(Players!$I$2:$I$137,MATCH($F121,Players!$A$2:$A$137,0))),"")</f>
        <v>0.609</v>
      </c>
      <c r="Q121" s="9" t="n">
        <f aca="false">IF($G121="",0,SUMIFS(Map_Stats!$F$2:$F$850,Map_Stats!$A$2:$A$850,$F121&amp;"|"&amp;$G121))</f>
        <v>5</v>
      </c>
      <c r="R121" s="13" t="n">
        <f aca="false">IF($G121="","",IFERROR(1/(1/INDEX(Map_Stats!$K$2:$K$850,MATCH($F121&amp;"|"&amp;$G121,Map_Stats!$A$2:$A$850,0))),$O121))</f>
        <v>0.61</v>
      </c>
      <c r="S121" s="10" t="n">
        <f aca="false">IF(OR($G121="",$P121=""),"",IFERROR(1/(1/INDEX(Map_Stats!$I$2:$I$850,MATCH($F121&amp;"|"&amp;$G121,Map_Stats!$A$2:$A$850,0))),$P121))</f>
        <v>0.61</v>
      </c>
      <c r="T121" s="13" t="n">
        <f aca="false">IF(OR($G121="",R121=""),"",IF($O121="",R121,(Q121*R121+Config!$B$4*$O121)/(Q121+Config!$B$4)))</f>
        <v>0.635</v>
      </c>
      <c r="U121" s="10" t="n">
        <f aca="false">IF(S121="","",(Q121*S121+Config!$B$4*$P121)/(Q121+Config!$B$4))</f>
        <v>0.6095</v>
      </c>
      <c r="V121" s="17" t="n">
        <f aca="false">IF(OR(T121="",$J121=""),"",T121*$J121*($J121/Config!$B$10)^Config!$B$9)</f>
        <v>13.5636</v>
      </c>
      <c r="W121" s="17" t="n">
        <f aca="false">IF(OR(V121="",U121=""),"",V121*U121)</f>
        <v>8.2670142</v>
      </c>
      <c r="X121" s="9" t="n">
        <f aca="false">IF($H121="",0,SUMIFS(Map_Stats!$F$2:$F$850,Map_Stats!$A$2:$A$850,$F121&amp;"|"&amp;$H121))</f>
        <v>7</v>
      </c>
      <c r="Y121" s="13" t="n">
        <f aca="false">IF($H121="","",IFERROR(1/(1/INDEX(Map_Stats!$K$2:$K$850,MATCH($F121&amp;"|"&amp;$H121,Map_Stats!$A$2:$A$850,0))),$O121))</f>
        <v>0.58</v>
      </c>
      <c r="Z121" s="10" t="n">
        <f aca="false">IF(OR($H121="",$P121=""),"",IFERROR(1/(1/INDEX(Map_Stats!$I$2:$I$850,MATCH($F121&amp;"|"&amp;$H121,Map_Stats!$A$2:$A$850,0))),$P121))</f>
        <v>0.56</v>
      </c>
      <c r="AA121" s="13" t="n">
        <f aca="false">IF(OR($H121="",Y121=""),"",IF($O121="",Y121,(X121*Y121+Config!$B$4*$O121)/(X121+Config!$B$4)))</f>
        <v>0.613333333333333</v>
      </c>
      <c r="AB121" s="10" t="n">
        <f aca="false">IF(Z121="","",(X121*Z121+Config!$B$4*$P121)/(X121+Config!$B$4))</f>
        <v>0.580416666666667</v>
      </c>
      <c r="AC121" s="17" t="n">
        <f aca="false">IF(OR(AA121="",$K121=""),"",AA121*$K121*($K121/Config!$B$10)^Config!$B$9)</f>
        <v>12.9474666666667</v>
      </c>
      <c r="AD121" s="17" t="n">
        <f aca="false">IF(OR(AC121="",AB121=""),"",AC121*AB121)</f>
        <v>7.51492544444444</v>
      </c>
      <c r="AE121" s="9" t="n">
        <f aca="false">IF($I121="",0,SUMIFS(Map_Stats!$F$2:$F$850,Map_Stats!$A$2:$A$850,$F121&amp;"|"&amp;$I121))</f>
        <v>7</v>
      </c>
      <c r="AF121" s="13" t="n">
        <f aca="false">IF($I121="","",IFERROR(1/(1/INDEX(Map_Stats!$K$2:$K$850,MATCH($F121&amp;"|"&amp;$I121,Map_Stats!$A$2:$A$850,0))),$O121))</f>
        <v>0.69</v>
      </c>
      <c r="AG121" s="10" t="n">
        <f aca="false">IF(OR($I121="",$P121=""),"",IFERROR(1/(1/INDEX(Map_Stats!$I$2:$I$850,MATCH($F121&amp;"|"&amp;$I121,Map_Stats!$A$2:$A$850,0))),$P121))</f>
        <v>0.589</v>
      </c>
      <c r="AH121" s="13" t="n">
        <f aca="false">IF(OR($I121="",AF121=""),"",IF($O121="",AF121,(AE121*AF121+Config!$B$4*$O121)/(AE121+Config!$B$4)))</f>
        <v>0.6775</v>
      </c>
      <c r="AI121" s="10" t="n">
        <f aca="false">IF(AG121="","",(AE121*AG121+Config!$B$4*$P121)/(AE121+Config!$B$4))</f>
        <v>0.597333333333333</v>
      </c>
      <c r="AJ121" s="17" t="n">
        <f aca="false">IF(OR(AH121="",$L121=""),"",AH121*$L121*($L121/Config!$B$10)^Config!$B$9)</f>
        <v>14.37655</v>
      </c>
      <c r="AK121" s="17" t="n">
        <f aca="false">IF(OR(AJ121="",AI121=""),"",AJ121*AI121)</f>
        <v>8.58759253333333</v>
      </c>
      <c r="AL121" s="17" t="n">
        <f aca="false">N(V121)+N(AC121)</f>
        <v>26.5110666666667</v>
      </c>
      <c r="AM121" s="17" t="n">
        <f aca="false">AL121+N($M121)*N(AJ121)</f>
        <v>33.1501574566667</v>
      </c>
      <c r="AN121" s="17" t="n">
        <f aca="false">IF(W121="","",N(W121)+N(AD121))</f>
        <v>15.7819396444444</v>
      </c>
      <c r="AO121" s="17" t="n">
        <f aca="false">IF(AN121="","",AN121+N($M121)*N(AK121))</f>
        <v>19.7476898763378</v>
      </c>
      <c r="AP121" s="10" t="n">
        <f aca="false">IFERROR(AN121/AL121,"")</f>
        <v>0.595296290521862</v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IF($C121=Board!$B$2,COUNTIFS($C$2:$C$137,Board!$B$2,$AL$2:$AL$137,"&gt;"&amp;$AL121)+COUNTIFS($C$1:$C120,Board!$B$2,$AL$1:$AL120,$AL121)+1,"")</f>
        <v/>
      </c>
      <c r="AS121" s="0" t="str">
        <f aca="false">IFERROR(IF($D121=INDEX(Matches!$AD$5:$AD$23,MATCH($C121,Matches!$A$5:$A$23,0)),"A",IF($D121=INDEX(Matches!$AE$5:$AE$23,MATCH($C121,Matches!$A$5:$A$23,0)),"B","")),"")</f>
        <v>B</v>
      </c>
      <c r="AT121" s="10" t="n">
        <f aca="false">IF($AS121="","",IFERROR(IF($AS121="A",INDEX(Matches!$AI$5:$AI$23,MATCH($C121,Matches!$A$5:$A$23,0)),INDEX(Matches!$AJ$5:$AJ$23,MATCH($C121,Matches!$A$5:$A$23,0))),""))</f>
        <v>0.487018140566789</v>
      </c>
      <c r="AU121" s="10" t="n">
        <f aca="false">IF($AS121="","",IFERROR(IF(INDEX(Matches!$AP$5:$AP$23,MATCH($C121,Matches!$A$5:$A$23,0))="","",IF($AS121="A",INDEX(Matches!$AP$5:$AP$23,MATCH($C121,Matches!$A$5:$A$23,0)),1-INDEX(Matches!$AP$5:$AP$23,MATCH($C121,Matches!$A$5:$A$23,0)))),""))</f>
        <v>0.453897758533856</v>
      </c>
      <c r="AV121" s="13" t="n">
        <f aca="false">IF(OR($AU121="",$AT121=""),1,((Config!$B$14*$AU121+Config!$B$15*(1-$AU121))/(Config!$B$14*$AT121+Config!$B$15*(1-$AT121)))^Config!$B$13)</f>
        <v>0.970055684533188</v>
      </c>
      <c r="AW121" s="10" t="n">
        <f aca="false">IF($AS121="","",IFERROR(IF(INDEX(Matches!$AV$5:$AV$23,MATCH($C121,Matches!$A$5:$A$23,0))="","",IF($AS121="A",INDEX(Matches!$AV$5:$AV$23,MATCH($C121,Matches!$A$5:$A$23,0)),1-INDEX(Matches!$AV$5:$AV$23,MATCH($C121,Matches!$A$5:$A$23,0)))),""))</f>
        <v>0.455378365466649</v>
      </c>
      <c r="AX121" s="13" t="n">
        <f aca="false">IF(OR($AW121="",$AT121=""),1,((Config!$B$14*$AW121+Config!$B$15*(1-$AW121))/(Config!$B$14*$AT121+Config!$B$15*(1-$AT121)))^Config!$B$13)</f>
        <v>0.971394309221569</v>
      </c>
      <c r="AY121" s="10" t="n">
        <f aca="false">IF($AS121="","",IFERROR(IF(INDEX(Matches!$BB$5:$BB$23,MATCH($C121,Matches!$A$5:$A$23,0))="","",IF($AS121="A",INDEX(Matches!$BB$5:$BB$23,MATCH($C121,Matches!$A$5:$A$23,0)),1-INDEX(Matches!$BB$5:$BB$23,MATCH($C121,Matches!$A$5:$A$23,0)))),""))</f>
        <v>0.428288945581688</v>
      </c>
      <c r="AZ121" s="13" t="n">
        <f aca="false">IF(OR($AY121="",$AT121=""),1,((Config!$B$14*$AY121+Config!$B$15*(1-$AY121))/(Config!$B$14*$AT121+Config!$B$15*(1-$AT121)))^Config!$B$13)</f>
        <v>0.946902619058043</v>
      </c>
      <c r="BA121" s="17" t="n">
        <f aca="false">IF(V121="","",V121*$AV121)</f>
        <v>13.1574472827344</v>
      </c>
      <c r="BB121" s="17" t="n">
        <f aca="false">IF(AC121="","",AC121*$AX121)</f>
        <v>12.577095438836</v>
      </c>
      <c r="BC121" s="17" t="n">
        <f aca="false">IF(AJ121="","",AJ121*$AZ121)</f>
        <v>13.6131928480189</v>
      </c>
      <c r="BD121" s="17" t="n">
        <f aca="false">N(BA121)+N(BB121)</f>
        <v>25.7345427215703</v>
      </c>
      <c r="BE121" s="17" t="n">
        <f aca="false">BD121+N($M121)*N(BC121)</f>
        <v>32.0211151787854</v>
      </c>
      <c r="BF121" s="17" t="n">
        <f aca="false">IF(W121="","",W121*$AV121)</f>
        <v>8.01946411882658</v>
      </c>
      <c r="BG121" s="17" t="n">
        <f aca="false">IF(AD121="","",AD121*$AX121)</f>
        <v>7.2999558109577</v>
      </c>
      <c r="BH121" s="17" t="n">
        <f aca="false">IF(AK121="","",AK121*$AZ121)</f>
        <v>8.13161386121663</v>
      </c>
      <c r="BI121" s="17" t="n">
        <f aca="false">IF(BF121="","",N(BF121)+N(BG121))</f>
        <v>15.3194199297843</v>
      </c>
      <c r="BJ121" s="17" t="n">
        <f aca="false">IF(BI121="","",BI121+N($M121)*N(BH121))</f>
        <v>19.0745992108941</v>
      </c>
      <c r="BK121" s="13" t="n">
        <f aca="false">IFERROR(BD121/AL121,1)</f>
        <v>0.97070944165092</v>
      </c>
    </row>
    <row r="122" customFormat="false" ht="15" hidden="false" customHeight="false" outlineLevel="0" collapsed="false">
      <c r="A122" s="0" t="s">
        <v>1571</v>
      </c>
      <c r="B122" s="0" t="s">
        <v>1139</v>
      </c>
      <c r="C122" s="0" t="s">
        <v>1161</v>
      </c>
      <c r="D122" s="0" t="s">
        <v>1166</v>
      </c>
      <c r="E122" s="0" t="s">
        <v>1570</v>
      </c>
      <c r="F122" s="0" t="s">
        <v>1779</v>
      </c>
      <c r="G122" s="0" t="str">
        <f aca="false">IFERROR(IF(INDEX(Matches!$W$5:$W$23,MATCH($C122,Matches!$A$5:$A$23,0))="","",INDEX(Matches!$W$5:$W$23,MATCH($C122,Matches!$A$5:$A$23,0))),"")</f>
        <v>Dust2</v>
      </c>
      <c r="H122" s="0" t="str">
        <f aca="false">IFERROR(IF(INDEX(Matches!$X$5:$X$23,MATCH($C122,Matches!$A$5:$A$23,0))="","",INDEX(Matches!$X$5:$X$23,MATCH($C122,Matches!$A$5:$A$23,0))),"")</f>
        <v>Mirage</v>
      </c>
      <c r="I122" s="0" t="str">
        <f aca="false">IFERROR(IF(INDEX(Matches!$Y$5:$Y$23,MATCH($C122,Matches!$A$5:$A$23,0))="","",INDEX(Matches!$Y$5:$Y$23,MATCH($C122,Matches!$A$5:$A$23,0))),"")</f>
        <v>Inferno</v>
      </c>
      <c r="J122" s="11" t="n">
        <f aca="false">IFERROR(IF(INDEX(Matches!$Z$5:$Z$23,MATCH($C122,Matches!$A$5:$A$23,0))="","",INDEX(Matches!$Z$5:$Z$23,MATCH($C122,Matches!$A$5:$A$23,0))),"")</f>
        <v>21.36</v>
      </c>
      <c r="K122" s="11" t="n">
        <f aca="false">IFERROR(IF(INDEX(Matches!$AA$5:$AA$23,MATCH($C122,Matches!$A$5:$A$23,0))="","",INDEX(Matches!$AA$5:$AA$23,MATCH($C122,Matches!$A$5:$A$23,0))),"")</f>
        <v>21.11</v>
      </c>
      <c r="L122" s="11" t="n">
        <f aca="false">IFERROR(IF(INDEX(Matches!$AB$5:$AB$23,MATCH($C122,Matches!$A$5:$A$23,0))="","",INDEX(Matches!$AB$5:$AB$23,MATCH($C122,Matches!$A$5:$A$23,0))),"")</f>
        <v>21.22</v>
      </c>
      <c r="M122" s="10" t="n">
        <f aca="false">IFERROR(IF(INDEX(Matches!$AC$5:$AC$23,MATCH($C122,Matches!$A$5:$A$23,0))="","",INDEX(Matches!$AC$5:$AC$23,MATCH($C122,Matches!$A$5:$A$23,0))),"")</f>
        <v>0.4618</v>
      </c>
      <c r="N122" s="9" t="n">
        <f aca="false">IFERROR(INDEX(Players!$F$2:$F$137,MATCH($F122,Players!$A$2:$A$137,0)),0)</f>
        <v>36</v>
      </c>
      <c r="O122" s="13" t="n">
        <f aca="false">IFERROR(1/(1/INDEX(Players!$H$2:$H$137,MATCH($F122,Players!$A$2:$A$137,0))),"")</f>
        <v>0.64</v>
      </c>
      <c r="P122" s="10" t="n">
        <f aca="false">IFERROR(1/(1/INDEX(Players!$I$2:$I$137,MATCH($F122,Players!$A$2:$A$137,0))),"")</f>
        <v>0.451</v>
      </c>
      <c r="Q122" s="9" t="n">
        <f aca="false">IF($G122="",0,SUMIFS(Map_Stats!$F$2:$F$850,Map_Stats!$A$2:$A$850,$F122&amp;"|"&amp;$G122))</f>
        <v>5</v>
      </c>
      <c r="R122" s="13" t="n">
        <f aca="false">IF($G122="","",IFERROR(1/(1/INDEX(Map_Stats!$K$2:$K$850,MATCH($F122&amp;"|"&amp;$G122,Map_Stats!$A$2:$A$850,0))),$O122))</f>
        <v>0.61</v>
      </c>
      <c r="S122" s="10" t="n">
        <f aca="false">IF(OR($G122="",$P122=""),"",IFERROR(1/(1/INDEX(Map_Stats!$I$2:$I$850,MATCH($F122&amp;"|"&amp;$G122,Map_Stats!$A$2:$A$850,0))),$P122))</f>
        <v>0.481</v>
      </c>
      <c r="T122" s="13" t="n">
        <f aca="false">IF(OR($G122="",R122=""),"",IF($O122="",R122,(Q122*R122+Config!$B$4*$O122)/(Q122+Config!$B$4)))</f>
        <v>0.625</v>
      </c>
      <c r="U122" s="10" t="n">
        <f aca="false">IF(S122="","",(Q122*S122+Config!$B$4*$P122)/(Q122+Config!$B$4))</f>
        <v>0.466</v>
      </c>
      <c r="V122" s="17" t="n">
        <f aca="false">IF(OR(T122="",$J122=""),"",T122*$J122*($J122/Config!$B$10)^Config!$B$9)</f>
        <v>13.35</v>
      </c>
      <c r="W122" s="17" t="n">
        <f aca="false">IF(OR(V122="",U122=""),"",V122*U122)</f>
        <v>6.2211</v>
      </c>
      <c r="X122" s="9" t="n">
        <f aca="false">IF($H122="",0,SUMIFS(Map_Stats!$F$2:$F$850,Map_Stats!$A$2:$A$850,$F122&amp;"|"&amp;$H122))</f>
        <v>7</v>
      </c>
      <c r="Y122" s="13" t="n">
        <f aca="false">IF($H122="","",IFERROR(1/(1/INDEX(Map_Stats!$K$2:$K$850,MATCH($F122&amp;"|"&amp;$H122,Map_Stats!$A$2:$A$850,0))),$O122))</f>
        <v>0.59</v>
      </c>
      <c r="Z122" s="10" t="n">
        <f aca="false">IF(OR($H122="",$P122=""),"",IFERROR(1/(1/INDEX(Map_Stats!$I$2:$I$850,MATCH($F122&amp;"|"&amp;$H122,Map_Stats!$A$2:$A$850,0))),$P122))</f>
        <v>0.395</v>
      </c>
      <c r="AA122" s="13" t="n">
        <f aca="false">IF(OR($H122="",Y122=""),"",IF($O122="",Y122,(X122*Y122+Config!$B$4*$O122)/(X122+Config!$B$4)))</f>
        <v>0.610833333333333</v>
      </c>
      <c r="AB122" s="10" t="n">
        <f aca="false">IF(Z122="","",(X122*Z122+Config!$B$4*$P122)/(X122+Config!$B$4))</f>
        <v>0.418333333333333</v>
      </c>
      <c r="AC122" s="17" t="n">
        <f aca="false">IF(OR(AA122="",$K122=""),"",AA122*$K122*($K122/Config!$B$10)^Config!$B$9)</f>
        <v>12.8946916666667</v>
      </c>
      <c r="AD122" s="17" t="n">
        <f aca="false">IF(OR(AC122="",AB122=""),"",AC122*AB122)</f>
        <v>5.39427934722222</v>
      </c>
      <c r="AE122" s="9" t="n">
        <f aca="false">IF($I122="",0,SUMIFS(Map_Stats!$F$2:$F$850,Map_Stats!$A$2:$A$850,$F122&amp;"|"&amp;$I122))</f>
        <v>7</v>
      </c>
      <c r="AF122" s="13" t="n">
        <f aca="false">IF($I122="","",IFERROR(1/(1/INDEX(Map_Stats!$K$2:$K$850,MATCH($F122&amp;"|"&amp;$I122,Map_Stats!$A$2:$A$850,0))),$O122))</f>
        <v>0.69</v>
      </c>
      <c r="AG122" s="10" t="n">
        <f aca="false">IF(OR($I122="",$P122=""),"",IFERROR(1/(1/INDEX(Map_Stats!$I$2:$I$850,MATCH($F122&amp;"|"&amp;$I122,Map_Stats!$A$2:$A$850,0))),$P122))</f>
        <v>0.521</v>
      </c>
      <c r="AH122" s="13" t="n">
        <f aca="false">IF(OR($I122="",AF122=""),"",IF($O122="",AF122,(AE122*AF122+Config!$B$4*$O122)/(AE122+Config!$B$4)))</f>
        <v>0.669166666666667</v>
      </c>
      <c r="AI122" s="10" t="n">
        <f aca="false">IF(AG122="","",(AE122*AG122+Config!$B$4*$P122)/(AE122+Config!$B$4))</f>
        <v>0.491833333333333</v>
      </c>
      <c r="AJ122" s="17" t="n">
        <f aca="false">IF(OR(AH122="",$L122=""),"",AH122*$L122*($L122/Config!$B$10)^Config!$B$9)</f>
        <v>14.1997166666667</v>
      </c>
      <c r="AK122" s="17" t="n">
        <f aca="false">IF(OR(AJ122="",AI122=""),"",AJ122*AI122)</f>
        <v>6.98389398055556</v>
      </c>
      <c r="AL122" s="17" t="n">
        <f aca="false">N(V122)+N(AC122)</f>
        <v>26.2446916666667</v>
      </c>
      <c r="AM122" s="17" t="n">
        <f aca="false">AL122+N($M122)*N(AJ122)</f>
        <v>32.8021208233333</v>
      </c>
      <c r="AN122" s="17" t="n">
        <f aca="false">IF(W122="","",N(W122)+N(AD122))</f>
        <v>11.6153793472222</v>
      </c>
      <c r="AO122" s="17" t="n">
        <f aca="false">IF(AN122="","",AN122+N($M122)*N(AK122))</f>
        <v>14.8405415874428</v>
      </c>
      <c r="AP122" s="10" t="n">
        <f aca="false">IFERROR(AN122/AL122,"")</f>
        <v>0.442580141338635</v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0" t="str">
        <f aca="false">IF($C122=Board!$B$2,COUNTIFS($C$2:$C$137,Board!$B$2,$AL$2:$AL$137,"&gt;"&amp;$AL122)+COUNTIFS($C$1:$C121,Board!$B$2,$AL$1:$AL121,$AL122)+1,"")</f>
        <v/>
      </c>
      <c r="AS122" s="0" t="str">
        <f aca="false">IFERROR(IF($D122=INDEX(Matches!$AD$5:$AD$23,MATCH($C122,Matches!$A$5:$A$23,0)),"A",IF($D122=INDEX(Matches!$AE$5:$AE$23,MATCH($C122,Matches!$A$5:$A$23,0)),"B","")),"")</f>
        <v>B</v>
      </c>
      <c r="AT122" s="10" t="n">
        <f aca="false">IF($AS122="","",IFERROR(IF($AS122="A",INDEX(Matches!$AI$5:$AI$23,MATCH($C122,Matches!$A$5:$A$23,0)),INDEX(Matches!$AJ$5:$AJ$23,MATCH($C122,Matches!$A$5:$A$23,0))),""))</f>
        <v>0.487018140566789</v>
      </c>
      <c r="AU122" s="10" t="n">
        <f aca="false">IF($AS122="","",IFERROR(IF(INDEX(Matches!$AP$5:$AP$23,MATCH($C122,Matches!$A$5:$A$23,0))="","",IF($AS122="A",INDEX(Matches!$AP$5:$AP$23,MATCH($C122,Matches!$A$5:$A$23,0)),1-INDEX(Matches!$AP$5:$AP$23,MATCH($C122,Matches!$A$5:$A$23,0)))),""))</f>
        <v>0.453897758533856</v>
      </c>
      <c r="AV122" s="13" t="n">
        <f aca="false">IF(OR($AU122="",$AT122=""),1,((Config!$B$14*$AU122+Config!$B$15*(1-$AU122))/(Config!$B$14*$AT122+Config!$B$15*(1-$AT122)))^Config!$B$13)</f>
        <v>0.970055684533188</v>
      </c>
      <c r="AW122" s="10" t="n">
        <f aca="false">IF($AS122="","",IFERROR(IF(INDEX(Matches!$AV$5:$AV$23,MATCH($C122,Matches!$A$5:$A$23,0))="","",IF($AS122="A",INDEX(Matches!$AV$5:$AV$23,MATCH($C122,Matches!$A$5:$A$23,0)),1-INDEX(Matches!$AV$5:$AV$23,MATCH($C122,Matches!$A$5:$A$23,0)))),""))</f>
        <v>0.455378365466649</v>
      </c>
      <c r="AX122" s="13" t="n">
        <f aca="false">IF(OR($AW122="",$AT122=""),1,((Config!$B$14*$AW122+Config!$B$15*(1-$AW122))/(Config!$B$14*$AT122+Config!$B$15*(1-$AT122)))^Config!$B$13)</f>
        <v>0.971394309221569</v>
      </c>
      <c r="AY122" s="10" t="n">
        <f aca="false">IF($AS122="","",IFERROR(IF(INDEX(Matches!$BB$5:$BB$23,MATCH($C122,Matches!$A$5:$A$23,0))="","",IF($AS122="A",INDEX(Matches!$BB$5:$BB$23,MATCH($C122,Matches!$A$5:$A$23,0)),1-INDEX(Matches!$BB$5:$BB$23,MATCH($C122,Matches!$A$5:$A$23,0)))),""))</f>
        <v>0.428288945581688</v>
      </c>
      <c r="AZ122" s="13" t="n">
        <f aca="false">IF(OR($AY122="",$AT122=""),1,((Config!$B$14*$AY122+Config!$B$15*(1-$AY122))/(Config!$B$14*$AT122+Config!$B$15*(1-$AT122)))^Config!$B$13)</f>
        <v>0.946902619058043</v>
      </c>
      <c r="BA122" s="17" t="n">
        <f aca="false">IF(V122="","",V122*$AV122)</f>
        <v>12.9502433885181</v>
      </c>
      <c r="BB122" s="17" t="n">
        <f aca="false">IF(AC122="","",AC122*$AX122)</f>
        <v>12.5258301041668</v>
      </c>
      <c r="BC122" s="17" t="n">
        <f aca="false">IF(AJ122="","",AJ122*$AZ122)</f>
        <v>13.4457489015488</v>
      </c>
      <c r="BD122" s="17" t="n">
        <f aca="false">N(BA122)+N(BB122)</f>
        <v>25.4760734926848</v>
      </c>
      <c r="BE122" s="17" t="n">
        <f aca="false">BD122+N($M122)*N(BC122)</f>
        <v>31.6853203354201</v>
      </c>
      <c r="BF122" s="17" t="n">
        <f aca="false">IF(W122="","",W122*$AV122)</f>
        <v>6.03481341904942</v>
      </c>
      <c r="BG122" s="17" t="n">
        <f aca="false">IF(AD122="","",AD122*$AX122)</f>
        <v>5.23997226024311</v>
      </c>
      <c r="BH122" s="17" t="n">
        <f aca="false">IF(AK122="","",AK122*$AZ122)</f>
        <v>6.61306750141176</v>
      </c>
      <c r="BI122" s="17" t="n">
        <f aca="false">IF(BF122="","",N(BF122)+N(BG122))</f>
        <v>11.2747856792925</v>
      </c>
      <c r="BJ122" s="17" t="n">
        <f aca="false">IF(BI122="","",BI122+N($M122)*N(BH122))</f>
        <v>14.3287002514445</v>
      </c>
      <c r="BK122" s="13" t="n">
        <f aca="false">IFERROR(BD122/AL122,1)</f>
        <v>0.97071338525352</v>
      </c>
    </row>
    <row r="123" customFormat="false" ht="15" hidden="false" customHeight="false" outlineLevel="0" collapsed="false">
      <c r="A123" s="0" t="s">
        <v>1574</v>
      </c>
      <c r="B123" s="0" t="s">
        <v>1139</v>
      </c>
      <c r="C123" s="0" t="s">
        <v>1161</v>
      </c>
      <c r="D123" s="0" t="s">
        <v>1166</v>
      </c>
      <c r="E123" s="0" t="s">
        <v>1572</v>
      </c>
      <c r="F123" s="0" t="s">
        <v>1780</v>
      </c>
      <c r="G123" s="0" t="str">
        <f aca="false">IFERROR(IF(INDEX(Matches!$W$5:$W$23,MATCH($C123,Matches!$A$5:$A$23,0))="","",INDEX(Matches!$W$5:$W$23,MATCH($C123,Matches!$A$5:$A$23,0))),"")</f>
        <v>Dust2</v>
      </c>
      <c r="H123" s="0" t="str">
        <f aca="false">IFERROR(IF(INDEX(Matches!$X$5:$X$23,MATCH($C123,Matches!$A$5:$A$23,0))="","",INDEX(Matches!$X$5:$X$23,MATCH($C123,Matches!$A$5:$A$23,0))),"")</f>
        <v>Mirage</v>
      </c>
      <c r="I123" s="0" t="str">
        <f aca="false">IFERROR(IF(INDEX(Matches!$Y$5:$Y$23,MATCH($C123,Matches!$A$5:$A$23,0))="","",INDEX(Matches!$Y$5:$Y$23,MATCH($C123,Matches!$A$5:$A$23,0))),"")</f>
        <v>Inferno</v>
      </c>
      <c r="J123" s="11" t="n">
        <f aca="false">IFERROR(IF(INDEX(Matches!$Z$5:$Z$23,MATCH($C123,Matches!$A$5:$A$23,0))="","",INDEX(Matches!$Z$5:$Z$23,MATCH($C123,Matches!$A$5:$A$23,0))),"")</f>
        <v>21.36</v>
      </c>
      <c r="K123" s="11" t="n">
        <f aca="false">IFERROR(IF(INDEX(Matches!$AA$5:$AA$23,MATCH($C123,Matches!$A$5:$A$23,0))="","",INDEX(Matches!$AA$5:$AA$23,MATCH($C123,Matches!$A$5:$A$23,0))),"")</f>
        <v>21.11</v>
      </c>
      <c r="L123" s="11" t="n">
        <f aca="false">IFERROR(IF(INDEX(Matches!$AB$5:$AB$23,MATCH($C123,Matches!$A$5:$A$23,0))="","",INDEX(Matches!$AB$5:$AB$23,MATCH($C123,Matches!$A$5:$A$23,0))),"")</f>
        <v>21.22</v>
      </c>
      <c r="M123" s="10" t="n">
        <f aca="false">IFERROR(IF(INDEX(Matches!$AC$5:$AC$23,MATCH($C123,Matches!$A$5:$A$23,0))="","",INDEX(Matches!$AC$5:$AC$23,MATCH($C123,Matches!$A$5:$A$23,0))),"")</f>
        <v>0.4618</v>
      </c>
      <c r="N123" s="9" t="n">
        <f aca="false">IFERROR(INDEX(Players!$F$2:$F$137,MATCH($F123,Players!$A$2:$A$137,0)),0)</f>
        <v>36</v>
      </c>
      <c r="O123" s="13" t="n">
        <f aca="false">IFERROR(1/(1/INDEX(Players!$H$2:$H$137,MATCH($F123,Players!$A$2:$A$137,0))),"")</f>
        <v>0.68</v>
      </c>
      <c r="P123" s="10" t="n">
        <f aca="false">IFERROR(1/(1/INDEX(Players!$I$2:$I$137,MATCH($F123,Players!$A$2:$A$137,0))),"")</f>
        <v>0.52</v>
      </c>
      <c r="Q123" s="9" t="n">
        <f aca="false">IF($G123="",0,SUMIFS(Map_Stats!$F$2:$F$850,Map_Stats!$A$2:$A$850,$F123&amp;"|"&amp;$G123))</f>
        <v>5</v>
      </c>
      <c r="R123" s="13" t="n">
        <f aca="false">IF($G123="","",IFERROR(1/(1/INDEX(Map_Stats!$K$2:$K$850,MATCH($F123&amp;"|"&amp;$G123,Map_Stats!$A$2:$A$850,0))),$O123))</f>
        <v>0.69</v>
      </c>
      <c r="S123" s="10" t="n">
        <f aca="false">IF(OR($G123="",$P123=""),"",IFERROR(1/(1/INDEX(Map_Stats!$I$2:$I$850,MATCH($F123&amp;"|"&amp;$G123,Map_Stats!$A$2:$A$850,0))),$P123))</f>
        <v>0.483</v>
      </c>
      <c r="T123" s="13" t="n">
        <f aca="false">IF(OR($G123="",R123=""),"",IF($O123="",R123,(Q123*R123+Config!$B$4*$O123)/(Q123+Config!$B$4)))</f>
        <v>0.685</v>
      </c>
      <c r="U123" s="10" t="n">
        <f aca="false">IF(S123="","",(Q123*S123+Config!$B$4*$P123)/(Q123+Config!$B$4))</f>
        <v>0.5015</v>
      </c>
      <c r="V123" s="17" t="n">
        <f aca="false">IF(OR(T123="",$J123=""),"",T123*$J123*($J123/Config!$B$10)^Config!$B$9)</f>
        <v>14.6316</v>
      </c>
      <c r="W123" s="17" t="n">
        <f aca="false">IF(OR(V123="",U123=""),"",V123*U123)</f>
        <v>7.3377474</v>
      </c>
      <c r="X123" s="9" t="n">
        <f aca="false">IF($H123="",0,SUMIFS(Map_Stats!$F$2:$F$850,Map_Stats!$A$2:$A$850,$F123&amp;"|"&amp;$H123))</f>
        <v>7</v>
      </c>
      <c r="Y123" s="13" t="n">
        <f aca="false">IF($H123="","",IFERROR(1/(1/INDEX(Map_Stats!$K$2:$K$850,MATCH($F123&amp;"|"&amp;$H123,Map_Stats!$A$2:$A$850,0))),$O123))</f>
        <v>0.64</v>
      </c>
      <c r="Z123" s="10" t="n">
        <f aca="false">IF(OR($H123="",$P123=""),"",IFERROR(1/(1/INDEX(Map_Stats!$I$2:$I$850,MATCH($F123&amp;"|"&amp;$H123,Map_Stats!$A$2:$A$850,0))),$P123))</f>
        <v>0.521</v>
      </c>
      <c r="AA123" s="13" t="n">
        <f aca="false">IF(OR($H123="",Y123=""),"",IF($O123="",Y123,(X123*Y123+Config!$B$4*$O123)/(X123+Config!$B$4)))</f>
        <v>0.656666666666667</v>
      </c>
      <c r="AB123" s="10" t="n">
        <f aca="false">IF(Z123="","",(X123*Z123+Config!$B$4*$P123)/(X123+Config!$B$4))</f>
        <v>0.520583333333333</v>
      </c>
      <c r="AC123" s="17" t="n">
        <f aca="false">IF(OR(AA123="",$K123=""),"",AA123*$K123*($K123/Config!$B$10)^Config!$B$9)</f>
        <v>13.8622333333333</v>
      </c>
      <c r="AD123" s="17" t="n">
        <f aca="false">IF(OR(AC123="",AB123=""),"",AC123*AB123)</f>
        <v>7.21644763611111</v>
      </c>
      <c r="AE123" s="9" t="n">
        <f aca="false">IF($I123="",0,SUMIFS(Map_Stats!$F$2:$F$850,Map_Stats!$A$2:$A$850,$F123&amp;"|"&amp;$I123))</f>
        <v>7</v>
      </c>
      <c r="AF123" s="13" t="n">
        <f aca="false">IF($I123="","",IFERROR(1/(1/INDEX(Map_Stats!$K$2:$K$850,MATCH($F123&amp;"|"&amp;$I123,Map_Stats!$A$2:$A$850,0))),$O123))</f>
        <v>0.45</v>
      </c>
      <c r="AG123" s="10" t="n">
        <f aca="false">IF(OR($I123="",$P123=""),"",IFERROR(1/(1/INDEX(Map_Stats!$I$2:$I$850,MATCH($F123&amp;"|"&amp;$I123,Map_Stats!$A$2:$A$850,0))),$P123))</f>
        <v>0.5</v>
      </c>
      <c r="AH123" s="13" t="n">
        <f aca="false">IF(OR($I123="",AF123=""),"",IF($O123="",AF123,(AE123*AF123+Config!$B$4*$O123)/(AE123+Config!$B$4)))</f>
        <v>0.545833333333333</v>
      </c>
      <c r="AI123" s="10" t="n">
        <f aca="false">IF(AG123="","",(AE123*AG123+Config!$B$4*$P123)/(AE123+Config!$B$4))</f>
        <v>0.508333333333333</v>
      </c>
      <c r="AJ123" s="17" t="n">
        <f aca="false">IF(OR(AH123="",$L123=""),"",AH123*$L123*($L123/Config!$B$10)^Config!$B$9)</f>
        <v>11.5825833333333</v>
      </c>
      <c r="AK123" s="17" t="n">
        <f aca="false">IF(OR(AJ123="",AI123=""),"",AJ123*AI123)</f>
        <v>5.88781319444444</v>
      </c>
      <c r="AL123" s="17" t="n">
        <f aca="false">N(V123)+N(AC123)</f>
        <v>28.4938333333333</v>
      </c>
      <c r="AM123" s="17" t="n">
        <f aca="false">AL123+N($M123)*N(AJ123)</f>
        <v>33.8426703166667</v>
      </c>
      <c r="AN123" s="17" t="n">
        <f aca="false">IF(W123="","",N(W123)+N(AD123))</f>
        <v>14.5541950361111</v>
      </c>
      <c r="AO123" s="17" t="n">
        <f aca="false">IF(AN123="","",AN123+N($M123)*N(AK123))</f>
        <v>17.2731871693056</v>
      </c>
      <c r="AP123" s="10" t="n">
        <f aca="false">IFERROR(AN123/AL123,"")</f>
        <v>0.510784030560219</v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IF($C123=Board!$B$2,COUNTIFS($C$2:$C$137,Board!$B$2,$AL$2:$AL$137,"&gt;"&amp;$AL123)+COUNTIFS($C$1:$C122,Board!$B$2,$AL$1:$AL122,$AL123)+1,"")</f>
        <v/>
      </c>
      <c r="AS123" s="0" t="str">
        <f aca="false">IFERROR(IF($D123=INDEX(Matches!$AD$5:$AD$23,MATCH($C123,Matches!$A$5:$A$23,0)),"A",IF($D123=INDEX(Matches!$AE$5:$AE$23,MATCH($C123,Matches!$A$5:$A$23,0)),"B","")),"")</f>
        <v>B</v>
      </c>
      <c r="AT123" s="10" t="n">
        <f aca="false">IF($AS123="","",IFERROR(IF($AS123="A",INDEX(Matches!$AI$5:$AI$23,MATCH($C123,Matches!$A$5:$A$23,0)),INDEX(Matches!$AJ$5:$AJ$23,MATCH($C123,Matches!$A$5:$A$23,0))),""))</f>
        <v>0.487018140566789</v>
      </c>
      <c r="AU123" s="10" t="n">
        <f aca="false">IF($AS123="","",IFERROR(IF(INDEX(Matches!$AP$5:$AP$23,MATCH($C123,Matches!$A$5:$A$23,0))="","",IF($AS123="A",INDEX(Matches!$AP$5:$AP$23,MATCH($C123,Matches!$A$5:$A$23,0)),1-INDEX(Matches!$AP$5:$AP$23,MATCH($C123,Matches!$A$5:$A$23,0)))),""))</f>
        <v>0.453897758533856</v>
      </c>
      <c r="AV123" s="13" t="n">
        <f aca="false">IF(OR($AU123="",$AT123=""),1,((Config!$B$14*$AU123+Config!$B$15*(1-$AU123))/(Config!$B$14*$AT123+Config!$B$15*(1-$AT123)))^Config!$B$13)</f>
        <v>0.970055684533188</v>
      </c>
      <c r="AW123" s="10" t="n">
        <f aca="false">IF($AS123="","",IFERROR(IF(INDEX(Matches!$AV$5:$AV$23,MATCH($C123,Matches!$A$5:$A$23,0))="","",IF($AS123="A",INDEX(Matches!$AV$5:$AV$23,MATCH($C123,Matches!$A$5:$A$23,0)),1-INDEX(Matches!$AV$5:$AV$23,MATCH($C123,Matches!$A$5:$A$23,0)))),""))</f>
        <v>0.455378365466649</v>
      </c>
      <c r="AX123" s="13" t="n">
        <f aca="false">IF(OR($AW123="",$AT123=""),1,((Config!$B$14*$AW123+Config!$B$15*(1-$AW123))/(Config!$B$14*$AT123+Config!$B$15*(1-$AT123)))^Config!$B$13)</f>
        <v>0.971394309221569</v>
      </c>
      <c r="AY123" s="10" t="n">
        <f aca="false">IF($AS123="","",IFERROR(IF(INDEX(Matches!$BB$5:$BB$23,MATCH($C123,Matches!$A$5:$A$23,0))="","",IF($AS123="A",INDEX(Matches!$BB$5:$BB$23,MATCH($C123,Matches!$A$5:$A$23,0)),1-INDEX(Matches!$BB$5:$BB$23,MATCH($C123,Matches!$A$5:$A$23,0)))),""))</f>
        <v>0.428288945581688</v>
      </c>
      <c r="AZ123" s="13" t="n">
        <f aca="false">IF(OR($AY123="",$AT123=""),1,((Config!$B$14*$AY123+Config!$B$15*(1-$AY123))/(Config!$B$14*$AT123+Config!$B$15*(1-$AT123)))^Config!$B$13)</f>
        <v>0.946902619058043</v>
      </c>
      <c r="BA123" s="17" t="n">
        <f aca="false">IF(V123="","",V123*$AV123)</f>
        <v>14.1934667538158</v>
      </c>
      <c r="BB123" s="17" t="n">
        <f aca="false">IF(AC123="","",AC123*$AX123)</f>
        <v>13.4656945731015</v>
      </c>
      <c r="BC123" s="17" t="n">
        <f aca="false">IF(AJ123="","",AJ123*$AZ123)</f>
        <v>10.9675784937914</v>
      </c>
      <c r="BD123" s="17" t="n">
        <f aca="false">N(BA123)+N(BB123)</f>
        <v>27.6591613269173</v>
      </c>
      <c r="BE123" s="17" t="n">
        <f aca="false">BD123+N($M123)*N(BC123)</f>
        <v>32.7239890753502</v>
      </c>
      <c r="BF123" s="17" t="n">
        <f aca="false">IF(W123="","",W123*$AV123)</f>
        <v>7.11802357703862</v>
      </c>
      <c r="BG123" s="17" t="n">
        <f aca="false">IF(AD123="","",AD123*$AX123)</f>
        <v>7.01001616651378</v>
      </c>
      <c r="BH123" s="17" t="n">
        <f aca="false">IF(AK123="","",AK123*$AZ123)</f>
        <v>5.57518573434395</v>
      </c>
      <c r="BI123" s="17" t="n">
        <f aca="false">IF(BF123="","",N(BF123)+N(BG123))</f>
        <v>14.1280397435524</v>
      </c>
      <c r="BJ123" s="17" t="n">
        <f aca="false">IF(BI123="","",BI123+N($M123)*N(BH123))</f>
        <v>16.7026605156724</v>
      </c>
      <c r="BK123" s="13" t="n">
        <f aca="false">IFERROR(BD123/AL123,1)</f>
        <v>0.970706924665009</v>
      </c>
    </row>
    <row r="124" customFormat="false" ht="15" hidden="false" customHeight="false" outlineLevel="0" collapsed="false">
      <c r="A124" s="0" t="s">
        <v>1578</v>
      </c>
      <c r="B124" s="0" t="s">
        <v>1139</v>
      </c>
      <c r="C124" s="0" t="s">
        <v>1161</v>
      </c>
      <c r="D124" s="0" t="s">
        <v>1166</v>
      </c>
      <c r="E124" s="0" t="s">
        <v>1576</v>
      </c>
      <c r="F124" s="0" t="s">
        <v>1781</v>
      </c>
      <c r="G124" s="0" t="str">
        <f aca="false">IFERROR(IF(INDEX(Matches!$W$5:$W$23,MATCH($C124,Matches!$A$5:$A$23,0))="","",INDEX(Matches!$W$5:$W$23,MATCH($C124,Matches!$A$5:$A$23,0))),"")</f>
        <v>Dust2</v>
      </c>
      <c r="H124" s="0" t="str">
        <f aca="false">IFERROR(IF(INDEX(Matches!$X$5:$X$23,MATCH($C124,Matches!$A$5:$A$23,0))="","",INDEX(Matches!$X$5:$X$23,MATCH($C124,Matches!$A$5:$A$23,0))),"")</f>
        <v>Mirage</v>
      </c>
      <c r="I124" s="0" t="str">
        <f aca="false">IFERROR(IF(INDEX(Matches!$Y$5:$Y$23,MATCH($C124,Matches!$A$5:$A$23,0))="","",INDEX(Matches!$Y$5:$Y$23,MATCH($C124,Matches!$A$5:$A$23,0))),"")</f>
        <v>Inferno</v>
      </c>
      <c r="J124" s="11" t="n">
        <f aca="false">IFERROR(IF(INDEX(Matches!$Z$5:$Z$23,MATCH($C124,Matches!$A$5:$A$23,0))="","",INDEX(Matches!$Z$5:$Z$23,MATCH($C124,Matches!$A$5:$A$23,0))),"")</f>
        <v>21.36</v>
      </c>
      <c r="K124" s="11" t="n">
        <f aca="false">IFERROR(IF(INDEX(Matches!$AA$5:$AA$23,MATCH($C124,Matches!$A$5:$A$23,0))="","",INDEX(Matches!$AA$5:$AA$23,MATCH($C124,Matches!$A$5:$A$23,0))),"")</f>
        <v>21.11</v>
      </c>
      <c r="L124" s="11" t="n">
        <f aca="false">IFERROR(IF(INDEX(Matches!$AB$5:$AB$23,MATCH($C124,Matches!$A$5:$A$23,0))="","",INDEX(Matches!$AB$5:$AB$23,MATCH($C124,Matches!$A$5:$A$23,0))),"")</f>
        <v>21.22</v>
      </c>
      <c r="M124" s="10" t="n">
        <f aca="false">IFERROR(IF(INDEX(Matches!$AC$5:$AC$23,MATCH($C124,Matches!$A$5:$A$23,0))="","",INDEX(Matches!$AC$5:$AC$23,MATCH($C124,Matches!$A$5:$A$23,0))),"")</f>
        <v>0.4618</v>
      </c>
      <c r="N124" s="9" t="n">
        <f aca="false">IFERROR(INDEX(Players!$F$2:$F$137,MATCH($F124,Players!$A$2:$A$137,0)),0)</f>
        <v>36</v>
      </c>
      <c r="O124" s="13" t="n">
        <f aca="false">IFERROR(1/(1/INDEX(Players!$H$2:$H$137,MATCH($F124,Players!$A$2:$A$137,0))),"")</f>
        <v>0.77</v>
      </c>
      <c r="P124" s="10" t="n">
        <f aca="false">IFERROR(1/(1/INDEX(Players!$I$2:$I$137,MATCH($F124,Players!$A$2:$A$137,0))),"")</f>
        <v>0.382</v>
      </c>
      <c r="Q124" s="9" t="n">
        <f aca="false">IF($G124="",0,SUMIFS(Map_Stats!$F$2:$F$850,Map_Stats!$A$2:$A$850,$F124&amp;"|"&amp;$G124))</f>
        <v>5</v>
      </c>
      <c r="R124" s="13" t="n">
        <f aca="false">IF($G124="","",IFERROR(1/(1/INDEX(Map_Stats!$K$2:$K$850,MATCH($F124&amp;"|"&amp;$G124,Map_Stats!$A$2:$A$850,0))),$O124))</f>
        <v>0.85</v>
      </c>
      <c r="S124" s="10" t="n">
        <f aca="false">IF(OR($G124="",$P124=""),"",IFERROR(1/(1/INDEX(Map_Stats!$I$2:$I$850,MATCH($F124&amp;"|"&amp;$G124,Map_Stats!$A$2:$A$850,0))),$P124))</f>
        <v>0.38</v>
      </c>
      <c r="T124" s="13" t="n">
        <f aca="false">IF(OR($G124="",R124=""),"",IF($O124="",R124,(Q124*R124+Config!$B$4*$O124)/(Q124+Config!$B$4)))</f>
        <v>0.81</v>
      </c>
      <c r="U124" s="10" t="n">
        <f aca="false">IF(S124="","",(Q124*S124+Config!$B$4*$P124)/(Q124+Config!$B$4))</f>
        <v>0.381</v>
      </c>
      <c r="V124" s="17" t="n">
        <f aca="false">IF(OR(T124="",$J124=""),"",T124*$J124*($J124/Config!$B$10)^Config!$B$9)</f>
        <v>17.3016</v>
      </c>
      <c r="W124" s="17" t="n">
        <f aca="false">IF(OR(V124="",U124=""),"",V124*U124)</f>
        <v>6.5919096</v>
      </c>
      <c r="X124" s="9" t="n">
        <f aca="false">IF($H124="",0,SUMIFS(Map_Stats!$F$2:$F$850,Map_Stats!$A$2:$A$850,$F124&amp;"|"&amp;$H124))</f>
        <v>7</v>
      </c>
      <c r="Y124" s="13" t="n">
        <f aca="false">IF($H124="","",IFERROR(1/(1/INDEX(Map_Stats!$K$2:$K$850,MATCH($F124&amp;"|"&amp;$H124,Map_Stats!$A$2:$A$850,0))),$O124))</f>
        <v>0.7</v>
      </c>
      <c r="Z124" s="10" t="n">
        <f aca="false">IF(OR($H124="",$P124=""),"",IFERROR(1/(1/INDEX(Map_Stats!$I$2:$I$850,MATCH($F124&amp;"|"&amp;$H124,Map_Stats!$A$2:$A$850,0))),$P124))</f>
        <v>0.412</v>
      </c>
      <c r="AA124" s="13" t="n">
        <f aca="false">IF(OR($H124="",Y124=""),"",IF($O124="",Y124,(X124*Y124+Config!$B$4*$O124)/(X124+Config!$B$4)))</f>
        <v>0.729166666666667</v>
      </c>
      <c r="AB124" s="10" t="n">
        <f aca="false">IF(Z124="","",(X124*Z124+Config!$B$4*$P124)/(X124+Config!$B$4))</f>
        <v>0.3995</v>
      </c>
      <c r="AC124" s="17" t="n">
        <f aca="false">IF(OR(AA124="",$K124=""),"",AA124*$K124*($K124/Config!$B$10)^Config!$B$9)</f>
        <v>15.3927083333333</v>
      </c>
      <c r="AD124" s="17" t="n">
        <f aca="false">IF(OR(AC124="",AB124=""),"",AC124*AB124)</f>
        <v>6.14938697916667</v>
      </c>
      <c r="AE124" s="9" t="n">
        <f aca="false">IF($I124="",0,SUMIFS(Map_Stats!$F$2:$F$850,Map_Stats!$A$2:$A$850,$F124&amp;"|"&amp;$I124))</f>
        <v>7</v>
      </c>
      <c r="AF124" s="13" t="n">
        <f aca="false">IF($I124="","",IFERROR(1/(1/INDEX(Map_Stats!$K$2:$K$850,MATCH($F124&amp;"|"&amp;$I124,Map_Stats!$A$2:$A$850,0))),$O124))</f>
        <v>0.66</v>
      </c>
      <c r="AG124" s="10" t="n">
        <f aca="false">IF(OR($I124="",$P124=""),"",IFERROR(1/(1/INDEX(Map_Stats!$I$2:$I$850,MATCH($F124&amp;"|"&amp;$I124,Map_Stats!$A$2:$A$850,0))),$P124))</f>
        <v>0.389</v>
      </c>
      <c r="AH124" s="13" t="n">
        <f aca="false">IF(OR($I124="",AF124=""),"",IF($O124="",AF124,(AE124*AF124+Config!$B$4*$O124)/(AE124+Config!$B$4)))</f>
        <v>0.705833333333333</v>
      </c>
      <c r="AI124" s="10" t="n">
        <f aca="false">IF(AG124="","",(AE124*AG124+Config!$B$4*$P124)/(AE124+Config!$B$4))</f>
        <v>0.386083333333333</v>
      </c>
      <c r="AJ124" s="17" t="n">
        <f aca="false">IF(OR(AH124="",$L124=""),"",AH124*$L124*($L124/Config!$B$10)^Config!$B$9)</f>
        <v>14.9777833333333</v>
      </c>
      <c r="AK124" s="17" t="n">
        <f aca="false">IF(OR(AJ124="",AI124=""),"",AJ124*AI124)</f>
        <v>5.78267251527778</v>
      </c>
      <c r="AL124" s="17" t="n">
        <f aca="false">N(V124)+N(AC124)</f>
        <v>32.6943083333333</v>
      </c>
      <c r="AM124" s="17" t="n">
        <f aca="false">AL124+N($M124)*N(AJ124)</f>
        <v>39.6110486766667</v>
      </c>
      <c r="AN124" s="17" t="n">
        <f aca="false">IF(W124="","",N(W124)+N(AD124))</f>
        <v>12.7412965791667</v>
      </c>
      <c r="AO124" s="17" t="n">
        <f aca="false">IF(AN124="","",AN124+N($M124)*N(AK124))</f>
        <v>15.4117347467219</v>
      </c>
      <c r="AP124" s="10" t="n">
        <f aca="false">IFERROR(AN124/AL124,"")</f>
        <v>0.389709928996306</v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0" t="str">
        <f aca="false">IF($C124=Board!$B$2,COUNTIFS($C$2:$C$137,Board!$B$2,$AL$2:$AL$137,"&gt;"&amp;$AL124)+COUNTIFS($C$1:$C123,Board!$B$2,$AL$1:$AL123,$AL124)+1,"")</f>
        <v/>
      </c>
      <c r="AS124" s="0" t="str">
        <f aca="false">IFERROR(IF($D124=INDEX(Matches!$AD$5:$AD$23,MATCH($C124,Matches!$A$5:$A$23,0)),"A",IF($D124=INDEX(Matches!$AE$5:$AE$23,MATCH($C124,Matches!$A$5:$A$23,0)),"B","")),"")</f>
        <v>B</v>
      </c>
      <c r="AT124" s="10" t="n">
        <f aca="false">IF($AS124="","",IFERROR(IF($AS124="A",INDEX(Matches!$AI$5:$AI$23,MATCH($C124,Matches!$A$5:$A$23,0)),INDEX(Matches!$AJ$5:$AJ$23,MATCH($C124,Matches!$A$5:$A$23,0))),""))</f>
        <v>0.487018140566789</v>
      </c>
      <c r="AU124" s="10" t="n">
        <f aca="false">IF($AS124="","",IFERROR(IF(INDEX(Matches!$AP$5:$AP$23,MATCH($C124,Matches!$A$5:$A$23,0))="","",IF($AS124="A",INDEX(Matches!$AP$5:$AP$23,MATCH($C124,Matches!$A$5:$A$23,0)),1-INDEX(Matches!$AP$5:$AP$23,MATCH($C124,Matches!$A$5:$A$23,0)))),""))</f>
        <v>0.453897758533856</v>
      </c>
      <c r="AV124" s="13" t="n">
        <f aca="false">IF(OR($AU124="",$AT124=""),1,((Config!$B$14*$AU124+Config!$B$15*(1-$AU124))/(Config!$B$14*$AT124+Config!$B$15*(1-$AT124)))^Config!$B$13)</f>
        <v>0.970055684533188</v>
      </c>
      <c r="AW124" s="10" t="n">
        <f aca="false">IF($AS124="","",IFERROR(IF(INDEX(Matches!$AV$5:$AV$23,MATCH($C124,Matches!$A$5:$A$23,0))="","",IF($AS124="A",INDEX(Matches!$AV$5:$AV$23,MATCH($C124,Matches!$A$5:$A$23,0)),1-INDEX(Matches!$AV$5:$AV$23,MATCH($C124,Matches!$A$5:$A$23,0)))),""))</f>
        <v>0.455378365466649</v>
      </c>
      <c r="AX124" s="13" t="n">
        <f aca="false">IF(OR($AW124="",$AT124=""),1,((Config!$B$14*$AW124+Config!$B$15*(1-$AW124))/(Config!$B$14*$AT124+Config!$B$15*(1-$AT124)))^Config!$B$13)</f>
        <v>0.971394309221569</v>
      </c>
      <c r="AY124" s="10" t="n">
        <f aca="false">IF($AS124="","",IFERROR(IF(INDEX(Matches!$BB$5:$BB$23,MATCH($C124,Matches!$A$5:$A$23,0))="","",IF($AS124="A",INDEX(Matches!$BB$5:$BB$23,MATCH($C124,Matches!$A$5:$A$23,0)),1-INDEX(Matches!$BB$5:$BB$23,MATCH($C124,Matches!$A$5:$A$23,0)))),""))</f>
        <v>0.428288945581688</v>
      </c>
      <c r="AZ124" s="13" t="n">
        <f aca="false">IF(OR($AY124="",$AT124=""),1,((Config!$B$14*$AY124+Config!$B$15*(1-$AY124))/(Config!$B$14*$AT124+Config!$B$15*(1-$AT124)))^Config!$B$13)</f>
        <v>0.946902619058043</v>
      </c>
      <c r="BA124" s="17" t="n">
        <f aca="false">IF(V124="","",V124*$AV124)</f>
        <v>16.7835154315194</v>
      </c>
      <c r="BB124" s="17" t="n">
        <f aca="false">IF(AC124="","",AC124*$AX124)</f>
        <v>14.9523892785074</v>
      </c>
      <c r="BC124" s="17" t="n">
        <f aca="false">IF(AJ124="","",AJ124*$AZ124)</f>
        <v>14.1825022660172</v>
      </c>
      <c r="BD124" s="17" t="n">
        <f aca="false">N(BA124)+N(BB124)</f>
        <v>31.7359047100268</v>
      </c>
      <c r="BE124" s="17" t="n">
        <f aca="false">BD124+N($M124)*N(BC124)</f>
        <v>38.2853842564736</v>
      </c>
      <c r="BF124" s="17" t="n">
        <f aca="false">IF(W124="","",W124*$AV124)</f>
        <v>6.39451937940889</v>
      </c>
      <c r="BG124" s="17" t="n">
        <f aca="false">IF(AD124="","",AD124*$AX124)</f>
        <v>5.97347951676372</v>
      </c>
      <c r="BH124" s="17" t="n">
        <f aca="false">IF(AK124="","",AK124*$AZ124)</f>
        <v>5.47562774987149</v>
      </c>
      <c r="BI124" s="17" t="n">
        <f aca="false">IF(BF124="","",N(BF124)+N(BG124))</f>
        <v>12.3679988961726</v>
      </c>
      <c r="BJ124" s="17" t="n">
        <f aca="false">IF(BI124="","",BI124+N($M124)*N(BH124))</f>
        <v>14.8966437910633</v>
      </c>
      <c r="BK124" s="13" t="n">
        <f aca="false">IFERROR(BD124/AL124,1)</f>
        <v>0.970685918370405</v>
      </c>
    </row>
    <row r="125" customFormat="false" ht="15" hidden="false" customHeight="false" outlineLevel="0" collapsed="false">
      <c r="A125" s="0" t="s">
        <v>1580</v>
      </c>
      <c r="B125" s="0" t="s">
        <v>1139</v>
      </c>
      <c r="C125" s="0" t="s">
        <v>1161</v>
      </c>
      <c r="D125" s="0" t="s">
        <v>1165</v>
      </c>
      <c r="E125" s="0" t="s">
        <v>1579</v>
      </c>
      <c r="F125" s="0" t="s">
        <v>1782</v>
      </c>
      <c r="G125" s="0" t="str">
        <f aca="false">IFERROR(IF(INDEX(Matches!$W$5:$W$23,MATCH($C125,Matches!$A$5:$A$23,0))="","",INDEX(Matches!$W$5:$W$23,MATCH($C125,Matches!$A$5:$A$23,0))),"")</f>
        <v>Dust2</v>
      </c>
      <c r="H125" s="0" t="str">
        <f aca="false">IFERROR(IF(INDEX(Matches!$X$5:$X$23,MATCH($C125,Matches!$A$5:$A$23,0))="","",INDEX(Matches!$X$5:$X$23,MATCH($C125,Matches!$A$5:$A$23,0))),"")</f>
        <v>Mirage</v>
      </c>
      <c r="I125" s="0" t="str">
        <f aca="false">IFERROR(IF(INDEX(Matches!$Y$5:$Y$23,MATCH($C125,Matches!$A$5:$A$23,0))="","",INDEX(Matches!$Y$5:$Y$23,MATCH($C125,Matches!$A$5:$A$23,0))),"")</f>
        <v>Inferno</v>
      </c>
      <c r="J125" s="11" t="n">
        <f aca="false">IFERROR(IF(INDEX(Matches!$Z$5:$Z$23,MATCH($C125,Matches!$A$5:$A$23,0))="","",INDEX(Matches!$Z$5:$Z$23,MATCH($C125,Matches!$A$5:$A$23,0))),"")</f>
        <v>21.36</v>
      </c>
      <c r="K125" s="11" t="n">
        <f aca="false">IFERROR(IF(INDEX(Matches!$AA$5:$AA$23,MATCH($C125,Matches!$A$5:$A$23,0))="","",INDEX(Matches!$AA$5:$AA$23,MATCH($C125,Matches!$A$5:$A$23,0))),"")</f>
        <v>21.11</v>
      </c>
      <c r="L125" s="11" t="n">
        <f aca="false">IFERROR(IF(INDEX(Matches!$AB$5:$AB$23,MATCH($C125,Matches!$A$5:$A$23,0))="","",INDEX(Matches!$AB$5:$AB$23,MATCH($C125,Matches!$A$5:$A$23,0))),"")</f>
        <v>21.22</v>
      </c>
      <c r="M125" s="10" t="n">
        <f aca="false">IFERROR(IF(INDEX(Matches!$AC$5:$AC$23,MATCH($C125,Matches!$A$5:$A$23,0))="","",INDEX(Matches!$AC$5:$AC$23,MATCH($C125,Matches!$A$5:$A$23,0))),"")</f>
        <v>0.4618</v>
      </c>
      <c r="N125" s="9" t="n">
        <f aca="false">IFERROR(INDEX(Players!$F$2:$F$137,MATCH($F125,Players!$A$2:$A$137,0)),0)</f>
        <v>38</v>
      </c>
      <c r="O125" s="13" t="n">
        <f aca="false">IFERROR(1/(1/INDEX(Players!$H$2:$H$137,MATCH($F125,Players!$A$2:$A$137,0))),"")</f>
        <v>0.71</v>
      </c>
      <c r="P125" s="10" t="n">
        <f aca="false">IFERROR(1/(1/INDEX(Players!$I$2:$I$137,MATCH($F125,Players!$A$2:$A$137,0))),"")</f>
        <v>0.521</v>
      </c>
      <c r="Q125" s="9" t="n">
        <f aca="false">IF($G125="",0,SUMIFS(Map_Stats!$F$2:$F$850,Map_Stats!$A$2:$A$850,$F125&amp;"|"&amp;$G125))</f>
        <v>8</v>
      </c>
      <c r="R125" s="13" t="n">
        <f aca="false">IF($G125="","",IFERROR(1/(1/INDEX(Map_Stats!$K$2:$K$850,MATCH($F125&amp;"|"&amp;$G125,Map_Stats!$A$2:$A$850,0))),$O125))</f>
        <v>0.69</v>
      </c>
      <c r="S125" s="10" t="n">
        <f aca="false">IF(OR($G125="",$P125=""),"",IFERROR(1/(1/INDEX(Map_Stats!$I$2:$I$850,MATCH($F125&amp;"|"&amp;$G125,Map_Stats!$A$2:$A$850,0))),$P125))</f>
        <v>0.53</v>
      </c>
      <c r="T125" s="13" t="n">
        <f aca="false">IF(OR($G125="",R125=""),"",IF($O125="",R125,(Q125*R125+Config!$B$4*$O125)/(Q125+Config!$B$4)))</f>
        <v>0.697692307692308</v>
      </c>
      <c r="U125" s="10" t="n">
        <f aca="false">IF(S125="","",(Q125*S125+Config!$B$4*$P125)/(Q125+Config!$B$4))</f>
        <v>0.526538461538462</v>
      </c>
      <c r="V125" s="17" t="n">
        <f aca="false">IF(OR(T125="",$J125=""),"",T125*$J125*($J125/Config!$B$10)^Config!$B$9)</f>
        <v>14.9027076923077</v>
      </c>
      <c r="W125" s="17" t="n">
        <f aca="false">IF(OR(V125="",U125=""),"",V125*U125)</f>
        <v>7.84684878106509</v>
      </c>
      <c r="X125" s="9" t="n">
        <f aca="false">IF($H125="",0,SUMIFS(Map_Stats!$F$2:$F$850,Map_Stats!$A$2:$A$850,$F125&amp;"|"&amp;$H125))</f>
        <v>8</v>
      </c>
      <c r="Y125" s="13" t="n">
        <f aca="false">IF($H125="","",IFERROR(1/(1/INDEX(Map_Stats!$K$2:$K$850,MATCH($F125&amp;"|"&amp;$H125,Map_Stats!$A$2:$A$850,0))),$O125))</f>
        <v>0.73</v>
      </c>
      <c r="Z125" s="10" t="n">
        <f aca="false">IF(OR($H125="",$P125=""),"",IFERROR(1/(1/INDEX(Map_Stats!$I$2:$I$850,MATCH($F125&amp;"|"&amp;$H125,Map_Stats!$A$2:$A$850,0))),$P125))</f>
        <v>0.453</v>
      </c>
      <c r="AA125" s="13" t="n">
        <f aca="false">IF(OR($H125="",Y125=""),"",IF($O125="",Y125,(X125*Y125+Config!$B$4*$O125)/(X125+Config!$B$4)))</f>
        <v>0.722307692307692</v>
      </c>
      <c r="AB125" s="10" t="n">
        <f aca="false">IF(Z125="","",(X125*Z125+Config!$B$4*$P125)/(X125+Config!$B$4))</f>
        <v>0.479153846153846</v>
      </c>
      <c r="AC125" s="17" t="n">
        <f aca="false">IF(OR(AA125="",$K125=""),"",AA125*$K125*($K125/Config!$B$10)^Config!$B$9)</f>
        <v>15.2479153846154</v>
      </c>
      <c r="AD125" s="17" t="n">
        <f aca="false">IF(OR(AC125="",AB125=""),"",AC125*AB125)</f>
        <v>7.30609730236686</v>
      </c>
      <c r="AE125" s="9" t="n">
        <f aca="false">IF($I125="",0,SUMIFS(Map_Stats!$F$2:$F$850,Map_Stats!$A$2:$A$850,$F125&amp;"|"&amp;$I125))</f>
        <v>6</v>
      </c>
      <c r="AF125" s="13" t="n">
        <f aca="false">IF($I125="","",IFERROR(1/(1/INDEX(Map_Stats!$K$2:$K$850,MATCH($F125&amp;"|"&amp;$I125,Map_Stats!$A$2:$A$850,0))),$O125))</f>
        <v>0.76</v>
      </c>
      <c r="AG125" s="10" t="n">
        <f aca="false">IF(OR($I125="",$P125=""),"",IFERROR(1/(1/INDEX(Map_Stats!$I$2:$I$850,MATCH($F125&amp;"|"&amp;$I125,Map_Stats!$A$2:$A$850,0))),$P125))</f>
        <v>0.539</v>
      </c>
      <c r="AH125" s="13" t="n">
        <f aca="false">IF(OR($I125="",AF125=""),"",IF($O125="",AF125,(AE125*AF125+Config!$B$4*$O125)/(AE125+Config!$B$4)))</f>
        <v>0.737272727272727</v>
      </c>
      <c r="AI125" s="10" t="n">
        <f aca="false">IF(AG125="","",(AE125*AG125+Config!$B$4*$P125)/(AE125+Config!$B$4))</f>
        <v>0.530818181818182</v>
      </c>
      <c r="AJ125" s="17" t="n">
        <f aca="false">IF(OR(AH125="",$L125=""),"",AH125*$L125*($L125/Config!$B$10)^Config!$B$9)</f>
        <v>15.6449272727273</v>
      </c>
      <c r="AK125" s="17" t="n">
        <f aca="false">IF(OR(AJ125="",AI125=""),"",AJ125*AI125)</f>
        <v>8.30461184958678</v>
      </c>
      <c r="AL125" s="17" t="n">
        <f aca="false">N(V125)+N(AC125)</f>
        <v>30.1506230769231</v>
      </c>
      <c r="AM125" s="17" t="n">
        <f aca="false">AL125+N($M125)*N(AJ125)</f>
        <v>37.3754504914685</v>
      </c>
      <c r="AN125" s="17" t="n">
        <f aca="false">IF(W125="","",N(W125)+N(AD125))</f>
        <v>15.152946083432</v>
      </c>
      <c r="AO125" s="17" t="n">
        <f aca="false">IF(AN125="","",AN125+N($M125)*N(AK125))</f>
        <v>18.9880158355711</v>
      </c>
      <c r="AP125" s="10" t="n">
        <f aca="false">IFERROR(AN125/AL125,"")</f>
        <v>0.502574890236011</v>
      </c>
      <c r="AQ125" s="0" t="str">
        <f aca="false"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0" t="str">
        <f aca="false">IF($C125=Board!$B$2,COUNTIFS($C$2:$C$137,Board!$B$2,$AL$2:$AL$137,"&gt;"&amp;$AL125)+COUNTIFS($C$1:$C124,Board!$B$2,$AL$1:$AL124,$AL125)+1,"")</f>
        <v/>
      </c>
      <c r="AS125" s="0" t="str">
        <f aca="false">IFERROR(IF($D125=INDEX(Matches!$AD$5:$AD$23,MATCH($C125,Matches!$A$5:$A$23,0)),"A",IF($D125=INDEX(Matches!$AE$5:$AE$23,MATCH($C125,Matches!$A$5:$A$23,0)),"B","")),"")</f>
        <v>A</v>
      </c>
      <c r="AT125" s="10" t="n">
        <f aca="false">IF($AS125="","",IFERROR(IF($AS125="A",INDEX(Matches!$AI$5:$AI$23,MATCH($C125,Matches!$A$5:$A$23,0)),INDEX(Matches!$AJ$5:$AJ$23,MATCH($C125,Matches!$A$5:$A$23,0))),""))</f>
        <v>0.565385656893724</v>
      </c>
      <c r="AU125" s="10" t="n">
        <f aca="false">IF($AS125="","",IFERROR(IF(INDEX(Matches!$AP$5:$AP$23,MATCH($C125,Matches!$A$5:$A$23,0))="","",IF($AS125="A",INDEX(Matches!$AP$5:$AP$23,MATCH($C125,Matches!$A$5:$A$23,0)),1-INDEX(Matches!$AP$5:$AP$23,MATCH($C125,Matches!$A$5:$A$23,0)))),""))</f>
        <v>0.546102241466144</v>
      </c>
      <c r="AV125" s="13" t="n">
        <f aca="false">IF(OR($AU125="",$AT125=""),1,((Config!$B$14*$AU125+Config!$B$15*(1-$AU125))/(Config!$B$14*$AT125+Config!$B$15*(1-$AT125)))^Config!$B$13)</f>
        <v>0.983719289368788</v>
      </c>
      <c r="AW125" s="10" t="n">
        <f aca="false">IF($AS125="","",IFERROR(IF(INDEX(Matches!$AV$5:$AV$23,MATCH($C125,Matches!$A$5:$A$23,0))="","",IF($AS125="A",INDEX(Matches!$AV$5:$AV$23,MATCH($C125,Matches!$A$5:$A$23,0)),1-INDEX(Matches!$AV$5:$AV$23,MATCH($C125,Matches!$A$5:$A$23,0)))),""))</f>
        <v>0.544621634533351</v>
      </c>
      <c r="AX125" s="13" t="n">
        <f aca="false">IF(OR($AW125="",$AT125=""),1,((Config!$B$14*$AW125+Config!$B$15*(1-$AW125))/(Config!$B$14*$AT125+Config!$B$15*(1-$AT125)))^Config!$B$13)</f>
        <v>0.982469234204966</v>
      </c>
      <c r="AY125" s="10" t="n">
        <f aca="false">IF($AS125="","",IFERROR(IF(INDEX(Matches!$BB$5:$BB$23,MATCH($C125,Matches!$A$5:$A$23,0))="","",IF($AS125="A",INDEX(Matches!$BB$5:$BB$23,MATCH($C125,Matches!$A$5:$A$23,0)),1-INDEX(Matches!$BB$5:$BB$23,MATCH($C125,Matches!$A$5:$A$23,0)))),""))</f>
        <v>0.571711054418312</v>
      </c>
      <c r="AZ125" s="13" t="n">
        <f aca="false">IF(OR($AY125="",$AT125=""),1,((Config!$B$14*$AY125+Config!$B$15*(1-$AY125))/(Config!$B$14*$AT125+Config!$B$15*(1-$AT125)))^Config!$B$13)</f>
        <v>1.00534044226304</v>
      </c>
      <c r="BA125" s="17" t="n">
        <f aca="false">IF(V125="","",V125*$AV125)</f>
        <v>14.6600810207477</v>
      </c>
      <c r="BB125" s="17" t="n">
        <f aca="false">IF(AC125="","",AC125*$AX125)</f>
        <v>14.9806077511452</v>
      </c>
      <c r="BC125" s="17" t="n">
        <f aca="false">IF(AJ125="","",AJ125*$AZ125)</f>
        <v>15.7284781035367</v>
      </c>
      <c r="BD125" s="17" t="n">
        <f aca="false">N(BA125)+N(BB125)</f>
        <v>29.6406887718929</v>
      </c>
      <c r="BE125" s="17" t="n">
        <f aca="false">BD125+N($M125)*N(BC125)</f>
        <v>36.9040999601062</v>
      </c>
      <c r="BF125" s="17" t="n">
        <f aca="false">IF(W125="","",W125*$AV125)</f>
        <v>7.71909650669369</v>
      </c>
      <c r="BG125" s="17" t="n">
        <f aca="false">IF(AD125="","",AD125*$AX125)</f>
        <v>7.17801582168334</v>
      </c>
      <c r="BH125" s="17" t="n">
        <f aca="false">IF(AK125="","",AK125*$AZ125)</f>
        <v>8.34896214968646</v>
      </c>
      <c r="BI125" s="17" t="n">
        <f aca="false">IF(BF125="","",N(BF125)+N(BG125))</f>
        <v>14.897112328377</v>
      </c>
      <c r="BJ125" s="17" t="n">
        <f aca="false">IF(BI125="","",BI125+N($M125)*N(BH125))</f>
        <v>18.7526630491022</v>
      </c>
      <c r="BK125" s="13" t="n">
        <f aca="false">IFERROR(BD125/AL125,1)</f>
        <v>0.983087105572273</v>
      </c>
    </row>
    <row r="126" customFormat="false" ht="15" hidden="false" customHeight="false" outlineLevel="0" collapsed="false">
      <c r="A126" s="0" t="s">
        <v>1582</v>
      </c>
      <c r="B126" s="0" t="s">
        <v>1139</v>
      </c>
      <c r="C126" s="0" t="s">
        <v>1161</v>
      </c>
      <c r="D126" s="0" t="s">
        <v>1165</v>
      </c>
      <c r="E126" s="0" t="s">
        <v>1581</v>
      </c>
      <c r="F126" s="0" t="s">
        <v>1783</v>
      </c>
      <c r="G126" s="0" t="str">
        <f aca="false">IFERROR(IF(INDEX(Matches!$W$5:$W$23,MATCH($C126,Matches!$A$5:$A$23,0))="","",INDEX(Matches!$W$5:$W$23,MATCH($C126,Matches!$A$5:$A$23,0))),"")</f>
        <v>Dust2</v>
      </c>
      <c r="H126" s="0" t="str">
        <f aca="false">IFERROR(IF(INDEX(Matches!$X$5:$X$23,MATCH($C126,Matches!$A$5:$A$23,0))="","",INDEX(Matches!$X$5:$X$23,MATCH($C126,Matches!$A$5:$A$23,0))),"")</f>
        <v>Mirage</v>
      </c>
      <c r="I126" s="0" t="str">
        <f aca="false">IFERROR(IF(INDEX(Matches!$Y$5:$Y$23,MATCH($C126,Matches!$A$5:$A$23,0))="","",INDEX(Matches!$Y$5:$Y$23,MATCH($C126,Matches!$A$5:$A$23,0))),"")</f>
        <v>Inferno</v>
      </c>
      <c r="J126" s="11" t="n">
        <f aca="false">IFERROR(IF(INDEX(Matches!$Z$5:$Z$23,MATCH($C126,Matches!$A$5:$A$23,0))="","",INDEX(Matches!$Z$5:$Z$23,MATCH($C126,Matches!$A$5:$A$23,0))),"")</f>
        <v>21.36</v>
      </c>
      <c r="K126" s="11" t="n">
        <f aca="false">IFERROR(IF(INDEX(Matches!$AA$5:$AA$23,MATCH($C126,Matches!$A$5:$A$23,0))="","",INDEX(Matches!$AA$5:$AA$23,MATCH($C126,Matches!$A$5:$A$23,0))),"")</f>
        <v>21.11</v>
      </c>
      <c r="L126" s="11" t="n">
        <f aca="false">IFERROR(IF(INDEX(Matches!$AB$5:$AB$23,MATCH($C126,Matches!$A$5:$A$23,0))="","",INDEX(Matches!$AB$5:$AB$23,MATCH($C126,Matches!$A$5:$A$23,0))),"")</f>
        <v>21.22</v>
      </c>
      <c r="M126" s="10" t="n">
        <f aca="false">IFERROR(IF(INDEX(Matches!$AC$5:$AC$23,MATCH($C126,Matches!$A$5:$A$23,0))="","",INDEX(Matches!$AC$5:$AC$23,MATCH($C126,Matches!$A$5:$A$23,0))),"")</f>
        <v>0.4618</v>
      </c>
      <c r="N126" s="9" t="n">
        <f aca="false">IFERROR(INDEX(Players!$F$2:$F$137,MATCH($F126,Players!$A$2:$A$137,0)),0)</f>
        <v>34</v>
      </c>
      <c r="O126" s="13" t="n">
        <f aca="false">IFERROR(1/(1/INDEX(Players!$H$2:$H$137,MATCH($F126,Players!$A$2:$A$137,0))),"")</f>
        <v>0.65</v>
      </c>
      <c r="P126" s="10" t="n">
        <f aca="false">IFERROR(1/(1/INDEX(Players!$I$2:$I$137,MATCH($F126,Players!$A$2:$A$137,0))),"")</f>
        <v>0.549</v>
      </c>
      <c r="Q126" s="9" t="n">
        <f aca="false">IF($G126="",0,SUMIFS(Map_Stats!$F$2:$F$850,Map_Stats!$A$2:$A$850,$F126&amp;"|"&amp;$G126))</f>
        <v>8</v>
      </c>
      <c r="R126" s="13" t="n">
        <f aca="false">IF($G126="","",IFERROR(1/(1/INDEX(Map_Stats!$K$2:$K$850,MATCH($F126&amp;"|"&amp;$G126,Map_Stats!$A$2:$A$850,0))),$O126))</f>
        <v>0.65</v>
      </c>
      <c r="S126" s="10" t="n">
        <f aca="false">IF(OR($G126="",$P126=""),"",IFERROR(1/(1/INDEX(Map_Stats!$I$2:$I$850,MATCH($F126&amp;"|"&amp;$G126,Map_Stats!$A$2:$A$850,0))),$P126))</f>
        <v>0.629</v>
      </c>
      <c r="T126" s="13" t="n">
        <f aca="false">IF(OR($G126="",R126=""),"",IF($O126="",R126,(Q126*R126+Config!$B$4*$O126)/(Q126+Config!$B$4)))</f>
        <v>0.65</v>
      </c>
      <c r="U126" s="10" t="n">
        <f aca="false">IF(S126="","",(Q126*S126+Config!$B$4*$P126)/(Q126+Config!$B$4))</f>
        <v>0.598230769230769</v>
      </c>
      <c r="V126" s="17" t="n">
        <f aca="false">IF(OR(T126="",$J126=""),"",T126*$J126*($J126/Config!$B$10)^Config!$B$9)</f>
        <v>13.884</v>
      </c>
      <c r="W126" s="17" t="n">
        <f aca="false">IF(OR(V126="",U126=""),"",V126*U126)</f>
        <v>8.305836</v>
      </c>
      <c r="X126" s="9" t="n">
        <f aca="false">IF($H126="",0,SUMIFS(Map_Stats!$F$2:$F$850,Map_Stats!$A$2:$A$850,$F126&amp;"|"&amp;$H126))</f>
        <v>6</v>
      </c>
      <c r="Y126" s="13" t="n">
        <f aca="false">IF($H126="","",IFERROR(1/(1/INDEX(Map_Stats!$K$2:$K$850,MATCH($F126&amp;"|"&amp;$H126,Map_Stats!$A$2:$A$850,0))),$O126))</f>
        <v>0.66</v>
      </c>
      <c r="Z126" s="10" t="n">
        <f aca="false">IF(OR($H126="",$P126=""),"",IFERROR(1/(1/INDEX(Map_Stats!$I$2:$I$850,MATCH($F126&amp;"|"&amp;$H126,Map_Stats!$A$2:$A$850,0))),$P126))</f>
        <v>0.53</v>
      </c>
      <c r="AA126" s="13" t="n">
        <f aca="false">IF(OR($H126="",Y126=""),"",IF($O126="",Y126,(X126*Y126+Config!$B$4*$O126)/(X126+Config!$B$4)))</f>
        <v>0.655454545454545</v>
      </c>
      <c r="AB126" s="10" t="n">
        <f aca="false">IF(Z126="","",(X126*Z126+Config!$B$4*$P126)/(X126+Config!$B$4))</f>
        <v>0.538636363636364</v>
      </c>
      <c r="AC126" s="17" t="n">
        <f aca="false">IF(OR(AA126="",$K126=""),"",AA126*$K126*($K126/Config!$B$10)^Config!$B$9)</f>
        <v>13.8366454545455</v>
      </c>
      <c r="AD126" s="17" t="n">
        <f aca="false">IF(OR(AC126="",AB126=""),"",AC126*AB126)</f>
        <v>7.45292039256198</v>
      </c>
      <c r="AE126" s="9" t="n">
        <f aca="false">IF($I126="",0,SUMIFS(Map_Stats!$F$2:$F$850,Map_Stats!$A$2:$A$850,$F126&amp;"|"&amp;$I126))</f>
        <v>3</v>
      </c>
      <c r="AF126" s="13" t="n">
        <f aca="false">IF($I126="","",IFERROR(1/(1/INDEX(Map_Stats!$K$2:$K$850,MATCH($F126&amp;"|"&amp;$I126,Map_Stats!$A$2:$A$850,0))),$O126))</f>
        <v>0.6</v>
      </c>
      <c r="AG126" s="10" t="n">
        <f aca="false">IF(OR($I126="",$P126=""),"",IFERROR(1/(1/INDEX(Map_Stats!$I$2:$I$850,MATCH($F126&amp;"|"&amp;$I126,Map_Stats!$A$2:$A$850,0))),$P126))</f>
        <v>0.571</v>
      </c>
      <c r="AH126" s="13" t="n">
        <f aca="false">IF(OR($I126="",AF126=""),"",IF($O126="",AF126,(AE126*AF126+Config!$B$4*$O126)/(AE126+Config!$B$4)))</f>
        <v>0.63125</v>
      </c>
      <c r="AI126" s="10" t="n">
        <f aca="false">IF(AG126="","",(AE126*AG126+Config!$B$4*$P126)/(AE126+Config!$B$4))</f>
        <v>0.55725</v>
      </c>
      <c r="AJ126" s="17" t="n">
        <f aca="false">IF(OR(AH126="",$L126=""),"",AH126*$L126*($L126/Config!$B$10)^Config!$B$9)</f>
        <v>13.395125</v>
      </c>
      <c r="AK126" s="17" t="n">
        <f aca="false">IF(OR(AJ126="",AI126=""),"",AJ126*AI126)</f>
        <v>7.46443340625</v>
      </c>
      <c r="AL126" s="17" t="n">
        <f aca="false">N(V126)+N(AC126)</f>
        <v>27.7206454545455</v>
      </c>
      <c r="AM126" s="17" t="n">
        <f aca="false">AL126+N($M126)*N(AJ126)</f>
        <v>33.9065141795455</v>
      </c>
      <c r="AN126" s="17" t="n">
        <f aca="false">IF(W126="","",N(W126)+N(AD126))</f>
        <v>15.758756392562</v>
      </c>
      <c r="AO126" s="17" t="n">
        <f aca="false">IF(AN126="","",AN126+N($M126)*N(AK126))</f>
        <v>19.2058317395682</v>
      </c>
      <c r="AP126" s="10" t="n">
        <f aca="false">IFERROR(AN126/AL126,"")</f>
        <v>0.568484468314498</v>
      </c>
      <c r="AQ126" s="0" t="str">
        <f aca="false">TRIM(IF($N126&lt;Config!$B$12,"thin sample ("&amp;$N126&amp;" maps) · ","")&amp;IF(AND($G126&lt;&gt;"",Q126=0),"M1 unplayed→overall KPR · ","")&amp;IF(AND($H126&lt;&gt;"",X126=0),"M2 unplayed→overall KPR · ","")&amp;IF($O126="","no PickFinder stats",""))</f>
        <v/>
      </c>
      <c r="AR126" s="0" t="str">
        <f aca="false">IF($C126=Board!$B$2,COUNTIFS($C$2:$C$137,Board!$B$2,$AL$2:$AL$137,"&gt;"&amp;$AL126)+COUNTIFS($C$1:$C125,Board!$B$2,$AL$1:$AL125,$AL126)+1,"")</f>
        <v/>
      </c>
      <c r="AS126" s="0" t="str">
        <f aca="false">IFERROR(IF($D126=INDEX(Matches!$AD$5:$AD$23,MATCH($C126,Matches!$A$5:$A$23,0)),"A",IF($D126=INDEX(Matches!$AE$5:$AE$23,MATCH($C126,Matches!$A$5:$A$23,0)),"B","")),"")</f>
        <v>A</v>
      </c>
      <c r="AT126" s="10" t="n">
        <f aca="false">IF($AS126="","",IFERROR(IF($AS126="A",INDEX(Matches!$AI$5:$AI$23,MATCH($C126,Matches!$A$5:$A$23,0)),INDEX(Matches!$AJ$5:$AJ$23,MATCH($C126,Matches!$A$5:$A$23,0))),""))</f>
        <v>0.565385656893724</v>
      </c>
      <c r="AU126" s="10" t="n">
        <f aca="false">IF($AS126="","",IFERROR(IF(INDEX(Matches!$AP$5:$AP$23,MATCH($C126,Matches!$A$5:$A$23,0))="","",IF($AS126="A",INDEX(Matches!$AP$5:$AP$23,MATCH($C126,Matches!$A$5:$A$23,0)),1-INDEX(Matches!$AP$5:$AP$23,MATCH($C126,Matches!$A$5:$A$23,0)))),""))</f>
        <v>0.546102241466144</v>
      </c>
      <c r="AV126" s="13" t="n">
        <f aca="false">IF(OR($AU126="",$AT126=""),1,((Config!$B$14*$AU126+Config!$B$15*(1-$AU126))/(Config!$B$14*$AT126+Config!$B$15*(1-$AT126)))^Config!$B$13)</f>
        <v>0.983719289368788</v>
      </c>
      <c r="AW126" s="10" t="n">
        <f aca="false">IF($AS126="","",IFERROR(IF(INDEX(Matches!$AV$5:$AV$23,MATCH($C126,Matches!$A$5:$A$23,0))="","",IF($AS126="A",INDEX(Matches!$AV$5:$AV$23,MATCH($C126,Matches!$A$5:$A$23,0)),1-INDEX(Matches!$AV$5:$AV$23,MATCH($C126,Matches!$A$5:$A$23,0)))),""))</f>
        <v>0.544621634533351</v>
      </c>
      <c r="AX126" s="13" t="n">
        <f aca="false">IF(OR($AW126="",$AT126=""),1,((Config!$B$14*$AW126+Config!$B$15*(1-$AW126))/(Config!$B$14*$AT126+Config!$B$15*(1-$AT126)))^Config!$B$13)</f>
        <v>0.982469234204966</v>
      </c>
      <c r="AY126" s="10" t="n">
        <f aca="false">IF($AS126="","",IFERROR(IF(INDEX(Matches!$BB$5:$BB$23,MATCH($C126,Matches!$A$5:$A$23,0))="","",IF($AS126="A",INDEX(Matches!$BB$5:$BB$23,MATCH($C126,Matches!$A$5:$A$23,0)),1-INDEX(Matches!$BB$5:$BB$23,MATCH($C126,Matches!$A$5:$A$23,0)))),""))</f>
        <v>0.571711054418312</v>
      </c>
      <c r="AZ126" s="13" t="n">
        <f aca="false">IF(OR($AY126="",$AT126=""),1,((Config!$B$14*$AY126+Config!$B$15*(1-$AY126))/(Config!$B$14*$AT126+Config!$B$15*(1-$AT126)))^Config!$B$13)</f>
        <v>1.00534044226304</v>
      </c>
      <c r="BA126" s="17" t="n">
        <f aca="false">IF(V126="","",V126*$AV126)</f>
        <v>13.6579586135963</v>
      </c>
      <c r="BB126" s="17" t="n">
        <f aca="false">IF(AC126="","",AC126*$AX126)</f>
        <v>13.5940784636929</v>
      </c>
      <c r="BC126" s="17" t="n">
        <f aca="false">IF(AJ126="","",AJ126*$AZ126)</f>
        <v>13.4666608916687</v>
      </c>
      <c r="BD126" s="17" t="n">
        <f aca="false">N(BA126)+N(BB126)</f>
        <v>27.2520370772891</v>
      </c>
      <c r="BE126" s="17" t="n">
        <f aca="false">BD126+N($M126)*N(BC126)</f>
        <v>33.4709410770618</v>
      </c>
      <c r="BF126" s="17" t="n">
        <f aca="false">IF(W126="","",W126*$AV126)</f>
        <v>8.17061108753369</v>
      </c>
      <c r="BG126" s="17" t="n">
        <f aca="false">IF(AD126="","",AD126*$AX126)</f>
        <v>7.32226499067095</v>
      </c>
      <c r="BH126" s="17" t="n">
        <f aca="false">IF(AK126="","",AK126*$AZ126)</f>
        <v>7.50429678188239</v>
      </c>
      <c r="BI126" s="17" t="n">
        <f aca="false">IF(BF126="","",N(BF126)+N(BG126))</f>
        <v>15.4928760782046</v>
      </c>
      <c r="BJ126" s="17" t="n">
        <f aca="false">IF(BI126="","",BI126+N($M126)*N(BH126))</f>
        <v>18.9583603320779</v>
      </c>
      <c r="BK126" s="13" t="n">
        <f aca="false">IFERROR(BD126/AL126,1)</f>
        <v>0.983095329507219</v>
      </c>
    </row>
    <row r="127" customFormat="false" ht="15" hidden="false" customHeight="false" outlineLevel="0" collapsed="false">
      <c r="A127" s="0" t="s">
        <v>1584</v>
      </c>
      <c r="B127" s="0" t="s">
        <v>1139</v>
      </c>
      <c r="C127" s="0" t="s">
        <v>1161</v>
      </c>
      <c r="D127" s="0" t="s">
        <v>1165</v>
      </c>
      <c r="E127" s="0" t="s">
        <v>1583</v>
      </c>
      <c r="F127" s="0" t="s">
        <v>1784</v>
      </c>
      <c r="G127" s="0" t="str">
        <f aca="false">IFERROR(IF(INDEX(Matches!$W$5:$W$23,MATCH($C127,Matches!$A$5:$A$23,0))="","",INDEX(Matches!$W$5:$W$23,MATCH($C127,Matches!$A$5:$A$23,0))),"")</f>
        <v>Dust2</v>
      </c>
      <c r="H127" s="0" t="str">
        <f aca="false">IFERROR(IF(INDEX(Matches!$X$5:$X$23,MATCH($C127,Matches!$A$5:$A$23,0))="","",INDEX(Matches!$X$5:$X$23,MATCH($C127,Matches!$A$5:$A$23,0))),"")</f>
        <v>Mirage</v>
      </c>
      <c r="I127" s="0" t="str">
        <f aca="false">IFERROR(IF(INDEX(Matches!$Y$5:$Y$23,MATCH($C127,Matches!$A$5:$A$23,0))="","",INDEX(Matches!$Y$5:$Y$23,MATCH($C127,Matches!$A$5:$A$23,0))),"")</f>
        <v>Inferno</v>
      </c>
      <c r="J127" s="11" t="n">
        <f aca="false">IFERROR(IF(INDEX(Matches!$Z$5:$Z$23,MATCH($C127,Matches!$A$5:$A$23,0))="","",INDEX(Matches!$Z$5:$Z$23,MATCH($C127,Matches!$A$5:$A$23,0))),"")</f>
        <v>21.36</v>
      </c>
      <c r="K127" s="11" t="n">
        <f aca="false">IFERROR(IF(INDEX(Matches!$AA$5:$AA$23,MATCH($C127,Matches!$A$5:$A$23,0))="","",INDEX(Matches!$AA$5:$AA$23,MATCH($C127,Matches!$A$5:$A$23,0))),"")</f>
        <v>21.11</v>
      </c>
      <c r="L127" s="11" t="n">
        <f aca="false">IFERROR(IF(INDEX(Matches!$AB$5:$AB$23,MATCH($C127,Matches!$A$5:$A$23,0))="","",INDEX(Matches!$AB$5:$AB$23,MATCH($C127,Matches!$A$5:$A$23,0))),"")</f>
        <v>21.22</v>
      </c>
      <c r="M127" s="10" t="n">
        <f aca="false">IFERROR(IF(INDEX(Matches!$AC$5:$AC$23,MATCH($C127,Matches!$A$5:$A$23,0))="","",INDEX(Matches!$AC$5:$AC$23,MATCH($C127,Matches!$A$5:$A$23,0))),"")</f>
        <v>0.4618</v>
      </c>
      <c r="N127" s="9" t="n">
        <f aca="false">IFERROR(INDEX(Players!$F$2:$F$137,MATCH($F127,Players!$A$2:$A$137,0)),0)</f>
        <v>38</v>
      </c>
      <c r="O127" s="13" t="n">
        <f aca="false">IFERROR(1/(1/INDEX(Players!$H$2:$H$137,MATCH($F127,Players!$A$2:$A$137,0))),"")</f>
        <v>0.62</v>
      </c>
      <c r="P127" s="10" t="n">
        <f aca="false">IFERROR(1/(1/INDEX(Players!$I$2:$I$137,MATCH($F127,Players!$A$2:$A$137,0))),"")</f>
        <v>0.581</v>
      </c>
      <c r="Q127" s="9" t="n">
        <f aca="false">IF($G127="",0,SUMIFS(Map_Stats!$F$2:$F$850,Map_Stats!$A$2:$A$850,$F127&amp;"|"&amp;$G127))</f>
        <v>8</v>
      </c>
      <c r="R127" s="13" t="n">
        <f aca="false">IF($G127="","",IFERROR(1/(1/INDEX(Map_Stats!$K$2:$K$850,MATCH($F127&amp;"|"&amp;$G127,Map_Stats!$A$2:$A$850,0))),$O127))</f>
        <v>0.58</v>
      </c>
      <c r="S127" s="10" t="n">
        <f aca="false">IF(OR($G127="",$P127=""),"",IFERROR(1/(1/INDEX(Map_Stats!$I$2:$I$850,MATCH($F127&amp;"|"&amp;$G127,Map_Stats!$A$2:$A$850,0))),$P127))</f>
        <v>0.649</v>
      </c>
      <c r="T127" s="13" t="n">
        <f aca="false">IF(OR($G127="",R127=""),"",IF($O127="",R127,(Q127*R127+Config!$B$4*$O127)/(Q127+Config!$B$4)))</f>
        <v>0.595384615384615</v>
      </c>
      <c r="U127" s="10" t="n">
        <f aca="false">IF(S127="","",(Q127*S127+Config!$B$4*$P127)/(Q127+Config!$B$4))</f>
        <v>0.622846153846154</v>
      </c>
      <c r="V127" s="17" t="n">
        <f aca="false">IF(OR(T127="",$J127=""),"",T127*$J127*($J127/Config!$B$10)^Config!$B$9)</f>
        <v>12.7174153846154</v>
      </c>
      <c r="W127" s="17" t="n">
        <f aca="false">IF(OR(V127="",U127=""),"",V127*U127)</f>
        <v>7.9209932591716</v>
      </c>
      <c r="X127" s="9" t="n">
        <f aca="false">IF($H127="",0,SUMIFS(Map_Stats!$F$2:$F$850,Map_Stats!$A$2:$A$850,$F127&amp;"|"&amp;$H127))</f>
        <v>8</v>
      </c>
      <c r="Y127" s="13" t="n">
        <f aca="false">IF($H127="","",IFERROR(1/(1/INDEX(Map_Stats!$K$2:$K$850,MATCH($F127&amp;"|"&amp;$H127,Map_Stats!$A$2:$A$850,0))),$O127))</f>
        <v>0.75</v>
      </c>
      <c r="Z127" s="10" t="n">
        <f aca="false">IF(OR($H127="",$P127=""),"",IFERROR(1/(1/INDEX(Map_Stats!$I$2:$I$850,MATCH($F127&amp;"|"&amp;$H127,Map_Stats!$A$2:$A$850,0))),$P127))</f>
        <v>0.608</v>
      </c>
      <c r="AA127" s="13" t="n">
        <f aca="false">IF(OR($H127="",Y127=""),"",IF($O127="",Y127,(X127*Y127+Config!$B$4*$O127)/(X127+Config!$B$4)))</f>
        <v>0.7</v>
      </c>
      <c r="AB127" s="10" t="n">
        <f aca="false">IF(Z127="","",(X127*Z127+Config!$B$4*$P127)/(X127+Config!$B$4))</f>
        <v>0.597615384615385</v>
      </c>
      <c r="AC127" s="17" t="n">
        <f aca="false">IF(OR(AA127="",$K127=""),"",AA127*$K127*($K127/Config!$B$10)^Config!$B$9)</f>
        <v>14.777</v>
      </c>
      <c r="AD127" s="17" t="n">
        <f aca="false">IF(OR(AC127="",AB127=""),"",AC127*AB127)</f>
        <v>8.83096253846154</v>
      </c>
      <c r="AE127" s="9" t="n">
        <f aca="false">IF($I127="",0,SUMIFS(Map_Stats!$F$2:$F$850,Map_Stats!$A$2:$A$850,$F127&amp;"|"&amp;$I127))</f>
        <v>6</v>
      </c>
      <c r="AF127" s="13" t="n">
        <f aca="false">IF($I127="","",IFERROR(1/(1/INDEX(Map_Stats!$K$2:$K$850,MATCH($F127&amp;"|"&amp;$I127,Map_Stats!$A$2:$A$850,0))),$O127))</f>
        <v>0.74</v>
      </c>
      <c r="AG127" s="10" t="n">
        <f aca="false">IF(OR($I127="",$P127=""),"",IFERROR(1/(1/INDEX(Map_Stats!$I$2:$I$850,MATCH($F127&amp;"|"&amp;$I127,Map_Stats!$A$2:$A$850,0))),$P127))</f>
        <v>0.523</v>
      </c>
      <c r="AH127" s="13" t="n">
        <f aca="false">IF(OR($I127="",AF127=""),"",IF($O127="",AF127,(AE127*AF127+Config!$B$4*$O127)/(AE127+Config!$B$4)))</f>
        <v>0.685454545454545</v>
      </c>
      <c r="AI127" s="10" t="n">
        <f aca="false">IF(AG127="","",(AE127*AG127+Config!$B$4*$P127)/(AE127+Config!$B$4))</f>
        <v>0.549363636363636</v>
      </c>
      <c r="AJ127" s="17" t="n">
        <f aca="false">IF(OR(AH127="",$L127=""),"",AH127*$L127*($L127/Config!$B$10)^Config!$B$9)</f>
        <v>14.5453454545455</v>
      </c>
      <c r="AK127" s="17" t="n">
        <f aca="false">IF(OR(AJ127="",AI127=""),"",AJ127*AI127)</f>
        <v>7.99068387107438</v>
      </c>
      <c r="AL127" s="17" t="n">
        <f aca="false">N(V127)+N(AC127)</f>
        <v>27.4944153846154</v>
      </c>
      <c r="AM127" s="17" t="n">
        <f aca="false">AL127+N($M127)*N(AJ127)</f>
        <v>34.2114559155245</v>
      </c>
      <c r="AN127" s="17" t="n">
        <f aca="false">IF(W127="","",N(W127)+N(AD127))</f>
        <v>16.7519557976331</v>
      </c>
      <c r="AO127" s="17" t="n">
        <f aca="false">IF(AN127="","",AN127+N($M127)*N(AK127))</f>
        <v>20.4420536092953</v>
      </c>
      <c r="AP127" s="10" t="n">
        <f aca="false">IFERROR(AN127/AL127,"")</f>
        <v>0.609285760882436</v>
      </c>
      <c r="AQ127" s="0" t="str">
        <f aca="false">TRIM(IF($N127&lt;Config!$B$12,"thin sample ("&amp;$N127&amp;" maps) · ","")&amp;IF(AND($G127&lt;&gt;"",Q127=0),"M1 unplayed→overall KPR · ","")&amp;IF(AND($H127&lt;&gt;"",X127=0),"M2 unplayed→overall KPR · ","")&amp;IF($O127="","no PickFinder stats",""))</f>
        <v/>
      </c>
      <c r="AR127" s="0" t="str">
        <f aca="false">IF($C127=Board!$B$2,COUNTIFS($C$2:$C$137,Board!$B$2,$AL$2:$AL$137,"&gt;"&amp;$AL127)+COUNTIFS($C$1:$C126,Board!$B$2,$AL$1:$AL126,$AL127)+1,"")</f>
        <v/>
      </c>
      <c r="AS127" s="0" t="str">
        <f aca="false">IFERROR(IF($D127=INDEX(Matches!$AD$5:$AD$23,MATCH($C127,Matches!$A$5:$A$23,0)),"A",IF($D127=INDEX(Matches!$AE$5:$AE$23,MATCH($C127,Matches!$A$5:$A$23,0)),"B","")),"")</f>
        <v>A</v>
      </c>
      <c r="AT127" s="10" t="n">
        <f aca="false">IF($AS127="","",IFERROR(IF($AS127="A",INDEX(Matches!$AI$5:$AI$23,MATCH($C127,Matches!$A$5:$A$23,0)),INDEX(Matches!$AJ$5:$AJ$23,MATCH($C127,Matches!$A$5:$A$23,0))),""))</f>
        <v>0.565385656893724</v>
      </c>
      <c r="AU127" s="10" t="n">
        <f aca="false">IF($AS127="","",IFERROR(IF(INDEX(Matches!$AP$5:$AP$23,MATCH($C127,Matches!$A$5:$A$23,0))="","",IF($AS127="A",INDEX(Matches!$AP$5:$AP$23,MATCH($C127,Matches!$A$5:$A$23,0)),1-INDEX(Matches!$AP$5:$AP$23,MATCH($C127,Matches!$A$5:$A$23,0)))),""))</f>
        <v>0.546102241466144</v>
      </c>
      <c r="AV127" s="13" t="n">
        <f aca="false">IF(OR($AU127="",$AT127=""),1,((Config!$B$14*$AU127+Config!$B$15*(1-$AU127))/(Config!$B$14*$AT127+Config!$B$15*(1-$AT127)))^Config!$B$13)</f>
        <v>0.983719289368788</v>
      </c>
      <c r="AW127" s="10" t="n">
        <f aca="false">IF($AS127="","",IFERROR(IF(INDEX(Matches!$AV$5:$AV$23,MATCH($C127,Matches!$A$5:$A$23,0))="","",IF($AS127="A",INDEX(Matches!$AV$5:$AV$23,MATCH($C127,Matches!$A$5:$A$23,0)),1-INDEX(Matches!$AV$5:$AV$23,MATCH($C127,Matches!$A$5:$A$23,0)))),""))</f>
        <v>0.544621634533351</v>
      </c>
      <c r="AX127" s="13" t="n">
        <f aca="false">IF(OR($AW127="",$AT127=""),1,((Config!$B$14*$AW127+Config!$B$15*(1-$AW127))/(Config!$B$14*$AT127+Config!$B$15*(1-$AT127)))^Config!$B$13)</f>
        <v>0.982469234204966</v>
      </c>
      <c r="AY127" s="10" t="n">
        <f aca="false">IF($AS127="","",IFERROR(IF(INDEX(Matches!$BB$5:$BB$23,MATCH($C127,Matches!$A$5:$A$23,0))="","",IF($AS127="A",INDEX(Matches!$BB$5:$BB$23,MATCH($C127,Matches!$A$5:$A$23,0)),1-INDEX(Matches!$BB$5:$BB$23,MATCH($C127,Matches!$A$5:$A$23,0)))),""))</f>
        <v>0.571711054418312</v>
      </c>
      <c r="AZ127" s="13" t="n">
        <f aca="false">IF(OR($AY127="",$AT127=""),1,((Config!$B$14*$AY127+Config!$B$15*(1-$AY127))/(Config!$B$14*$AT127+Config!$B$15*(1-$AT127)))^Config!$B$13)</f>
        <v>1.00534044226304</v>
      </c>
      <c r="BA127" s="17" t="n">
        <f aca="false">IF(V127="","",V127*$AV127)</f>
        <v>12.5103668247615</v>
      </c>
      <c r="BB127" s="17" t="n">
        <f aca="false">IF(AC127="","",AC127*$AX127)</f>
        <v>14.5179478738468</v>
      </c>
      <c r="BC127" s="17" t="n">
        <f aca="false">IF(AJ127="","",AJ127*$AZ127)</f>
        <v>14.6230240321414</v>
      </c>
      <c r="BD127" s="17" t="n">
        <f aca="false">N(BA127)+N(BB127)</f>
        <v>27.0283146986083</v>
      </c>
      <c r="BE127" s="17" t="n">
        <f aca="false">BD127+N($M127)*N(BC127)</f>
        <v>33.7812271966512</v>
      </c>
      <c r="BF127" s="17" t="n">
        <f aca="false">IF(W127="","",W127*$AV127)</f>
        <v>7.79203386000724</v>
      </c>
      <c r="BG127" s="17" t="n">
        <f aca="false">IF(AD127="","",AD127*$AX127)</f>
        <v>8.67614900245505</v>
      </c>
      <c r="BH127" s="17" t="n">
        <f aca="false">IF(AK127="","",AK127*$AZ127)</f>
        <v>8.03335765693006</v>
      </c>
      <c r="BI127" s="17" t="n">
        <f aca="false">IF(BF127="","",N(BF127)+N(BG127))</f>
        <v>16.4681828624623</v>
      </c>
      <c r="BJ127" s="17" t="n">
        <f aca="false">IF(BI127="","",BI127+N($M127)*N(BH127))</f>
        <v>20.1779874284326</v>
      </c>
      <c r="BK127" s="13" t="n">
        <f aca="false">IFERROR(BD127/AL127,1)</f>
        <v>0.983047441471774</v>
      </c>
    </row>
    <row r="128" customFormat="false" ht="15" hidden="false" customHeight="false" outlineLevel="0" collapsed="false">
      <c r="A128" s="0" t="s">
        <v>1586</v>
      </c>
      <c r="B128" s="0" t="s">
        <v>1139</v>
      </c>
      <c r="C128" s="0" t="s">
        <v>1161</v>
      </c>
      <c r="D128" s="0" t="s">
        <v>1165</v>
      </c>
      <c r="E128" s="0" t="s">
        <v>1585</v>
      </c>
      <c r="F128" s="0" t="s">
        <v>1785</v>
      </c>
      <c r="G128" s="0" t="str">
        <f aca="false">IFERROR(IF(INDEX(Matches!$W$5:$W$23,MATCH($C128,Matches!$A$5:$A$23,0))="","",INDEX(Matches!$W$5:$W$23,MATCH($C128,Matches!$A$5:$A$23,0))),"")</f>
        <v>Dust2</v>
      </c>
      <c r="H128" s="0" t="str">
        <f aca="false">IFERROR(IF(INDEX(Matches!$X$5:$X$23,MATCH($C128,Matches!$A$5:$A$23,0))="","",INDEX(Matches!$X$5:$X$23,MATCH($C128,Matches!$A$5:$A$23,0))),"")</f>
        <v>Mirage</v>
      </c>
      <c r="I128" s="0" t="str">
        <f aca="false">IFERROR(IF(INDEX(Matches!$Y$5:$Y$23,MATCH($C128,Matches!$A$5:$A$23,0))="","",INDEX(Matches!$Y$5:$Y$23,MATCH($C128,Matches!$A$5:$A$23,0))),"")</f>
        <v>Inferno</v>
      </c>
      <c r="J128" s="11" t="n">
        <f aca="false">IFERROR(IF(INDEX(Matches!$Z$5:$Z$23,MATCH($C128,Matches!$A$5:$A$23,0))="","",INDEX(Matches!$Z$5:$Z$23,MATCH($C128,Matches!$A$5:$A$23,0))),"")</f>
        <v>21.36</v>
      </c>
      <c r="K128" s="11" t="n">
        <f aca="false">IFERROR(IF(INDEX(Matches!$AA$5:$AA$23,MATCH($C128,Matches!$A$5:$A$23,0))="","",INDEX(Matches!$AA$5:$AA$23,MATCH($C128,Matches!$A$5:$A$23,0))),"")</f>
        <v>21.11</v>
      </c>
      <c r="L128" s="11" t="n">
        <f aca="false">IFERROR(IF(INDEX(Matches!$AB$5:$AB$23,MATCH($C128,Matches!$A$5:$A$23,0))="","",INDEX(Matches!$AB$5:$AB$23,MATCH($C128,Matches!$A$5:$A$23,0))),"")</f>
        <v>21.22</v>
      </c>
      <c r="M128" s="10" t="n">
        <f aca="false">IFERROR(IF(INDEX(Matches!$AC$5:$AC$23,MATCH($C128,Matches!$A$5:$A$23,0))="","",INDEX(Matches!$AC$5:$AC$23,MATCH($C128,Matches!$A$5:$A$23,0))),"")</f>
        <v>0.4618</v>
      </c>
      <c r="N128" s="9" t="n">
        <f aca="false">IFERROR(INDEX(Players!$F$2:$F$137,MATCH($F128,Players!$A$2:$A$137,0)),0)</f>
        <v>38</v>
      </c>
      <c r="O128" s="13" t="n">
        <f aca="false">IFERROR(1/(1/INDEX(Players!$H$2:$H$137,MATCH($F128,Players!$A$2:$A$137,0))),"")</f>
        <v>0.74</v>
      </c>
      <c r="P128" s="10" t="n">
        <f aca="false">IFERROR(1/(1/INDEX(Players!$I$2:$I$137,MATCH($F128,Players!$A$2:$A$137,0))),"")</f>
        <v>0.528</v>
      </c>
      <c r="Q128" s="9" t="n">
        <f aca="false">IF($G128="",0,SUMIFS(Map_Stats!$F$2:$F$850,Map_Stats!$A$2:$A$850,$F128&amp;"|"&amp;$G128))</f>
        <v>8</v>
      </c>
      <c r="R128" s="13" t="n">
        <f aca="false">IF($G128="","",IFERROR(1/(1/INDEX(Map_Stats!$K$2:$K$850,MATCH($F128&amp;"|"&amp;$G128,Map_Stats!$A$2:$A$850,0))),$O128))</f>
        <v>0.78</v>
      </c>
      <c r="S128" s="10" t="n">
        <f aca="false">IF(OR($G128="",$P128=""),"",IFERROR(1/(1/INDEX(Map_Stats!$I$2:$I$850,MATCH($F128&amp;"|"&amp;$G128,Map_Stats!$A$2:$A$850,0))),$P128))</f>
        <v>0.538</v>
      </c>
      <c r="T128" s="13" t="n">
        <f aca="false">IF(OR($G128="",R128=""),"",IF($O128="",R128,(Q128*R128+Config!$B$4*$O128)/(Q128+Config!$B$4)))</f>
        <v>0.764615384615385</v>
      </c>
      <c r="U128" s="10" t="n">
        <f aca="false">IF(S128="","",(Q128*S128+Config!$B$4*$P128)/(Q128+Config!$B$4))</f>
        <v>0.534153846153846</v>
      </c>
      <c r="V128" s="17" t="n">
        <f aca="false">IF(OR(T128="",$J128=""),"",T128*$J128*($J128/Config!$B$10)^Config!$B$9)</f>
        <v>16.3321846153846</v>
      </c>
      <c r="W128" s="17" t="n">
        <f aca="false">IF(OR(V128="",U128=""),"",V128*U128)</f>
        <v>8.72389922840237</v>
      </c>
      <c r="X128" s="9" t="n">
        <f aca="false">IF($H128="",0,SUMIFS(Map_Stats!$F$2:$F$850,Map_Stats!$A$2:$A$850,$F128&amp;"|"&amp;$H128))</f>
        <v>8</v>
      </c>
      <c r="Y128" s="13" t="n">
        <f aca="false">IF($H128="","",IFERROR(1/(1/INDEX(Map_Stats!$K$2:$K$850,MATCH($F128&amp;"|"&amp;$H128,Map_Stats!$A$2:$A$850,0))),$O128))</f>
        <v>0.78</v>
      </c>
      <c r="Z128" s="10" t="n">
        <f aca="false">IF(OR($H128="",$P128=""),"",IFERROR(1/(1/INDEX(Map_Stats!$I$2:$I$850,MATCH($F128&amp;"|"&amp;$H128,Map_Stats!$A$2:$A$850,0))),$P128))</f>
        <v>0.536</v>
      </c>
      <c r="AA128" s="13" t="n">
        <f aca="false">IF(OR($H128="",Y128=""),"",IF($O128="",Y128,(X128*Y128+Config!$B$4*$O128)/(X128+Config!$B$4)))</f>
        <v>0.764615384615385</v>
      </c>
      <c r="AB128" s="10" t="n">
        <f aca="false">IF(Z128="","",(X128*Z128+Config!$B$4*$P128)/(X128+Config!$B$4))</f>
        <v>0.532923076923077</v>
      </c>
      <c r="AC128" s="17" t="n">
        <f aca="false">IF(OR(AA128="",$K128=""),"",AA128*$K128*($K128/Config!$B$10)^Config!$B$9)</f>
        <v>16.1410307692308</v>
      </c>
      <c r="AD128" s="17" t="n">
        <f aca="false">IF(OR(AC128="",AB128=""),"",AC128*AB128)</f>
        <v>8.60192778224852</v>
      </c>
      <c r="AE128" s="9" t="n">
        <f aca="false">IF($I128="",0,SUMIFS(Map_Stats!$F$2:$F$850,Map_Stats!$A$2:$A$850,$F128&amp;"|"&amp;$I128))</f>
        <v>6</v>
      </c>
      <c r="AF128" s="13" t="n">
        <f aca="false">IF($I128="","",IFERROR(1/(1/INDEX(Map_Stats!$K$2:$K$850,MATCH($F128&amp;"|"&amp;$I128,Map_Stats!$A$2:$A$850,0))),$O128))</f>
        <v>0.73</v>
      </c>
      <c r="AG128" s="10" t="n">
        <f aca="false">IF(OR($I128="",$P128=""),"",IFERROR(1/(1/INDEX(Map_Stats!$I$2:$I$850,MATCH($F128&amp;"|"&amp;$I128,Map_Stats!$A$2:$A$850,0))),$P128))</f>
        <v>0.624</v>
      </c>
      <c r="AH128" s="13" t="n">
        <f aca="false">IF(OR($I128="",AF128=""),"",IF($O128="",AF128,(AE128*AF128+Config!$B$4*$O128)/(AE128+Config!$B$4)))</f>
        <v>0.734545454545455</v>
      </c>
      <c r="AI128" s="10" t="n">
        <f aca="false">IF(AG128="","",(AE128*AG128+Config!$B$4*$P128)/(AE128+Config!$B$4))</f>
        <v>0.580363636363636</v>
      </c>
      <c r="AJ128" s="17" t="n">
        <f aca="false">IF(OR(AH128="",$L128=""),"",AH128*$L128*($L128/Config!$B$10)^Config!$B$9)</f>
        <v>15.5870545454546</v>
      </c>
      <c r="AK128" s="17" t="n">
        <f aca="false">IF(OR(AJ128="",AI128=""),"",AJ128*AI128)</f>
        <v>9.04615965619835</v>
      </c>
      <c r="AL128" s="17" t="n">
        <f aca="false">N(V128)+N(AC128)</f>
        <v>32.4732153846154</v>
      </c>
      <c r="AM128" s="17" t="n">
        <f aca="false">AL128+N($M128)*N(AJ128)</f>
        <v>39.6713171737063</v>
      </c>
      <c r="AN128" s="17" t="n">
        <f aca="false">IF(W128="","",N(W128)+N(AD128))</f>
        <v>17.3258270106509</v>
      </c>
      <c r="AO128" s="17" t="n">
        <f aca="false">IF(AN128="","",AN128+N($M128)*N(AK128))</f>
        <v>21.5033435398833</v>
      </c>
      <c r="AP128" s="10" t="n">
        <f aca="false">IFERROR(AN128/AL128,"")</f>
        <v>0.533542084004999</v>
      </c>
      <c r="AQ128" s="0" t="str">
        <f aca="false">TRIM(IF($N128&lt;Config!$B$12,"thin sample ("&amp;$N128&amp;" maps) · ","")&amp;IF(AND($G128&lt;&gt;"",Q128=0),"M1 unplayed→overall KPR · ","")&amp;IF(AND($H128&lt;&gt;"",X128=0),"M2 unplayed→overall KPR · ","")&amp;IF($O128="","no PickFinder stats",""))</f>
        <v/>
      </c>
      <c r="AR128" s="0" t="str">
        <f aca="false">IF($C128=Board!$B$2,COUNTIFS($C$2:$C$137,Board!$B$2,$AL$2:$AL$137,"&gt;"&amp;$AL128)+COUNTIFS($C$1:$C127,Board!$B$2,$AL$1:$AL127,$AL128)+1,"")</f>
        <v/>
      </c>
      <c r="AS128" s="0" t="str">
        <f aca="false">IFERROR(IF($D128=INDEX(Matches!$AD$5:$AD$23,MATCH($C128,Matches!$A$5:$A$23,0)),"A",IF($D128=INDEX(Matches!$AE$5:$AE$23,MATCH($C128,Matches!$A$5:$A$23,0)),"B","")),"")</f>
        <v>A</v>
      </c>
      <c r="AT128" s="10" t="n">
        <f aca="false">IF($AS128="","",IFERROR(IF($AS128="A",INDEX(Matches!$AI$5:$AI$23,MATCH($C128,Matches!$A$5:$A$23,0)),INDEX(Matches!$AJ$5:$AJ$23,MATCH($C128,Matches!$A$5:$A$23,0))),""))</f>
        <v>0.565385656893724</v>
      </c>
      <c r="AU128" s="10" t="n">
        <f aca="false">IF($AS128="","",IFERROR(IF(INDEX(Matches!$AP$5:$AP$23,MATCH($C128,Matches!$A$5:$A$23,0))="","",IF($AS128="A",INDEX(Matches!$AP$5:$AP$23,MATCH($C128,Matches!$A$5:$A$23,0)),1-INDEX(Matches!$AP$5:$AP$23,MATCH($C128,Matches!$A$5:$A$23,0)))),""))</f>
        <v>0.546102241466144</v>
      </c>
      <c r="AV128" s="13" t="n">
        <f aca="false">IF(OR($AU128="",$AT128=""),1,((Config!$B$14*$AU128+Config!$B$15*(1-$AU128))/(Config!$B$14*$AT128+Config!$B$15*(1-$AT128)))^Config!$B$13)</f>
        <v>0.983719289368788</v>
      </c>
      <c r="AW128" s="10" t="n">
        <f aca="false">IF($AS128="","",IFERROR(IF(INDEX(Matches!$AV$5:$AV$23,MATCH($C128,Matches!$A$5:$A$23,0))="","",IF($AS128="A",INDEX(Matches!$AV$5:$AV$23,MATCH($C128,Matches!$A$5:$A$23,0)),1-INDEX(Matches!$AV$5:$AV$23,MATCH($C128,Matches!$A$5:$A$23,0)))),""))</f>
        <v>0.544621634533351</v>
      </c>
      <c r="AX128" s="13" t="n">
        <f aca="false">IF(OR($AW128="",$AT128=""),1,((Config!$B$14*$AW128+Config!$B$15*(1-$AW128))/(Config!$B$14*$AT128+Config!$B$15*(1-$AT128)))^Config!$B$13)</f>
        <v>0.982469234204966</v>
      </c>
      <c r="AY128" s="10" t="n">
        <f aca="false">IF($AS128="","",IFERROR(IF(INDEX(Matches!$BB$5:$BB$23,MATCH($C128,Matches!$A$5:$A$23,0))="","",IF($AS128="A",INDEX(Matches!$BB$5:$BB$23,MATCH($C128,Matches!$A$5:$A$23,0)),1-INDEX(Matches!$BB$5:$BB$23,MATCH($C128,Matches!$A$5:$A$23,0)))),""))</f>
        <v>0.571711054418312</v>
      </c>
      <c r="AZ128" s="13" t="n">
        <f aca="false">IF(OR($AY128="",$AT128=""),1,((Config!$B$14*$AY128+Config!$B$15*(1-$AY128))/(Config!$B$14*$AT128+Config!$B$15*(1-$AT128)))^Config!$B$13)</f>
        <v>1.00534044226304</v>
      </c>
      <c r="BA128" s="17" t="n">
        <f aca="false">IF(V128="","",V128*$AV128)</f>
        <v>16.066285043686</v>
      </c>
      <c r="BB128" s="17" t="n">
        <f aca="false">IF(AC128="","",AC128*$AX128)</f>
        <v>15.858066139125</v>
      </c>
      <c r="BC128" s="17" t="n">
        <f aca="false">IF(AJ128="","",AJ128*$AZ128)</f>
        <v>15.6702963103054</v>
      </c>
      <c r="BD128" s="17" t="n">
        <f aca="false">N(BA128)+N(BB128)</f>
        <v>31.924351182811</v>
      </c>
      <c r="BE128" s="17" t="n">
        <f aca="false">BD128+N($M128)*N(BC128)</f>
        <v>39.16089401891</v>
      </c>
      <c r="BF128" s="17" t="n">
        <f aca="false">IF(W128="","",W128*$AV128)</f>
        <v>8.58186794948889</v>
      </c>
      <c r="BG128" s="17" t="n">
        <f aca="false">IF(AD128="","",AD128*$AX128)</f>
        <v>8.45112940091213</v>
      </c>
      <c r="BH128" s="17" t="n">
        <f aca="false">IF(AK128="","",AK128*$AZ128)</f>
        <v>9.09447014954452</v>
      </c>
      <c r="BI128" s="17" t="n">
        <f aca="false">IF(BF128="","",N(BF128)+N(BG128))</f>
        <v>17.032997350401</v>
      </c>
      <c r="BJ128" s="17" t="n">
        <f aca="false">IF(BI128="","",BI128+N($M128)*N(BH128))</f>
        <v>21.2328236654607</v>
      </c>
      <c r="BK128" s="13" t="n">
        <f aca="false">IFERROR(BD128/AL128,1)</f>
        <v>0.983097941016815</v>
      </c>
    </row>
    <row r="129" customFormat="false" ht="15" hidden="false" customHeight="false" outlineLevel="0" collapsed="false">
      <c r="A129" s="0" t="s">
        <v>1590</v>
      </c>
      <c r="B129" s="0" t="s">
        <v>1139</v>
      </c>
      <c r="C129" s="0" t="s">
        <v>1161</v>
      </c>
      <c r="D129" s="0" t="s">
        <v>1165</v>
      </c>
      <c r="E129" s="0" t="s">
        <v>1588</v>
      </c>
      <c r="F129" s="0" t="s">
        <v>1786</v>
      </c>
      <c r="G129" s="0" t="str">
        <f aca="false">IFERROR(IF(INDEX(Matches!$W$5:$W$23,MATCH($C129,Matches!$A$5:$A$23,0))="","",INDEX(Matches!$W$5:$W$23,MATCH($C129,Matches!$A$5:$A$23,0))),"")</f>
        <v>Dust2</v>
      </c>
      <c r="H129" s="0" t="str">
        <f aca="false">IFERROR(IF(INDEX(Matches!$X$5:$X$23,MATCH($C129,Matches!$A$5:$A$23,0))="","",INDEX(Matches!$X$5:$X$23,MATCH($C129,Matches!$A$5:$A$23,0))),"")</f>
        <v>Mirage</v>
      </c>
      <c r="I129" s="0" t="str">
        <f aca="false">IFERROR(IF(INDEX(Matches!$Y$5:$Y$23,MATCH($C129,Matches!$A$5:$A$23,0))="","",INDEX(Matches!$Y$5:$Y$23,MATCH($C129,Matches!$A$5:$A$23,0))),"")</f>
        <v>Inferno</v>
      </c>
      <c r="J129" s="11" t="n">
        <f aca="false">IFERROR(IF(INDEX(Matches!$Z$5:$Z$23,MATCH($C129,Matches!$A$5:$A$23,0))="","",INDEX(Matches!$Z$5:$Z$23,MATCH($C129,Matches!$A$5:$A$23,0))),"")</f>
        <v>21.36</v>
      </c>
      <c r="K129" s="11" t="n">
        <f aca="false">IFERROR(IF(INDEX(Matches!$AA$5:$AA$23,MATCH($C129,Matches!$A$5:$A$23,0))="","",INDEX(Matches!$AA$5:$AA$23,MATCH($C129,Matches!$A$5:$A$23,0))),"")</f>
        <v>21.11</v>
      </c>
      <c r="L129" s="11" t="n">
        <f aca="false">IFERROR(IF(INDEX(Matches!$AB$5:$AB$23,MATCH($C129,Matches!$A$5:$A$23,0))="","",INDEX(Matches!$AB$5:$AB$23,MATCH($C129,Matches!$A$5:$A$23,0))),"")</f>
        <v>21.22</v>
      </c>
      <c r="M129" s="10" t="n">
        <f aca="false">IFERROR(IF(INDEX(Matches!$AC$5:$AC$23,MATCH($C129,Matches!$A$5:$A$23,0))="","",INDEX(Matches!$AC$5:$AC$23,MATCH($C129,Matches!$A$5:$A$23,0))),"")</f>
        <v>0.4618</v>
      </c>
      <c r="N129" s="9" t="n">
        <f aca="false">IFERROR(INDEX(Players!$F$2:$F$137,MATCH($F129,Players!$A$2:$A$137,0)),0)</f>
        <v>38</v>
      </c>
      <c r="O129" s="13" t="n">
        <f aca="false">IFERROR(1/(1/INDEX(Players!$H$2:$H$137,MATCH($F129,Players!$A$2:$A$137,0))),"")</f>
        <v>0.87</v>
      </c>
      <c r="P129" s="10" t="n">
        <f aca="false">IFERROR(1/(1/INDEX(Players!$I$2:$I$137,MATCH($F129,Players!$A$2:$A$137,0))),"")</f>
        <v>0.429</v>
      </c>
      <c r="Q129" s="9" t="n">
        <f aca="false">IF($G129="",0,SUMIFS(Map_Stats!$F$2:$F$850,Map_Stats!$A$2:$A$850,$F129&amp;"|"&amp;$G129))</f>
        <v>8</v>
      </c>
      <c r="R129" s="13" t="n">
        <f aca="false">IF($G129="","",IFERROR(1/(1/INDEX(Map_Stats!$K$2:$K$850,MATCH($F129&amp;"|"&amp;$G129,Map_Stats!$A$2:$A$850,0))),$O129))</f>
        <v>0.91</v>
      </c>
      <c r="S129" s="10" t="n">
        <f aca="false">IF(OR($G129="",$P129=""),"",IFERROR(1/(1/INDEX(Map_Stats!$I$2:$I$850,MATCH($F129&amp;"|"&amp;$G129,Map_Stats!$A$2:$A$850,0))),$P129))</f>
        <v>0.424</v>
      </c>
      <c r="T129" s="13" t="n">
        <f aca="false">IF(OR($G129="",R129=""),"",IF($O129="",R129,(Q129*R129+Config!$B$4*$O129)/(Q129+Config!$B$4)))</f>
        <v>0.894615384615385</v>
      </c>
      <c r="U129" s="10" t="n">
        <f aca="false">IF(S129="","",(Q129*S129+Config!$B$4*$P129)/(Q129+Config!$B$4))</f>
        <v>0.425923076923077</v>
      </c>
      <c r="V129" s="17" t="n">
        <f aca="false">IF(OR(T129="",$J129=""),"",T129*$J129*($J129/Config!$B$10)^Config!$B$9)</f>
        <v>19.1089846153846</v>
      </c>
      <c r="W129" s="17" t="n">
        <f aca="false">IF(OR(V129="",U129=""),"",V129*U129)</f>
        <v>8.13895752426036</v>
      </c>
      <c r="X129" s="9" t="n">
        <f aca="false">IF($H129="",0,SUMIFS(Map_Stats!$F$2:$F$850,Map_Stats!$A$2:$A$850,$F129&amp;"|"&amp;$H129))</f>
        <v>8</v>
      </c>
      <c r="Y129" s="13" t="n">
        <f aca="false">IF($H129="","",IFERROR(1/(1/INDEX(Map_Stats!$K$2:$K$850,MATCH($F129&amp;"|"&amp;$H129,Map_Stats!$A$2:$A$850,0))),$O129))</f>
        <v>0.88</v>
      </c>
      <c r="Z129" s="10" t="n">
        <f aca="false">IF(OR($H129="",$P129=""),"",IFERROR(1/(1/INDEX(Map_Stats!$I$2:$I$850,MATCH($F129&amp;"|"&amp;$H129,Map_Stats!$A$2:$A$850,0))),$P129))</f>
        <v>0.317</v>
      </c>
      <c r="AA129" s="13" t="n">
        <f aca="false">IF(OR($H129="",Y129=""),"",IF($O129="",Y129,(X129*Y129+Config!$B$4*$O129)/(X129+Config!$B$4)))</f>
        <v>0.876153846153846</v>
      </c>
      <c r="AB129" s="10" t="n">
        <f aca="false">IF(Z129="","",(X129*Z129+Config!$B$4*$P129)/(X129+Config!$B$4))</f>
        <v>0.360076923076923</v>
      </c>
      <c r="AC129" s="17" t="n">
        <f aca="false">IF(OR(AA129="",$K129=""),"",AA129*$K129*($K129/Config!$B$10)^Config!$B$9)</f>
        <v>18.4956076923077</v>
      </c>
      <c r="AD129" s="17" t="n">
        <f aca="false">IF(OR(AC129="",AB129=""),"",AC129*AB129)</f>
        <v>6.65984150828402</v>
      </c>
      <c r="AE129" s="9" t="n">
        <f aca="false">IF($I129="",0,SUMIFS(Map_Stats!$F$2:$F$850,Map_Stats!$A$2:$A$850,$F129&amp;"|"&amp;$I129))</f>
        <v>6</v>
      </c>
      <c r="AF129" s="13" t="n">
        <f aca="false">IF($I129="","",IFERROR(1/(1/INDEX(Map_Stats!$K$2:$K$850,MATCH($F129&amp;"|"&amp;$I129,Map_Stats!$A$2:$A$850,0))),$O129))</f>
        <v>0.79</v>
      </c>
      <c r="AG129" s="10" t="n">
        <f aca="false">IF(OR($I129="",$P129=""),"",IFERROR(1/(1/INDEX(Map_Stats!$I$2:$I$850,MATCH($F129&amp;"|"&amp;$I129,Map_Stats!$A$2:$A$850,0))),$P129))</f>
        <v>0.467</v>
      </c>
      <c r="AH129" s="13" t="n">
        <f aca="false">IF(OR($I129="",AF129=""),"",IF($O129="",AF129,(AE129*AF129+Config!$B$4*$O129)/(AE129+Config!$B$4)))</f>
        <v>0.826363636363636</v>
      </c>
      <c r="AI129" s="10" t="n">
        <f aca="false">IF(AG129="","",(AE129*AG129+Config!$B$4*$P129)/(AE129+Config!$B$4))</f>
        <v>0.449727272727273</v>
      </c>
      <c r="AJ129" s="17" t="n">
        <f aca="false">IF(OR(AH129="",$L129=""),"",AH129*$L129*($L129/Config!$B$10)^Config!$B$9)</f>
        <v>17.5354363636364</v>
      </c>
      <c r="AK129" s="17" t="n">
        <f aca="false">IF(OR(AJ129="",AI129=""),"",AJ129*AI129)</f>
        <v>7.88616397190083</v>
      </c>
      <c r="AL129" s="17" t="n">
        <f aca="false">N(V129)+N(AC129)</f>
        <v>37.6045923076923</v>
      </c>
      <c r="AM129" s="17" t="n">
        <f aca="false">AL129+N($M129)*N(AJ129)</f>
        <v>45.7024568204196</v>
      </c>
      <c r="AN129" s="17" t="n">
        <f aca="false">IF(W129="","",N(W129)+N(AD129))</f>
        <v>14.7987990325444</v>
      </c>
      <c r="AO129" s="17" t="n">
        <f aca="false">IF(AN129="","",AN129+N($M129)*N(AK129))</f>
        <v>18.4406295547682</v>
      </c>
      <c r="AP129" s="10" t="n">
        <f aca="false">IFERROR(AN129/AL129,"")</f>
        <v>0.393537015677662</v>
      </c>
      <c r="AQ129" s="0" t="str">
        <f aca="false">TRIM(IF($N129&lt;Config!$B$12,"thin sample ("&amp;$N129&amp;" maps) · ","")&amp;IF(AND($G129&lt;&gt;"",Q129=0),"M1 unplayed→overall KPR · ","")&amp;IF(AND($H129&lt;&gt;"",X129=0),"M2 unplayed→overall KPR · ","")&amp;IF($O129="","no PickFinder stats",""))</f>
        <v/>
      </c>
      <c r="AR129" s="0" t="str">
        <f aca="false">IF($C129=Board!$B$2,COUNTIFS($C$2:$C$137,Board!$B$2,$AL$2:$AL$137,"&gt;"&amp;$AL129)+COUNTIFS($C$1:$C128,Board!$B$2,$AL$1:$AL128,$AL129)+1,"")</f>
        <v/>
      </c>
      <c r="AS129" s="0" t="str">
        <f aca="false">IFERROR(IF($D129=INDEX(Matches!$AD$5:$AD$23,MATCH($C129,Matches!$A$5:$A$23,0)),"A",IF($D129=INDEX(Matches!$AE$5:$AE$23,MATCH($C129,Matches!$A$5:$A$23,0)),"B","")),"")</f>
        <v>A</v>
      </c>
      <c r="AT129" s="10" t="n">
        <f aca="false">IF($AS129="","",IFERROR(IF($AS129="A",INDEX(Matches!$AI$5:$AI$23,MATCH($C129,Matches!$A$5:$A$23,0)),INDEX(Matches!$AJ$5:$AJ$23,MATCH($C129,Matches!$A$5:$A$23,0))),""))</f>
        <v>0.565385656893724</v>
      </c>
      <c r="AU129" s="10" t="n">
        <f aca="false">IF($AS129="","",IFERROR(IF(INDEX(Matches!$AP$5:$AP$23,MATCH($C129,Matches!$A$5:$A$23,0))="","",IF($AS129="A",INDEX(Matches!$AP$5:$AP$23,MATCH($C129,Matches!$A$5:$A$23,0)),1-INDEX(Matches!$AP$5:$AP$23,MATCH($C129,Matches!$A$5:$A$23,0)))),""))</f>
        <v>0.546102241466144</v>
      </c>
      <c r="AV129" s="13" t="n">
        <f aca="false">IF(OR($AU129="",$AT129=""),1,((Config!$B$14*$AU129+Config!$B$15*(1-$AU129))/(Config!$B$14*$AT129+Config!$B$15*(1-$AT129)))^Config!$B$13)</f>
        <v>0.983719289368788</v>
      </c>
      <c r="AW129" s="10" t="n">
        <f aca="false">IF($AS129="","",IFERROR(IF(INDEX(Matches!$AV$5:$AV$23,MATCH($C129,Matches!$A$5:$A$23,0))="","",IF($AS129="A",INDEX(Matches!$AV$5:$AV$23,MATCH($C129,Matches!$A$5:$A$23,0)),1-INDEX(Matches!$AV$5:$AV$23,MATCH($C129,Matches!$A$5:$A$23,0)))),""))</f>
        <v>0.544621634533351</v>
      </c>
      <c r="AX129" s="13" t="n">
        <f aca="false">IF(OR($AW129="",$AT129=""),1,((Config!$B$14*$AW129+Config!$B$15*(1-$AW129))/(Config!$B$14*$AT129+Config!$B$15*(1-$AT129)))^Config!$B$13)</f>
        <v>0.982469234204966</v>
      </c>
      <c r="AY129" s="10" t="n">
        <f aca="false">IF($AS129="","",IFERROR(IF(INDEX(Matches!$BB$5:$BB$23,MATCH($C129,Matches!$A$5:$A$23,0))="","",IF($AS129="A",INDEX(Matches!$BB$5:$BB$23,MATCH($C129,Matches!$A$5:$A$23,0)),1-INDEX(Matches!$BB$5:$BB$23,MATCH($C129,Matches!$A$5:$A$23,0)))),""))</f>
        <v>0.571711054418312</v>
      </c>
      <c r="AZ129" s="13" t="n">
        <f aca="false">IF(OR($AY129="",$AT129=""),1,((Config!$B$14*$AY129+Config!$B$15*(1-$AY129))/(Config!$B$14*$AT129+Config!$B$15*(1-$AT129)))^Config!$B$13)</f>
        <v>1.00534044226304</v>
      </c>
      <c r="BA129" s="17" t="n">
        <f aca="false">IF(V129="","",V129*$AV129)</f>
        <v>18.7978767664053</v>
      </c>
      <c r="BB129" s="17" t="n">
        <f aca="false">IF(AC129="","",AC129*$AX129)</f>
        <v>18.171365525617</v>
      </c>
      <c r="BC129" s="17" t="n">
        <f aca="false">IF(AJ129="","",AJ129*$AZ129)</f>
        <v>17.6290833490936</v>
      </c>
      <c r="BD129" s="17" t="n">
        <f aca="false">N(BA129)+N(BB129)</f>
        <v>36.9692422920223</v>
      </c>
      <c r="BE129" s="17" t="n">
        <f aca="false">BD129+N($M129)*N(BC129)</f>
        <v>45.1103529826337</v>
      </c>
      <c r="BF129" s="17" t="n">
        <f aca="false">IF(W129="","",W129*$AV129)</f>
        <v>8.00644951196815</v>
      </c>
      <c r="BG129" s="17" t="n">
        <f aca="false">IF(AD129="","",AD129*$AX129)</f>
        <v>6.54308938657025</v>
      </c>
      <c r="BH129" s="17" t="n">
        <f aca="false">IF(AK129="","",AK129*$AZ129)</f>
        <v>7.92827957526963</v>
      </c>
      <c r="BI129" s="17" t="n">
        <f aca="false">IF(BF129="","",N(BF129)+N(BG129))</f>
        <v>14.5495388985384</v>
      </c>
      <c r="BJ129" s="17" t="n">
        <f aca="false">IF(BI129="","",BI129+N($M129)*N(BH129))</f>
        <v>18.2108184063979</v>
      </c>
      <c r="BK129" s="13" t="n">
        <f aca="false">IFERROR(BD129/AL129,1)</f>
        <v>0.983104456751681</v>
      </c>
    </row>
    <row r="130" customFormat="false" ht="15" hidden="false" customHeight="false" outlineLevel="0" collapsed="false">
      <c r="A130" s="0" t="s">
        <v>1592</v>
      </c>
      <c r="B130" s="0" t="s">
        <v>1139</v>
      </c>
      <c r="C130" s="0" t="s">
        <v>1210</v>
      </c>
      <c r="D130" s="0" t="s">
        <v>1213</v>
      </c>
      <c r="E130" s="0" t="s">
        <v>1591</v>
      </c>
      <c r="F130" s="0" t="s">
        <v>1787</v>
      </c>
      <c r="G130" s="0" t="str">
        <f aca="false">IFERROR(IF(INDEX(Matches!$W$5:$W$23,MATCH($C130,Matches!$A$5:$A$23,0))="","",INDEX(Matches!$W$5:$W$23,MATCH($C130,Matches!$A$5:$A$23,0))),"")</f>
        <v>Mirage</v>
      </c>
      <c r="H130" s="0" t="str">
        <f aca="false">IFERROR(IF(INDEX(Matches!$X$5:$X$23,MATCH($C130,Matches!$A$5:$A$23,0))="","",INDEX(Matches!$X$5:$X$23,MATCH($C130,Matches!$A$5:$A$23,0))),"")</f>
        <v>Dust2</v>
      </c>
      <c r="I130" s="0" t="str">
        <f aca="false">IFERROR(IF(INDEX(Matches!$Y$5:$Y$23,MATCH($C130,Matches!$A$5:$A$23,0))="","",INDEX(Matches!$Y$5:$Y$23,MATCH($C130,Matches!$A$5:$A$23,0))),"")</f>
        <v>Cache</v>
      </c>
      <c r="J130" s="11" t="n">
        <f aca="false">IFERROR(IF(INDEX(Matches!$Z$5:$Z$23,MATCH($C130,Matches!$A$5:$A$23,0))="","",INDEX(Matches!$Z$5:$Z$23,MATCH($C130,Matches!$A$5:$A$23,0))),"")</f>
        <v>18.53</v>
      </c>
      <c r="K130" s="11" t="n">
        <f aca="false">IFERROR(IF(INDEX(Matches!$AA$5:$AA$23,MATCH($C130,Matches!$A$5:$A$23,0))="","",INDEX(Matches!$AA$5:$AA$23,MATCH($C130,Matches!$A$5:$A$23,0))),"")</f>
        <v>18.54</v>
      </c>
      <c r="L130" s="11" t="n">
        <f aca="false">IFERROR(IF(INDEX(Matches!$AB$5:$AB$23,MATCH($C130,Matches!$A$5:$A$23,0))="","",INDEX(Matches!$AB$5:$AB$23,MATCH($C130,Matches!$A$5:$A$23,0))),"")</f>
        <v>21.5</v>
      </c>
      <c r="M130" s="10" t="n">
        <f aca="false">IFERROR(IF(INDEX(Matches!$AC$5:$AC$23,MATCH($C130,Matches!$A$5:$A$23,0))="","",INDEX(Matches!$AC$5:$AC$23,MATCH($C130,Matches!$A$5:$A$23,0))),"")</f>
        <v>0.1827</v>
      </c>
      <c r="N130" s="9" t="n">
        <f aca="false">IFERROR(INDEX(Players!$F$2:$F$137,MATCH($F130,Players!$A$2:$A$137,0)),0)</f>
        <v>38</v>
      </c>
      <c r="O130" s="13" t="n">
        <f aca="false">IFERROR(1/(1/INDEX(Players!$H$2:$H$137,MATCH($F130,Players!$A$2:$A$137,0))),"")</f>
        <v>0.67</v>
      </c>
      <c r="P130" s="10" t="n">
        <f aca="false">IFERROR(1/(1/INDEX(Players!$I$2:$I$137,MATCH($F130,Players!$A$2:$A$137,0))),"")</f>
        <v>0.562</v>
      </c>
      <c r="Q130" s="9" t="n">
        <f aca="false">IF($G130="",0,SUMIFS(Map_Stats!$F$2:$F$850,Map_Stats!$A$2:$A$850,$F130&amp;"|"&amp;$G130))</f>
        <v>7</v>
      </c>
      <c r="R130" s="13" t="n">
        <f aca="false">IF($G130="","",IFERROR(1/(1/INDEX(Map_Stats!$K$2:$K$850,MATCH($F130&amp;"|"&amp;$G130,Map_Stats!$A$2:$A$850,0))),$O130))</f>
        <v>0.69</v>
      </c>
      <c r="S130" s="10" t="n">
        <f aca="false">IF(OR($G130="",$P130=""),"",IFERROR(1/(1/INDEX(Map_Stats!$I$2:$I$850,MATCH($F130&amp;"|"&amp;$G130,Map_Stats!$A$2:$A$850,0))),$P130))</f>
        <v>0.551</v>
      </c>
      <c r="T130" s="13" t="n">
        <f aca="false">IF(OR($G130="",R130=""),"",IF($O130="",R130,(Q130*R130+Config!$B$4*$O130)/(Q130+Config!$B$4)))</f>
        <v>0.681666666666667</v>
      </c>
      <c r="U130" s="10" t="n">
        <f aca="false">IF(S130="","",(Q130*S130+Config!$B$4*$P130)/(Q130+Config!$B$4))</f>
        <v>0.555583333333333</v>
      </c>
      <c r="V130" s="17" t="n">
        <f aca="false">IF(OR(T130="",$J130=""),"",T130*$J130*($J130/Config!$B$10)^Config!$B$9)</f>
        <v>12.6312833333333</v>
      </c>
      <c r="W130" s="17" t="n">
        <f aca="false">IF(OR(V130="",U130=""),"",V130*U130)</f>
        <v>7.01773049861111</v>
      </c>
      <c r="X130" s="9" t="n">
        <f aca="false">IF($H130="",0,SUMIFS(Map_Stats!$F$2:$F$850,Map_Stats!$A$2:$A$850,$F130&amp;"|"&amp;$H130))</f>
        <v>11</v>
      </c>
      <c r="Y130" s="13" t="n">
        <f aca="false">IF($H130="","",IFERROR(1/(1/INDEX(Map_Stats!$K$2:$K$850,MATCH($F130&amp;"|"&amp;$H130,Map_Stats!$A$2:$A$850,0))),$O130))</f>
        <v>0.7</v>
      </c>
      <c r="Z130" s="10" t="n">
        <f aca="false">IF(OR($H130="",$P130=""),"",IFERROR(1/(1/INDEX(Map_Stats!$I$2:$I$850,MATCH($F130&amp;"|"&amp;$H130,Map_Stats!$A$2:$A$850,0))),$P130))</f>
        <v>0.569</v>
      </c>
      <c r="AA130" s="13" t="n">
        <f aca="false">IF(OR($H130="",Y130=""),"",IF($O130="",Y130,(X130*Y130+Config!$B$4*$O130)/(X130+Config!$B$4)))</f>
        <v>0.690625</v>
      </c>
      <c r="AB130" s="10" t="n">
        <f aca="false">IF(Z130="","",(X130*Z130+Config!$B$4*$P130)/(X130+Config!$B$4))</f>
        <v>0.5668125</v>
      </c>
      <c r="AC130" s="17" t="n">
        <f aca="false">IF(OR(AA130="",$K130=""),"",AA130*$K130*($K130/Config!$B$10)^Config!$B$9)</f>
        <v>12.8041875</v>
      </c>
      <c r="AD130" s="17" t="n">
        <f aca="false">IF(OR(AC130="",AB130=""),"",AC130*AB130)</f>
        <v>7.25757352734375</v>
      </c>
      <c r="AE130" s="9" t="n">
        <f aca="false">IF($I130="",0,SUMIFS(Map_Stats!$F$2:$F$850,Map_Stats!$A$2:$A$850,$F130&amp;"|"&amp;$I130))</f>
        <v>6</v>
      </c>
      <c r="AF130" s="13" t="n">
        <f aca="false">IF($I130="","",IFERROR(1/(1/INDEX(Map_Stats!$K$2:$K$850,MATCH($F130&amp;"|"&amp;$I130,Map_Stats!$A$2:$A$850,0))),$O130))</f>
        <v>0.68</v>
      </c>
      <c r="AG130" s="10" t="n">
        <f aca="false">IF(OR($I130="",$P130=""),"",IFERROR(1/(1/INDEX(Map_Stats!$I$2:$I$850,MATCH($F130&amp;"|"&amp;$I130,Map_Stats!$A$2:$A$850,0))),$P130))</f>
        <v>0.557</v>
      </c>
      <c r="AH130" s="13" t="n">
        <f aca="false">IF(OR($I130="",AF130=""),"",IF($O130="",AF130,(AE130*AF130+Config!$B$4*$O130)/(AE130+Config!$B$4)))</f>
        <v>0.675454545454545</v>
      </c>
      <c r="AI130" s="10" t="n">
        <f aca="false">IF(AG130="","",(AE130*AG130+Config!$B$4*$P130)/(AE130+Config!$B$4))</f>
        <v>0.559272727272727</v>
      </c>
      <c r="AJ130" s="17" t="n">
        <f aca="false">IF(OR(AH130="",$L130=""),"",AH130*$L130*($L130/Config!$B$10)^Config!$B$9)</f>
        <v>14.5222727272727</v>
      </c>
      <c r="AK130" s="17" t="n">
        <f aca="false">IF(OR(AJ130="",AI130=""),"",AJ130*AI130)</f>
        <v>8.12191107438017</v>
      </c>
      <c r="AL130" s="17" t="n">
        <f aca="false">N(V130)+N(AC130)</f>
        <v>25.4354708333333</v>
      </c>
      <c r="AM130" s="17" t="n">
        <f aca="false">AL130+N($M130)*N(AJ130)</f>
        <v>28.0886900606061</v>
      </c>
      <c r="AN130" s="17" t="n">
        <f aca="false">IF(W130="","",N(W130)+N(AD130))</f>
        <v>14.2753040259549</v>
      </c>
      <c r="AO130" s="17" t="n">
        <f aca="false">IF(AN130="","",AN130+N($M130)*N(AK130))</f>
        <v>15.7591771792441</v>
      </c>
      <c r="AP130" s="10" t="n">
        <f aca="false">IFERROR(AN130/AL130,"")</f>
        <v>0.561236083243523</v>
      </c>
      <c r="AQ130" s="0" t="str">
        <f aca="false">TRIM(IF($N130&lt;Config!$B$12,"thin sample ("&amp;$N130&amp;" maps) · ","")&amp;IF(AND($G130&lt;&gt;"",Q130=0),"M1 unplayed→overall KPR · ","")&amp;IF(AND($H130&lt;&gt;"",X130=0),"M2 unplayed→overall KPR · ","")&amp;IF($O130="","no PickFinder stats",""))</f>
        <v/>
      </c>
      <c r="AR130" s="0" t="str">
        <f aca="false">IF($C130=Board!$B$2,COUNTIFS($C$2:$C$137,Board!$B$2,$AL$2:$AL$137,"&gt;"&amp;$AL130)+COUNTIFS($C$1:$C129,Board!$B$2,$AL$1:$AL129,$AL130)+1,"")</f>
        <v/>
      </c>
      <c r="AS130" s="0" t="str">
        <f aca="false">IFERROR(IF($D130=INDEX(Matches!$AD$5:$AD$23,MATCH($C130,Matches!$A$5:$A$23,0)),"A",IF($D130=INDEX(Matches!$AE$5:$AE$23,MATCH($C130,Matches!$A$5:$A$23,0)),"B","")),"")</f>
        <v>A</v>
      </c>
      <c r="AT130" s="10" t="n">
        <f aca="false">IF($AS130="","",IFERROR(IF($AS130="A",INDEX(Matches!$AI$5:$AI$23,MATCH($C130,Matches!$A$5:$A$23,0)),INDEX(Matches!$AJ$5:$AJ$23,MATCH($C130,Matches!$A$5:$A$23,0))),""))</f>
        <v>0.485519775727063</v>
      </c>
      <c r="AU130" s="10" t="n">
        <f aca="false">IF($AS130="","",IFERROR(IF(INDEX(Matches!$AP$5:$AP$23,MATCH($C130,Matches!$A$5:$A$23,0))="","",IF($AS130="A",INDEX(Matches!$AP$5:$AP$23,MATCH($C130,Matches!$A$5:$A$23,0)),1-INDEX(Matches!$AP$5:$AP$23,MATCH($C130,Matches!$A$5:$A$23,0)))),""))</f>
        <v>0.553871326143107</v>
      </c>
      <c r="AV130" s="13" t="n">
        <f aca="false">IF(OR($AU130="",$AT130=""),1,((Config!$B$14*$AU130+Config!$B$15*(1-$AU130))/(Config!$B$14*$AT130+Config!$B$15*(1-$AT130)))^Config!$B$13)</f>
        <v>1.06188083293006</v>
      </c>
      <c r="AW130" s="10" t="n">
        <f aca="false">IF($AS130="","",IFERROR(IF(INDEX(Matches!$AV$5:$AV$23,MATCH($C130,Matches!$A$5:$A$23,0))="","",IF($AS130="A",INDEX(Matches!$AV$5:$AV$23,MATCH($C130,Matches!$A$5:$A$23,0)),1-INDEX(Matches!$AV$5:$AV$23,MATCH($C130,Matches!$A$5:$A$23,0)))),""))</f>
        <v>0.590866820028388</v>
      </c>
      <c r="AX130" s="13" t="n">
        <f aca="false">IF(OR($AW130="",$AT130=""),1,((Config!$B$14*$AW130+Config!$B$15*(1-$AW130))/(Config!$B$14*$AT130+Config!$B$15*(1-$AT130)))^Config!$B$13)</f>
        <v>1.09537403041198</v>
      </c>
      <c r="AY130" s="10" t="n">
        <f aca="false">IF($AS130="","",IFERROR(IF(INDEX(Matches!$BB$5:$BB$23,MATCH($C130,Matches!$A$5:$A$23,0))="","",IF($AS130="A",INDEX(Matches!$BB$5:$BB$23,MATCH($C130,Matches!$A$5:$A$23,0)),1-INDEX(Matches!$BB$5:$BB$23,MATCH($C130,Matches!$A$5:$A$23,0)))),""))</f>
        <v>0.678867312190359</v>
      </c>
      <c r="AZ130" s="13" t="n">
        <f aca="false">IF(OR($AY130="",$AT130=""),1,((Config!$B$14*$AY130+Config!$B$15*(1-$AY130))/(Config!$B$14*$AT130+Config!$B$15*(1-$AT130)))^Config!$B$13)</f>
        <v>1.1750436753592</v>
      </c>
      <c r="BA130" s="17" t="n">
        <f aca="false">IF(V130="","",V130*$AV130)</f>
        <v>13.4129176669756</v>
      </c>
      <c r="BB130" s="17" t="n">
        <f aca="false">IF(AC130="","",AC130*$AX130)</f>
        <v>14.0253744680257</v>
      </c>
      <c r="BC130" s="17" t="n">
        <f aca="false">IF(AJ130="","",AJ130*$AZ130)</f>
        <v>17.0643047200232</v>
      </c>
      <c r="BD130" s="17" t="n">
        <f aca="false">N(BA130)+N(BB130)</f>
        <v>27.4382921350013</v>
      </c>
      <c r="BE130" s="17" t="n">
        <f aca="false">BD130+N($M130)*N(BC130)</f>
        <v>30.5559406073495</v>
      </c>
      <c r="BF130" s="17" t="n">
        <f aca="false">IF(W130="","",W130*$AV130)</f>
        <v>7.45199350714385</v>
      </c>
      <c r="BG130" s="17" t="n">
        <f aca="false">IF(AD130="","",AD130*$AX130)</f>
        <v>7.94975756565783</v>
      </c>
      <c r="BH130" s="17" t="n">
        <f aca="false">IF(AK130="","",AK130*$AZ130)</f>
        <v>9.54360023978025</v>
      </c>
      <c r="BI130" s="17" t="n">
        <f aca="false">IF(BF130="","",N(BF130)+N(BG130))</f>
        <v>15.4017510728017</v>
      </c>
      <c r="BJ130" s="17" t="n">
        <f aca="false">IF(BI130="","",BI130+N($M130)*N(BH130))</f>
        <v>17.1453668366095</v>
      </c>
      <c r="BK130" s="13" t="n">
        <f aca="false">IFERROR(BD130/AL130,1)</f>
        <v>1.07874127099087</v>
      </c>
    </row>
    <row r="131" customFormat="false" ht="15" hidden="false" customHeight="false" outlineLevel="0" collapsed="false">
      <c r="A131" s="0" t="s">
        <v>1594</v>
      </c>
      <c r="B131" s="0" t="s">
        <v>1139</v>
      </c>
      <c r="C131" s="0" t="s">
        <v>1210</v>
      </c>
      <c r="D131" s="0" t="s">
        <v>1213</v>
      </c>
      <c r="E131" s="0" t="s">
        <v>1593</v>
      </c>
      <c r="F131" s="0" t="s">
        <v>1788</v>
      </c>
      <c r="G131" s="0" t="str">
        <f aca="false">IFERROR(IF(INDEX(Matches!$W$5:$W$23,MATCH($C131,Matches!$A$5:$A$23,0))="","",INDEX(Matches!$W$5:$W$23,MATCH($C131,Matches!$A$5:$A$23,0))),"")</f>
        <v>Mirage</v>
      </c>
      <c r="H131" s="0" t="str">
        <f aca="false">IFERROR(IF(INDEX(Matches!$X$5:$X$23,MATCH($C131,Matches!$A$5:$A$23,0))="","",INDEX(Matches!$X$5:$X$23,MATCH($C131,Matches!$A$5:$A$23,0))),"")</f>
        <v>Dust2</v>
      </c>
      <c r="I131" s="0" t="str">
        <f aca="false">IFERROR(IF(INDEX(Matches!$Y$5:$Y$23,MATCH($C131,Matches!$A$5:$A$23,0))="","",INDEX(Matches!$Y$5:$Y$23,MATCH($C131,Matches!$A$5:$A$23,0))),"")</f>
        <v>Cache</v>
      </c>
      <c r="J131" s="11" t="n">
        <f aca="false">IFERROR(IF(INDEX(Matches!$Z$5:$Z$23,MATCH($C131,Matches!$A$5:$A$23,0))="","",INDEX(Matches!$Z$5:$Z$23,MATCH($C131,Matches!$A$5:$A$23,0))),"")</f>
        <v>18.53</v>
      </c>
      <c r="K131" s="11" t="n">
        <f aca="false">IFERROR(IF(INDEX(Matches!$AA$5:$AA$23,MATCH($C131,Matches!$A$5:$A$23,0))="","",INDEX(Matches!$AA$5:$AA$23,MATCH($C131,Matches!$A$5:$A$23,0))),"")</f>
        <v>18.54</v>
      </c>
      <c r="L131" s="11" t="n">
        <f aca="false">IFERROR(IF(INDEX(Matches!$AB$5:$AB$23,MATCH($C131,Matches!$A$5:$A$23,0))="","",INDEX(Matches!$AB$5:$AB$23,MATCH($C131,Matches!$A$5:$A$23,0))),"")</f>
        <v>21.5</v>
      </c>
      <c r="M131" s="10" t="n">
        <f aca="false">IFERROR(IF(INDEX(Matches!$AC$5:$AC$23,MATCH($C131,Matches!$A$5:$A$23,0))="","",INDEX(Matches!$AC$5:$AC$23,MATCH($C131,Matches!$A$5:$A$23,0))),"")</f>
        <v>0.1827</v>
      </c>
      <c r="N131" s="9" t="n">
        <f aca="false">IFERROR(INDEX(Players!$F$2:$F$137,MATCH($F131,Players!$A$2:$A$137,0)),0)</f>
        <v>38</v>
      </c>
      <c r="O131" s="13" t="n">
        <f aca="false">IFERROR(1/(1/INDEX(Players!$H$2:$H$137,MATCH($F131,Players!$A$2:$A$137,0))),"")</f>
        <v>0.66</v>
      </c>
      <c r="P131" s="10" t="n">
        <f aca="false">IFERROR(1/(1/INDEX(Players!$I$2:$I$137,MATCH($F131,Players!$A$2:$A$137,0))),"")</f>
        <v>0.584</v>
      </c>
      <c r="Q131" s="9" t="n">
        <f aca="false">IF($G131="",0,SUMIFS(Map_Stats!$F$2:$F$850,Map_Stats!$A$2:$A$850,$F131&amp;"|"&amp;$G131))</f>
        <v>7</v>
      </c>
      <c r="R131" s="13" t="n">
        <f aca="false">IF($G131="","",IFERROR(1/(1/INDEX(Map_Stats!$K$2:$K$850,MATCH($F131&amp;"|"&amp;$G131,Map_Stats!$A$2:$A$850,0))),$O131))</f>
        <v>0.54</v>
      </c>
      <c r="S131" s="10" t="n">
        <f aca="false">IF(OR($G131="",$P131=""),"",IFERROR(1/(1/INDEX(Map_Stats!$I$2:$I$850,MATCH($F131&amp;"|"&amp;$G131,Map_Stats!$A$2:$A$850,0))),$P131))</f>
        <v>0.548</v>
      </c>
      <c r="T131" s="13" t="n">
        <f aca="false">IF(OR($G131="",R131=""),"",IF($O131="",R131,(Q131*R131+Config!$B$4*$O131)/(Q131+Config!$B$4)))</f>
        <v>0.59</v>
      </c>
      <c r="U131" s="10" t="n">
        <f aca="false">IF(S131="","",(Q131*S131+Config!$B$4*$P131)/(Q131+Config!$B$4))</f>
        <v>0.563</v>
      </c>
      <c r="V131" s="17" t="n">
        <f aca="false">IF(OR(T131="",$J131=""),"",T131*$J131*($J131/Config!$B$10)^Config!$B$9)</f>
        <v>10.9327</v>
      </c>
      <c r="W131" s="17" t="n">
        <f aca="false">IF(OR(V131="",U131=""),"",V131*U131)</f>
        <v>6.1551101</v>
      </c>
      <c r="X131" s="9" t="n">
        <f aca="false">IF($H131="",0,SUMIFS(Map_Stats!$F$2:$F$850,Map_Stats!$A$2:$A$850,$F131&amp;"|"&amp;$H131))</f>
        <v>11</v>
      </c>
      <c r="Y131" s="13" t="n">
        <f aca="false">IF($H131="","",IFERROR(1/(1/INDEX(Map_Stats!$K$2:$K$850,MATCH($F131&amp;"|"&amp;$H131,Map_Stats!$A$2:$A$850,0))),$O131))</f>
        <v>0.81</v>
      </c>
      <c r="Z131" s="10" t="n">
        <f aca="false">IF(OR($H131="",$P131=""),"",IFERROR(1/(1/INDEX(Map_Stats!$I$2:$I$850,MATCH($F131&amp;"|"&amp;$H131,Map_Stats!$A$2:$A$850,0))),$P131))</f>
        <v>0.624</v>
      </c>
      <c r="AA131" s="13" t="n">
        <f aca="false">IF(OR($H131="",Y131=""),"",IF($O131="",Y131,(X131*Y131+Config!$B$4*$O131)/(X131+Config!$B$4)))</f>
        <v>0.763125</v>
      </c>
      <c r="AB131" s="10" t="n">
        <f aca="false">IF(Z131="","",(X131*Z131+Config!$B$4*$P131)/(X131+Config!$B$4))</f>
        <v>0.6115</v>
      </c>
      <c r="AC131" s="17" t="n">
        <f aca="false">IF(OR(AA131="",$K131=""),"",AA131*$K131*($K131/Config!$B$10)^Config!$B$9)</f>
        <v>14.1483375</v>
      </c>
      <c r="AD131" s="17" t="n">
        <f aca="false">IF(OR(AC131="",AB131=""),"",AC131*AB131)</f>
        <v>8.65170838125</v>
      </c>
      <c r="AE131" s="9" t="n">
        <f aca="false">IF($I131="",0,SUMIFS(Map_Stats!$F$2:$F$850,Map_Stats!$A$2:$A$850,$F131&amp;"|"&amp;$I131))</f>
        <v>6</v>
      </c>
      <c r="AF131" s="13" t="n">
        <f aca="false">IF($I131="","",IFERROR(1/(1/INDEX(Map_Stats!$K$2:$K$850,MATCH($F131&amp;"|"&amp;$I131,Map_Stats!$A$2:$A$850,0))),$O131))</f>
        <v>0.66</v>
      </c>
      <c r="AG131" s="10" t="n">
        <f aca="false">IF(OR($I131="",$P131=""),"",IFERROR(1/(1/INDEX(Map_Stats!$I$2:$I$850,MATCH($F131&amp;"|"&amp;$I131,Map_Stats!$A$2:$A$850,0))),$P131))</f>
        <v>0.588</v>
      </c>
      <c r="AH131" s="13" t="n">
        <f aca="false">IF(OR($I131="",AF131=""),"",IF($O131="",AF131,(AE131*AF131+Config!$B$4*$O131)/(AE131+Config!$B$4)))</f>
        <v>0.66</v>
      </c>
      <c r="AI131" s="10" t="n">
        <f aca="false">IF(AG131="","",(AE131*AG131+Config!$B$4*$P131)/(AE131+Config!$B$4))</f>
        <v>0.586181818181818</v>
      </c>
      <c r="AJ131" s="17" t="n">
        <f aca="false">IF(OR(AH131="",$L131=""),"",AH131*$L131*($L131/Config!$B$10)^Config!$B$9)</f>
        <v>14.19</v>
      </c>
      <c r="AK131" s="17" t="n">
        <f aca="false">IF(OR(AJ131="",AI131=""),"",AJ131*AI131)</f>
        <v>8.31792</v>
      </c>
      <c r="AL131" s="17" t="n">
        <f aca="false">N(V131)+N(AC131)</f>
        <v>25.0810375</v>
      </c>
      <c r="AM131" s="17" t="n">
        <f aca="false">AL131+N($M131)*N(AJ131)</f>
        <v>27.6735505</v>
      </c>
      <c r="AN131" s="17" t="n">
        <f aca="false">IF(W131="","",N(W131)+N(AD131))</f>
        <v>14.80681848125</v>
      </c>
      <c r="AO131" s="17" t="n">
        <f aca="false">IF(AN131="","",AN131+N($M131)*N(AK131))</f>
        <v>16.32650246525</v>
      </c>
      <c r="AP131" s="10" t="n">
        <f aca="false">IFERROR(AN131/AL131,"")</f>
        <v>0.590359090258926</v>
      </c>
      <c r="AQ131" s="0" t="str">
        <f aca="false">TRIM(IF($N131&lt;Config!$B$12,"thin sample ("&amp;$N131&amp;" maps) · ","")&amp;IF(AND($G131&lt;&gt;"",Q131=0),"M1 unplayed→overall KPR · ","")&amp;IF(AND($H131&lt;&gt;"",X131=0),"M2 unplayed→overall KPR · ","")&amp;IF($O131="","no PickFinder stats",""))</f>
        <v/>
      </c>
      <c r="AR131" s="0" t="str">
        <f aca="false">IF($C131=Board!$B$2,COUNTIFS($C$2:$C$137,Board!$B$2,$AL$2:$AL$137,"&gt;"&amp;$AL131)+COUNTIFS($C$1:$C130,Board!$B$2,$AL$1:$AL130,$AL131)+1,"")</f>
        <v/>
      </c>
      <c r="AS131" s="0" t="str">
        <f aca="false">IFERROR(IF($D131=INDEX(Matches!$AD$5:$AD$23,MATCH($C131,Matches!$A$5:$A$23,0)),"A",IF($D131=INDEX(Matches!$AE$5:$AE$23,MATCH($C131,Matches!$A$5:$A$23,0)),"B","")),"")</f>
        <v>A</v>
      </c>
      <c r="AT131" s="10" t="n">
        <f aca="false">IF($AS131="","",IFERROR(IF($AS131="A",INDEX(Matches!$AI$5:$AI$23,MATCH($C131,Matches!$A$5:$A$23,0)),INDEX(Matches!$AJ$5:$AJ$23,MATCH($C131,Matches!$A$5:$A$23,0))),""))</f>
        <v>0.485519775727063</v>
      </c>
      <c r="AU131" s="10" t="n">
        <f aca="false">IF($AS131="","",IFERROR(IF(INDEX(Matches!$AP$5:$AP$23,MATCH($C131,Matches!$A$5:$A$23,0))="","",IF($AS131="A",INDEX(Matches!$AP$5:$AP$23,MATCH($C131,Matches!$A$5:$A$23,0)),1-INDEX(Matches!$AP$5:$AP$23,MATCH($C131,Matches!$A$5:$A$23,0)))),""))</f>
        <v>0.553871326143107</v>
      </c>
      <c r="AV131" s="13" t="n">
        <f aca="false">IF(OR($AU131="",$AT131=""),1,((Config!$B$14*$AU131+Config!$B$15*(1-$AU131))/(Config!$B$14*$AT131+Config!$B$15*(1-$AT131)))^Config!$B$13)</f>
        <v>1.06188083293006</v>
      </c>
      <c r="AW131" s="10" t="n">
        <f aca="false">IF($AS131="","",IFERROR(IF(INDEX(Matches!$AV$5:$AV$23,MATCH($C131,Matches!$A$5:$A$23,0))="","",IF($AS131="A",INDEX(Matches!$AV$5:$AV$23,MATCH($C131,Matches!$A$5:$A$23,0)),1-INDEX(Matches!$AV$5:$AV$23,MATCH($C131,Matches!$A$5:$A$23,0)))),""))</f>
        <v>0.590866820028388</v>
      </c>
      <c r="AX131" s="13" t="n">
        <f aca="false">IF(OR($AW131="",$AT131=""),1,((Config!$B$14*$AW131+Config!$B$15*(1-$AW131))/(Config!$B$14*$AT131+Config!$B$15*(1-$AT131)))^Config!$B$13)</f>
        <v>1.09537403041198</v>
      </c>
      <c r="AY131" s="10" t="n">
        <f aca="false">IF($AS131="","",IFERROR(IF(INDEX(Matches!$BB$5:$BB$23,MATCH($C131,Matches!$A$5:$A$23,0))="","",IF($AS131="A",INDEX(Matches!$BB$5:$BB$23,MATCH($C131,Matches!$A$5:$A$23,0)),1-INDEX(Matches!$BB$5:$BB$23,MATCH($C131,Matches!$A$5:$A$23,0)))),""))</f>
        <v>0.678867312190359</v>
      </c>
      <c r="AZ131" s="13" t="n">
        <f aca="false">IF(OR($AY131="",$AT131=""),1,((Config!$B$14*$AY131+Config!$B$15*(1-$AY131))/(Config!$B$14*$AT131+Config!$B$15*(1-$AT131)))^Config!$B$13)</f>
        <v>1.1750436753592</v>
      </c>
      <c r="BA131" s="17" t="n">
        <f aca="false">IF(V131="","",V131*$AV131)</f>
        <v>11.6092245821745</v>
      </c>
      <c r="BB131" s="17" t="n">
        <f aca="false">IF(AC131="","",AC131*$AX131)</f>
        <v>15.497721471004</v>
      </c>
      <c r="BC131" s="17" t="n">
        <f aca="false">IF(AJ131="","",AJ131*$AZ131)</f>
        <v>16.673869753347</v>
      </c>
      <c r="BD131" s="17" t="n">
        <f aca="false">N(BA131)+N(BB131)</f>
        <v>27.1069460531785</v>
      </c>
      <c r="BE131" s="17" t="n">
        <f aca="false">BD131+N($M131)*N(BC131)</f>
        <v>30.153262057115</v>
      </c>
      <c r="BF131" s="17" t="n">
        <f aca="false">IF(W131="","",W131*$AV131)</f>
        <v>6.53599343976422</v>
      </c>
      <c r="BG131" s="17" t="n">
        <f aca="false">IF(AD131="","",AD131*$AX131)</f>
        <v>9.47685667951894</v>
      </c>
      <c r="BH131" s="17" t="n">
        <f aca="false">IF(AK131="","",AK131*$AZ131)</f>
        <v>9.77391928814379</v>
      </c>
      <c r="BI131" s="17" t="n">
        <f aca="false">IF(BF131="","",N(BF131)+N(BG131))</f>
        <v>16.0128501192832</v>
      </c>
      <c r="BJ131" s="17" t="n">
        <f aca="false">IF(BI131="","",BI131+N($M131)*N(BH131))</f>
        <v>17.798545173227</v>
      </c>
      <c r="BK131" s="13" t="n">
        <f aca="false">IFERROR(BD131/AL131,1)</f>
        <v>1.08077451154796</v>
      </c>
    </row>
    <row r="132" customFormat="false" ht="15" hidden="false" customHeight="false" outlineLevel="0" collapsed="false">
      <c r="A132" s="0" t="s">
        <v>1596</v>
      </c>
      <c r="B132" s="0" t="s">
        <v>1139</v>
      </c>
      <c r="C132" s="0" t="s">
        <v>1210</v>
      </c>
      <c r="D132" s="0" t="s">
        <v>1213</v>
      </c>
      <c r="E132" s="0" t="s">
        <v>1595</v>
      </c>
      <c r="F132" s="0" t="s">
        <v>1789</v>
      </c>
      <c r="G132" s="0" t="str">
        <f aca="false">IFERROR(IF(INDEX(Matches!$W$5:$W$23,MATCH($C132,Matches!$A$5:$A$23,0))="","",INDEX(Matches!$W$5:$W$23,MATCH($C132,Matches!$A$5:$A$23,0))),"")</f>
        <v>Mirage</v>
      </c>
      <c r="H132" s="0" t="str">
        <f aca="false">IFERROR(IF(INDEX(Matches!$X$5:$X$23,MATCH($C132,Matches!$A$5:$A$23,0))="","",INDEX(Matches!$X$5:$X$23,MATCH($C132,Matches!$A$5:$A$23,0))),"")</f>
        <v>Dust2</v>
      </c>
      <c r="I132" s="0" t="str">
        <f aca="false">IFERROR(IF(INDEX(Matches!$Y$5:$Y$23,MATCH($C132,Matches!$A$5:$A$23,0))="","",INDEX(Matches!$Y$5:$Y$23,MATCH($C132,Matches!$A$5:$A$23,0))),"")</f>
        <v>Cache</v>
      </c>
      <c r="J132" s="11" t="n">
        <f aca="false">IFERROR(IF(INDEX(Matches!$Z$5:$Z$23,MATCH($C132,Matches!$A$5:$A$23,0))="","",INDEX(Matches!$Z$5:$Z$23,MATCH($C132,Matches!$A$5:$A$23,0))),"")</f>
        <v>18.53</v>
      </c>
      <c r="K132" s="11" t="n">
        <f aca="false">IFERROR(IF(INDEX(Matches!$AA$5:$AA$23,MATCH($C132,Matches!$A$5:$A$23,0))="","",INDEX(Matches!$AA$5:$AA$23,MATCH($C132,Matches!$A$5:$A$23,0))),"")</f>
        <v>18.54</v>
      </c>
      <c r="L132" s="11" t="n">
        <f aca="false">IFERROR(IF(INDEX(Matches!$AB$5:$AB$23,MATCH($C132,Matches!$A$5:$A$23,0))="","",INDEX(Matches!$AB$5:$AB$23,MATCH($C132,Matches!$A$5:$A$23,0))),"")</f>
        <v>21.5</v>
      </c>
      <c r="M132" s="10" t="n">
        <f aca="false">IFERROR(IF(INDEX(Matches!$AC$5:$AC$23,MATCH($C132,Matches!$A$5:$A$23,0))="","",INDEX(Matches!$AC$5:$AC$23,MATCH($C132,Matches!$A$5:$A$23,0))),"")</f>
        <v>0.1827</v>
      </c>
      <c r="N132" s="9" t="n">
        <f aca="false">IFERROR(INDEX(Players!$F$2:$F$137,MATCH($F132,Players!$A$2:$A$137,0)),0)</f>
        <v>38</v>
      </c>
      <c r="O132" s="13" t="n">
        <f aca="false">IFERROR(1/(1/INDEX(Players!$H$2:$H$137,MATCH($F132,Players!$A$2:$A$137,0))),"")</f>
        <v>0.64</v>
      </c>
      <c r="P132" s="10" t="n">
        <f aca="false">IFERROR(1/(1/INDEX(Players!$I$2:$I$137,MATCH($F132,Players!$A$2:$A$137,0))),"")</f>
        <v>0.251</v>
      </c>
      <c r="Q132" s="9" t="n">
        <f aca="false">IF($G132="",0,SUMIFS(Map_Stats!$F$2:$F$850,Map_Stats!$A$2:$A$850,$F132&amp;"|"&amp;$G132))</f>
        <v>7</v>
      </c>
      <c r="R132" s="13" t="n">
        <f aca="false">IF($G132="","",IFERROR(1/(1/INDEX(Map_Stats!$K$2:$K$850,MATCH($F132&amp;"|"&amp;$G132,Map_Stats!$A$2:$A$850,0))),$O132))</f>
        <v>0.63</v>
      </c>
      <c r="S132" s="10" t="n">
        <f aca="false">IF(OR($G132="",$P132=""),"",IFERROR(1/(1/INDEX(Map_Stats!$I$2:$I$850,MATCH($F132&amp;"|"&amp;$G132,Map_Stats!$A$2:$A$850,0))),$P132))</f>
        <v>0.255</v>
      </c>
      <c r="T132" s="13" t="n">
        <f aca="false">IF(OR($G132="",R132=""),"",IF($O132="",R132,(Q132*R132+Config!$B$4*$O132)/(Q132+Config!$B$4)))</f>
        <v>0.634166666666667</v>
      </c>
      <c r="U132" s="10" t="n">
        <f aca="false">IF(S132="","",(Q132*S132+Config!$B$4*$P132)/(Q132+Config!$B$4))</f>
        <v>0.253333333333333</v>
      </c>
      <c r="V132" s="17" t="n">
        <f aca="false">IF(OR(T132="",$J132=""),"",T132*$J132*($J132/Config!$B$10)^Config!$B$9)</f>
        <v>11.7511083333333</v>
      </c>
      <c r="W132" s="17" t="n">
        <f aca="false">IF(OR(V132="",U132=""),"",V132*U132)</f>
        <v>2.97694744444445</v>
      </c>
      <c r="X132" s="9" t="n">
        <f aca="false">IF($H132="",0,SUMIFS(Map_Stats!$F$2:$F$850,Map_Stats!$A$2:$A$850,$F132&amp;"|"&amp;$H132))</f>
        <v>11</v>
      </c>
      <c r="Y132" s="13" t="n">
        <f aca="false">IF($H132="","",IFERROR(1/(1/INDEX(Map_Stats!$K$2:$K$850,MATCH($F132&amp;"|"&amp;$H132,Map_Stats!$A$2:$A$850,0))),$O132))</f>
        <v>0.67</v>
      </c>
      <c r="Z132" s="10" t="n">
        <f aca="false">IF(OR($H132="",$P132=""),"",IFERROR(1/(1/INDEX(Map_Stats!$I$2:$I$850,MATCH($F132&amp;"|"&amp;$H132,Map_Stats!$A$2:$A$850,0))),$P132))</f>
        <v>0.246</v>
      </c>
      <c r="AA132" s="13" t="n">
        <f aca="false">IF(OR($H132="",Y132=""),"",IF($O132="",Y132,(X132*Y132+Config!$B$4*$O132)/(X132+Config!$B$4)))</f>
        <v>0.660625</v>
      </c>
      <c r="AB132" s="10" t="n">
        <f aca="false">IF(Z132="","",(X132*Z132+Config!$B$4*$P132)/(X132+Config!$B$4))</f>
        <v>0.2475625</v>
      </c>
      <c r="AC132" s="17" t="n">
        <f aca="false">IF(OR(AA132="",$K132=""),"",AA132*$K132*($K132/Config!$B$10)^Config!$B$9)</f>
        <v>12.2479875</v>
      </c>
      <c r="AD132" s="17" t="n">
        <f aca="false">IF(OR(AC132="",AB132=""),"",AC132*AB132)</f>
        <v>3.03214240546875</v>
      </c>
      <c r="AE132" s="9" t="n">
        <f aca="false">IF($I132="",0,SUMIFS(Map_Stats!$F$2:$F$850,Map_Stats!$A$2:$A$850,$F132&amp;"|"&amp;$I132))</f>
        <v>6</v>
      </c>
      <c r="AF132" s="13" t="n">
        <f aca="false">IF($I132="","",IFERROR(1/(1/INDEX(Map_Stats!$K$2:$K$850,MATCH($F132&amp;"|"&amp;$I132,Map_Stats!$A$2:$A$850,0))),$O132))</f>
        <v>0.61</v>
      </c>
      <c r="AG132" s="10" t="n">
        <f aca="false">IF(OR($I132="",$P132=""),"",IFERROR(1/(1/INDEX(Map_Stats!$I$2:$I$850,MATCH($F132&amp;"|"&amp;$I132,Map_Stats!$A$2:$A$850,0))),$P132))</f>
        <v>0.291</v>
      </c>
      <c r="AH132" s="13" t="n">
        <f aca="false">IF(OR($I132="",AF132=""),"",IF($O132="",AF132,(AE132*AF132+Config!$B$4*$O132)/(AE132+Config!$B$4)))</f>
        <v>0.623636363636364</v>
      </c>
      <c r="AI132" s="10" t="n">
        <f aca="false">IF(AG132="","",(AE132*AG132+Config!$B$4*$P132)/(AE132+Config!$B$4))</f>
        <v>0.272818181818182</v>
      </c>
      <c r="AJ132" s="17" t="n">
        <f aca="false">IF(OR(AH132="",$L132=""),"",AH132*$L132*($L132/Config!$B$10)^Config!$B$9)</f>
        <v>13.4081818181818</v>
      </c>
      <c r="AK132" s="17" t="n">
        <f aca="false">IF(OR(AJ132="",AI132=""),"",AJ132*AI132)</f>
        <v>3.65799578512397</v>
      </c>
      <c r="AL132" s="17" t="n">
        <f aca="false">N(V132)+N(AC132)</f>
        <v>23.9990958333333</v>
      </c>
      <c r="AM132" s="17" t="n">
        <f aca="false">AL132+N($M132)*N(AJ132)</f>
        <v>26.4487706515152</v>
      </c>
      <c r="AN132" s="17" t="n">
        <f aca="false">IF(W132="","",N(W132)+N(AD132))</f>
        <v>6.00908984991319</v>
      </c>
      <c r="AO132" s="17" t="n">
        <f aca="false">IF(AN132="","",AN132+N($M132)*N(AK132))</f>
        <v>6.67740567985534</v>
      </c>
      <c r="AP132" s="10" t="n">
        <f aca="false">IFERROR(AN132/AL132,"")</f>
        <v>0.250388176773182</v>
      </c>
      <c r="AQ132" s="0" t="str">
        <f aca="false">TRIM(IF($N132&lt;Config!$B$12,"thin sample ("&amp;$N132&amp;" maps) · ","")&amp;IF(AND($G132&lt;&gt;"",Q132=0),"M1 unplayed→overall KPR · ","")&amp;IF(AND($H132&lt;&gt;"",X132=0),"M2 unplayed→overall KPR · ","")&amp;IF($O132="","no PickFinder stats",""))</f>
        <v/>
      </c>
      <c r="AR132" s="0" t="str">
        <f aca="false">IF($C132=Board!$B$2,COUNTIFS($C$2:$C$137,Board!$B$2,$AL$2:$AL$137,"&gt;"&amp;$AL132)+COUNTIFS($C$1:$C131,Board!$B$2,$AL$1:$AL131,$AL132)+1,"")</f>
        <v/>
      </c>
      <c r="AS132" s="0" t="str">
        <f aca="false">IFERROR(IF($D132=INDEX(Matches!$AD$5:$AD$23,MATCH($C132,Matches!$A$5:$A$23,0)),"A",IF($D132=INDEX(Matches!$AE$5:$AE$23,MATCH($C132,Matches!$A$5:$A$23,0)),"B","")),"")</f>
        <v>A</v>
      </c>
      <c r="AT132" s="10" t="n">
        <f aca="false">IF($AS132="","",IFERROR(IF($AS132="A",INDEX(Matches!$AI$5:$AI$23,MATCH($C132,Matches!$A$5:$A$23,0)),INDEX(Matches!$AJ$5:$AJ$23,MATCH($C132,Matches!$A$5:$A$23,0))),""))</f>
        <v>0.485519775727063</v>
      </c>
      <c r="AU132" s="10" t="n">
        <f aca="false">IF($AS132="","",IFERROR(IF(INDEX(Matches!$AP$5:$AP$23,MATCH($C132,Matches!$A$5:$A$23,0))="","",IF($AS132="A",INDEX(Matches!$AP$5:$AP$23,MATCH($C132,Matches!$A$5:$A$23,0)),1-INDEX(Matches!$AP$5:$AP$23,MATCH($C132,Matches!$A$5:$A$23,0)))),""))</f>
        <v>0.553871326143107</v>
      </c>
      <c r="AV132" s="13" t="n">
        <f aca="false">IF(OR($AU132="",$AT132=""),1,((Config!$B$14*$AU132+Config!$B$15*(1-$AU132))/(Config!$B$14*$AT132+Config!$B$15*(1-$AT132)))^Config!$B$13)</f>
        <v>1.06188083293006</v>
      </c>
      <c r="AW132" s="10" t="n">
        <f aca="false">IF($AS132="","",IFERROR(IF(INDEX(Matches!$AV$5:$AV$23,MATCH($C132,Matches!$A$5:$A$23,0))="","",IF($AS132="A",INDEX(Matches!$AV$5:$AV$23,MATCH($C132,Matches!$A$5:$A$23,0)),1-INDEX(Matches!$AV$5:$AV$23,MATCH($C132,Matches!$A$5:$A$23,0)))),""))</f>
        <v>0.590866820028388</v>
      </c>
      <c r="AX132" s="13" t="n">
        <f aca="false">IF(OR($AW132="",$AT132=""),1,((Config!$B$14*$AW132+Config!$B$15*(1-$AW132))/(Config!$B$14*$AT132+Config!$B$15*(1-$AT132)))^Config!$B$13)</f>
        <v>1.09537403041198</v>
      </c>
      <c r="AY132" s="10" t="n">
        <f aca="false">IF($AS132="","",IFERROR(IF(INDEX(Matches!$BB$5:$BB$23,MATCH($C132,Matches!$A$5:$A$23,0))="","",IF($AS132="A",INDEX(Matches!$BB$5:$BB$23,MATCH($C132,Matches!$A$5:$A$23,0)),1-INDEX(Matches!$BB$5:$BB$23,MATCH($C132,Matches!$A$5:$A$23,0)))),""))</f>
        <v>0.678867312190359</v>
      </c>
      <c r="AZ132" s="13" t="n">
        <f aca="false">IF(OR($AY132="",$AT132=""),1,((Config!$B$14*$AY132+Config!$B$15*(1-$AY132))/(Config!$B$14*$AT132+Config!$B$15*(1-$AT132)))^Config!$B$13)</f>
        <v>1.1750436753592</v>
      </c>
      <c r="BA132" s="17" t="n">
        <f aca="false">IF(V132="","",V132*$AV132)</f>
        <v>12.4782767048514</v>
      </c>
      <c r="BB132" s="17" t="n">
        <f aca="false">IF(AC132="","",AC132*$AX132)</f>
        <v>13.4161274323106</v>
      </c>
      <c r="BC132" s="17" t="n">
        <f aca="false">IF(AJ132="","",AJ132*$AZ132)</f>
        <v>15.7551992435208</v>
      </c>
      <c r="BD132" s="17" t="n">
        <f aca="false">N(BA132)+N(BB132)</f>
        <v>25.894404137162</v>
      </c>
      <c r="BE132" s="17" t="n">
        <f aca="false">BD132+N($M132)*N(BC132)</f>
        <v>28.7728790389532</v>
      </c>
      <c r="BF132" s="17" t="n">
        <f aca="false">IF(W132="","",W132*$AV132)</f>
        <v>3.16116343189568</v>
      </c>
      <c r="BG132" s="17" t="n">
        <f aca="false">IF(AD132="","",AD132*$AX132)</f>
        <v>3.32133004746139</v>
      </c>
      <c r="BH132" s="17" t="n">
        <f aca="false">IF(AK132="","",AK132*$AZ132)</f>
        <v>4.29830481180052</v>
      </c>
      <c r="BI132" s="17" t="n">
        <f aca="false">IF(BF132="","",N(BF132)+N(BG132))</f>
        <v>6.48249347935707</v>
      </c>
      <c r="BJ132" s="17" t="n">
        <f aca="false">IF(BI132="","",BI132+N($M132)*N(BH132))</f>
        <v>7.26779376847302</v>
      </c>
      <c r="BK132" s="13" t="n">
        <f aca="false">IFERROR(BD132/AL132,1)</f>
        <v>1.07897415456778</v>
      </c>
    </row>
    <row r="133" customFormat="false" ht="15" hidden="false" customHeight="false" outlineLevel="0" collapsed="false">
      <c r="A133" s="0" t="s">
        <v>1598</v>
      </c>
      <c r="B133" s="0" t="s">
        <v>1139</v>
      </c>
      <c r="C133" s="0" t="s">
        <v>1210</v>
      </c>
      <c r="D133" s="0" t="s">
        <v>1213</v>
      </c>
      <c r="E133" s="0" t="s">
        <v>1597</v>
      </c>
      <c r="F133" s="0" t="s">
        <v>1790</v>
      </c>
      <c r="G133" s="0" t="str">
        <f aca="false">IFERROR(IF(INDEX(Matches!$W$5:$W$23,MATCH($C133,Matches!$A$5:$A$23,0))="","",INDEX(Matches!$W$5:$W$23,MATCH($C133,Matches!$A$5:$A$23,0))),"")</f>
        <v>Mirage</v>
      </c>
      <c r="H133" s="0" t="str">
        <f aca="false">IFERROR(IF(INDEX(Matches!$X$5:$X$23,MATCH($C133,Matches!$A$5:$A$23,0))="","",INDEX(Matches!$X$5:$X$23,MATCH($C133,Matches!$A$5:$A$23,0))),"")</f>
        <v>Dust2</v>
      </c>
      <c r="I133" s="0" t="str">
        <f aca="false">IFERROR(IF(INDEX(Matches!$Y$5:$Y$23,MATCH($C133,Matches!$A$5:$A$23,0))="","",INDEX(Matches!$Y$5:$Y$23,MATCH($C133,Matches!$A$5:$A$23,0))),"")</f>
        <v>Cache</v>
      </c>
      <c r="J133" s="11" t="n">
        <f aca="false">IFERROR(IF(INDEX(Matches!$Z$5:$Z$23,MATCH($C133,Matches!$A$5:$A$23,0))="","",INDEX(Matches!$Z$5:$Z$23,MATCH($C133,Matches!$A$5:$A$23,0))),"")</f>
        <v>18.53</v>
      </c>
      <c r="K133" s="11" t="n">
        <f aca="false">IFERROR(IF(INDEX(Matches!$AA$5:$AA$23,MATCH($C133,Matches!$A$5:$A$23,0))="","",INDEX(Matches!$AA$5:$AA$23,MATCH($C133,Matches!$A$5:$A$23,0))),"")</f>
        <v>18.54</v>
      </c>
      <c r="L133" s="11" t="n">
        <f aca="false">IFERROR(IF(INDEX(Matches!$AB$5:$AB$23,MATCH($C133,Matches!$A$5:$A$23,0))="","",INDEX(Matches!$AB$5:$AB$23,MATCH($C133,Matches!$A$5:$A$23,0))),"")</f>
        <v>21.5</v>
      </c>
      <c r="M133" s="10" t="n">
        <f aca="false">IFERROR(IF(INDEX(Matches!$AC$5:$AC$23,MATCH($C133,Matches!$A$5:$A$23,0))="","",INDEX(Matches!$AC$5:$AC$23,MATCH($C133,Matches!$A$5:$A$23,0))),"")</f>
        <v>0.1827</v>
      </c>
      <c r="N133" s="9" t="n">
        <f aca="false">IFERROR(INDEX(Players!$F$2:$F$137,MATCH($F133,Players!$A$2:$A$137,0)),0)</f>
        <v>38</v>
      </c>
      <c r="O133" s="13" t="n">
        <f aca="false">IFERROR(1/(1/INDEX(Players!$H$2:$H$137,MATCH($F133,Players!$A$2:$A$137,0))),"")</f>
        <v>0.62</v>
      </c>
      <c r="P133" s="10" t="n">
        <f aca="false">IFERROR(1/(1/INDEX(Players!$I$2:$I$137,MATCH($F133,Players!$A$2:$A$137,0))),"")</f>
        <v>0.646</v>
      </c>
      <c r="Q133" s="9" t="n">
        <f aca="false">IF($G133="",0,SUMIFS(Map_Stats!$F$2:$F$850,Map_Stats!$A$2:$A$850,$F133&amp;"|"&amp;$G133))</f>
        <v>8</v>
      </c>
      <c r="R133" s="13" t="n">
        <f aca="false">IF($G133="","",IFERROR(1/(1/INDEX(Map_Stats!$K$2:$K$850,MATCH($F133&amp;"|"&amp;$G133,Map_Stats!$A$2:$A$850,0))),$O133))</f>
        <v>0.62</v>
      </c>
      <c r="S133" s="10" t="n">
        <f aca="false">IF(OR($G133="",$P133=""),"",IFERROR(1/(1/INDEX(Map_Stats!$I$2:$I$850,MATCH($F133&amp;"|"&amp;$G133,Map_Stats!$A$2:$A$850,0))),$P133))</f>
        <v>0.579</v>
      </c>
      <c r="T133" s="13" t="n">
        <f aca="false">IF(OR($G133="",R133=""),"",IF($O133="",R133,(Q133*R133+Config!$B$4*$O133)/(Q133+Config!$B$4)))</f>
        <v>0.62</v>
      </c>
      <c r="U133" s="10" t="n">
        <f aca="false">IF(S133="","",(Q133*S133+Config!$B$4*$P133)/(Q133+Config!$B$4))</f>
        <v>0.604769230769231</v>
      </c>
      <c r="V133" s="17" t="n">
        <f aca="false">IF(OR(T133="",$J133=""),"",T133*$J133*($J133/Config!$B$10)^Config!$B$9)</f>
        <v>11.4886</v>
      </c>
      <c r="W133" s="17" t="n">
        <f aca="false">IF(OR(V133="",U133=""),"",V133*U133)</f>
        <v>6.94795178461538</v>
      </c>
      <c r="X133" s="9" t="n">
        <f aca="false">IF($H133="",0,SUMIFS(Map_Stats!$F$2:$F$850,Map_Stats!$A$2:$A$850,$F133&amp;"|"&amp;$H133))</f>
        <v>10</v>
      </c>
      <c r="Y133" s="13" t="n">
        <f aca="false">IF($H133="","",IFERROR(1/(1/INDEX(Map_Stats!$K$2:$K$850,MATCH($F133&amp;"|"&amp;$H133,Map_Stats!$A$2:$A$850,0))),$O133))</f>
        <v>0.66</v>
      </c>
      <c r="Z133" s="10" t="n">
        <f aca="false">IF(OR($H133="",$P133=""),"",IFERROR(1/(1/INDEX(Map_Stats!$I$2:$I$850,MATCH($F133&amp;"|"&amp;$H133,Map_Stats!$A$2:$A$850,0))),$P133))</f>
        <v>0.756</v>
      </c>
      <c r="AA133" s="13" t="n">
        <f aca="false">IF(OR($H133="",Y133=""),"",IF($O133="",Y133,(X133*Y133+Config!$B$4*$O133)/(X133+Config!$B$4)))</f>
        <v>0.646666666666667</v>
      </c>
      <c r="AB133" s="10" t="n">
        <f aca="false">IF(Z133="","",(X133*Z133+Config!$B$4*$P133)/(X133+Config!$B$4))</f>
        <v>0.719333333333333</v>
      </c>
      <c r="AC133" s="17" t="n">
        <f aca="false">IF(OR(AA133="",$K133=""),"",AA133*$K133*($K133/Config!$B$10)^Config!$B$9)</f>
        <v>11.9892</v>
      </c>
      <c r="AD133" s="17" t="n">
        <f aca="false">IF(OR(AC133="",AB133=""),"",AC133*AB133)</f>
        <v>8.6242312</v>
      </c>
      <c r="AE133" s="9" t="n">
        <f aca="false">IF($I133="",0,SUMIFS(Map_Stats!$F$2:$F$850,Map_Stats!$A$2:$A$850,$F133&amp;"|"&amp;$I133))</f>
        <v>6</v>
      </c>
      <c r="AF133" s="13" t="n">
        <f aca="false">IF($I133="","",IFERROR(1/(1/INDEX(Map_Stats!$K$2:$K$850,MATCH($F133&amp;"|"&amp;$I133,Map_Stats!$A$2:$A$850,0))),$O133))</f>
        <v>0.47</v>
      </c>
      <c r="AG133" s="10" t="n">
        <f aca="false">IF(OR($I133="",$P133=""),"",IFERROR(1/(1/INDEX(Map_Stats!$I$2:$I$850,MATCH($F133&amp;"|"&amp;$I133,Map_Stats!$A$2:$A$850,0))),$P133))</f>
        <v>0.639</v>
      </c>
      <c r="AH133" s="13" t="n">
        <f aca="false">IF(OR($I133="",AF133=""),"",IF($O133="",AF133,(AE133*AF133+Config!$B$4*$O133)/(AE133+Config!$B$4)))</f>
        <v>0.538181818181818</v>
      </c>
      <c r="AI133" s="10" t="n">
        <f aca="false">IF(AG133="","",(AE133*AG133+Config!$B$4*$P133)/(AE133+Config!$B$4))</f>
        <v>0.642181818181818</v>
      </c>
      <c r="AJ133" s="17" t="n">
        <f aca="false">IF(OR(AH133="",$L133=""),"",AH133*$L133*($L133/Config!$B$10)^Config!$B$9)</f>
        <v>11.5709090909091</v>
      </c>
      <c r="AK133" s="17" t="n">
        <f aca="false">IF(OR(AJ133="",AI133=""),"",AJ133*AI133)</f>
        <v>7.43062743801653</v>
      </c>
      <c r="AL133" s="17" t="n">
        <f aca="false">N(V133)+N(AC133)</f>
        <v>23.4778</v>
      </c>
      <c r="AM133" s="17" t="n">
        <f aca="false">AL133+N($M133)*N(AJ133)</f>
        <v>25.5918050909091</v>
      </c>
      <c r="AN133" s="17" t="n">
        <f aca="false">IF(W133="","",N(W133)+N(AD133))</f>
        <v>15.5721829846154</v>
      </c>
      <c r="AO133" s="17" t="n">
        <f aca="false">IF(AN133="","",AN133+N($M133)*N(AK133))</f>
        <v>16.929758617541</v>
      </c>
      <c r="AP133" s="10" t="n">
        <f aca="false">IFERROR(AN133/AL133,"")</f>
        <v>0.663272665437792</v>
      </c>
      <c r="AQ133" s="0" t="str">
        <f aca="false">TRIM(IF($N133&lt;Config!$B$12,"thin sample ("&amp;$N133&amp;" maps) · ","")&amp;IF(AND($G133&lt;&gt;"",Q133=0),"M1 unplayed→overall KPR · ","")&amp;IF(AND($H133&lt;&gt;"",X133=0),"M2 unplayed→overall KPR · ","")&amp;IF($O133="","no PickFinder stats",""))</f>
        <v/>
      </c>
      <c r="AR133" s="0" t="str">
        <f aca="false">IF($C133=Board!$B$2,COUNTIFS($C$2:$C$137,Board!$B$2,$AL$2:$AL$137,"&gt;"&amp;$AL133)+COUNTIFS($C$1:$C132,Board!$B$2,$AL$1:$AL132,$AL133)+1,"")</f>
        <v/>
      </c>
      <c r="AS133" s="0" t="str">
        <f aca="false">IFERROR(IF($D133=INDEX(Matches!$AD$5:$AD$23,MATCH($C133,Matches!$A$5:$A$23,0)),"A",IF($D133=INDEX(Matches!$AE$5:$AE$23,MATCH($C133,Matches!$A$5:$A$23,0)),"B","")),"")</f>
        <v>A</v>
      </c>
      <c r="AT133" s="10" t="n">
        <f aca="false">IF($AS133="","",IFERROR(IF($AS133="A",INDEX(Matches!$AI$5:$AI$23,MATCH($C133,Matches!$A$5:$A$23,0)),INDEX(Matches!$AJ$5:$AJ$23,MATCH($C133,Matches!$A$5:$A$23,0))),""))</f>
        <v>0.485519775727063</v>
      </c>
      <c r="AU133" s="10" t="n">
        <f aca="false">IF($AS133="","",IFERROR(IF(INDEX(Matches!$AP$5:$AP$23,MATCH($C133,Matches!$A$5:$A$23,0))="","",IF($AS133="A",INDEX(Matches!$AP$5:$AP$23,MATCH($C133,Matches!$A$5:$A$23,0)),1-INDEX(Matches!$AP$5:$AP$23,MATCH($C133,Matches!$A$5:$A$23,0)))),""))</f>
        <v>0.553871326143107</v>
      </c>
      <c r="AV133" s="13" t="n">
        <f aca="false">IF(OR($AU133="",$AT133=""),1,((Config!$B$14*$AU133+Config!$B$15*(1-$AU133))/(Config!$B$14*$AT133+Config!$B$15*(1-$AT133)))^Config!$B$13)</f>
        <v>1.06188083293006</v>
      </c>
      <c r="AW133" s="10" t="n">
        <f aca="false">IF($AS133="","",IFERROR(IF(INDEX(Matches!$AV$5:$AV$23,MATCH($C133,Matches!$A$5:$A$23,0))="","",IF($AS133="A",INDEX(Matches!$AV$5:$AV$23,MATCH($C133,Matches!$A$5:$A$23,0)),1-INDEX(Matches!$AV$5:$AV$23,MATCH($C133,Matches!$A$5:$A$23,0)))),""))</f>
        <v>0.590866820028388</v>
      </c>
      <c r="AX133" s="13" t="n">
        <f aca="false">IF(OR($AW133="",$AT133=""),1,((Config!$B$14*$AW133+Config!$B$15*(1-$AW133))/(Config!$B$14*$AT133+Config!$B$15*(1-$AT133)))^Config!$B$13)</f>
        <v>1.09537403041198</v>
      </c>
      <c r="AY133" s="10" t="n">
        <f aca="false">IF($AS133="","",IFERROR(IF(INDEX(Matches!$BB$5:$BB$23,MATCH($C133,Matches!$A$5:$A$23,0))="","",IF($AS133="A",INDEX(Matches!$BB$5:$BB$23,MATCH($C133,Matches!$A$5:$A$23,0)),1-INDEX(Matches!$BB$5:$BB$23,MATCH($C133,Matches!$A$5:$A$23,0)))),""))</f>
        <v>0.678867312190359</v>
      </c>
      <c r="AZ133" s="13" t="n">
        <f aca="false">IF(OR($AY133="",$AT133=""),1,((Config!$B$14*$AY133+Config!$B$15*(1-$AY133))/(Config!$B$14*$AT133+Config!$B$15*(1-$AT133)))^Config!$B$13)</f>
        <v>1.1750436753592</v>
      </c>
      <c r="BA133" s="17" t="n">
        <f aca="false">IF(V133="","",V133*$AV133)</f>
        <v>12.1995241372003</v>
      </c>
      <c r="BB133" s="17" t="n">
        <f aca="false">IF(AC133="","",AC133*$AX133)</f>
        <v>13.1326583254153</v>
      </c>
      <c r="BC133" s="17" t="n">
        <f aca="false">IF(AJ133="","",AJ133*$AZ133)</f>
        <v>13.596323545429</v>
      </c>
      <c r="BD133" s="17" t="n">
        <f aca="false">N(BA133)+N(BB133)</f>
        <v>25.3321824626156</v>
      </c>
      <c r="BE133" s="17" t="n">
        <f aca="false">BD133+N($M133)*N(BC133)</f>
        <v>27.8162307743655</v>
      </c>
      <c r="BF133" s="17" t="n">
        <f aca="false">IF(W133="","",W133*$AV133)</f>
        <v>7.37789682820528</v>
      </c>
      <c r="BG133" s="17" t="n">
        <f aca="false">IF(AD133="","",AD133*$AX133)</f>
        <v>9.44675888874877</v>
      </c>
      <c r="BH133" s="17" t="n">
        <f aca="false">IF(AK133="","",AK133*$AZ133)</f>
        <v>8.73131177499185</v>
      </c>
      <c r="BI133" s="17" t="n">
        <f aca="false">IF(BF133="","",N(BF133)+N(BG133))</f>
        <v>16.824655716954</v>
      </c>
      <c r="BJ133" s="17" t="n">
        <f aca="false">IF(BI133="","",BI133+N($M133)*N(BH133))</f>
        <v>18.4198663782451</v>
      </c>
      <c r="BK133" s="13" t="n">
        <f aca="false">IFERROR(BD133/AL133,1)</f>
        <v>1.07898450717766</v>
      </c>
    </row>
    <row r="134" customFormat="false" ht="15" hidden="false" customHeight="false" outlineLevel="0" collapsed="false">
      <c r="A134" s="0" t="s">
        <v>1600</v>
      </c>
      <c r="B134" s="0" t="s">
        <v>1247</v>
      </c>
      <c r="C134" s="0" t="s">
        <v>1246</v>
      </c>
      <c r="D134" s="0" t="s">
        <v>1253</v>
      </c>
      <c r="E134" s="0" t="s">
        <v>1599</v>
      </c>
      <c r="F134" s="0" t="s">
        <v>1791</v>
      </c>
      <c r="G134" s="0" t="str">
        <f aca="false">IFERROR(IF(INDEX(Matches!$W$5:$W$23,MATCH($C134,Matches!$A$5:$A$23,0))="","",INDEX(Matches!$W$5:$W$23,MATCH($C134,Matches!$A$5:$A$23,0))),"")</f>
        <v>Haven</v>
      </c>
      <c r="H134" s="0" t="str">
        <f aca="false">IFERROR(IF(INDEX(Matches!$X$5:$X$23,MATCH($C134,Matches!$A$5:$A$23,0))="","",INDEX(Matches!$X$5:$X$23,MATCH($C134,Matches!$A$5:$A$23,0))),"")</f>
        <v>Pearl</v>
      </c>
      <c r="I134" s="0" t="str">
        <f aca="false">IFERROR(IF(INDEX(Matches!$Y$5:$Y$23,MATCH($C134,Matches!$A$5:$A$23,0))="","",INDEX(Matches!$Y$5:$Y$23,MATCH($C134,Matches!$A$5:$A$23,0))),"")</f>
        <v>Sunset</v>
      </c>
      <c r="J134" s="11" t="n">
        <f aca="false">IFERROR(IF(INDEX(Matches!$Z$5:$Z$23,MATCH($C134,Matches!$A$5:$A$23,0))="","",INDEX(Matches!$Z$5:$Z$23,MATCH($C134,Matches!$A$5:$A$23,0))),"")</f>
        <v>21.4</v>
      </c>
      <c r="K134" s="11" t="n">
        <f aca="false">IFERROR(IF(INDEX(Matches!$AA$5:$AA$23,MATCH($C134,Matches!$A$5:$A$23,0))="","",INDEX(Matches!$AA$5:$AA$23,MATCH($C134,Matches!$A$5:$A$23,0))),"")</f>
        <v>21.36</v>
      </c>
      <c r="L134" s="11" t="n">
        <f aca="false">IFERROR(IF(INDEX(Matches!$AB$5:$AB$23,MATCH($C134,Matches!$A$5:$A$23,0))="","",INDEX(Matches!$AB$5:$AB$23,MATCH($C134,Matches!$A$5:$A$23,0))),"")</f>
        <v>22.5</v>
      </c>
      <c r="M134" s="10" t="n">
        <f aca="false">IFERROR(IF(INDEX(Matches!$AC$5:$AC$23,MATCH($C134,Matches!$A$5:$A$23,0))="","",INDEX(Matches!$AC$5:$AC$23,MATCH($C134,Matches!$A$5:$A$23,0))),"")</f>
        <v>0.451</v>
      </c>
      <c r="N134" s="9" t="n">
        <f aca="false">IFERROR(INDEX(Players!$F$2:$F$137,MATCH($F134,Players!$A$2:$A$137,0)),0)</f>
        <v>4</v>
      </c>
      <c r="O134" s="13" t="n">
        <f aca="false">IFERROR(1/(1/INDEX(Players!$H$2:$H$137,MATCH($F134,Players!$A$2:$A$137,0))),"")</f>
        <v>0.69</v>
      </c>
      <c r="P134" s="10" t="str">
        <f aca="false">IFERROR(1/(1/INDEX(Players!$I$2:$I$137,MATCH($F134,Players!$A$2:$A$137,0))),"")</f>
        <v/>
      </c>
      <c r="Q134" s="9" t="n">
        <f aca="false">IF($G134="",0,SUMIFS(Map_Stats!$F$2:$F$850,Map_Stats!$A$2:$A$850,$F134&amp;"|"&amp;$G134))</f>
        <v>0</v>
      </c>
      <c r="R134" s="13" t="n">
        <f aca="false">IF($G134="","",IFERROR(1/(1/INDEX(Map_Stats!$K$2:$K$850,MATCH($F134&amp;"|"&amp;$G134,Map_Stats!$A$2:$A$850,0))),$O134))</f>
        <v>0.69</v>
      </c>
      <c r="S134" s="10" t="str">
        <f aca="false">IF(OR($G134="",$P134=""),"",IFERROR(1/(1/INDEX(Map_Stats!$I$2:$I$850,MATCH($F134&amp;"|"&amp;$G134,Map_Stats!$A$2:$A$850,0))),$P134))</f>
        <v/>
      </c>
      <c r="T134" s="13" t="n">
        <f aca="false">IF(OR($G134="",R134=""),"",IF($O134="",R134,(Q134*R134+Config!$B$4*$O134)/(Q134+Config!$B$4)))</f>
        <v>0.69</v>
      </c>
      <c r="U134" s="10" t="str">
        <f aca="false">IF(S134="","",(Q134*S134+Config!$B$4*$P134)/(Q134+Config!$B$4))</f>
        <v/>
      </c>
      <c r="V134" s="17" t="n">
        <f aca="false">IF(OR(T134="",$J134=""),"",T134*$J134*($J134/Config!$B$11)^Config!$B$9)</f>
        <v>14.766</v>
      </c>
      <c r="W134" s="17" t="str">
        <f aca="false">IF(OR(V134="",U134=""),"",V134*U134)</f>
        <v/>
      </c>
      <c r="X134" s="9" t="n">
        <f aca="false">IF($H134="",0,SUMIFS(Map_Stats!$F$2:$F$850,Map_Stats!$A$2:$A$850,$F134&amp;"|"&amp;$H134))</f>
        <v>0</v>
      </c>
      <c r="Y134" s="13" t="n">
        <f aca="false">IF($H134="","",IFERROR(1/(1/INDEX(Map_Stats!$K$2:$K$850,MATCH($F134&amp;"|"&amp;$H134,Map_Stats!$A$2:$A$850,0))),$O134))</f>
        <v>0.69</v>
      </c>
      <c r="Z134" s="10" t="str">
        <f aca="false">IF(OR($H134="",$P134=""),"",IFERROR(1/(1/INDEX(Map_Stats!$I$2:$I$850,MATCH($F134&amp;"|"&amp;$H134,Map_Stats!$A$2:$A$850,0))),$P134))</f>
        <v/>
      </c>
      <c r="AA134" s="13" t="n">
        <f aca="false">IF(OR($H134="",Y134=""),"",IF($O134="",Y134,(X134*Y134+Config!$B$4*$O134)/(X134+Config!$B$4)))</f>
        <v>0.69</v>
      </c>
      <c r="AB134" s="10" t="str">
        <f aca="false">IF(Z134="","",(X134*Z134+Config!$B$4*$P134)/(X134+Config!$B$4))</f>
        <v/>
      </c>
      <c r="AC134" s="17" t="n">
        <f aca="false">IF(OR(AA134="",$K134=""),"",AA134*$K134*($K134/Config!$B$11)^Config!$B$9)</f>
        <v>14.7384</v>
      </c>
      <c r="AD134" s="17" t="str">
        <f aca="false">IF(OR(AC134="",AB134=""),"",AC134*AB134)</f>
        <v/>
      </c>
      <c r="AE134" s="9" t="n">
        <f aca="false">IF($I134="",0,SUMIFS(Map_Stats!$F$2:$F$850,Map_Stats!$A$2:$A$850,$F134&amp;"|"&amp;$I134))</f>
        <v>1</v>
      </c>
      <c r="AF134" s="13" t="n">
        <f aca="false">IF($I134="","",IFERROR(1/(1/INDEX(Map_Stats!$K$2:$K$850,MATCH($F134&amp;"|"&amp;$I134,Map_Stats!$A$2:$A$850,0))),$O134))</f>
        <v>0.730588235294118</v>
      </c>
      <c r="AG134" s="10" t="str">
        <f aca="false">IF(OR($I134="",$P134=""),"",IFERROR(1/(1/INDEX(Map_Stats!$I$2:$I$850,MATCH($F134&amp;"|"&amp;$I134,Map_Stats!$A$2:$A$850,0))),$P134))</f>
        <v/>
      </c>
      <c r="AH134" s="13" t="n">
        <f aca="false">IF(OR($I134="",AF134=""),"",IF($O134="",AF134,(AE134*AF134+Config!$B$4*$O134)/(AE134+Config!$B$4)))</f>
        <v>0.696764705882353</v>
      </c>
      <c r="AI134" s="10" t="str">
        <f aca="false">IF(AG134="","",(AE134*AG134+Config!$B$4*$P134)/(AE134+Config!$B$4))</f>
        <v/>
      </c>
      <c r="AJ134" s="17" t="n">
        <f aca="false">IF(OR(AH134="",$L134=""),"",AH134*$L134*($L134/Config!$B$11)^Config!$B$9)</f>
        <v>15.6772058823529</v>
      </c>
      <c r="AK134" s="17" t="str">
        <f aca="false">IF(OR(AJ134="",AI134=""),"",AJ134*AI134)</f>
        <v/>
      </c>
      <c r="AL134" s="17" t="n">
        <f aca="false">N(V134)+N(AC134)</f>
        <v>29.5044</v>
      </c>
      <c r="AM134" s="17" t="n">
        <f aca="false">AL134+N($M134)*N(AJ134)</f>
        <v>36.5748198529412</v>
      </c>
      <c r="AN134" s="17" t="str">
        <f aca="false">IF(W134="","",N(W134)+N(AD134))</f>
        <v/>
      </c>
      <c r="AO134" s="17" t="str">
        <f aca="false">IF(AN134="","",AN134+N($M134)*N(AK134))</f>
        <v/>
      </c>
      <c r="AP134" s="10" t="str">
        <f aca="false">IFERROR(AN134/AL134,"")</f>
        <v/>
      </c>
      <c r="AQ134" s="0" t="str">
        <f aca="false">TRIM(IF($N134&lt;Config!$B$12,"thin sample ("&amp;$N134&amp;" maps) · ","")&amp;IF(AND($G134&lt;&gt;"",Q134=0),"M1 unplayed→overall KPR · ","")&amp;IF(AND($H134&lt;&gt;"",X134=0),"M2 unplayed→overall KPR · ","")&amp;IF($O134="","no PickFinder stats",""))</f>
        <v>thin sample (4 maps) · M1 unplayed→overall KPR · M2 unplayed→overall KPR ·</v>
      </c>
      <c r="AR134" s="0" t="str">
        <f aca="false">IF($C134=Board!$B$2,COUNTIFS($C$2:$C$137,Board!$B$2,$AL$2:$AL$137,"&gt;"&amp;$AL134)+COUNTIFS($C$1:$C133,Board!$B$2,$AL$1:$AL133,$AL134)+1,"")</f>
        <v/>
      </c>
      <c r="AS134" s="0" t="str">
        <f aca="false">IFERROR(IF($D134=INDEX(Matches!$AD$5:$AD$23,MATCH($C134,Matches!$A$5:$A$23,0)),"A",IF($D134=INDEX(Matches!$AE$5:$AE$23,MATCH($C134,Matches!$A$5:$A$23,0)),"B","")),"")</f>
        <v>A</v>
      </c>
      <c r="AT134" s="10" t="n">
        <f aca="false">IF($AS134="","",IFERROR(IF($AS134="A",INDEX(Matches!$AI$5:$AI$23,MATCH($C134,Matches!$A$5:$A$23,0)),INDEX(Matches!$AJ$5:$AJ$23,MATCH($C134,Matches!$A$5:$A$23,0))),""))</f>
        <v>0</v>
      </c>
      <c r="AU134" s="10" t="str">
        <f aca="false">IF($AS134="","",IFERROR(IF(INDEX(Matches!$AP$5:$AP$23,MATCH($C134,Matches!$A$5:$A$23,0))="","",IF($AS134="A",INDEX(Matches!$AP$5:$AP$23,MATCH($C134,Matches!$A$5:$A$23,0)),1-INDEX(Matches!$AP$5:$AP$23,MATCH($C134,Matches!$A$5:$A$23,0)))),""))</f>
        <v/>
      </c>
      <c r="AV134" s="13" t="n">
        <f aca="false">IF(OR($AU134="",$AT134=""),1,((Config!$B$14*$AU134+Config!$B$15*(1-$AU134))/(Config!$B$14*$AT134+Config!$B$15*(1-$AT134)))^Config!$B$13)</f>
        <v>1</v>
      </c>
      <c r="AW134" s="10" t="str">
        <f aca="false">IF($AS134="","",IFERROR(IF(INDEX(Matches!$AV$5:$AV$23,MATCH($C134,Matches!$A$5:$A$23,0))="","",IF($AS134="A",INDEX(Matches!$AV$5:$AV$23,MATCH($C134,Matches!$A$5:$A$23,0)),1-INDEX(Matches!$AV$5:$AV$23,MATCH($C134,Matches!$A$5:$A$23,0)))),""))</f>
        <v/>
      </c>
      <c r="AX134" s="13" t="n">
        <f aca="false">IF(OR($AW134="",$AT134=""),1,((Config!$B$14*$AW134+Config!$B$15*(1-$AW134))/(Config!$B$14*$AT134+Config!$B$15*(1-$AT134)))^Config!$B$13)</f>
        <v>1</v>
      </c>
      <c r="AY134" s="10" t="str">
        <f aca="false">IF($AS134="","",IFERROR(IF(INDEX(Matches!$BB$5:$BB$23,MATCH($C134,Matches!$A$5:$A$23,0))="","",IF($AS134="A",INDEX(Matches!$BB$5:$BB$23,MATCH($C134,Matches!$A$5:$A$23,0)),1-INDEX(Matches!$BB$5:$BB$23,MATCH($C134,Matches!$A$5:$A$23,0)))),""))</f>
        <v/>
      </c>
      <c r="AZ134" s="13" t="n">
        <f aca="false">IF(OR($AY134="",$AT134=""),1,((Config!$B$14*$AY134+Config!$B$15*(1-$AY134))/(Config!$B$14*$AT134+Config!$B$15*(1-$AT134)))^Config!$B$13)</f>
        <v>1</v>
      </c>
      <c r="BA134" s="17" t="n">
        <f aca="false">IF(V134="","",V134*$AV134)</f>
        <v>14.766</v>
      </c>
      <c r="BB134" s="17" t="n">
        <f aca="false">IF(AC134="","",AC134*$AX134)</f>
        <v>14.7384</v>
      </c>
      <c r="BC134" s="17" t="n">
        <f aca="false">IF(AJ134="","",AJ134*$AZ134)</f>
        <v>15.6772058823529</v>
      </c>
      <c r="BD134" s="17" t="n">
        <f aca="false">N(BA134)+N(BB134)</f>
        <v>29.5044</v>
      </c>
      <c r="BE134" s="17" t="n">
        <f aca="false">BD134+N($M134)*N(BC134)</f>
        <v>36.5748198529412</v>
      </c>
      <c r="BF134" s="17" t="str">
        <f aca="false">IF(W134="","",W134*$AV134)</f>
        <v/>
      </c>
      <c r="BG134" s="17" t="str">
        <f aca="false">IF(AD134="","",AD134*$AX134)</f>
        <v/>
      </c>
      <c r="BH134" s="17" t="str">
        <f aca="false">IF(AK134="","",AK134*$AZ134)</f>
        <v/>
      </c>
      <c r="BI134" s="17" t="str">
        <f aca="false">IF(BF134="","",N(BF134)+N(BG134))</f>
        <v/>
      </c>
      <c r="BJ134" s="17" t="str">
        <f aca="false">IF(BI134="","",BI134+N($M134)*N(BH134))</f>
        <v/>
      </c>
      <c r="BK134" s="13" t="n">
        <f aca="false">IFERROR(BD134/AL134,1)</f>
        <v>1</v>
      </c>
    </row>
    <row r="135" customFormat="false" ht="15" hidden="false" customHeight="false" outlineLevel="0" collapsed="false">
      <c r="A135" s="0" t="s">
        <v>1602</v>
      </c>
      <c r="B135" s="0" t="s">
        <v>1247</v>
      </c>
      <c r="C135" s="0" t="s">
        <v>1246</v>
      </c>
      <c r="D135" s="0" t="s">
        <v>1253</v>
      </c>
      <c r="E135" s="0" t="s">
        <v>1601</v>
      </c>
      <c r="F135" s="0" t="s">
        <v>1792</v>
      </c>
      <c r="G135" s="0" t="str">
        <f aca="false">IFERROR(IF(INDEX(Matches!$W$5:$W$23,MATCH($C135,Matches!$A$5:$A$23,0))="","",INDEX(Matches!$W$5:$W$23,MATCH($C135,Matches!$A$5:$A$23,0))),"")</f>
        <v>Haven</v>
      </c>
      <c r="H135" s="0" t="str">
        <f aca="false">IFERROR(IF(INDEX(Matches!$X$5:$X$23,MATCH($C135,Matches!$A$5:$A$23,0))="","",INDEX(Matches!$X$5:$X$23,MATCH($C135,Matches!$A$5:$A$23,0))),"")</f>
        <v>Pearl</v>
      </c>
      <c r="I135" s="0" t="str">
        <f aca="false">IFERROR(IF(INDEX(Matches!$Y$5:$Y$23,MATCH($C135,Matches!$A$5:$A$23,0))="","",INDEX(Matches!$Y$5:$Y$23,MATCH($C135,Matches!$A$5:$A$23,0))),"")</f>
        <v>Sunset</v>
      </c>
      <c r="J135" s="11" t="n">
        <f aca="false">IFERROR(IF(INDEX(Matches!$Z$5:$Z$23,MATCH($C135,Matches!$A$5:$A$23,0))="","",INDEX(Matches!$Z$5:$Z$23,MATCH($C135,Matches!$A$5:$A$23,0))),"")</f>
        <v>21.4</v>
      </c>
      <c r="K135" s="11" t="n">
        <f aca="false">IFERROR(IF(INDEX(Matches!$AA$5:$AA$23,MATCH($C135,Matches!$A$5:$A$23,0))="","",INDEX(Matches!$AA$5:$AA$23,MATCH($C135,Matches!$A$5:$A$23,0))),"")</f>
        <v>21.36</v>
      </c>
      <c r="L135" s="11" t="n">
        <f aca="false">IFERROR(IF(INDEX(Matches!$AB$5:$AB$23,MATCH($C135,Matches!$A$5:$A$23,0))="","",INDEX(Matches!$AB$5:$AB$23,MATCH($C135,Matches!$A$5:$A$23,0))),"")</f>
        <v>22.5</v>
      </c>
      <c r="M135" s="10" t="n">
        <f aca="false">IFERROR(IF(INDEX(Matches!$AC$5:$AC$23,MATCH($C135,Matches!$A$5:$A$23,0))="","",INDEX(Matches!$AC$5:$AC$23,MATCH($C135,Matches!$A$5:$A$23,0))),"")</f>
        <v>0.451</v>
      </c>
      <c r="N135" s="9" t="n">
        <f aca="false">IFERROR(INDEX(Players!$F$2:$F$137,MATCH($F135,Players!$A$2:$A$137,0)),0)</f>
        <v>30</v>
      </c>
      <c r="O135" s="13" t="n">
        <f aca="false">IFERROR(1/(1/INDEX(Players!$H$2:$H$137,MATCH($F135,Players!$A$2:$A$137,0))),"")</f>
        <v>0.84</v>
      </c>
      <c r="P135" s="10" t="str">
        <f aca="false">IFERROR(1/(1/INDEX(Players!$I$2:$I$137,MATCH($F135,Players!$A$2:$A$137,0))),"")</f>
        <v/>
      </c>
      <c r="Q135" s="9" t="n">
        <f aca="false">IF($G135="",0,SUMIFS(Map_Stats!$F$2:$F$850,Map_Stats!$A$2:$A$850,$F135&amp;"|"&amp;$G135))</f>
        <v>5</v>
      </c>
      <c r="R135" s="13" t="n">
        <f aca="false">IF($G135="","",IFERROR(1/(1/INDEX(Map_Stats!$K$2:$K$850,MATCH($F135&amp;"|"&amp;$G135,Map_Stats!$A$2:$A$850,0))),$O135))</f>
        <v>0.936393442622951</v>
      </c>
      <c r="S135" s="10" t="str">
        <f aca="false">IF(OR($G135="",$P135=""),"",IFERROR(1/(1/INDEX(Map_Stats!$I$2:$I$850,MATCH($F135&amp;"|"&amp;$G135,Map_Stats!$A$2:$A$850,0))),$P135))</f>
        <v/>
      </c>
      <c r="T135" s="13" t="n">
        <f aca="false">IF(OR($G135="",R135=""),"",IF($O135="",R135,(Q135*R135+Config!$B$4*$O135)/(Q135+Config!$B$4)))</f>
        <v>0.888196721311475</v>
      </c>
      <c r="U135" s="10" t="str">
        <f aca="false">IF(S135="","",(Q135*S135+Config!$B$4*$P135)/(Q135+Config!$B$4))</f>
        <v/>
      </c>
      <c r="V135" s="17" t="n">
        <f aca="false">IF(OR(T135="",$J135=""),"",T135*$J135*($J135/Config!$B$11)^Config!$B$9)</f>
        <v>19.0074098360656</v>
      </c>
      <c r="W135" s="17" t="str">
        <f aca="false">IF(OR(V135="",U135=""),"",V135*U135)</f>
        <v/>
      </c>
      <c r="X135" s="9" t="n">
        <f aca="false">IF($H135="",0,SUMIFS(Map_Stats!$F$2:$F$850,Map_Stats!$A$2:$A$850,$F135&amp;"|"&amp;$H135))</f>
        <v>3</v>
      </c>
      <c r="Y135" s="13" t="n">
        <f aca="false">IF($H135="","",IFERROR(1/(1/INDEX(Map_Stats!$K$2:$K$850,MATCH($F135&amp;"|"&amp;$H135,Map_Stats!$A$2:$A$850,0))),$O135))</f>
        <v>0.688524590163934</v>
      </c>
      <c r="Z135" s="10" t="str">
        <f aca="false">IF(OR($H135="",$P135=""),"",IFERROR(1/(1/INDEX(Map_Stats!$I$2:$I$850,MATCH($F135&amp;"|"&amp;$H135,Map_Stats!$A$2:$A$850,0))),$P135))</f>
        <v/>
      </c>
      <c r="AA135" s="13" t="n">
        <f aca="false">IF(OR($H135="",Y135=""),"",IF($O135="",Y135,(X135*Y135+Config!$B$4*$O135)/(X135+Config!$B$4)))</f>
        <v>0.783196721311475</v>
      </c>
      <c r="AB135" s="10" t="str">
        <f aca="false">IF(Z135="","",(X135*Z135+Config!$B$4*$P135)/(X135+Config!$B$4))</f>
        <v/>
      </c>
      <c r="AC135" s="17" t="n">
        <f aca="false">IF(OR(AA135="",$K135=""),"",AA135*$K135*($K135/Config!$B$11)^Config!$B$9)</f>
        <v>16.7290819672131</v>
      </c>
      <c r="AD135" s="17" t="str">
        <f aca="false">IF(OR(AC135="",AB135=""),"",AC135*AB135)</f>
        <v/>
      </c>
      <c r="AE135" s="9" t="n">
        <f aca="false">IF($I135="",0,SUMIFS(Map_Stats!$F$2:$F$850,Map_Stats!$A$2:$A$850,$F135&amp;"|"&amp;$I135))</f>
        <v>7</v>
      </c>
      <c r="AF135" s="13" t="n">
        <f aca="false">IF($I135="","",IFERROR(1/(1/INDEX(Map_Stats!$K$2:$K$850,MATCH($F135&amp;"|"&amp;$I135,Map_Stats!$A$2:$A$850,0))),$O135))</f>
        <v>0.977704918032787</v>
      </c>
      <c r="AG135" s="10" t="str">
        <f aca="false">IF(OR($I135="",$P135=""),"",IFERROR(1/(1/INDEX(Map_Stats!$I$2:$I$850,MATCH($F135&amp;"|"&amp;$I135,Map_Stats!$A$2:$A$850,0))),$P135))</f>
        <v/>
      </c>
      <c r="AH135" s="13" t="n">
        <f aca="false">IF(OR($I135="",AF135=""),"",IF($O135="",AF135,(AE135*AF135+Config!$B$4*$O135)/(AE135+Config!$B$4)))</f>
        <v>0.920327868852459</v>
      </c>
      <c r="AI135" s="10" t="str">
        <f aca="false">IF(AG135="","",(AE135*AG135+Config!$B$4*$P135)/(AE135+Config!$B$4))</f>
        <v/>
      </c>
      <c r="AJ135" s="17" t="n">
        <f aca="false">IF(OR(AH135="",$L135=""),"",AH135*$L135*($L135/Config!$B$11)^Config!$B$9)</f>
        <v>20.7073770491803</v>
      </c>
      <c r="AK135" s="17" t="str">
        <f aca="false">IF(OR(AJ135="",AI135=""),"",AJ135*AI135)</f>
        <v/>
      </c>
      <c r="AL135" s="17" t="n">
        <f aca="false">N(V135)+N(AC135)</f>
        <v>35.7364918032787</v>
      </c>
      <c r="AM135" s="17" t="n">
        <f aca="false">AL135+N($M135)*N(AJ135)</f>
        <v>45.075518852459</v>
      </c>
      <c r="AN135" s="17" t="str">
        <f aca="false">IF(W135="","",N(W135)+N(AD135))</f>
        <v/>
      </c>
      <c r="AO135" s="17" t="str">
        <f aca="false">IF(AN135="","",AN135+N($M135)*N(AK135))</f>
        <v/>
      </c>
      <c r="AP135" s="10" t="str">
        <f aca="false">IFERROR(AN135/AL135,"")</f>
        <v/>
      </c>
      <c r="AQ135" s="0" t="str">
        <f aca="false">TRIM(IF($N135&lt;Config!$B$12,"thin sample ("&amp;$N135&amp;" maps) · ","")&amp;IF(AND($G135&lt;&gt;"",Q135=0),"M1 unplayed→overall KPR · ","")&amp;IF(AND($H135&lt;&gt;"",X135=0),"M2 unplayed→overall KPR · ","")&amp;IF($O135="","no PickFinder stats",""))</f>
        <v/>
      </c>
      <c r="AR135" s="0" t="str">
        <f aca="false">IF($C135=Board!$B$2,COUNTIFS($C$2:$C$137,Board!$B$2,$AL$2:$AL$137,"&gt;"&amp;$AL135)+COUNTIFS($C$1:$C134,Board!$B$2,$AL$1:$AL134,$AL135)+1,"")</f>
        <v/>
      </c>
      <c r="AS135" s="0" t="str">
        <f aca="false">IFERROR(IF($D135=INDEX(Matches!$AD$5:$AD$23,MATCH($C135,Matches!$A$5:$A$23,0)),"A",IF($D135=INDEX(Matches!$AE$5:$AE$23,MATCH($C135,Matches!$A$5:$A$23,0)),"B","")),"")</f>
        <v>A</v>
      </c>
      <c r="AT135" s="10" t="n">
        <f aca="false">IF($AS135="","",IFERROR(IF($AS135="A",INDEX(Matches!$AI$5:$AI$23,MATCH($C135,Matches!$A$5:$A$23,0)),INDEX(Matches!$AJ$5:$AJ$23,MATCH($C135,Matches!$A$5:$A$23,0))),""))</f>
        <v>0</v>
      </c>
      <c r="AU135" s="10" t="str">
        <f aca="false">IF($AS135="","",IFERROR(IF(INDEX(Matches!$AP$5:$AP$23,MATCH($C135,Matches!$A$5:$A$23,0))="","",IF($AS135="A",INDEX(Matches!$AP$5:$AP$23,MATCH($C135,Matches!$A$5:$A$23,0)),1-INDEX(Matches!$AP$5:$AP$23,MATCH($C135,Matches!$A$5:$A$23,0)))),""))</f>
        <v/>
      </c>
      <c r="AV135" s="13" t="n">
        <f aca="false">IF(OR($AU135="",$AT135=""),1,((Config!$B$14*$AU135+Config!$B$15*(1-$AU135))/(Config!$B$14*$AT135+Config!$B$15*(1-$AT135)))^Config!$B$13)</f>
        <v>1</v>
      </c>
      <c r="AW135" s="10" t="str">
        <f aca="false">IF($AS135="","",IFERROR(IF(INDEX(Matches!$AV$5:$AV$23,MATCH($C135,Matches!$A$5:$A$23,0))="","",IF($AS135="A",INDEX(Matches!$AV$5:$AV$23,MATCH($C135,Matches!$A$5:$A$23,0)),1-INDEX(Matches!$AV$5:$AV$23,MATCH($C135,Matches!$A$5:$A$23,0)))),""))</f>
        <v/>
      </c>
      <c r="AX135" s="13" t="n">
        <f aca="false">IF(OR($AW135="",$AT135=""),1,((Config!$B$14*$AW135+Config!$B$15*(1-$AW135))/(Config!$B$14*$AT135+Config!$B$15*(1-$AT135)))^Config!$B$13)</f>
        <v>1</v>
      </c>
      <c r="AY135" s="10" t="str">
        <f aca="false">IF($AS135="","",IFERROR(IF(INDEX(Matches!$BB$5:$BB$23,MATCH($C135,Matches!$A$5:$A$23,0))="","",IF($AS135="A",INDEX(Matches!$BB$5:$BB$23,MATCH($C135,Matches!$A$5:$A$23,0)),1-INDEX(Matches!$BB$5:$BB$23,MATCH($C135,Matches!$A$5:$A$23,0)))),""))</f>
        <v/>
      </c>
      <c r="AZ135" s="13" t="n">
        <f aca="false">IF(OR($AY135="",$AT135=""),1,((Config!$B$14*$AY135+Config!$B$15*(1-$AY135))/(Config!$B$14*$AT135+Config!$B$15*(1-$AT135)))^Config!$B$13)</f>
        <v>1</v>
      </c>
      <c r="BA135" s="17" t="n">
        <f aca="false">IF(V135="","",V135*$AV135)</f>
        <v>19.0074098360656</v>
      </c>
      <c r="BB135" s="17" t="n">
        <f aca="false">IF(AC135="","",AC135*$AX135)</f>
        <v>16.7290819672131</v>
      </c>
      <c r="BC135" s="17" t="n">
        <f aca="false">IF(AJ135="","",AJ135*$AZ135)</f>
        <v>20.7073770491803</v>
      </c>
      <c r="BD135" s="17" t="n">
        <f aca="false">N(BA135)+N(BB135)</f>
        <v>35.7364918032787</v>
      </c>
      <c r="BE135" s="17" t="n">
        <f aca="false">BD135+N($M135)*N(BC135)</f>
        <v>45.075518852459</v>
      </c>
      <c r="BF135" s="17" t="str">
        <f aca="false">IF(W135="","",W135*$AV135)</f>
        <v/>
      </c>
      <c r="BG135" s="17" t="str">
        <f aca="false">IF(AD135="","",AD135*$AX135)</f>
        <v/>
      </c>
      <c r="BH135" s="17" t="str">
        <f aca="false">IF(AK135="","",AK135*$AZ135)</f>
        <v/>
      </c>
      <c r="BI135" s="17" t="str">
        <f aca="false">IF(BF135="","",N(BF135)+N(BG135))</f>
        <v/>
      </c>
      <c r="BJ135" s="17" t="str">
        <f aca="false">IF(BI135="","",BI135+N($M135)*N(BH135))</f>
        <v/>
      </c>
      <c r="BK135" s="13" t="n">
        <f aca="false">IFERROR(BD135/AL135,1)</f>
        <v>1</v>
      </c>
    </row>
    <row r="136" customFormat="false" ht="15" hidden="false" customHeight="false" outlineLevel="0" collapsed="false">
      <c r="A136" s="0" t="s">
        <v>1604</v>
      </c>
      <c r="B136" s="0" t="s">
        <v>1247</v>
      </c>
      <c r="C136" s="0" t="s">
        <v>1246</v>
      </c>
      <c r="D136" s="0" t="s">
        <v>1254</v>
      </c>
      <c r="E136" s="0" t="s">
        <v>1603</v>
      </c>
      <c r="F136" s="0" t="s">
        <v>1793</v>
      </c>
      <c r="G136" s="0" t="str">
        <f aca="false">IFERROR(IF(INDEX(Matches!$W$5:$W$23,MATCH($C136,Matches!$A$5:$A$23,0))="","",INDEX(Matches!$W$5:$W$23,MATCH($C136,Matches!$A$5:$A$23,0))),"")</f>
        <v>Haven</v>
      </c>
      <c r="H136" s="0" t="str">
        <f aca="false">IFERROR(IF(INDEX(Matches!$X$5:$X$23,MATCH($C136,Matches!$A$5:$A$23,0))="","",INDEX(Matches!$X$5:$X$23,MATCH($C136,Matches!$A$5:$A$23,0))),"")</f>
        <v>Pearl</v>
      </c>
      <c r="I136" s="0" t="str">
        <f aca="false">IFERROR(IF(INDEX(Matches!$Y$5:$Y$23,MATCH($C136,Matches!$A$5:$A$23,0))="","",INDEX(Matches!$Y$5:$Y$23,MATCH($C136,Matches!$A$5:$A$23,0))),"")</f>
        <v>Sunset</v>
      </c>
      <c r="J136" s="11" t="n">
        <f aca="false">IFERROR(IF(INDEX(Matches!$Z$5:$Z$23,MATCH($C136,Matches!$A$5:$A$23,0))="","",INDEX(Matches!$Z$5:$Z$23,MATCH($C136,Matches!$A$5:$A$23,0))),"")</f>
        <v>21.4</v>
      </c>
      <c r="K136" s="11" t="n">
        <f aca="false">IFERROR(IF(INDEX(Matches!$AA$5:$AA$23,MATCH($C136,Matches!$A$5:$A$23,0))="","",INDEX(Matches!$AA$5:$AA$23,MATCH($C136,Matches!$A$5:$A$23,0))),"")</f>
        <v>21.36</v>
      </c>
      <c r="L136" s="11" t="n">
        <f aca="false">IFERROR(IF(INDEX(Matches!$AB$5:$AB$23,MATCH($C136,Matches!$A$5:$A$23,0))="","",INDEX(Matches!$AB$5:$AB$23,MATCH($C136,Matches!$A$5:$A$23,0))),"")</f>
        <v>22.5</v>
      </c>
      <c r="M136" s="10" t="n">
        <f aca="false">IFERROR(IF(INDEX(Matches!$AC$5:$AC$23,MATCH($C136,Matches!$A$5:$A$23,0))="","",INDEX(Matches!$AC$5:$AC$23,MATCH($C136,Matches!$A$5:$A$23,0))),"")</f>
        <v>0.451</v>
      </c>
      <c r="N136" s="9" t="n">
        <f aca="false">IFERROR(INDEX(Players!$F$2:$F$137,MATCH($F136,Players!$A$2:$A$137,0)),0)</f>
        <v>32</v>
      </c>
      <c r="O136" s="13" t="n">
        <f aca="false">IFERROR(1/(1/INDEX(Players!$H$2:$H$137,MATCH($F136,Players!$A$2:$A$137,0))),"")</f>
        <v>0.71</v>
      </c>
      <c r="P136" s="10" t="str">
        <f aca="false">IFERROR(1/(1/INDEX(Players!$I$2:$I$137,MATCH($F136,Players!$A$2:$A$137,0))),"")</f>
        <v/>
      </c>
      <c r="Q136" s="9" t="n">
        <f aca="false">IF($G136="",0,SUMIFS(Map_Stats!$F$2:$F$850,Map_Stats!$A$2:$A$850,$F136&amp;"|"&amp;$G136))</f>
        <v>8</v>
      </c>
      <c r="R136" s="13" t="n">
        <f aca="false">IF($G136="","",IFERROR(1/(1/INDEX(Map_Stats!$K$2:$K$850,MATCH($F136&amp;"|"&amp;$G136,Map_Stats!$A$2:$A$850,0))),$O136))</f>
        <v>0.693165969316597</v>
      </c>
      <c r="S136" s="10" t="str">
        <f aca="false">IF(OR($G136="",$P136=""),"",IFERROR(1/(1/INDEX(Map_Stats!$I$2:$I$850,MATCH($F136&amp;"|"&amp;$G136,Map_Stats!$A$2:$A$850,0))),$P136))</f>
        <v/>
      </c>
      <c r="T136" s="13" t="n">
        <f aca="false">IF(OR($G136="",R136=""),"",IF($O136="",R136,(Q136*R136+Config!$B$4*$O136)/(Q136+Config!$B$4)))</f>
        <v>0.699640596502521</v>
      </c>
      <c r="U136" s="10" t="str">
        <f aca="false">IF(S136="","",(Q136*S136+Config!$B$4*$P136)/(Q136+Config!$B$4))</f>
        <v/>
      </c>
      <c r="V136" s="17" t="n">
        <f aca="false">IF(OR(T136="",$J136=""),"",T136*$J136*($J136/Config!$B$11)^Config!$B$9)</f>
        <v>14.972308765154</v>
      </c>
      <c r="W136" s="17" t="str">
        <f aca="false">IF(OR(V136="",U136=""),"",V136*U136)</f>
        <v/>
      </c>
      <c r="X136" s="9" t="n">
        <f aca="false">IF($H136="",0,SUMIFS(Map_Stats!$F$2:$F$850,Map_Stats!$A$2:$A$850,$F136&amp;"|"&amp;$H136))</f>
        <v>7</v>
      </c>
      <c r="Y136" s="13" t="n">
        <f aca="false">IF($H136="","",IFERROR(1/(1/INDEX(Map_Stats!$K$2:$K$850,MATCH($F136&amp;"|"&amp;$H136,Map_Stats!$A$2:$A$850,0))),$O136))</f>
        <v>0.772384937238494</v>
      </c>
      <c r="Z136" s="10" t="str">
        <f aca="false">IF(OR($H136="",$P136=""),"",IFERROR(1/(1/INDEX(Map_Stats!$I$2:$I$850,MATCH($F136&amp;"|"&amp;$H136,Map_Stats!$A$2:$A$850,0))),$P136))</f>
        <v/>
      </c>
      <c r="AA136" s="13" t="n">
        <f aca="false">IF(OR($H136="",Y136=""),"",IF($O136="",Y136,(X136*Y136+Config!$B$4*$O136)/(X136+Config!$B$4)))</f>
        <v>0.746391213389121</v>
      </c>
      <c r="AB136" s="10" t="str">
        <f aca="false">IF(Z136="","",(X136*Z136+Config!$B$4*$P136)/(X136+Config!$B$4))</f>
        <v/>
      </c>
      <c r="AC136" s="17" t="n">
        <f aca="false">IF(OR(AA136="",$K136=""),"",AA136*$K136*($K136/Config!$B$11)^Config!$B$9)</f>
        <v>15.9429163179916</v>
      </c>
      <c r="AD136" s="17" t="str">
        <f aca="false">IF(OR(AC136="",AB136=""),"",AC136*AB136)</f>
        <v/>
      </c>
      <c r="AE136" s="9" t="n">
        <f aca="false">IF($I136="",0,SUMIFS(Map_Stats!$F$2:$F$850,Map_Stats!$A$2:$A$850,$F136&amp;"|"&amp;$I136))</f>
        <v>1</v>
      </c>
      <c r="AF136" s="13" t="n">
        <f aca="false">IF($I136="","",IFERROR(1/(1/INDEX(Map_Stats!$K$2:$K$850,MATCH($F136&amp;"|"&amp;$I136,Map_Stats!$A$2:$A$850,0))),$O136))</f>
        <v>0.594142259414226</v>
      </c>
      <c r="AG136" s="10" t="str">
        <f aca="false">IF(OR($I136="",$P136=""),"",IFERROR(1/(1/INDEX(Map_Stats!$I$2:$I$850,MATCH($F136&amp;"|"&amp;$I136,Map_Stats!$A$2:$A$850,0))),$P136))</f>
        <v/>
      </c>
      <c r="AH136" s="13" t="n">
        <f aca="false">IF(OR($I136="",AF136=""),"",IF($O136="",AF136,(AE136*AF136+Config!$B$4*$O136)/(AE136+Config!$B$4)))</f>
        <v>0.690690376569038</v>
      </c>
      <c r="AI136" s="10" t="str">
        <f aca="false">IF(AG136="","",(AE136*AG136+Config!$B$4*$P136)/(AE136+Config!$B$4))</f>
        <v/>
      </c>
      <c r="AJ136" s="17" t="n">
        <f aca="false">IF(OR(AH136="",$L136=""),"",AH136*$L136*($L136/Config!$B$11)^Config!$B$9)</f>
        <v>15.5405334728033</v>
      </c>
      <c r="AK136" s="17" t="str">
        <f aca="false">IF(OR(AJ136="",AI136=""),"",AJ136*AI136)</f>
        <v/>
      </c>
      <c r="AL136" s="17" t="n">
        <f aca="false">N(V136)+N(AC136)</f>
        <v>30.9152250831456</v>
      </c>
      <c r="AM136" s="17" t="n">
        <f aca="false">AL136+N($M136)*N(AJ136)</f>
        <v>37.9240056793799</v>
      </c>
      <c r="AN136" s="17" t="str">
        <f aca="false">IF(W136="","",N(W136)+N(AD136))</f>
        <v/>
      </c>
      <c r="AO136" s="17" t="str">
        <f aca="false">IF(AN136="","",AN136+N($M136)*N(AK136))</f>
        <v/>
      </c>
      <c r="AP136" s="10" t="str">
        <f aca="false">IFERROR(AN136/AL136,"")</f>
        <v/>
      </c>
      <c r="AQ136" s="0" t="str">
        <f aca="false">TRIM(IF($N136&lt;Config!$B$12,"thin sample ("&amp;$N136&amp;" maps) · ","")&amp;IF(AND($G136&lt;&gt;"",Q136=0),"M1 unplayed→overall KPR · ","")&amp;IF(AND($H136&lt;&gt;"",X136=0),"M2 unplayed→overall KPR · ","")&amp;IF($O136="","no PickFinder stats",""))</f>
        <v/>
      </c>
      <c r="AR136" s="0" t="str">
        <f aca="false">IF($C136=Board!$B$2,COUNTIFS($C$2:$C$137,Board!$B$2,$AL$2:$AL$137,"&gt;"&amp;$AL136)+COUNTIFS($C$1:$C135,Board!$B$2,$AL$1:$AL135,$AL136)+1,"")</f>
        <v/>
      </c>
      <c r="AS136" s="0" t="str">
        <f aca="false">IFERROR(IF($D136=INDEX(Matches!$AD$5:$AD$23,MATCH($C136,Matches!$A$5:$A$23,0)),"A",IF($D136=INDEX(Matches!$AE$5:$AE$23,MATCH($C136,Matches!$A$5:$A$23,0)),"B","")),"")</f>
        <v>B</v>
      </c>
      <c r="AT136" s="10" t="n">
        <f aca="false">IF($AS136="","",IFERROR(IF($AS136="A",INDEX(Matches!$AI$5:$AI$23,MATCH($C136,Matches!$A$5:$A$23,0)),INDEX(Matches!$AJ$5:$AJ$23,MATCH($C136,Matches!$A$5:$A$23,0))),""))</f>
        <v>0</v>
      </c>
      <c r="AU136" s="10" t="str">
        <f aca="false">IF($AS136="","",IFERROR(IF(INDEX(Matches!$AP$5:$AP$23,MATCH($C136,Matches!$A$5:$A$23,0))="","",IF($AS136="A",INDEX(Matches!$AP$5:$AP$23,MATCH($C136,Matches!$A$5:$A$23,0)),1-INDEX(Matches!$AP$5:$AP$23,MATCH($C136,Matches!$A$5:$A$23,0)))),""))</f>
        <v/>
      </c>
      <c r="AV136" s="13" t="n">
        <f aca="false">IF(OR($AU136="",$AT136=""),1,((Config!$B$14*$AU136+Config!$B$15*(1-$AU136))/(Config!$B$14*$AT136+Config!$B$15*(1-$AT136)))^Config!$B$13)</f>
        <v>1</v>
      </c>
      <c r="AW136" s="10" t="str">
        <f aca="false">IF($AS136="","",IFERROR(IF(INDEX(Matches!$AV$5:$AV$23,MATCH($C136,Matches!$A$5:$A$23,0))="","",IF($AS136="A",INDEX(Matches!$AV$5:$AV$23,MATCH($C136,Matches!$A$5:$A$23,0)),1-INDEX(Matches!$AV$5:$AV$23,MATCH($C136,Matches!$A$5:$A$23,0)))),""))</f>
        <v/>
      </c>
      <c r="AX136" s="13" t="n">
        <f aca="false">IF(OR($AW136="",$AT136=""),1,((Config!$B$14*$AW136+Config!$B$15*(1-$AW136))/(Config!$B$14*$AT136+Config!$B$15*(1-$AT136)))^Config!$B$13)</f>
        <v>1</v>
      </c>
      <c r="AY136" s="10" t="str">
        <f aca="false">IF($AS136="","",IFERROR(IF(INDEX(Matches!$BB$5:$BB$23,MATCH($C136,Matches!$A$5:$A$23,0))="","",IF($AS136="A",INDEX(Matches!$BB$5:$BB$23,MATCH($C136,Matches!$A$5:$A$23,0)),1-INDEX(Matches!$BB$5:$BB$23,MATCH($C136,Matches!$A$5:$A$23,0)))),""))</f>
        <v/>
      </c>
      <c r="AZ136" s="13" t="n">
        <f aca="false">IF(OR($AY136="",$AT136=""),1,((Config!$B$14*$AY136+Config!$B$15*(1-$AY136))/(Config!$B$14*$AT136+Config!$B$15*(1-$AT136)))^Config!$B$13)</f>
        <v>1</v>
      </c>
      <c r="BA136" s="17" t="n">
        <f aca="false">IF(V136="","",V136*$AV136)</f>
        <v>14.972308765154</v>
      </c>
      <c r="BB136" s="17" t="n">
        <f aca="false">IF(AC136="","",AC136*$AX136)</f>
        <v>15.9429163179916</v>
      </c>
      <c r="BC136" s="17" t="n">
        <f aca="false">IF(AJ136="","",AJ136*$AZ136)</f>
        <v>15.5405334728033</v>
      </c>
      <c r="BD136" s="17" t="n">
        <f aca="false">N(BA136)+N(BB136)</f>
        <v>30.9152250831456</v>
      </c>
      <c r="BE136" s="17" t="n">
        <f aca="false">BD136+N($M136)*N(BC136)</f>
        <v>37.9240056793799</v>
      </c>
      <c r="BF136" s="17" t="str">
        <f aca="false">IF(W136="","",W136*$AV136)</f>
        <v/>
      </c>
      <c r="BG136" s="17" t="str">
        <f aca="false">IF(AD136="","",AD136*$AX136)</f>
        <v/>
      </c>
      <c r="BH136" s="17" t="str">
        <f aca="false">IF(AK136="","",AK136*$AZ136)</f>
        <v/>
      </c>
      <c r="BI136" s="17" t="str">
        <f aca="false">IF(BF136="","",N(BF136)+N(BG136))</f>
        <v/>
      </c>
      <c r="BJ136" s="17" t="str">
        <f aca="false">IF(BI136="","",BI136+N($M136)*N(BH136))</f>
        <v/>
      </c>
      <c r="BK136" s="13" t="n">
        <f aca="false">IFERROR(BD136/AL136,1)</f>
        <v>1</v>
      </c>
    </row>
    <row r="137" customFormat="false" ht="15" hidden="false" customHeight="false" outlineLevel="0" collapsed="false">
      <c r="A137" s="0" t="s">
        <v>1606</v>
      </c>
      <c r="B137" s="0" t="s">
        <v>1247</v>
      </c>
      <c r="C137" s="0" t="s">
        <v>1255</v>
      </c>
      <c r="D137" s="0" t="s">
        <v>1260</v>
      </c>
      <c r="E137" s="0" t="s">
        <v>1605</v>
      </c>
      <c r="F137" s="0" t="s">
        <v>1794</v>
      </c>
      <c r="G137" s="0" t="str">
        <f aca="false">IFERROR(IF(INDEX(Matches!$W$5:$W$23,MATCH($C137,Matches!$A$5:$A$23,0))="","",INDEX(Matches!$W$5:$W$23,MATCH($C137,Matches!$A$5:$A$23,0))),"")</f>
        <v>Sunset</v>
      </c>
      <c r="H137" s="0" t="str">
        <f aca="false">IFERROR(IF(INDEX(Matches!$X$5:$X$23,MATCH($C137,Matches!$A$5:$A$23,0))="","",INDEX(Matches!$X$5:$X$23,MATCH($C137,Matches!$A$5:$A$23,0))),"")</f>
        <v>Split</v>
      </c>
      <c r="I137" s="0" t="str">
        <f aca="false">IFERROR(IF(INDEX(Matches!$Y$5:$Y$23,MATCH($C137,Matches!$A$5:$A$23,0))="","",INDEX(Matches!$Y$5:$Y$23,MATCH($C137,Matches!$A$5:$A$23,0))),"")</f>
        <v>Bind</v>
      </c>
      <c r="J137" s="11" t="n">
        <f aca="false">IFERROR(IF(INDEX(Matches!$Z$5:$Z$23,MATCH($C137,Matches!$A$5:$A$23,0))="","",INDEX(Matches!$Z$5:$Z$23,MATCH($C137,Matches!$A$5:$A$23,0))),"")</f>
        <v>21.28</v>
      </c>
      <c r="K137" s="11" t="n">
        <f aca="false">IFERROR(IF(INDEX(Matches!$AA$5:$AA$23,MATCH($C137,Matches!$A$5:$A$23,0))="","",INDEX(Matches!$AA$5:$AA$23,MATCH($C137,Matches!$A$5:$A$23,0))),"")</f>
        <v>21.24</v>
      </c>
      <c r="L137" s="11" t="n">
        <f aca="false">IFERROR(IF(INDEX(Matches!$AB$5:$AB$23,MATCH($C137,Matches!$A$5:$A$23,0))="","",INDEX(Matches!$AB$5:$AB$23,MATCH($C137,Matches!$A$5:$A$23,0))),"")</f>
        <v>22.5</v>
      </c>
      <c r="M137" s="10" t="n">
        <f aca="false">IFERROR(IF(INDEX(Matches!$AC$5:$AC$23,MATCH($C137,Matches!$A$5:$A$23,0))="","",INDEX(Matches!$AC$5:$AC$23,MATCH($C137,Matches!$A$5:$A$23,0))),"")</f>
        <v>0.4328</v>
      </c>
      <c r="N137" s="9" t="n">
        <f aca="false">IFERROR(INDEX(Players!$F$2:$F$137,MATCH($F137,Players!$A$2:$A$137,0)),0)</f>
        <v>29</v>
      </c>
      <c r="O137" s="13" t="n">
        <f aca="false">IFERROR(1/(1/INDEX(Players!$H$2:$H$137,MATCH($F137,Players!$A$2:$A$137,0))),"")</f>
        <v>0.55</v>
      </c>
      <c r="P137" s="10" t="str">
        <f aca="false">IFERROR(1/(1/INDEX(Players!$I$2:$I$137,MATCH($F137,Players!$A$2:$A$137,0))),"")</f>
        <v/>
      </c>
      <c r="Q137" s="9" t="n">
        <f aca="false">IF($G137="",0,SUMIFS(Map_Stats!$F$2:$F$850,Map_Stats!$A$2:$A$850,$F137&amp;"|"&amp;$G137))</f>
        <v>8</v>
      </c>
      <c r="R137" s="13" t="n">
        <f aca="false">IF($G137="","",IFERROR(1/(1/INDEX(Map_Stats!$K$2:$K$850,MATCH($F137&amp;"|"&amp;$G137,Map_Stats!$A$2:$A$850,0))),$O137))</f>
        <v>0.509433962264151</v>
      </c>
      <c r="S137" s="10" t="str">
        <f aca="false">IF(OR($G137="",$P137=""),"",IFERROR(1/(1/INDEX(Map_Stats!$I$2:$I$850,MATCH($F137&amp;"|"&amp;$G137,Map_Stats!$A$2:$A$850,0))),$P137))</f>
        <v/>
      </c>
      <c r="T137" s="13" t="n">
        <f aca="false">IF(OR($G137="",R137=""),"",IF($O137="",R137,(Q137*R137+Config!$B$4*$O137)/(Q137+Config!$B$4)))</f>
        <v>0.525036284470247</v>
      </c>
      <c r="U137" s="10" t="str">
        <f aca="false">IF(S137="","",(Q137*S137+Config!$B$4*$P137)/(Q137+Config!$B$4))</f>
        <v/>
      </c>
      <c r="V137" s="17" t="n">
        <f aca="false">IF(OR(T137="",$J137=""),"",T137*$J137*($J137/Config!$B$11)^Config!$B$9)</f>
        <v>11.1727721335269</v>
      </c>
      <c r="W137" s="17" t="str">
        <f aca="false">IF(OR(V137="",U137=""),"",V137*U137)</f>
        <v/>
      </c>
      <c r="X137" s="9" t="n">
        <f aca="false">IF($H137="",0,SUMIFS(Map_Stats!$F$2:$F$850,Map_Stats!$A$2:$A$850,$F137&amp;"|"&amp;$H137))</f>
        <v>5</v>
      </c>
      <c r="Y137" s="13" t="n">
        <f aca="false">IF($H137="","",IFERROR(1/(1/INDEX(Map_Stats!$K$2:$K$850,MATCH($F137&amp;"|"&amp;$H137,Map_Stats!$A$2:$A$850,0))),$O137))</f>
        <v>0.481132075471698</v>
      </c>
      <c r="Z137" s="10" t="str">
        <f aca="false">IF(OR($H137="",$P137=""),"",IFERROR(1/(1/INDEX(Map_Stats!$I$2:$I$850,MATCH($F137&amp;"|"&amp;$H137,Map_Stats!$A$2:$A$850,0))),$P137))</f>
        <v/>
      </c>
      <c r="AA137" s="13" t="n">
        <f aca="false">IF(OR($H137="",Y137=""),"",IF($O137="",Y137,(X137*Y137+Config!$B$4*$O137)/(X137+Config!$B$4)))</f>
        <v>0.515566037735849</v>
      </c>
      <c r="AB137" s="10" t="str">
        <f aca="false">IF(Z137="","",(X137*Z137+Config!$B$4*$P137)/(X137+Config!$B$4))</f>
        <v/>
      </c>
      <c r="AC137" s="17" t="n">
        <f aca="false">IF(OR(AA137="",$K137=""),"",AA137*$K137*($K137/Config!$B$11)^Config!$B$9)</f>
        <v>10.9506226415094</v>
      </c>
      <c r="AD137" s="17" t="str">
        <f aca="false">IF(OR(AC137="",AB137=""),"",AC137*AB137)</f>
        <v/>
      </c>
      <c r="AE137" s="9" t="n">
        <f aca="false">IF($I137="",0,SUMIFS(Map_Stats!$F$2:$F$850,Map_Stats!$A$2:$A$850,$F137&amp;"|"&amp;$I137))</f>
        <v>4</v>
      </c>
      <c r="AF137" s="13" t="n">
        <f aca="false">IF($I137="","",IFERROR(1/(1/INDEX(Map_Stats!$K$2:$K$850,MATCH($F137&amp;"|"&amp;$I137,Map_Stats!$A$2:$A$850,0))),$O137))</f>
        <v>0.660377358490566</v>
      </c>
      <c r="AG137" s="10" t="str">
        <f aca="false">IF(OR($I137="",$P137=""),"",IFERROR(1/(1/INDEX(Map_Stats!$I$2:$I$850,MATCH($F137&amp;"|"&amp;$I137,Map_Stats!$A$2:$A$850,0))),$P137))</f>
        <v/>
      </c>
      <c r="AH137" s="13" t="n">
        <f aca="false">IF(OR($I137="",AF137=""),"",IF($O137="",AF137,(AE137*AF137+Config!$B$4*$O137)/(AE137+Config!$B$4)))</f>
        <v>0.599056603773585</v>
      </c>
      <c r="AI137" s="10" t="str">
        <f aca="false">IF(AG137="","",(AE137*AG137+Config!$B$4*$P137)/(AE137+Config!$B$4))</f>
        <v/>
      </c>
      <c r="AJ137" s="17" t="n">
        <f aca="false">IF(OR(AH137="",$L137=""),"",AH137*$L137*($L137/Config!$B$11)^Config!$B$9)</f>
        <v>13.4787735849057</v>
      </c>
      <c r="AK137" s="17" t="str">
        <f aca="false">IF(OR(AJ137="",AI137=""),"",AJ137*AI137)</f>
        <v/>
      </c>
      <c r="AL137" s="17" t="n">
        <f aca="false">N(V137)+N(AC137)</f>
        <v>22.1233947750363</v>
      </c>
      <c r="AM137" s="17" t="n">
        <f aca="false">AL137+N($M137)*N(AJ137)</f>
        <v>27.9570079825835</v>
      </c>
      <c r="AN137" s="17" t="str">
        <f aca="false">IF(W137="","",N(W137)+N(AD137))</f>
        <v/>
      </c>
      <c r="AO137" s="17" t="str">
        <f aca="false">IF(AN137="","",AN137+N($M137)*N(AK137))</f>
        <v/>
      </c>
      <c r="AP137" s="10" t="str">
        <f aca="false">IFERROR(AN137/AL137,"")</f>
        <v/>
      </c>
      <c r="AQ137" s="0" t="str">
        <f aca="false">TRIM(IF($N137&lt;Config!$B$12,"thin sample ("&amp;$N137&amp;" maps) · ","")&amp;IF(AND($G137&lt;&gt;"",Q137=0),"M1 unplayed→overall KPR · ","")&amp;IF(AND($H137&lt;&gt;"",X137=0),"M2 unplayed→overall KPR · ","")&amp;IF($O137="","no PickFinder stats",""))</f>
        <v/>
      </c>
      <c r="AR137" s="0" t="str">
        <f aca="false">IF($C137=Board!$B$2,COUNTIFS($C$2:$C$137,Board!$B$2,$AL$2:$AL$137,"&gt;"&amp;$AL137)+COUNTIFS($C$1:$C136,Board!$B$2,$AL$1:$AL136,$AL137)+1,"")</f>
        <v/>
      </c>
      <c r="AS137" s="0" t="str">
        <f aca="false">IFERROR(IF($D137=INDEX(Matches!$AD$5:$AD$23,MATCH($C137,Matches!$A$5:$A$23,0)),"A",IF($D137=INDEX(Matches!$AE$5:$AE$23,MATCH($C137,Matches!$A$5:$A$23,0)),"B","")),"")</f>
        <v>A</v>
      </c>
      <c r="AT137" s="10" t="n">
        <f aca="false">IF($AS137="","",IFERROR(IF($AS137="A",INDEX(Matches!$AI$5:$AI$23,MATCH($C137,Matches!$A$5:$A$23,0)),INDEX(Matches!$AJ$5:$AJ$23,MATCH($C137,Matches!$A$5:$A$23,0))),""))</f>
        <v>0</v>
      </c>
      <c r="AU137" s="10" t="str">
        <f aca="false">IF($AS137="","",IFERROR(IF(INDEX(Matches!$AP$5:$AP$23,MATCH($C137,Matches!$A$5:$A$23,0))="","",IF($AS137="A",INDEX(Matches!$AP$5:$AP$23,MATCH($C137,Matches!$A$5:$A$23,0)),1-INDEX(Matches!$AP$5:$AP$23,MATCH($C137,Matches!$A$5:$A$23,0)))),""))</f>
        <v/>
      </c>
      <c r="AV137" s="13" t="n">
        <f aca="false">IF(OR($AU137="",$AT137=""),1,((Config!$B$14*$AU137+Config!$B$15*(1-$AU137))/(Config!$B$14*$AT137+Config!$B$15*(1-$AT137)))^Config!$B$13)</f>
        <v>1</v>
      </c>
      <c r="AW137" s="10" t="str">
        <f aca="false">IF($AS137="","",IFERROR(IF(INDEX(Matches!$AV$5:$AV$23,MATCH($C137,Matches!$A$5:$A$23,0))="","",IF($AS137="A",INDEX(Matches!$AV$5:$AV$23,MATCH($C137,Matches!$A$5:$A$23,0)),1-INDEX(Matches!$AV$5:$AV$23,MATCH($C137,Matches!$A$5:$A$23,0)))),""))</f>
        <v/>
      </c>
      <c r="AX137" s="13" t="n">
        <f aca="false">IF(OR($AW137="",$AT137=""),1,((Config!$B$14*$AW137+Config!$B$15*(1-$AW137))/(Config!$B$14*$AT137+Config!$B$15*(1-$AT137)))^Config!$B$13)</f>
        <v>1</v>
      </c>
      <c r="AY137" s="10" t="str">
        <f aca="false">IF($AS137="","",IFERROR(IF(INDEX(Matches!$BB$5:$BB$23,MATCH($C137,Matches!$A$5:$A$23,0))="","",IF($AS137="A",INDEX(Matches!$BB$5:$BB$23,MATCH($C137,Matches!$A$5:$A$23,0)),1-INDEX(Matches!$BB$5:$BB$23,MATCH($C137,Matches!$A$5:$A$23,0)))),""))</f>
        <v/>
      </c>
      <c r="AZ137" s="13" t="n">
        <f aca="false">IF(OR($AY137="",$AT137=""),1,((Config!$B$14*$AY137+Config!$B$15*(1-$AY137))/(Config!$B$14*$AT137+Config!$B$15*(1-$AT137)))^Config!$B$13)</f>
        <v>1</v>
      </c>
      <c r="BA137" s="17" t="n">
        <f aca="false">IF(V137="","",V137*$AV137)</f>
        <v>11.1727721335269</v>
      </c>
      <c r="BB137" s="17" t="n">
        <f aca="false">IF(AC137="","",AC137*$AX137)</f>
        <v>10.9506226415094</v>
      </c>
      <c r="BC137" s="17" t="n">
        <f aca="false">IF(AJ137="","",AJ137*$AZ137)</f>
        <v>13.4787735849057</v>
      </c>
      <c r="BD137" s="17" t="n">
        <f aca="false">N(BA137)+N(BB137)</f>
        <v>22.1233947750363</v>
      </c>
      <c r="BE137" s="17" t="n">
        <f aca="false">BD137+N($M137)*N(BC137)</f>
        <v>27.9570079825835</v>
      </c>
      <c r="BF137" s="17" t="str">
        <f aca="false">IF(W137="","",W137*$AV137)</f>
        <v/>
      </c>
      <c r="BG137" s="17" t="str">
        <f aca="false">IF(AD137="","",AD137*$AX137)</f>
        <v/>
      </c>
      <c r="BH137" s="17" t="str">
        <f aca="false">IF(AK137="","",AK137*$AZ137)</f>
        <v/>
      </c>
      <c r="BI137" s="17" t="str">
        <f aca="false">IF(BF137="","",N(BF137)+N(BG137))</f>
        <v/>
      </c>
      <c r="BJ137" s="17" t="str">
        <f aca="false">IF(BI137="","",BI137+N($M137)*N(BH137))</f>
        <v/>
      </c>
      <c r="BK137" s="13" t="n">
        <f aca="false">IFERROR(BD137/AL137,1)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1795</v>
      </c>
    </row>
    <row r="3" customFormat="false" ht="15" hidden="false" customHeight="false" outlineLevel="0" collapsed="false">
      <c r="A3" s="12" t="s">
        <v>1796</v>
      </c>
      <c r="B3" s="12" t="s">
        <v>1797</v>
      </c>
      <c r="C3" s="12" t="s">
        <v>1798</v>
      </c>
      <c r="E3" s="18" t="s">
        <v>1799</v>
      </c>
      <c r="F3" s="18" t="s">
        <v>1800</v>
      </c>
    </row>
    <row r="4" customFormat="false" ht="41.75" hidden="false" customHeight="false" outlineLevel="0" collapsed="false">
      <c r="A4" s="3" t="s">
        <v>1801</v>
      </c>
      <c r="B4" s="19" t="n">
        <v>5</v>
      </c>
      <c r="C4" s="4" t="s">
        <v>1802</v>
      </c>
      <c r="E4" s="9" t="s">
        <v>81</v>
      </c>
      <c r="F4" s="9" t="s">
        <v>278</v>
      </c>
    </row>
    <row r="5" customFormat="false" ht="41.75" hidden="false" customHeight="false" outlineLevel="0" collapsed="false">
      <c r="A5" s="3" t="s">
        <v>1803</v>
      </c>
      <c r="B5" s="19" t="n">
        <v>1.4</v>
      </c>
      <c r="C5" s="4" t="s">
        <v>1804</v>
      </c>
      <c r="E5" s="9" t="s">
        <v>121</v>
      </c>
      <c r="F5" s="9" t="s">
        <v>284</v>
      </c>
    </row>
    <row r="6" customFormat="false" ht="28.35" hidden="false" customHeight="false" outlineLevel="0" collapsed="false">
      <c r="A6" s="3" t="s">
        <v>1805</v>
      </c>
      <c r="B6" s="19" t="n">
        <v>0.04</v>
      </c>
      <c r="C6" s="4" t="s">
        <v>1806</v>
      </c>
      <c r="E6" s="9" t="s">
        <v>129</v>
      </c>
      <c r="F6" s="9" t="s">
        <v>1259</v>
      </c>
    </row>
    <row r="7" customFormat="false" ht="15" hidden="false" customHeight="false" outlineLevel="0" collapsed="false">
      <c r="A7" s="3" t="s">
        <v>1807</v>
      </c>
      <c r="B7" s="19" t="n">
        <v>21.5</v>
      </c>
      <c r="C7" s="4" t="s">
        <v>1808</v>
      </c>
      <c r="E7" s="9" t="s">
        <v>95</v>
      </c>
      <c r="F7" s="9" t="s">
        <v>287</v>
      </c>
    </row>
    <row r="8" customFormat="false" ht="15" hidden="false" customHeight="false" outlineLevel="0" collapsed="false">
      <c r="A8" s="3" t="s">
        <v>1809</v>
      </c>
      <c r="B8" s="19" t="n">
        <v>22.5</v>
      </c>
      <c r="C8" s="4" t="s">
        <v>1810</v>
      </c>
      <c r="E8" s="9" t="s">
        <v>139</v>
      </c>
      <c r="F8" s="9" t="s">
        <v>1811</v>
      </c>
    </row>
    <row r="9" customFormat="false" ht="28.35" hidden="false" customHeight="false" outlineLevel="0" collapsed="false">
      <c r="A9" s="3" t="s">
        <v>1812</v>
      </c>
      <c r="B9" s="19" t="n">
        <v>0</v>
      </c>
      <c r="C9" s="4" t="s">
        <v>1813</v>
      </c>
      <c r="E9" s="9" t="s">
        <v>108</v>
      </c>
      <c r="F9" s="9" t="s">
        <v>1814</v>
      </c>
    </row>
    <row r="10" customFormat="false" ht="15" hidden="false" customHeight="false" outlineLevel="0" collapsed="false">
      <c r="A10" s="3" t="s">
        <v>1815</v>
      </c>
      <c r="B10" s="19" t="n">
        <v>21.5</v>
      </c>
      <c r="C10" s="4" t="s">
        <v>1816</v>
      </c>
      <c r="E10" s="9" t="s">
        <v>145</v>
      </c>
      <c r="F10" s="9" t="s">
        <v>265</v>
      </c>
    </row>
    <row r="11" customFormat="false" ht="15" hidden="false" customHeight="false" outlineLevel="0" collapsed="false">
      <c r="A11" s="3" t="s">
        <v>1817</v>
      </c>
      <c r="B11" s="19" t="n">
        <v>22.5</v>
      </c>
      <c r="C11" s="4" t="s">
        <v>1810</v>
      </c>
      <c r="E11" s="9" t="s">
        <v>1818</v>
      </c>
      <c r="F11" s="9" t="s">
        <v>1819</v>
      </c>
    </row>
    <row r="12" customFormat="false" ht="15" hidden="false" customHeight="false" outlineLevel="0" collapsed="false">
      <c r="A12" s="3" t="s">
        <v>1820</v>
      </c>
      <c r="B12" s="19" t="n">
        <v>15</v>
      </c>
      <c r="C12" s="4" t="s">
        <v>1821</v>
      </c>
      <c r="F12" s="9" t="s">
        <v>290</v>
      </c>
    </row>
    <row r="13" customFormat="false" ht="41.75" hidden="false" customHeight="false" outlineLevel="0" collapsed="false">
      <c r="A13" s="3" t="s">
        <v>1822</v>
      </c>
      <c r="B13" s="19" t="n">
        <v>1</v>
      </c>
      <c r="C13" s="4" t="s">
        <v>1823</v>
      </c>
      <c r="F13" s="9" t="s">
        <v>1252</v>
      </c>
    </row>
    <row r="14" customFormat="false" ht="28.35" hidden="false" customHeight="false" outlineLevel="0" collapsed="false">
      <c r="A14" s="3" t="s">
        <v>1824</v>
      </c>
      <c r="B14" s="19" t="n">
        <v>4.76</v>
      </c>
      <c r="C14" s="4" t="s">
        <v>1825</v>
      </c>
      <c r="F14" s="9" t="s">
        <v>296</v>
      </c>
    </row>
    <row r="15" customFormat="false" ht="15" hidden="false" customHeight="false" outlineLevel="0" collapsed="false">
      <c r="A15" s="3" t="s">
        <v>1826</v>
      </c>
      <c r="B15" s="19" t="n">
        <v>1.82</v>
      </c>
      <c r="C15" s="4" t="s">
        <v>1827</v>
      </c>
      <c r="F15" s="9" t="s">
        <v>271</v>
      </c>
    </row>
    <row r="17" customFormat="false" ht="15" hidden="false" customHeight="false" outlineLevel="0" collapsed="false">
      <c r="A17" s="3" t="s">
        <v>1828</v>
      </c>
    </row>
    <row r="18" customFormat="false" ht="15" hidden="false" customHeight="false" outlineLevel="0" collapsed="false">
      <c r="A18" s="0" t="s">
        <v>1829</v>
      </c>
      <c r="B18" s="0" t="s">
        <v>1830</v>
      </c>
    </row>
    <row r="19" customFormat="false" ht="15" hidden="false" customHeight="false" outlineLevel="0" collapsed="false">
      <c r="A19" s="0" t="s">
        <v>1831</v>
      </c>
      <c r="B19" s="0" t="s">
        <v>1832</v>
      </c>
    </row>
    <row r="20" customFormat="false" ht="15" hidden="false" customHeight="false" outlineLevel="0" collapsed="false">
      <c r="A20" s="0" t="s">
        <v>1833</v>
      </c>
      <c r="C20" s="0" t="s">
        <v>1834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1608</v>
      </c>
      <c r="B1" s="12" t="s">
        <v>1077</v>
      </c>
      <c r="C1" s="12" t="s">
        <v>1102</v>
      </c>
      <c r="D1" s="12" t="s">
        <v>1076</v>
      </c>
      <c r="E1" s="12" t="s">
        <v>1835</v>
      </c>
      <c r="F1" s="12" t="s">
        <v>1836</v>
      </c>
      <c r="G1" s="12" t="s">
        <v>1837</v>
      </c>
      <c r="H1" s="12" t="s">
        <v>1838</v>
      </c>
      <c r="I1" s="12" t="s">
        <v>1839</v>
      </c>
      <c r="J1" s="12" t="s">
        <v>1840</v>
      </c>
      <c r="K1" s="12" t="s">
        <v>1841</v>
      </c>
      <c r="L1" s="12" t="s">
        <v>1842</v>
      </c>
      <c r="M1" s="12" t="s">
        <v>1843</v>
      </c>
      <c r="N1" s="12" t="s">
        <v>1844</v>
      </c>
      <c r="O1" s="12" t="s">
        <v>1845</v>
      </c>
    </row>
    <row r="2" customFormat="false" ht="15" hidden="false" customHeight="false" outlineLevel="0" collapsed="false">
      <c r="A2" s="0" t="s">
        <v>1659</v>
      </c>
      <c r="B2" s="0" t="s">
        <v>1285</v>
      </c>
      <c r="C2" s="0" t="s">
        <v>1139</v>
      </c>
      <c r="D2" s="0" t="s">
        <v>1190</v>
      </c>
      <c r="E2" s="0" t="s">
        <v>1846</v>
      </c>
      <c r="F2" s="0" t="n">
        <v>30</v>
      </c>
      <c r="G2" s="0" t="n">
        <v>15.17</v>
      </c>
      <c r="H2" s="0" t="n">
        <v>0.75</v>
      </c>
      <c r="I2" s="10" t="n">
        <v>0.332</v>
      </c>
      <c r="J2" s="0" t="n">
        <v>0.25</v>
      </c>
      <c r="K2" s="0" t="n">
        <v>1.31</v>
      </c>
      <c r="L2" s="0" t="n">
        <v>1.22</v>
      </c>
      <c r="M2" s="11" t="n">
        <f aca="false">IFERROR(G2/H2,"")</f>
        <v>20.2266666666667</v>
      </c>
      <c r="N2" s="9" t="s">
        <v>1847</v>
      </c>
      <c r="O2" s="9" t="s">
        <v>1848</v>
      </c>
    </row>
    <row r="3" customFormat="false" ht="15" hidden="false" customHeight="false" outlineLevel="0" collapsed="false">
      <c r="A3" s="0" t="s">
        <v>1660</v>
      </c>
      <c r="B3" s="0" t="s">
        <v>1292</v>
      </c>
      <c r="C3" s="0" t="s">
        <v>1139</v>
      </c>
      <c r="D3" s="0" t="s">
        <v>1190</v>
      </c>
      <c r="E3" s="0" t="s">
        <v>1846</v>
      </c>
      <c r="F3" s="0" t="n">
        <v>30</v>
      </c>
      <c r="G3" s="0" t="n">
        <v>11.9</v>
      </c>
      <c r="H3" s="0" t="n">
        <v>0.59</v>
      </c>
      <c r="I3" s="10" t="n">
        <v>0.493</v>
      </c>
      <c r="J3" s="0" t="n">
        <v>0.29</v>
      </c>
      <c r="K3" s="0" t="n">
        <v>0.86</v>
      </c>
      <c r="L3" s="0" t="n">
        <v>1.02</v>
      </c>
      <c r="M3" s="11" t="n">
        <f aca="false">IFERROR(G3/H3,"")</f>
        <v>20.1694915254237</v>
      </c>
      <c r="N3" s="9" t="s">
        <v>1847</v>
      </c>
      <c r="O3" s="9" t="s">
        <v>1849</v>
      </c>
    </row>
    <row r="4" customFormat="false" ht="15" hidden="false" customHeight="false" outlineLevel="0" collapsed="false">
      <c r="A4" s="0" t="s">
        <v>1661</v>
      </c>
      <c r="B4" s="0" t="s">
        <v>1294</v>
      </c>
      <c r="C4" s="0" t="s">
        <v>1139</v>
      </c>
      <c r="D4" s="0" t="s">
        <v>1190</v>
      </c>
      <c r="E4" s="0" t="s">
        <v>1846</v>
      </c>
      <c r="F4" s="0" t="n">
        <v>30</v>
      </c>
      <c r="G4" s="0" t="n">
        <v>15</v>
      </c>
      <c r="H4" s="0" t="n">
        <v>0.74</v>
      </c>
      <c r="I4" s="10" t="n">
        <v>0.569</v>
      </c>
      <c r="J4" s="0" t="n">
        <v>0.42</v>
      </c>
      <c r="K4" s="0" t="n">
        <v>1.15</v>
      </c>
      <c r="L4" s="0" t="n">
        <v>1.23</v>
      </c>
      <c r="M4" s="11" t="n">
        <f aca="false">IFERROR(G4/H4,"")</f>
        <v>20.2702702702703</v>
      </c>
      <c r="N4" s="9" t="s">
        <v>1847</v>
      </c>
      <c r="O4" s="9" t="s">
        <v>1850</v>
      </c>
    </row>
    <row r="5" customFormat="false" ht="15" hidden="false" customHeight="false" outlineLevel="0" collapsed="false">
      <c r="A5" s="0" t="s">
        <v>1662</v>
      </c>
      <c r="B5" s="0" t="s">
        <v>1296</v>
      </c>
      <c r="C5" s="0" t="s">
        <v>1139</v>
      </c>
      <c r="D5" s="0" t="s">
        <v>1190</v>
      </c>
      <c r="E5" s="0" t="s">
        <v>1846</v>
      </c>
      <c r="F5" s="0" t="n">
        <v>30</v>
      </c>
      <c r="G5" s="0" t="n">
        <v>13.87</v>
      </c>
      <c r="H5" s="0" t="n">
        <v>0.68</v>
      </c>
      <c r="I5" s="10" t="n">
        <v>0.563</v>
      </c>
      <c r="J5" s="0" t="n">
        <v>0.38</v>
      </c>
      <c r="K5" s="0" t="n">
        <v>1.05</v>
      </c>
      <c r="L5" s="0" t="n">
        <v>1.17</v>
      </c>
      <c r="M5" s="11" t="n">
        <f aca="false">IFERROR(G5/H5,"")</f>
        <v>20.3970588235294</v>
      </c>
      <c r="N5" s="9" t="s">
        <v>1847</v>
      </c>
      <c r="O5" s="9" t="s">
        <v>1851</v>
      </c>
    </row>
    <row r="6" customFormat="false" ht="15" hidden="false" customHeight="false" outlineLevel="0" collapsed="false">
      <c r="A6" s="0" t="s">
        <v>1663</v>
      </c>
      <c r="B6" s="0" t="s">
        <v>1298</v>
      </c>
      <c r="C6" s="0" t="s">
        <v>1139</v>
      </c>
      <c r="D6" s="0" t="s">
        <v>1190</v>
      </c>
      <c r="E6" s="0" t="s">
        <v>1846</v>
      </c>
      <c r="F6" s="0" t="n">
        <v>30</v>
      </c>
      <c r="G6" s="0" t="n">
        <v>13.13</v>
      </c>
      <c r="H6" s="0" t="n">
        <v>0.65</v>
      </c>
      <c r="I6" s="10" t="n">
        <v>0.609</v>
      </c>
      <c r="J6" s="0" t="n">
        <v>0.39</v>
      </c>
      <c r="K6" s="0" t="n">
        <v>1.03</v>
      </c>
      <c r="L6" s="0" t="n">
        <v>1.09</v>
      </c>
      <c r="M6" s="11" t="n">
        <f aca="false">IFERROR(G6/H6,"")</f>
        <v>20.2</v>
      </c>
      <c r="N6" s="9" t="s">
        <v>1847</v>
      </c>
      <c r="O6" s="9" t="s">
        <v>1852</v>
      </c>
    </row>
    <row r="7" customFormat="false" ht="15" hidden="false" customHeight="false" outlineLevel="0" collapsed="false">
      <c r="A7" s="0" t="s">
        <v>1767</v>
      </c>
      <c r="B7" s="0" t="s">
        <v>1546</v>
      </c>
      <c r="C7" s="0" t="s">
        <v>1139</v>
      </c>
      <c r="D7" s="0" t="s">
        <v>1245</v>
      </c>
      <c r="E7" s="0" t="s">
        <v>1853</v>
      </c>
      <c r="F7" s="0" t="n">
        <v>36</v>
      </c>
      <c r="G7" s="0" t="n">
        <v>13.44</v>
      </c>
      <c r="H7" s="0" t="n">
        <v>0.62</v>
      </c>
      <c r="I7" s="10" t="n">
        <v>0.517</v>
      </c>
      <c r="J7" s="0" t="n">
        <v>0.32</v>
      </c>
      <c r="K7" s="0" t="n">
        <v>0.84</v>
      </c>
      <c r="L7" s="0" t="n">
        <v>0.95</v>
      </c>
      <c r="M7" s="11" t="n">
        <f aca="false">IFERROR(G7/H7,"")</f>
        <v>21.6774193548387</v>
      </c>
      <c r="N7" s="9" t="s">
        <v>1847</v>
      </c>
      <c r="O7" s="9" t="s">
        <v>1854</v>
      </c>
    </row>
    <row r="8" customFormat="false" ht="15" hidden="false" customHeight="false" outlineLevel="0" collapsed="false">
      <c r="A8" s="0" t="s">
        <v>1768</v>
      </c>
      <c r="B8" s="0" t="s">
        <v>1548</v>
      </c>
      <c r="C8" s="0" t="s">
        <v>1139</v>
      </c>
      <c r="D8" s="0" t="s">
        <v>1245</v>
      </c>
      <c r="E8" s="0" t="s">
        <v>1853</v>
      </c>
      <c r="F8" s="0" t="n">
        <v>36</v>
      </c>
      <c r="G8" s="0" t="n">
        <v>14.08</v>
      </c>
      <c r="H8" s="0" t="n">
        <v>0.65</v>
      </c>
      <c r="I8" s="10" t="n">
        <v>0.493</v>
      </c>
      <c r="J8" s="0" t="n">
        <v>0.32</v>
      </c>
      <c r="K8" s="0" t="n">
        <v>1</v>
      </c>
      <c r="L8" s="0" t="n">
        <v>1.05</v>
      </c>
      <c r="M8" s="11" t="n">
        <f aca="false">IFERROR(G8/H8,"")</f>
        <v>21.6615384615385</v>
      </c>
      <c r="N8" s="9" t="s">
        <v>1847</v>
      </c>
      <c r="O8" s="9" t="s">
        <v>1855</v>
      </c>
    </row>
    <row r="9" customFormat="false" ht="15" hidden="false" customHeight="false" outlineLevel="0" collapsed="false">
      <c r="A9" s="0" t="s">
        <v>1769</v>
      </c>
      <c r="B9" s="0" t="s">
        <v>1550</v>
      </c>
      <c r="C9" s="0" t="s">
        <v>1139</v>
      </c>
      <c r="D9" s="0" t="s">
        <v>1245</v>
      </c>
      <c r="E9" s="0" t="s">
        <v>1853</v>
      </c>
      <c r="F9" s="0" t="n">
        <v>36</v>
      </c>
      <c r="G9" s="0" t="n">
        <v>15.92</v>
      </c>
      <c r="H9" s="0" t="n">
        <v>0.73</v>
      </c>
      <c r="I9" s="10" t="n">
        <v>0.333</v>
      </c>
      <c r="J9" s="0" t="n">
        <v>0.24</v>
      </c>
      <c r="K9" s="0" t="n">
        <v>1.2</v>
      </c>
      <c r="L9" s="0" t="n">
        <v>1.17</v>
      </c>
      <c r="M9" s="11" t="n">
        <f aca="false">IFERROR(G9/H9,"")</f>
        <v>21.8082191780822</v>
      </c>
      <c r="N9" s="9" t="s">
        <v>1847</v>
      </c>
      <c r="O9" s="9" t="s">
        <v>1856</v>
      </c>
    </row>
    <row r="10" customFormat="false" ht="15" hidden="false" customHeight="false" outlineLevel="0" collapsed="false">
      <c r="A10" s="0" t="s">
        <v>1770</v>
      </c>
      <c r="B10" s="0" t="s">
        <v>1552</v>
      </c>
      <c r="C10" s="0" t="s">
        <v>1139</v>
      </c>
      <c r="D10" s="0" t="s">
        <v>1245</v>
      </c>
      <c r="E10" s="0" t="s">
        <v>1853</v>
      </c>
      <c r="F10" s="0" t="n">
        <v>36</v>
      </c>
      <c r="G10" s="0" t="n">
        <v>13.03</v>
      </c>
      <c r="H10" s="0" t="n">
        <v>0.6</v>
      </c>
      <c r="I10" s="10" t="n">
        <v>0.537</v>
      </c>
      <c r="J10" s="0" t="n">
        <v>0.32</v>
      </c>
      <c r="K10" s="0" t="n">
        <v>0.85</v>
      </c>
      <c r="L10" s="0" t="n">
        <v>0.97</v>
      </c>
      <c r="M10" s="11" t="n">
        <f aca="false">IFERROR(G10/H10,"")</f>
        <v>21.7166666666667</v>
      </c>
      <c r="N10" s="9" t="s">
        <v>1847</v>
      </c>
      <c r="O10" s="9" t="s">
        <v>1857</v>
      </c>
    </row>
    <row r="11" customFormat="false" ht="15" hidden="false" customHeight="false" outlineLevel="0" collapsed="false">
      <c r="A11" s="0" t="s">
        <v>1771</v>
      </c>
      <c r="B11" s="0" t="s">
        <v>1554</v>
      </c>
      <c r="C11" s="0" t="s">
        <v>1139</v>
      </c>
      <c r="D11" s="0" t="s">
        <v>1245</v>
      </c>
      <c r="E11" s="0" t="s">
        <v>1853</v>
      </c>
      <c r="F11" s="0" t="n">
        <v>36</v>
      </c>
      <c r="G11" s="0" t="n">
        <v>14.61</v>
      </c>
      <c r="H11" s="0" t="n">
        <v>0.67</v>
      </c>
      <c r="I11" s="10" t="n">
        <v>0.567</v>
      </c>
      <c r="J11" s="0" t="n">
        <v>0.38</v>
      </c>
      <c r="K11" s="0" t="n">
        <v>0.98</v>
      </c>
      <c r="L11" s="0" t="n">
        <v>1.08</v>
      </c>
      <c r="M11" s="11" t="n">
        <f aca="false">IFERROR(G11/H11,"")</f>
        <v>21.8059701492537</v>
      </c>
      <c r="N11" s="9" t="s">
        <v>1847</v>
      </c>
      <c r="O11" s="9" t="s">
        <v>1858</v>
      </c>
    </row>
    <row r="12" customFormat="false" ht="15" hidden="false" customHeight="false" outlineLevel="0" collapsed="false">
      <c r="A12" s="0" t="s">
        <v>1669</v>
      </c>
      <c r="B12" s="0" t="s">
        <v>1314</v>
      </c>
      <c r="C12" s="0" t="s">
        <v>1139</v>
      </c>
      <c r="D12" s="0" t="s">
        <v>1197</v>
      </c>
      <c r="E12" s="0" t="s">
        <v>1859</v>
      </c>
      <c r="F12" s="0" t="n">
        <v>42</v>
      </c>
      <c r="G12" s="0" t="n">
        <v>15.64</v>
      </c>
      <c r="H12" s="0" t="n">
        <v>0.71</v>
      </c>
      <c r="I12" s="10" t="n">
        <v>0.28</v>
      </c>
      <c r="J12" s="0" t="n">
        <v>0.2</v>
      </c>
      <c r="K12" s="0" t="n">
        <v>1.25</v>
      </c>
      <c r="L12" s="0" t="n">
        <v>1.22</v>
      </c>
      <c r="M12" s="11" t="n">
        <f aca="false">IFERROR(G12/H12,"")</f>
        <v>22.0281690140845</v>
      </c>
      <c r="N12" s="9" t="s">
        <v>1847</v>
      </c>
      <c r="O12" s="9" t="s">
        <v>1860</v>
      </c>
    </row>
    <row r="13" customFormat="false" ht="15" hidden="false" customHeight="false" outlineLevel="0" collapsed="false">
      <c r="A13" s="0" t="s">
        <v>1670</v>
      </c>
      <c r="B13" s="0" t="s">
        <v>1316</v>
      </c>
      <c r="C13" s="0" t="s">
        <v>1139</v>
      </c>
      <c r="D13" s="0" t="s">
        <v>1197</v>
      </c>
      <c r="E13" s="0" t="s">
        <v>1859</v>
      </c>
      <c r="F13" s="0" t="n">
        <v>42</v>
      </c>
      <c r="G13" s="0" t="n">
        <v>16.62</v>
      </c>
      <c r="H13" s="0" t="n">
        <v>0.76</v>
      </c>
      <c r="I13" s="10" t="n">
        <v>0.514</v>
      </c>
      <c r="J13" s="0" t="n">
        <v>0.39</v>
      </c>
      <c r="K13" s="0" t="n">
        <v>1.21</v>
      </c>
      <c r="L13" s="0" t="n">
        <v>1.29</v>
      </c>
      <c r="M13" s="11" t="n">
        <f aca="false">IFERROR(G13/H13,"")</f>
        <v>21.8684210526316</v>
      </c>
      <c r="N13" s="9" t="s">
        <v>1847</v>
      </c>
      <c r="O13" s="9" t="s">
        <v>1861</v>
      </c>
    </row>
    <row r="14" customFormat="false" ht="15" hidden="false" customHeight="false" outlineLevel="0" collapsed="false">
      <c r="A14" s="0" t="s">
        <v>1671</v>
      </c>
      <c r="B14" s="0" t="s">
        <v>1319</v>
      </c>
      <c r="C14" s="0" t="s">
        <v>1139</v>
      </c>
      <c r="D14" s="0" t="s">
        <v>1197</v>
      </c>
      <c r="E14" s="0" t="s">
        <v>1859</v>
      </c>
      <c r="F14" s="0" t="n">
        <v>32</v>
      </c>
      <c r="G14" s="0" t="n">
        <v>12.13</v>
      </c>
      <c r="H14" s="0" t="n">
        <v>0.56</v>
      </c>
      <c r="I14" s="10" t="n">
        <v>0.549</v>
      </c>
      <c r="J14" s="0" t="n">
        <v>0.31</v>
      </c>
      <c r="K14" s="0" t="n">
        <v>0.82</v>
      </c>
      <c r="L14" s="0" t="n">
        <v>0.91</v>
      </c>
      <c r="M14" s="11" t="n">
        <f aca="false">IFERROR(G14/H14,"")</f>
        <v>21.6607142857143</v>
      </c>
      <c r="N14" s="9" t="s">
        <v>1847</v>
      </c>
      <c r="O14" s="9" t="s">
        <v>1862</v>
      </c>
    </row>
    <row r="15" customFormat="false" ht="15" hidden="false" customHeight="false" outlineLevel="0" collapsed="false">
      <c r="A15" s="0" t="s">
        <v>1672</v>
      </c>
      <c r="B15" s="0" t="s">
        <v>1322</v>
      </c>
      <c r="C15" s="0" t="s">
        <v>1139</v>
      </c>
      <c r="D15" s="0" t="s">
        <v>1197</v>
      </c>
      <c r="E15" s="0" t="s">
        <v>1859</v>
      </c>
      <c r="F15" s="0" t="n">
        <v>42</v>
      </c>
      <c r="G15" s="0" t="n">
        <v>16.31</v>
      </c>
      <c r="H15" s="0" t="n">
        <v>0.75</v>
      </c>
      <c r="I15" s="10" t="n">
        <v>0.55</v>
      </c>
      <c r="J15" s="0" t="n">
        <v>0.41</v>
      </c>
      <c r="K15" s="0" t="n">
        <v>1.17</v>
      </c>
      <c r="L15" s="0" t="n">
        <v>1.32</v>
      </c>
      <c r="M15" s="11" t="n">
        <f aca="false">IFERROR(G15/H15,"")</f>
        <v>21.7466666666667</v>
      </c>
      <c r="N15" s="9" t="s">
        <v>1847</v>
      </c>
      <c r="O15" s="9" t="s">
        <v>1863</v>
      </c>
    </row>
    <row r="16" customFormat="false" ht="15" hidden="false" customHeight="false" outlineLevel="0" collapsed="false">
      <c r="A16" s="0" t="s">
        <v>1752</v>
      </c>
      <c r="B16" s="0" t="s">
        <v>1513</v>
      </c>
      <c r="C16" s="0" t="s">
        <v>1139</v>
      </c>
      <c r="D16" s="0" t="s">
        <v>1203</v>
      </c>
      <c r="E16" s="0" t="s">
        <v>1864</v>
      </c>
      <c r="F16" s="0" t="n">
        <v>36</v>
      </c>
      <c r="G16" s="0" t="n">
        <v>15.5</v>
      </c>
      <c r="H16" s="0" t="n">
        <v>0.71</v>
      </c>
      <c r="I16" s="10" t="n">
        <v>0.554</v>
      </c>
      <c r="J16" s="0" t="n">
        <v>0.39</v>
      </c>
      <c r="K16" s="0" t="n">
        <v>1.17</v>
      </c>
      <c r="L16" s="0" t="n">
        <v>1.19</v>
      </c>
      <c r="M16" s="11" t="n">
        <f aca="false">IFERROR(G16/H16,"")</f>
        <v>21.830985915493</v>
      </c>
      <c r="N16" s="9" t="s">
        <v>1847</v>
      </c>
      <c r="O16" s="9" t="s">
        <v>1865</v>
      </c>
    </row>
    <row r="17" customFormat="false" ht="15" hidden="false" customHeight="false" outlineLevel="0" collapsed="false">
      <c r="A17" s="0" t="s">
        <v>1753</v>
      </c>
      <c r="B17" s="0" t="s">
        <v>1515</v>
      </c>
      <c r="C17" s="0" t="s">
        <v>1139</v>
      </c>
      <c r="D17" s="0" t="s">
        <v>1203</v>
      </c>
      <c r="E17" s="0" t="s">
        <v>1864</v>
      </c>
      <c r="F17" s="0" t="n">
        <v>36</v>
      </c>
      <c r="G17" s="0" t="n">
        <v>11.28</v>
      </c>
      <c r="H17" s="0" t="n">
        <v>0.51</v>
      </c>
      <c r="I17" s="10" t="n">
        <v>0.594</v>
      </c>
      <c r="J17" s="0" t="n">
        <v>0.31</v>
      </c>
      <c r="K17" s="0" t="n">
        <v>0.77</v>
      </c>
      <c r="L17" s="0" t="n">
        <v>0.95</v>
      </c>
      <c r="M17" s="11" t="n">
        <f aca="false">IFERROR(G17/H17,"")</f>
        <v>22.1176470588235</v>
      </c>
      <c r="N17" s="9" t="s">
        <v>1847</v>
      </c>
      <c r="O17" s="9" t="s">
        <v>1866</v>
      </c>
    </row>
    <row r="18" customFormat="false" ht="15" hidden="false" customHeight="false" outlineLevel="0" collapsed="false">
      <c r="A18" s="0" t="s">
        <v>1754</v>
      </c>
      <c r="B18" s="0" t="s">
        <v>1519</v>
      </c>
      <c r="C18" s="0" t="s">
        <v>1139</v>
      </c>
      <c r="D18" s="0" t="s">
        <v>1203</v>
      </c>
      <c r="E18" s="0" t="s">
        <v>1864</v>
      </c>
      <c r="F18" s="0" t="n">
        <v>36</v>
      </c>
      <c r="G18" s="0" t="n">
        <v>16.31</v>
      </c>
      <c r="H18" s="0" t="n">
        <v>0.74</v>
      </c>
      <c r="I18" s="10" t="n">
        <v>0.511</v>
      </c>
      <c r="J18" s="0" t="n">
        <v>0.38</v>
      </c>
      <c r="K18" s="0" t="n">
        <v>1.11</v>
      </c>
      <c r="L18" s="0" t="n">
        <v>1.17</v>
      </c>
      <c r="M18" s="11" t="n">
        <f aca="false">IFERROR(G18/H18,"")</f>
        <v>22.0405405405405</v>
      </c>
      <c r="N18" s="9" t="s">
        <v>1847</v>
      </c>
      <c r="O18" s="9" t="s">
        <v>1867</v>
      </c>
    </row>
    <row r="19" customFormat="false" ht="15" hidden="false" customHeight="false" outlineLevel="0" collapsed="false">
      <c r="A19" s="0" t="s">
        <v>1755</v>
      </c>
      <c r="B19" s="0" t="s">
        <v>1521</v>
      </c>
      <c r="C19" s="0" t="s">
        <v>1139</v>
      </c>
      <c r="D19" s="0" t="s">
        <v>1203</v>
      </c>
      <c r="E19" s="0" t="s">
        <v>1864</v>
      </c>
      <c r="F19" s="0" t="n">
        <v>36</v>
      </c>
      <c r="G19" s="0" t="n">
        <v>15.78</v>
      </c>
      <c r="H19" s="0" t="n">
        <v>0.72</v>
      </c>
      <c r="I19" s="10" t="n">
        <v>0.335</v>
      </c>
      <c r="J19" s="0" t="n">
        <v>0.24</v>
      </c>
      <c r="K19" s="0" t="n">
        <v>1.17</v>
      </c>
      <c r="L19" s="0" t="n">
        <v>1.1</v>
      </c>
      <c r="M19" s="11" t="n">
        <f aca="false">IFERROR(G19/H19,"")</f>
        <v>21.9166666666667</v>
      </c>
      <c r="N19" s="9" t="s">
        <v>1847</v>
      </c>
      <c r="O19" s="9" t="s">
        <v>1868</v>
      </c>
    </row>
    <row r="20" customFormat="false" ht="15" hidden="false" customHeight="false" outlineLevel="0" collapsed="false">
      <c r="A20" s="0" t="s">
        <v>1756</v>
      </c>
      <c r="B20" s="0" t="s">
        <v>1524</v>
      </c>
      <c r="C20" s="0" t="s">
        <v>1139</v>
      </c>
      <c r="D20" s="0" t="s">
        <v>1203</v>
      </c>
      <c r="E20" s="0" t="s">
        <v>1864</v>
      </c>
      <c r="F20" s="0" t="n">
        <v>36</v>
      </c>
      <c r="G20" s="0" t="n">
        <v>13.67</v>
      </c>
      <c r="H20" s="0" t="n">
        <v>0.62</v>
      </c>
      <c r="I20" s="10" t="n">
        <v>0.563</v>
      </c>
      <c r="J20" s="0" t="n">
        <v>0.35</v>
      </c>
      <c r="K20" s="0" t="n">
        <v>0.92</v>
      </c>
      <c r="L20" s="0" t="n">
        <v>0.99</v>
      </c>
      <c r="M20" s="11" t="n">
        <f aca="false">IFERROR(G20/H20,"")</f>
        <v>22.0483870967742</v>
      </c>
      <c r="N20" s="9" t="s">
        <v>1847</v>
      </c>
      <c r="O20" s="9" t="s">
        <v>1869</v>
      </c>
    </row>
    <row r="21" customFormat="false" ht="15" hidden="false" customHeight="false" outlineLevel="0" collapsed="false">
      <c r="A21" s="0" t="s">
        <v>1678</v>
      </c>
      <c r="B21" s="0" t="s">
        <v>1335</v>
      </c>
      <c r="C21" s="0" t="s">
        <v>1139</v>
      </c>
      <c r="D21" s="0" t="s">
        <v>1152</v>
      </c>
      <c r="E21" s="0" t="s">
        <v>1870</v>
      </c>
      <c r="F21" s="0" t="n">
        <v>30</v>
      </c>
      <c r="G21" s="0" t="n">
        <v>12.67</v>
      </c>
      <c r="H21" s="0" t="n">
        <v>0.58</v>
      </c>
      <c r="I21" s="10" t="n">
        <v>0.539</v>
      </c>
      <c r="J21" s="0" t="n">
        <v>0.32</v>
      </c>
      <c r="K21" s="0" t="n">
        <v>0.85</v>
      </c>
      <c r="L21" s="0" t="n">
        <v>1.02</v>
      </c>
      <c r="M21" s="11" t="n">
        <f aca="false">IFERROR(G21/H21,"")</f>
        <v>21.8448275862069</v>
      </c>
      <c r="N21" s="9" t="s">
        <v>1847</v>
      </c>
      <c r="O21" s="9" t="s">
        <v>1871</v>
      </c>
    </row>
    <row r="22" customFormat="false" ht="15" hidden="false" customHeight="false" outlineLevel="0" collapsed="false">
      <c r="A22" s="0" t="s">
        <v>1679</v>
      </c>
      <c r="B22" s="0" t="s">
        <v>1339</v>
      </c>
      <c r="C22" s="0" t="s">
        <v>1139</v>
      </c>
      <c r="D22" s="0" t="s">
        <v>1152</v>
      </c>
      <c r="E22" s="0" t="s">
        <v>1870</v>
      </c>
      <c r="F22" s="0" t="n">
        <v>30</v>
      </c>
      <c r="G22" s="0" t="n">
        <v>15.2</v>
      </c>
      <c r="H22" s="0" t="n">
        <v>0.7</v>
      </c>
      <c r="I22" s="10" t="n">
        <v>0.673</v>
      </c>
      <c r="J22" s="0" t="n">
        <v>0.47</v>
      </c>
      <c r="K22" s="0" t="n">
        <v>1.11</v>
      </c>
      <c r="L22" s="0" t="n">
        <v>1.14</v>
      </c>
      <c r="M22" s="11" t="n">
        <f aca="false">IFERROR(G22/H22,"")</f>
        <v>21.7142857142857</v>
      </c>
      <c r="N22" s="9" t="s">
        <v>1847</v>
      </c>
      <c r="O22" s="9" t="s">
        <v>1872</v>
      </c>
    </row>
    <row r="23" customFormat="false" ht="15" hidden="false" customHeight="false" outlineLevel="0" collapsed="false">
      <c r="A23" s="0" t="s">
        <v>1680</v>
      </c>
      <c r="B23" s="0" t="s">
        <v>1342</v>
      </c>
      <c r="C23" s="0" t="s">
        <v>1139</v>
      </c>
      <c r="D23" s="0" t="s">
        <v>1152</v>
      </c>
      <c r="E23" s="0" t="s">
        <v>1870</v>
      </c>
      <c r="F23" s="0" t="n">
        <v>30</v>
      </c>
      <c r="G23" s="0" t="n">
        <v>15.23</v>
      </c>
      <c r="H23" s="0" t="n">
        <v>0.7</v>
      </c>
      <c r="I23" s="10" t="n">
        <v>0.602</v>
      </c>
      <c r="J23" s="0" t="n">
        <v>0.42</v>
      </c>
      <c r="K23" s="0" t="n">
        <v>1.05</v>
      </c>
      <c r="L23" s="0" t="n">
        <v>1.14</v>
      </c>
      <c r="M23" s="11" t="n">
        <f aca="false">IFERROR(G23/H23,"")</f>
        <v>21.7571428571429</v>
      </c>
      <c r="N23" s="9" t="s">
        <v>1847</v>
      </c>
      <c r="O23" s="9" t="s">
        <v>1873</v>
      </c>
    </row>
    <row r="24" customFormat="false" ht="15" hidden="false" customHeight="false" outlineLevel="0" collapsed="false">
      <c r="A24" s="0" t="s">
        <v>1681</v>
      </c>
      <c r="B24" s="0" t="s">
        <v>1344</v>
      </c>
      <c r="C24" s="0" t="s">
        <v>1139</v>
      </c>
      <c r="D24" s="0" t="s">
        <v>1152</v>
      </c>
      <c r="E24" s="0" t="s">
        <v>1870</v>
      </c>
      <c r="F24" s="0" t="n">
        <v>30</v>
      </c>
      <c r="G24" s="0" t="n">
        <v>15.9</v>
      </c>
      <c r="H24" s="0" t="n">
        <v>0.73</v>
      </c>
      <c r="I24" s="10" t="n">
        <v>0.583</v>
      </c>
      <c r="J24" s="0" t="n">
        <v>0.43</v>
      </c>
      <c r="K24" s="0" t="n">
        <v>1.09</v>
      </c>
      <c r="L24" s="0" t="n">
        <v>1.14</v>
      </c>
      <c r="M24" s="11" t="n">
        <f aca="false">IFERROR(G24/H24,"")</f>
        <v>21.7808219178082</v>
      </c>
      <c r="N24" s="9" t="s">
        <v>1847</v>
      </c>
      <c r="O24" s="9" t="s">
        <v>1874</v>
      </c>
    </row>
    <row r="25" customFormat="false" ht="15" hidden="false" customHeight="false" outlineLevel="0" collapsed="false">
      <c r="A25" s="0" t="s">
        <v>1682</v>
      </c>
      <c r="B25" s="0" t="s">
        <v>1346</v>
      </c>
      <c r="C25" s="0" t="s">
        <v>1139</v>
      </c>
      <c r="D25" s="0" t="s">
        <v>1152</v>
      </c>
      <c r="E25" s="0" t="s">
        <v>1870</v>
      </c>
      <c r="F25" s="0" t="n">
        <v>30</v>
      </c>
      <c r="G25" s="0" t="n">
        <v>15.03</v>
      </c>
      <c r="H25" s="0" t="n">
        <v>0.69</v>
      </c>
      <c r="I25" s="10" t="n">
        <v>0.286</v>
      </c>
      <c r="J25" s="0" t="n">
        <v>0.2</v>
      </c>
      <c r="K25" s="0" t="n">
        <v>1.09</v>
      </c>
      <c r="L25" s="0" t="n">
        <v>1.09</v>
      </c>
      <c r="M25" s="11" t="n">
        <f aca="false">IFERROR(G25/H25,"")</f>
        <v>21.7826086956522</v>
      </c>
      <c r="N25" s="9" t="s">
        <v>1847</v>
      </c>
      <c r="O25" s="9" t="s">
        <v>1875</v>
      </c>
    </row>
    <row r="26" customFormat="false" ht="15" hidden="false" customHeight="false" outlineLevel="0" collapsed="false">
      <c r="A26" s="0" t="s">
        <v>1688</v>
      </c>
      <c r="B26" s="0" t="s">
        <v>1360</v>
      </c>
      <c r="C26" s="0" t="s">
        <v>1139</v>
      </c>
      <c r="D26" s="0" t="s">
        <v>1178</v>
      </c>
      <c r="E26" s="0" t="s">
        <v>1876</v>
      </c>
      <c r="F26" s="0" t="n">
        <v>37</v>
      </c>
      <c r="G26" s="0" t="n">
        <v>14.32</v>
      </c>
      <c r="H26" s="0" t="n">
        <v>0.68</v>
      </c>
      <c r="I26" s="10" t="n">
        <v>0.447</v>
      </c>
      <c r="J26" s="0" t="n">
        <v>0.31</v>
      </c>
      <c r="K26" s="0" t="n">
        <v>1.04</v>
      </c>
      <c r="L26" s="0" t="n">
        <v>1.07</v>
      </c>
      <c r="M26" s="11" t="n">
        <f aca="false">IFERROR(G26/H26,"")</f>
        <v>21.0588235294118</v>
      </c>
      <c r="N26" s="9" t="s">
        <v>1847</v>
      </c>
      <c r="O26" s="9" t="s">
        <v>1877</v>
      </c>
    </row>
    <row r="27" customFormat="false" ht="15" hidden="false" customHeight="false" outlineLevel="0" collapsed="false">
      <c r="A27" s="0" t="s">
        <v>1689</v>
      </c>
      <c r="B27" s="0" t="s">
        <v>1364</v>
      </c>
      <c r="C27" s="0" t="s">
        <v>1139</v>
      </c>
      <c r="D27" s="0" t="s">
        <v>1178</v>
      </c>
      <c r="E27" s="0" t="s">
        <v>1876</v>
      </c>
      <c r="F27" s="0" t="n">
        <v>37</v>
      </c>
      <c r="G27" s="0" t="n">
        <v>13.16</v>
      </c>
      <c r="H27" s="0" t="n">
        <v>0.63</v>
      </c>
      <c r="I27" s="10" t="n">
        <v>0.337</v>
      </c>
      <c r="J27" s="0" t="n">
        <v>0.21</v>
      </c>
      <c r="K27" s="0" t="n">
        <v>1.13</v>
      </c>
      <c r="L27" s="0" t="n">
        <v>1.07</v>
      </c>
      <c r="M27" s="11" t="n">
        <f aca="false">IFERROR(G27/H27,"")</f>
        <v>20.8888888888889</v>
      </c>
      <c r="N27" s="9" t="s">
        <v>1847</v>
      </c>
      <c r="O27" s="9" t="s">
        <v>1878</v>
      </c>
    </row>
    <row r="28" customFormat="false" ht="15" hidden="false" customHeight="false" outlineLevel="0" collapsed="false">
      <c r="A28" s="0" t="s">
        <v>1690</v>
      </c>
      <c r="B28" s="0" t="s">
        <v>1367</v>
      </c>
      <c r="C28" s="0" t="s">
        <v>1139</v>
      </c>
      <c r="D28" s="0" t="s">
        <v>1178</v>
      </c>
      <c r="E28" s="0" t="s">
        <v>1876</v>
      </c>
      <c r="F28" s="0" t="n">
        <v>37</v>
      </c>
      <c r="G28" s="0" t="n">
        <v>13.95</v>
      </c>
      <c r="H28" s="0" t="n">
        <v>0.67</v>
      </c>
      <c r="I28" s="10" t="n">
        <v>0.541</v>
      </c>
      <c r="J28" s="0" t="n">
        <v>0.36</v>
      </c>
      <c r="K28" s="0" t="n">
        <v>1.16</v>
      </c>
      <c r="L28" s="0" t="n">
        <v>1.19</v>
      </c>
      <c r="M28" s="11" t="n">
        <f aca="false">IFERROR(G28/H28,"")</f>
        <v>20.8208955223881</v>
      </c>
      <c r="N28" s="9" t="s">
        <v>1847</v>
      </c>
      <c r="O28" s="9" t="s">
        <v>1879</v>
      </c>
    </row>
    <row r="29" customFormat="false" ht="15" hidden="false" customHeight="false" outlineLevel="0" collapsed="false">
      <c r="A29" s="0" t="s">
        <v>1691</v>
      </c>
      <c r="B29" s="0" t="s">
        <v>1371</v>
      </c>
      <c r="C29" s="0" t="s">
        <v>1139</v>
      </c>
      <c r="D29" s="0" t="s">
        <v>1178</v>
      </c>
      <c r="E29" s="0" t="s">
        <v>1876</v>
      </c>
      <c r="F29" s="0" t="n">
        <v>37</v>
      </c>
      <c r="G29" s="0" t="n">
        <v>17.08</v>
      </c>
      <c r="H29" s="0" t="n">
        <v>0.78</v>
      </c>
      <c r="I29" s="10" t="n">
        <v>0.657</v>
      </c>
      <c r="J29" s="0" t="n">
        <v>0.51</v>
      </c>
      <c r="K29" s="0" t="n">
        <v>1.11</v>
      </c>
      <c r="L29" s="0" t="n">
        <v>1.25</v>
      </c>
      <c r="M29" s="11" t="n">
        <f aca="false">IFERROR(G29/H29,"")</f>
        <v>21.8974358974359</v>
      </c>
      <c r="N29" s="9" t="s">
        <v>1847</v>
      </c>
      <c r="O29" s="9" t="s">
        <v>1880</v>
      </c>
    </row>
    <row r="30" customFormat="false" ht="15" hidden="false" customHeight="false" outlineLevel="0" collapsed="false">
      <c r="A30" s="0" t="s">
        <v>1692</v>
      </c>
      <c r="B30" s="0" t="s">
        <v>1375</v>
      </c>
      <c r="C30" s="0" t="s">
        <v>1139</v>
      </c>
      <c r="D30" s="0" t="s">
        <v>1178</v>
      </c>
      <c r="E30" s="0" t="s">
        <v>1876</v>
      </c>
      <c r="F30" s="0" t="n">
        <v>37</v>
      </c>
      <c r="G30" s="0" t="n">
        <v>13.27</v>
      </c>
      <c r="H30" s="0" t="n">
        <v>0.63</v>
      </c>
      <c r="I30" s="10" t="n">
        <v>0.613</v>
      </c>
      <c r="J30" s="0" t="n">
        <v>0.39</v>
      </c>
      <c r="K30" s="0" t="n">
        <v>0.94</v>
      </c>
      <c r="L30" s="0" t="n">
        <v>1.05</v>
      </c>
      <c r="M30" s="11" t="n">
        <f aca="false">IFERROR(G30/H30,"")</f>
        <v>21.0634920634921</v>
      </c>
      <c r="N30" s="9" t="s">
        <v>1847</v>
      </c>
      <c r="O30" s="9" t="s">
        <v>1881</v>
      </c>
    </row>
    <row r="31" customFormat="false" ht="15" hidden="false" customHeight="false" outlineLevel="0" collapsed="false">
      <c r="A31" s="0" t="s">
        <v>1697</v>
      </c>
      <c r="B31" s="0" t="s">
        <v>1387</v>
      </c>
      <c r="C31" s="0" t="s">
        <v>1139</v>
      </c>
      <c r="D31" s="0" t="s">
        <v>1220</v>
      </c>
      <c r="E31" s="0" t="s">
        <v>1882</v>
      </c>
      <c r="F31" s="0" t="n">
        <v>39</v>
      </c>
      <c r="G31" s="0" t="n">
        <v>12.87</v>
      </c>
      <c r="H31" s="0" t="n">
        <v>0.56</v>
      </c>
      <c r="I31" s="10" t="n">
        <v>0.454</v>
      </c>
      <c r="J31" s="0" t="n">
        <v>0.25</v>
      </c>
      <c r="K31" s="0" t="n">
        <v>0.84</v>
      </c>
      <c r="L31" s="0" t="n">
        <v>0.98</v>
      </c>
      <c r="M31" s="11" t="n">
        <f aca="false">IFERROR(G31/H31,"")</f>
        <v>22.9821428571429</v>
      </c>
      <c r="N31" s="9" t="s">
        <v>1847</v>
      </c>
      <c r="O31" s="9" t="s">
        <v>1883</v>
      </c>
    </row>
    <row r="32" customFormat="false" ht="15" hidden="false" customHeight="false" outlineLevel="0" collapsed="false">
      <c r="A32" s="0" t="s">
        <v>1698</v>
      </c>
      <c r="B32" s="0" t="s">
        <v>1390</v>
      </c>
      <c r="C32" s="0" t="s">
        <v>1139</v>
      </c>
      <c r="D32" s="0" t="s">
        <v>1220</v>
      </c>
      <c r="E32" s="0" t="s">
        <v>1882</v>
      </c>
      <c r="F32" s="0" t="n">
        <v>39</v>
      </c>
      <c r="G32" s="0" t="n">
        <v>15.15</v>
      </c>
      <c r="H32" s="0" t="n">
        <v>0.66</v>
      </c>
      <c r="I32" s="10" t="n">
        <v>0.572</v>
      </c>
      <c r="J32" s="0" t="n">
        <v>0.38</v>
      </c>
      <c r="K32" s="0" t="n">
        <v>0.99</v>
      </c>
      <c r="L32" s="0" t="n">
        <v>1.07</v>
      </c>
      <c r="M32" s="11" t="n">
        <f aca="false">IFERROR(G32/H32,"")</f>
        <v>22.9545454545455</v>
      </c>
      <c r="N32" s="9" t="s">
        <v>1847</v>
      </c>
      <c r="O32" s="9" t="s">
        <v>1884</v>
      </c>
    </row>
    <row r="33" customFormat="false" ht="15" hidden="false" customHeight="false" outlineLevel="0" collapsed="false">
      <c r="A33" s="0" t="s">
        <v>1699</v>
      </c>
      <c r="B33" s="0" t="s">
        <v>1394</v>
      </c>
      <c r="C33" s="0" t="s">
        <v>1139</v>
      </c>
      <c r="D33" s="0" t="s">
        <v>1220</v>
      </c>
      <c r="E33" s="0" t="s">
        <v>1882</v>
      </c>
      <c r="F33" s="0" t="n">
        <v>39</v>
      </c>
      <c r="G33" s="0" t="n">
        <v>17.05</v>
      </c>
      <c r="H33" s="0" t="n">
        <v>0.74</v>
      </c>
      <c r="I33" s="10" t="n">
        <v>0.529</v>
      </c>
      <c r="J33" s="0" t="n">
        <v>0.39</v>
      </c>
      <c r="K33" s="0" t="n">
        <v>1.08</v>
      </c>
      <c r="L33" s="0" t="n">
        <v>1.2</v>
      </c>
      <c r="M33" s="11" t="n">
        <f aca="false">IFERROR(G33/H33,"")</f>
        <v>23.0405405405405</v>
      </c>
      <c r="N33" s="9" t="s">
        <v>1847</v>
      </c>
      <c r="O33" s="9" t="s">
        <v>1885</v>
      </c>
    </row>
    <row r="34" customFormat="false" ht="15" hidden="false" customHeight="false" outlineLevel="0" collapsed="false">
      <c r="A34" s="0" t="s">
        <v>1700</v>
      </c>
      <c r="B34" s="0" t="s">
        <v>1398</v>
      </c>
      <c r="C34" s="0" t="s">
        <v>1139</v>
      </c>
      <c r="D34" s="0" t="s">
        <v>1220</v>
      </c>
      <c r="E34" s="0" t="s">
        <v>1882</v>
      </c>
      <c r="F34" s="0" t="n">
        <v>39</v>
      </c>
      <c r="G34" s="0" t="n">
        <v>15.28</v>
      </c>
      <c r="H34" s="0" t="n">
        <v>0.66</v>
      </c>
      <c r="I34" s="10" t="n">
        <v>0.572</v>
      </c>
      <c r="J34" s="0" t="n">
        <v>0.38</v>
      </c>
      <c r="K34" s="0" t="n">
        <v>1.04</v>
      </c>
      <c r="L34" s="0" t="n">
        <v>1.11</v>
      </c>
      <c r="M34" s="11" t="n">
        <f aca="false">IFERROR(G34/H34,"")</f>
        <v>23.1515151515152</v>
      </c>
      <c r="N34" s="9" t="s">
        <v>1847</v>
      </c>
      <c r="O34" s="9" t="s">
        <v>1886</v>
      </c>
    </row>
    <row r="35" customFormat="false" ht="15" hidden="false" customHeight="false" outlineLevel="0" collapsed="false">
      <c r="A35" s="0" t="s">
        <v>1701</v>
      </c>
      <c r="B35" s="0" t="s">
        <v>1400</v>
      </c>
      <c r="C35" s="0" t="s">
        <v>1139</v>
      </c>
      <c r="D35" s="0" t="s">
        <v>1220</v>
      </c>
      <c r="E35" s="0" t="s">
        <v>1882</v>
      </c>
      <c r="F35" s="0" t="n">
        <v>39</v>
      </c>
      <c r="G35" s="0" t="n">
        <v>16.49</v>
      </c>
      <c r="H35" s="0" t="n">
        <v>0.72</v>
      </c>
      <c r="I35" s="10" t="n">
        <v>0.288</v>
      </c>
      <c r="J35" s="0" t="n">
        <v>0.21</v>
      </c>
      <c r="K35" s="0" t="n">
        <v>1.2</v>
      </c>
      <c r="L35" s="0" t="n">
        <v>1.13</v>
      </c>
      <c r="M35" s="11" t="n">
        <f aca="false">IFERROR(G35/H35,"")</f>
        <v>22.9027777777778</v>
      </c>
      <c r="N35" s="9" t="s">
        <v>1847</v>
      </c>
      <c r="O35" s="9" t="s">
        <v>1887</v>
      </c>
    </row>
    <row r="36" customFormat="false" ht="15" hidden="false" customHeight="false" outlineLevel="0" collapsed="false">
      <c r="A36" s="0" t="s">
        <v>1693</v>
      </c>
      <c r="B36" s="0" t="s">
        <v>1379</v>
      </c>
      <c r="C36" s="0" t="s">
        <v>1139</v>
      </c>
      <c r="D36" s="0" t="s">
        <v>1179</v>
      </c>
      <c r="E36" s="0" t="s">
        <v>1888</v>
      </c>
      <c r="F36" s="0" t="n">
        <v>34</v>
      </c>
      <c r="G36" s="0" t="n">
        <v>15.74</v>
      </c>
      <c r="H36" s="0" t="n">
        <v>0.71</v>
      </c>
      <c r="I36" s="10" t="n">
        <v>0.591</v>
      </c>
      <c r="J36" s="0" t="n">
        <v>0.42</v>
      </c>
      <c r="K36" s="0" t="n">
        <v>1.04</v>
      </c>
      <c r="L36" s="0" t="n">
        <v>1.15</v>
      </c>
      <c r="M36" s="11" t="n">
        <f aca="false">IFERROR(G36/H36,"")</f>
        <v>22.169014084507</v>
      </c>
      <c r="N36" s="9" t="s">
        <v>1847</v>
      </c>
      <c r="O36" s="9" t="s">
        <v>1889</v>
      </c>
    </row>
    <row r="37" customFormat="false" ht="15" hidden="false" customHeight="false" outlineLevel="0" collapsed="false">
      <c r="A37" s="0" t="s">
        <v>1694</v>
      </c>
      <c r="B37" s="0" t="s">
        <v>1381</v>
      </c>
      <c r="C37" s="0" t="s">
        <v>1139</v>
      </c>
      <c r="D37" s="0" t="s">
        <v>1179</v>
      </c>
      <c r="E37" s="0" t="s">
        <v>1888</v>
      </c>
      <c r="F37" s="0" t="n">
        <v>34</v>
      </c>
      <c r="G37" s="0" t="n">
        <v>12.38</v>
      </c>
      <c r="H37" s="0" t="n">
        <v>0.58</v>
      </c>
      <c r="I37" s="10" t="n">
        <v>0.549</v>
      </c>
      <c r="J37" s="0" t="n">
        <v>0.32</v>
      </c>
      <c r="K37" s="0" t="n">
        <v>0.85</v>
      </c>
      <c r="L37" s="0" t="n">
        <v>0.97</v>
      </c>
      <c r="M37" s="11" t="n">
        <f aca="false">IFERROR(G37/H37,"")</f>
        <v>21.3448275862069</v>
      </c>
      <c r="N37" s="9" t="s">
        <v>1847</v>
      </c>
      <c r="O37" s="9" t="s">
        <v>1890</v>
      </c>
    </row>
    <row r="38" customFormat="false" ht="15" hidden="false" customHeight="false" outlineLevel="0" collapsed="false">
      <c r="A38" s="0" t="s">
        <v>1695</v>
      </c>
      <c r="B38" s="0" t="s">
        <v>1383</v>
      </c>
      <c r="C38" s="0" t="s">
        <v>1139</v>
      </c>
      <c r="D38" s="0" t="s">
        <v>1179</v>
      </c>
      <c r="E38" s="0" t="s">
        <v>1888</v>
      </c>
      <c r="F38" s="0" t="n">
        <v>33</v>
      </c>
      <c r="G38" s="0" t="n">
        <v>14.21</v>
      </c>
      <c r="H38" s="0" t="n">
        <v>0.68</v>
      </c>
      <c r="I38" s="10" t="n">
        <v>0.597</v>
      </c>
      <c r="J38" s="0" t="n">
        <v>0.41</v>
      </c>
      <c r="K38" s="0" t="n">
        <v>0.93</v>
      </c>
      <c r="L38" s="0" t="n">
        <v>1.04</v>
      </c>
      <c r="M38" s="11" t="n">
        <f aca="false">IFERROR(G38/H38,"")</f>
        <v>20.8970588235294</v>
      </c>
      <c r="N38" s="9" t="s">
        <v>1847</v>
      </c>
      <c r="O38" s="9" t="s">
        <v>1891</v>
      </c>
    </row>
    <row r="39" customFormat="false" ht="15" hidden="false" customHeight="false" outlineLevel="0" collapsed="false">
      <c r="A39" s="0" t="s">
        <v>1696</v>
      </c>
      <c r="B39" s="0" t="s">
        <v>1385</v>
      </c>
      <c r="C39" s="0" t="s">
        <v>1139</v>
      </c>
      <c r="D39" s="0" t="s">
        <v>1179</v>
      </c>
      <c r="E39" s="0" t="s">
        <v>1888</v>
      </c>
      <c r="F39" s="0" t="n">
        <v>34</v>
      </c>
      <c r="G39" s="0" t="n">
        <v>16.26</v>
      </c>
      <c r="H39" s="0" t="n">
        <v>0.76</v>
      </c>
      <c r="I39" s="10" t="n">
        <v>0.57</v>
      </c>
      <c r="J39" s="0" t="n">
        <v>0.43</v>
      </c>
      <c r="K39" s="0" t="n">
        <v>1.16</v>
      </c>
      <c r="L39" s="0" t="n">
        <v>1.22</v>
      </c>
      <c r="M39" s="11" t="n">
        <f aca="false">IFERROR(G39/H39,"")</f>
        <v>21.3947368421053</v>
      </c>
      <c r="N39" s="9" t="s">
        <v>1847</v>
      </c>
      <c r="O39" s="9" t="s">
        <v>1892</v>
      </c>
    </row>
    <row r="40" customFormat="false" ht="15" hidden="false" customHeight="false" outlineLevel="0" collapsed="false">
      <c r="A40" s="0" t="s">
        <v>1712</v>
      </c>
      <c r="B40" s="0" t="s">
        <v>1423</v>
      </c>
      <c r="C40" s="0" t="s">
        <v>1139</v>
      </c>
      <c r="D40" s="0" t="s">
        <v>1160</v>
      </c>
      <c r="E40" s="0" t="s">
        <v>1893</v>
      </c>
      <c r="F40" s="0" t="n">
        <v>38</v>
      </c>
      <c r="G40" s="0" t="n">
        <v>16.24</v>
      </c>
      <c r="H40" s="0" t="n">
        <v>0.75</v>
      </c>
      <c r="I40" s="10" t="n">
        <v>0.462</v>
      </c>
      <c r="J40" s="0" t="n">
        <v>0.35</v>
      </c>
      <c r="K40" s="0" t="n">
        <v>1.28</v>
      </c>
      <c r="L40" s="0" t="n">
        <v>1.23</v>
      </c>
      <c r="M40" s="11" t="n">
        <f aca="false">IFERROR(G40/H40,"")</f>
        <v>21.6533333333333</v>
      </c>
      <c r="N40" s="9" t="s">
        <v>1847</v>
      </c>
      <c r="O40" s="9" t="s">
        <v>1894</v>
      </c>
    </row>
    <row r="41" customFormat="false" ht="15" hidden="false" customHeight="false" outlineLevel="0" collapsed="false">
      <c r="A41" s="0" t="s">
        <v>1713</v>
      </c>
      <c r="B41" s="0" t="s">
        <v>1425</v>
      </c>
      <c r="C41" s="0" t="s">
        <v>1139</v>
      </c>
      <c r="D41" s="0" t="s">
        <v>1160</v>
      </c>
      <c r="E41" s="0" t="s">
        <v>1893</v>
      </c>
      <c r="F41" s="0" t="n">
        <v>38</v>
      </c>
      <c r="G41" s="0" t="n">
        <v>14.21</v>
      </c>
      <c r="H41" s="0" t="n">
        <v>0.66</v>
      </c>
      <c r="I41" s="10" t="n">
        <v>0.574</v>
      </c>
      <c r="J41" s="0" t="n">
        <v>0.38</v>
      </c>
      <c r="K41" s="0" t="n">
        <v>0.99</v>
      </c>
      <c r="L41" s="0" t="n">
        <v>1.04</v>
      </c>
      <c r="M41" s="11" t="n">
        <f aca="false">IFERROR(G41/H41,"")</f>
        <v>21.530303030303</v>
      </c>
      <c r="N41" s="9" t="s">
        <v>1847</v>
      </c>
      <c r="O41" s="9" t="s">
        <v>1895</v>
      </c>
    </row>
    <row r="42" customFormat="false" ht="15" hidden="false" customHeight="false" outlineLevel="0" collapsed="false">
      <c r="A42" s="0" t="s">
        <v>1714</v>
      </c>
      <c r="B42" s="0" t="s">
        <v>1427</v>
      </c>
      <c r="C42" s="0" t="s">
        <v>1139</v>
      </c>
      <c r="D42" s="0" t="s">
        <v>1160</v>
      </c>
      <c r="E42" s="0" t="s">
        <v>1893</v>
      </c>
      <c r="F42" s="0" t="n">
        <v>38</v>
      </c>
      <c r="G42" s="0" t="n">
        <v>14.26</v>
      </c>
      <c r="H42" s="0" t="n">
        <v>0.66</v>
      </c>
      <c r="I42" s="10" t="n">
        <v>0.275</v>
      </c>
      <c r="J42" s="0" t="n">
        <v>0.18</v>
      </c>
      <c r="K42" s="0" t="n">
        <v>1.08</v>
      </c>
      <c r="L42" s="0" t="n">
        <v>1.03</v>
      </c>
      <c r="M42" s="11" t="n">
        <f aca="false">IFERROR(G42/H42,"")</f>
        <v>21.6060606060606</v>
      </c>
      <c r="N42" s="9" t="s">
        <v>1847</v>
      </c>
      <c r="O42" s="9" t="s">
        <v>1896</v>
      </c>
    </row>
    <row r="43" customFormat="false" ht="15" hidden="false" customHeight="false" outlineLevel="0" collapsed="false">
      <c r="A43" s="0" t="s">
        <v>1715</v>
      </c>
      <c r="B43" s="0" t="s">
        <v>1429</v>
      </c>
      <c r="C43" s="0" t="s">
        <v>1139</v>
      </c>
      <c r="D43" s="0" t="s">
        <v>1160</v>
      </c>
      <c r="E43" s="0" t="s">
        <v>1893</v>
      </c>
      <c r="F43" s="0" t="n">
        <v>38</v>
      </c>
      <c r="G43" s="0" t="n">
        <v>13.47</v>
      </c>
      <c r="H43" s="0" t="n">
        <v>0.62</v>
      </c>
      <c r="I43" s="10" t="n">
        <v>0.533</v>
      </c>
      <c r="J43" s="0" t="n">
        <v>0.33</v>
      </c>
      <c r="K43" s="0" t="n">
        <v>0.89</v>
      </c>
      <c r="L43" s="0" t="n">
        <v>0.99</v>
      </c>
      <c r="M43" s="11" t="n">
        <f aca="false">IFERROR(G43/H43,"")</f>
        <v>21.7258064516129</v>
      </c>
      <c r="N43" s="9" t="s">
        <v>1847</v>
      </c>
      <c r="O43" s="9" t="s">
        <v>1897</v>
      </c>
    </row>
    <row r="44" customFormat="false" ht="15" hidden="false" customHeight="false" outlineLevel="0" collapsed="false">
      <c r="A44" s="0" t="s">
        <v>1716</v>
      </c>
      <c r="B44" s="0" t="s">
        <v>1431</v>
      </c>
      <c r="C44" s="0" t="s">
        <v>1139</v>
      </c>
      <c r="D44" s="0" t="s">
        <v>1160</v>
      </c>
      <c r="E44" s="0" t="s">
        <v>1893</v>
      </c>
      <c r="F44" s="0" t="n">
        <v>38</v>
      </c>
      <c r="G44" s="0" t="n">
        <v>13.11</v>
      </c>
      <c r="H44" s="0" t="n">
        <v>0.6</v>
      </c>
      <c r="I44" s="10" t="n">
        <v>0.47</v>
      </c>
      <c r="J44" s="0" t="n">
        <v>0.28</v>
      </c>
      <c r="K44" s="0" t="n">
        <v>0.86</v>
      </c>
      <c r="L44" s="0" t="n">
        <v>1</v>
      </c>
      <c r="M44" s="11" t="n">
        <f aca="false">IFERROR(G44/H44,"")</f>
        <v>21.85</v>
      </c>
      <c r="N44" s="9" t="s">
        <v>1847</v>
      </c>
      <c r="O44" s="9" t="s">
        <v>1898</v>
      </c>
    </row>
    <row r="45" customFormat="false" ht="15" hidden="false" customHeight="false" outlineLevel="0" collapsed="false">
      <c r="A45" s="0" t="s">
        <v>1707</v>
      </c>
      <c r="B45" s="0" t="s">
        <v>1413</v>
      </c>
      <c r="C45" s="0" t="s">
        <v>1139</v>
      </c>
      <c r="D45" s="0" t="s">
        <v>1237</v>
      </c>
      <c r="E45" s="0" t="s">
        <v>1899</v>
      </c>
      <c r="F45" s="0" t="n">
        <v>35</v>
      </c>
      <c r="G45" s="0" t="n">
        <v>16.63</v>
      </c>
      <c r="H45" s="0" t="n">
        <v>0.75</v>
      </c>
      <c r="I45" s="10" t="n">
        <v>0.576</v>
      </c>
      <c r="J45" s="0" t="n">
        <v>0.43</v>
      </c>
      <c r="K45" s="0" t="n">
        <v>1.09</v>
      </c>
      <c r="L45" s="0" t="n">
        <v>1.23</v>
      </c>
      <c r="M45" s="11" t="n">
        <f aca="false">IFERROR(G45/H45,"")</f>
        <v>22.1733333333333</v>
      </c>
      <c r="N45" s="9" t="s">
        <v>1847</v>
      </c>
      <c r="O45" s="9" t="s">
        <v>1900</v>
      </c>
    </row>
    <row r="46" customFormat="false" ht="15" hidden="false" customHeight="false" outlineLevel="0" collapsed="false">
      <c r="A46" s="0" t="s">
        <v>1708</v>
      </c>
      <c r="B46" s="0" t="s">
        <v>1415</v>
      </c>
      <c r="C46" s="0" t="s">
        <v>1139</v>
      </c>
      <c r="D46" s="0" t="s">
        <v>1237</v>
      </c>
      <c r="E46" s="0" t="s">
        <v>1899</v>
      </c>
      <c r="F46" s="0" t="n">
        <v>35</v>
      </c>
      <c r="G46" s="0" t="n">
        <v>12.49</v>
      </c>
      <c r="H46" s="0" t="n">
        <v>0.56</v>
      </c>
      <c r="I46" s="10" t="n">
        <v>0.455</v>
      </c>
      <c r="J46" s="0" t="n">
        <v>0.26</v>
      </c>
      <c r="K46" s="0" t="n">
        <v>0.87</v>
      </c>
      <c r="L46" s="0" t="n">
        <v>0.98</v>
      </c>
      <c r="M46" s="11" t="n">
        <f aca="false">IFERROR(G46/H46,"")</f>
        <v>22.3035714285714</v>
      </c>
      <c r="N46" s="9" t="s">
        <v>1847</v>
      </c>
      <c r="O46" s="9" t="s">
        <v>1901</v>
      </c>
    </row>
    <row r="47" customFormat="false" ht="15" hidden="false" customHeight="false" outlineLevel="0" collapsed="false">
      <c r="A47" s="0" t="s">
        <v>1709</v>
      </c>
      <c r="B47" s="0" t="s">
        <v>1417</v>
      </c>
      <c r="C47" s="0" t="s">
        <v>1139</v>
      </c>
      <c r="D47" s="0" t="s">
        <v>1237</v>
      </c>
      <c r="E47" s="0" t="s">
        <v>1899</v>
      </c>
      <c r="F47" s="0" t="n">
        <v>35</v>
      </c>
      <c r="G47" s="0" t="n">
        <v>15.77</v>
      </c>
      <c r="H47" s="0" t="n">
        <v>0.71</v>
      </c>
      <c r="I47" s="10" t="n">
        <v>0.502</v>
      </c>
      <c r="J47" s="0" t="n">
        <v>0.36</v>
      </c>
      <c r="K47" s="0" t="n">
        <v>1.1</v>
      </c>
      <c r="L47" s="0" t="n">
        <v>1.17</v>
      </c>
      <c r="M47" s="11" t="n">
        <f aca="false">IFERROR(G47/H47,"")</f>
        <v>22.2112676056338</v>
      </c>
      <c r="N47" s="9" t="s">
        <v>1847</v>
      </c>
      <c r="O47" s="9" t="s">
        <v>1902</v>
      </c>
    </row>
    <row r="48" customFormat="false" ht="15" hidden="false" customHeight="false" outlineLevel="0" collapsed="false">
      <c r="A48" s="0" t="s">
        <v>1710</v>
      </c>
      <c r="B48" s="0" t="s">
        <v>1419</v>
      </c>
      <c r="C48" s="0" t="s">
        <v>1139</v>
      </c>
      <c r="D48" s="0" t="s">
        <v>1237</v>
      </c>
      <c r="E48" s="0" t="s">
        <v>1899</v>
      </c>
      <c r="F48" s="0" t="n">
        <v>35</v>
      </c>
      <c r="G48" s="0" t="n">
        <v>14.29</v>
      </c>
      <c r="H48" s="0" t="n">
        <v>0.64</v>
      </c>
      <c r="I48" s="10" t="n">
        <v>0.294</v>
      </c>
      <c r="J48" s="0" t="n">
        <v>0.19</v>
      </c>
      <c r="K48" s="0" t="n">
        <v>1.1</v>
      </c>
      <c r="L48" s="0" t="n">
        <v>1.08</v>
      </c>
      <c r="M48" s="11" t="n">
        <f aca="false">IFERROR(G48/H48,"")</f>
        <v>22.328125</v>
      </c>
      <c r="N48" s="9" t="s">
        <v>1847</v>
      </c>
      <c r="O48" s="9" t="s">
        <v>1903</v>
      </c>
    </row>
    <row r="49" customFormat="false" ht="15" hidden="false" customHeight="false" outlineLevel="0" collapsed="false">
      <c r="A49" s="0" t="s">
        <v>1711</v>
      </c>
      <c r="B49" s="0" t="s">
        <v>1421</v>
      </c>
      <c r="C49" s="0" t="s">
        <v>1139</v>
      </c>
      <c r="D49" s="0" t="s">
        <v>1237</v>
      </c>
      <c r="E49" s="0" t="s">
        <v>1899</v>
      </c>
      <c r="F49" s="0" t="n">
        <v>35</v>
      </c>
      <c r="G49" s="0" t="n">
        <v>15.49</v>
      </c>
      <c r="H49" s="0" t="n">
        <v>0.69</v>
      </c>
      <c r="I49" s="10" t="n">
        <v>0.579</v>
      </c>
      <c r="J49" s="0" t="n">
        <v>0.4</v>
      </c>
      <c r="K49" s="0" t="n">
        <v>1.03</v>
      </c>
      <c r="L49" s="0" t="n">
        <v>1.14</v>
      </c>
      <c r="M49" s="11" t="n">
        <f aca="false">IFERROR(G49/H49,"")</f>
        <v>22.4492753623188</v>
      </c>
      <c r="N49" s="9" t="s">
        <v>1847</v>
      </c>
      <c r="O49" s="9" t="s">
        <v>1904</v>
      </c>
    </row>
    <row r="50" customFormat="false" ht="15" hidden="false" customHeight="false" outlineLevel="0" collapsed="false">
      <c r="A50" s="0" t="s">
        <v>1717</v>
      </c>
      <c r="B50" s="0" t="s">
        <v>1433</v>
      </c>
      <c r="C50" s="0" t="s">
        <v>1139</v>
      </c>
      <c r="D50" s="0" t="s">
        <v>1159</v>
      </c>
      <c r="E50" s="0" t="s">
        <v>1905</v>
      </c>
      <c r="F50" s="0" t="n">
        <v>39</v>
      </c>
      <c r="G50" s="0" t="n">
        <v>18.82</v>
      </c>
      <c r="H50" s="0" t="n">
        <v>0.78</v>
      </c>
      <c r="I50" s="10" t="n">
        <v>0.578</v>
      </c>
      <c r="J50" s="0" t="n">
        <v>0.45</v>
      </c>
      <c r="K50" s="0" t="n">
        <v>1.17</v>
      </c>
      <c r="L50" s="0" t="n">
        <v>1.27</v>
      </c>
      <c r="M50" s="11" t="n">
        <f aca="false">IFERROR(G50/H50,"")</f>
        <v>24.1282051282051</v>
      </c>
      <c r="N50" s="9" t="s">
        <v>1847</v>
      </c>
      <c r="O50" s="9" t="s">
        <v>1906</v>
      </c>
    </row>
    <row r="51" customFormat="false" ht="15" hidden="false" customHeight="false" outlineLevel="0" collapsed="false">
      <c r="A51" s="0" t="s">
        <v>1718</v>
      </c>
      <c r="B51" s="0" t="s">
        <v>1437</v>
      </c>
      <c r="C51" s="0" t="s">
        <v>1139</v>
      </c>
      <c r="D51" s="0" t="s">
        <v>1159</v>
      </c>
      <c r="E51" s="0" t="s">
        <v>1905</v>
      </c>
      <c r="F51" s="0" t="n">
        <v>39</v>
      </c>
      <c r="G51" s="0" t="n">
        <v>16.79</v>
      </c>
      <c r="H51" s="0" t="n">
        <v>0.7</v>
      </c>
      <c r="I51" s="10" t="n">
        <v>0.573</v>
      </c>
      <c r="J51" s="0" t="n">
        <v>0.4</v>
      </c>
      <c r="K51" s="0" t="n">
        <v>1.03</v>
      </c>
      <c r="L51" s="0" t="n">
        <v>1.1</v>
      </c>
      <c r="M51" s="11" t="n">
        <f aca="false">IFERROR(G51/H51,"")</f>
        <v>23.9857142857143</v>
      </c>
      <c r="N51" s="9" t="s">
        <v>1847</v>
      </c>
      <c r="O51" s="9" t="s">
        <v>1907</v>
      </c>
    </row>
    <row r="52" customFormat="false" ht="15" hidden="false" customHeight="false" outlineLevel="0" collapsed="false">
      <c r="A52" s="0" t="s">
        <v>1719</v>
      </c>
      <c r="B52" s="0" t="s">
        <v>1440</v>
      </c>
      <c r="C52" s="0" t="s">
        <v>1139</v>
      </c>
      <c r="D52" s="0" t="s">
        <v>1159</v>
      </c>
      <c r="E52" s="0" t="s">
        <v>1905</v>
      </c>
      <c r="F52" s="0" t="n">
        <v>39</v>
      </c>
      <c r="G52" s="0" t="n">
        <v>14.79</v>
      </c>
      <c r="H52" s="0" t="n">
        <v>0.62</v>
      </c>
      <c r="I52" s="10" t="n">
        <v>0.525</v>
      </c>
      <c r="J52" s="0" t="n">
        <v>0.32</v>
      </c>
      <c r="K52" s="0" t="n">
        <v>0.91</v>
      </c>
      <c r="L52" s="0" t="n">
        <v>1.03</v>
      </c>
      <c r="M52" s="11" t="n">
        <f aca="false">IFERROR(G52/H52,"")</f>
        <v>23.8548387096774</v>
      </c>
      <c r="N52" s="9" t="s">
        <v>1847</v>
      </c>
      <c r="O52" s="9" t="s">
        <v>1908</v>
      </c>
    </row>
    <row r="53" customFormat="false" ht="15" hidden="false" customHeight="false" outlineLevel="0" collapsed="false">
      <c r="A53" s="0" t="s">
        <v>1720</v>
      </c>
      <c r="B53" s="0" t="s">
        <v>1442</v>
      </c>
      <c r="C53" s="0" t="s">
        <v>1139</v>
      </c>
      <c r="D53" s="0" t="s">
        <v>1159</v>
      </c>
      <c r="E53" s="0" t="s">
        <v>1905</v>
      </c>
      <c r="F53" s="0" t="n">
        <v>39</v>
      </c>
      <c r="G53" s="0" t="n">
        <v>16.33</v>
      </c>
      <c r="H53" s="0" t="n">
        <v>0.68</v>
      </c>
      <c r="I53" s="10" t="n">
        <v>0.391</v>
      </c>
      <c r="J53" s="0" t="n">
        <v>0.27</v>
      </c>
      <c r="K53" s="0" t="n">
        <v>1.17</v>
      </c>
      <c r="L53" s="0" t="n">
        <v>1.12</v>
      </c>
      <c r="M53" s="11" t="n">
        <f aca="false">IFERROR(G53/H53,"")</f>
        <v>24.0147058823529</v>
      </c>
      <c r="N53" s="9" t="s">
        <v>1847</v>
      </c>
      <c r="O53" s="9" t="s">
        <v>1909</v>
      </c>
    </row>
    <row r="54" customFormat="false" ht="15" hidden="false" customHeight="false" outlineLevel="0" collapsed="false">
      <c r="A54" s="0" t="s">
        <v>1721</v>
      </c>
      <c r="B54" s="0" t="s">
        <v>1444</v>
      </c>
      <c r="C54" s="0" t="s">
        <v>1139</v>
      </c>
      <c r="D54" s="0" t="s">
        <v>1159</v>
      </c>
      <c r="E54" s="0" t="s">
        <v>1905</v>
      </c>
      <c r="F54" s="0" t="n">
        <v>39</v>
      </c>
      <c r="G54" s="0" t="n">
        <v>15.18</v>
      </c>
      <c r="H54" s="0" t="n">
        <v>0.63</v>
      </c>
      <c r="I54" s="10" t="n">
        <v>0.515</v>
      </c>
      <c r="J54" s="0" t="n">
        <v>0.33</v>
      </c>
      <c r="K54" s="0" t="n">
        <v>0.93</v>
      </c>
      <c r="L54" s="0" t="n">
        <v>1.09</v>
      </c>
      <c r="M54" s="11" t="n">
        <f aca="false">IFERROR(G54/H54,"")</f>
        <v>24.0952380952381</v>
      </c>
      <c r="N54" s="9" t="s">
        <v>1847</v>
      </c>
      <c r="O54" s="9" t="s">
        <v>1910</v>
      </c>
    </row>
    <row r="55" customFormat="false" ht="15" hidden="false" customHeight="false" outlineLevel="0" collapsed="false">
      <c r="A55" s="0" t="s">
        <v>1702</v>
      </c>
      <c r="B55" s="0" t="s">
        <v>1402</v>
      </c>
      <c r="C55" s="0" t="s">
        <v>1139</v>
      </c>
      <c r="D55" s="0" t="s">
        <v>1221</v>
      </c>
      <c r="E55" s="0" t="s">
        <v>1911</v>
      </c>
      <c r="F55" s="0" t="n">
        <v>37</v>
      </c>
      <c r="G55" s="0" t="n">
        <v>11.62</v>
      </c>
      <c r="H55" s="0" t="n">
        <v>0.55</v>
      </c>
      <c r="I55" s="10" t="n">
        <v>0.537</v>
      </c>
      <c r="J55" s="0" t="n">
        <v>0.29</v>
      </c>
      <c r="K55" s="0" t="n">
        <v>0.86</v>
      </c>
      <c r="L55" s="0" t="n">
        <v>0.95</v>
      </c>
      <c r="M55" s="11" t="n">
        <f aca="false">IFERROR(G55/H55,"")</f>
        <v>21.1272727272727</v>
      </c>
      <c r="N55" s="9" t="s">
        <v>1847</v>
      </c>
      <c r="O55" s="9" t="s">
        <v>1912</v>
      </c>
    </row>
    <row r="56" customFormat="false" ht="15" hidden="false" customHeight="false" outlineLevel="0" collapsed="false">
      <c r="A56" s="0" t="s">
        <v>1703</v>
      </c>
      <c r="B56" s="0" t="s">
        <v>1404</v>
      </c>
      <c r="C56" s="0" t="s">
        <v>1139</v>
      </c>
      <c r="D56" s="0" t="s">
        <v>1221</v>
      </c>
      <c r="E56" s="0" t="s">
        <v>1911</v>
      </c>
      <c r="F56" s="0" t="n">
        <v>37</v>
      </c>
      <c r="G56" s="0" t="n">
        <v>14.49</v>
      </c>
      <c r="H56" s="0" t="n">
        <v>0.68</v>
      </c>
      <c r="I56" s="10" t="n">
        <v>0.494</v>
      </c>
      <c r="J56" s="0" t="n">
        <v>0.34</v>
      </c>
      <c r="K56" s="0" t="n">
        <v>1.24</v>
      </c>
      <c r="L56" s="0" t="n">
        <v>1.22</v>
      </c>
      <c r="M56" s="11" t="n">
        <f aca="false">IFERROR(G56/H56,"")</f>
        <v>21.3088235294118</v>
      </c>
      <c r="N56" s="9" t="s">
        <v>1847</v>
      </c>
      <c r="O56" s="9" t="s">
        <v>1913</v>
      </c>
    </row>
    <row r="57" customFormat="false" ht="15" hidden="false" customHeight="false" outlineLevel="0" collapsed="false">
      <c r="A57" s="0" t="s">
        <v>1704</v>
      </c>
      <c r="B57" s="0" t="s">
        <v>1406</v>
      </c>
      <c r="C57" s="0" t="s">
        <v>1139</v>
      </c>
      <c r="D57" s="0" t="s">
        <v>1221</v>
      </c>
      <c r="E57" s="0" t="s">
        <v>1911</v>
      </c>
      <c r="F57" s="0" t="n">
        <v>37</v>
      </c>
      <c r="G57" s="0" t="n">
        <v>15.76</v>
      </c>
      <c r="H57" s="0" t="n">
        <v>0.74</v>
      </c>
      <c r="I57" s="10" t="n">
        <v>0.367</v>
      </c>
      <c r="J57" s="0" t="n">
        <v>0.27</v>
      </c>
      <c r="K57" s="0" t="n">
        <v>1.28</v>
      </c>
      <c r="L57" s="0" t="n">
        <v>1.2</v>
      </c>
      <c r="M57" s="11" t="n">
        <f aca="false">IFERROR(G57/H57,"")</f>
        <v>21.2972972972973</v>
      </c>
      <c r="N57" s="9" t="s">
        <v>1847</v>
      </c>
      <c r="O57" s="9" t="s">
        <v>1914</v>
      </c>
    </row>
    <row r="58" customFormat="false" ht="15" hidden="false" customHeight="false" outlineLevel="0" collapsed="false">
      <c r="A58" s="0" t="s">
        <v>1705</v>
      </c>
      <c r="B58" s="0" t="s">
        <v>1409</v>
      </c>
      <c r="C58" s="0" t="s">
        <v>1139</v>
      </c>
      <c r="D58" s="0" t="s">
        <v>1221</v>
      </c>
      <c r="E58" s="0" t="s">
        <v>1911</v>
      </c>
      <c r="F58" s="0" t="n">
        <v>37</v>
      </c>
      <c r="G58" s="0" t="n">
        <v>14.86</v>
      </c>
      <c r="H58" s="0" t="n">
        <v>0.7</v>
      </c>
      <c r="I58" s="10" t="n">
        <v>0.589</v>
      </c>
      <c r="J58" s="0" t="n">
        <v>0.41</v>
      </c>
      <c r="K58" s="0" t="n">
        <v>1.05</v>
      </c>
      <c r="L58" s="0" t="n">
        <v>1.18</v>
      </c>
      <c r="M58" s="11" t="n">
        <f aca="false">IFERROR(G58/H58,"")</f>
        <v>21.2285714285714</v>
      </c>
      <c r="N58" s="9" t="s">
        <v>1847</v>
      </c>
      <c r="O58" s="9" t="s">
        <v>1915</v>
      </c>
    </row>
    <row r="59" customFormat="false" ht="15" hidden="false" customHeight="false" outlineLevel="0" collapsed="false">
      <c r="A59" s="0" t="s">
        <v>1706</v>
      </c>
      <c r="B59" s="0" t="s">
        <v>1411</v>
      </c>
      <c r="C59" s="0" t="s">
        <v>1139</v>
      </c>
      <c r="D59" s="0" t="s">
        <v>1221</v>
      </c>
      <c r="E59" s="0" t="s">
        <v>1911</v>
      </c>
      <c r="F59" s="0" t="n">
        <v>37</v>
      </c>
      <c r="G59" s="0" t="n">
        <v>13.24</v>
      </c>
      <c r="H59" s="0" t="n">
        <v>0.62</v>
      </c>
      <c r="I59" s="10" t="n">
        <v>0.461</v>
      </c>
      <c r="J59" s="0" t="n">
        <v>0.29</v>
      </c>
      <c r="K59" s="0" t="n">
        <v>1.07</v>
      </c>
      <c r="L59" s="0" t="n">
        <v>1.08</v>
      </c>
      <c r="M59" s="11" t="n">
        <f aca="false">IFERROR(G59/H59,"")</f>
        <v>21.3548387096774</v>
      </c>
      <c r="N59" s="9" t="s">
        <v>1847</v>
      </c>
      <c r="O59" s="9" t="s">
        <v>1916</v>
      </c>
    </row>
    <row r="60" customFormat="false" ht="15" hidden="false" customHeight="false" outlineLevel="0" collapsed="false">
      <c r="A60" s="0" t="s">
        <v>1722</v>
      </c>
      <c r="B60" s="0" t="s">
        <v>1446</v>
      </c>
      <c r="C60" s="0" t="s">
        <v>1139</v>
      </c>
      <c r="D60" s="0" t="s">
        <v>1145</v>
      </c>
      <c r="E60" s="0" t="s">
        <v>1917</v>
      </c>
      <c r="F60" s="0" t="n">
        <v>37</v>
      </c>
      <c r="G60" s="0" t="n">
        <v>16.73</v>
      </c>
      <c r="H60" s="0" t="n">
        <v>0.76</v>
      </c>
      <c r="I60" s="10" t="n">
        <v>0.658</v>
      </c>
      <c r="J60" s="0" t="n">
        <v>0.5</v>
      </c>
      <c r="K60" s="0" t="n">
        <v>1.19</v>
      </c>
      <c r="L60" s="0" t="n">
        <v>1.24</v>
      </c>
      <c r="M60" s="11" t="n">
        <f aca="false">IFERROR(G60/H60,"")</f>
        <v>22.0131578947368</v>
      </c>
      <c r="N60" s="9" t="s">
        <v>1847</v>
      </c>
      <c r="O60" s="9" t="s">
        <v>1918</v>
      </c>
    </row>
    <row r="61" customFormat="false" ht="15" hidden="false" customHeight="false" outlineLevel="0" collapsed="false">
      <c r="A61" s="0" t="s">
        <v>1723</v>
      </c>
      <c r="B61" s="0" t="s">
        <v>1448</v>
      </c>
      <c r="C61" s="0" t="s">
        <v>1139</v>
      </c>
      <c r="D61" s="0" t="s">
        <v>1145</v>
      </c>
      <c r="E61" s="0" t="s">
        <v>1917</v>
      </c>
      <c r="F61" s="0" t="n">
        <v>37</v>
      </c>
      <c r="G61" s="0" t="n">
        <v>13.73</v>
      </c>
      <c r="H61" s="0" t="n">
        <v>0.62</v>
      </c>
      <c r="I61" s="10" t="n">
        <v>0.569</v>
      </c>
      <c r="J61" s="0" t="n">
        <v>0.36</v>
      </c>
      <c r="K61" s="0" t="n">
        <v>0.96</v>
      </c>
      <c r="L61" s="0" t="n">
        <v>1.08</v>
      </c>
      <c r="M61" s="11" t="n">
        <f aca="false">IFERROR(G61/H61,"")</f>
        <v>22.1451612903226</v>
      </c>
      <c r="N61" s="9" t="s">
        <v>1847</v>
      </c>
      <c r="O61" s="9" t="s">
        <v>1919</v>
      </c>
    </row>
    <row r="62" customFormat="false" ht="15" hidden="false" customHeight="false" outlineLevel="0" collapsed="false">
      <c r="A62" s="0" t="s">
        <v>1724</v>
      </c>
      <c r="B62" s="0" t="s">
        <v>1450</v>
      </c>
      <c r="C62" s="0" t="s">
        <v>1139</v>
      </c>
      <c r="D62" s="0" t="s">
        <v>1145</v>
      </c>
      <c r="E62" s="0" t="s">
        <v>1917</v>
      </c>
      <c r="F62" s="0" t="n">
        <v>37</v>
      </c>
      <c r="G62" s="0" t="n">
        <v>15.59</v>
      </c>
      <c r="H62" s="0" t="n">
        <v>0.71</v>
      </c>
      <c r="I62" s="10" t="n">
        <v>0.555</v>
      </c>
      <c r="J62" s="0" t="n">
        <v>0.39</v>
      </c>
      <c r="K62" s="0" t="n">
        <v>0.98</v>
      </c>
      <c r="L62" s="0" t="n">
        <v>1.09</v>
      </c>
      <c r="M62" s="11" t="n">
        <f aca="false">IFERROR(G62/H62,"")</f>
        <v>21.9577464788732</v>
      </c>
      <c r="N62" s="9" t="s">
        <v>1847</v>
      </c>
      <c r="O62" s="9" t="s">
        <v>1920</v>
      </c>
    </row>
    <row r="63" customFormat="false" ht="15" hidden="false" customHeight="false" outlineLevel="0" collapsed="false">
      <c r="A63" s="0" t="s">
        <v>1725</v>
      </c>
      <c r="B63" s="0" t="s">
        <v>1452</v>
      </c>
      <c r="C63" s="0" t="s">
        <v>1139</v>
      </c>
      <c r="D63" s="0" t="s">
        <v>1145</v>
      </c>
      <c r="E63" s="0" t="s">
        <v>1917</v>
      </c>
      <c r="F63" s="0" t="n">
        <v>34</v>
      </c>
      <c r="G63" s="0" t="n">
        <v>15.5</v>
      </c>
      <c r="H63" s="0" t="n">
        <v>0.69</v>
      </c>
      <c r="I63" s="10" t="n">
        <v>0.345</v>
      </c>
      <c r="J63" s="0" t="n">
        <v>0.24</v>
      </c>
      <c r="K63" s="0" t="n">
        <v>1.24</v>
      </c>
      <c r="L63" s="0" t="n">
        <v>1.13</v>
      </c>
      <c r="M63" s="11" t="n">
        <f aca="false">IFERROR(G63/H63,"")</f>
        <v>22.463768115942</v>
      </c>
      <c r="N63" s="9" t="s">
        <v>1847</v>
      </c>
      <c r="O63" s="9" t="s">
        <v>1921</v>
      </c>
    </row>
    <row r="64" customFormat="false" ht="15" hidden="false" customHeight="false" outlineLevel="0" collapsed="false">
      <c r="A64" s="0" t="s">
        <v>1726</v>
      </c>
      <c r="B64" s="0" t="s">
        <v>1455</v>
      </c>
      <c r="C64" s="0" t="s">
        <v>1139</v>
      </c>
      <c r="D64" s="0" t="s">
        <v>1145</v>
      </c>
      <c r="E64" s="0" t="s">
        <v>1917</v>
      </c>
      <c r="F64" s="0" t="n">
        <v>37</v>
      </c>
      <c r="G64" s="0" t="n">
        <v>15.05</v>
      </c>
      <c r="H64" s="0" t="n">
        <v>0.68</v>
      </c>
      <c r="I64" s="10" t="n">
        <v>0.56</v>
      </c>
      <c r="J64" s="0" t="n">
        <v>0.38</v>
      </c>
      <c r="K64" s="0" t="n">
        <v>0.99</v>
      </c>
      <c r="L64" s="0" t="n">
        <v>1.16</v>
      </c>
      <c r="M64" s="11" t="n">
        <f aca="false">IFERROR(G64/H64,"")</f>
        <v>22.1323529411765</v>
      </c>
      <c r="N64" s="9" t="s">
        <v>1847</v>
      </c>
      <c r="O64" s="9" t="s">
        <v>1922</v>
      </c>
    </row>
    <row r="65" customFormat="false" ht="15" hidden="false" customHeight="false" outlineLevel="0" collapsed="false">
      <c r="A65" s="0" t="s">
        <v>1732</v>
      </c>
      <c r="B65" s="0" t="s">
        <v>1470</v>
      </c>
      <c r="C65" s="0" t="s">
        <v>1139</v>
      </c>
      <c r="D65" s="0" t="s">
        <v>1172</v>
      </c>
      <c r="E65" s="0" t="s">
        <v>1923</v>
      </c>
      <c r="F65" s="0" t="n">
        <v>38</v>
      </c>
      <c r="G65" s="0" t="n">
        <v>15.29</v>
      </c>
      <c r="H65" s="0" t="n">
        <v>0.66</v>
      </c>
      <c r="I65" s="10" t="n">
        <v>0.482</v>
      </c>
      <c r="J65" s="0" t="n">
        <v>0.32</v>
      </c>
      <c r="K65" s="0" t="n">
        <v>1.01</v>
      </c>
      <c r="L65" s="0" t="n">
        <v>1.16</v>
      </c>
      <c r="M65" s="11" t="n">
        <f aca="false">IFERROR(G65/H65,"")</f>
        <v>23.1666666666667</v>
      </c>
      <c r="N65" s="9" t="s">
        <v>1847</v>
      </c>
      <c r="O65" s="9" t="s">
        <v>1924</v>
      </c>
    </row>
    <row r="66" customFormat="false" ht="15" hidden="false" customHeight="false" outlineLevel="0" collapsed="false">
      <c r="A66" s="0" t="s">
        <v>1733</v>
      </c>
      <c r="B66" s="0" t="s">
        <v>1472</v>
      </c>
      <c r="C66" s="0" t="s">
        <v>1139</v>
      </c>
      <c r="D66" s="0" t="s">
        <v>1172</v>
      </c>
      <c r="E66" s="0" t="s">
        <v>1923</v>
      </c>
      <c r="F66" s="0" t="n">
        <v>38</v>
      </c>
      <c r="G66" s="0" t="n">
        <v>16.08</v>
      </c>
      <c r="H66" s="0" t="n">
        <v>0.69</v>
      </c>
      <c r="I66" s="10" t="n">
        <v>0.367</v>
      </c>
      <c r="J66" s="0" t="n">
        <v>0.25</v>
      </c>
      <c r="K66" s="0" t="n">
        <v>1.17</v>
      </c>
      <c r="L66" s="0" t="n">
        <v>1.17</v>
      </c>
      <c r="M66" s="11" t="n">
        <f aca="false">IFERROR(G66/H66,"")</f>
        <v>23.304347826087</v>
      </c>
      <c r="N66" s="9" t="s">
        <v>1847</v>
      </c>
      <c r="O66" s="9" t="s">
        <v>1925</v>
      </c>
    </row>
    <row r="67" customFormat="false" ht="15" hidden="false" customHeight="false" outlineLevel="0" collapsed="false">
      <c r="A67" s="0" t="s">
        <v>1734</v>
      </c>
      <c r="B67" s="0" t="s">
        <v>1474</v>
      </c>
      <c r="C67" s="0" t="s">
        <v>1139</v>
      </c>
      <c r="D67" s="0" t="s">
        <v>1172</v>
      </c>
      <c r="E67" s="0" t="s">
        <v>1923</v>
      </c>
      <c r="F67" s="0" t="n">
        <v>38</v>
      </c>
      <c r="G67" s="0" t="n">
        <v>15.29</v>
      </c>
      <c r="H67" s="0" t="n">
        <v>0.66</v>
      </c>
      <c r="I67" s="10" t="n">
        <v>0.663</v>
      </c>
      <c r="J67" s="0" t="n">
        <v>0.43</v>
      </c>
      <c r="K67" s="0" t="n">
        <v>0.97</v>
      </c>
      <c r="L67" s="0" t="n">
        <v>1.12</v>
      </c>
      <c r="M67" s="11" t="n">
        <f aca="false">IFERROR(G67/H67,"")</f>
        <v>23.1666666666667</v>
      </c>
      <c r="N67" s="9" t="s">
        <v>1847</v>
      </c>
      <c r="O67" s="9" t="s">
        <v>1926</v>
      </c>
    </row>
    <row r="68" customFormat="false" ht="15" hidden="false" customHeight="false" outlineLevel="0" collapsed="false">
      <c r="A68" s="0" t="s">
        <v>1735</v>
      </c>
      <c r="B68" s="0" t="s">
        <v>1476</v>
      </c>
      <c r="C68" s="0" t="s">
        <v>1139</v>
      </c>
      <c r="D68" s="0" t="s">
        <v>1172</v>
      </c>
      <c r="E68" s="0" t="s">
        <v>1923</v>
      </c>
      <c r="F68" s="0" t="n">
        <v>38</v>
      </c>
      <c r="G68" s="0" t="n">
        <v>13.89</v>
      </c>
      <c r="H68" s="0" t="n">
        <v>0.6</v>
      </c>
      <c r="I68" s="10" t="n">
        <v>0.527</v>
      </c>
      <c r="J68" s="0" t="n">
        <v>0.31</v>
      </c>
      <c r="K68" s="0" t="n">
        <v>0.93</v>
      </c>
      <c r="L68" s="0" t="n">
        <v>1.02</v>
      </c>
      <c r="M68" s="11" t="n">
        <f aca="false">IFERROR(G68/H68,"")</f>
        <v>23.15</v>
      </c>
      <c r="N68" s="9" t="s">
        <v>1847</v>
      </c>
      <c r="O68" s="9" t="s">
        <v>1927</v>
      </c>
    </row>
    <row r="69" customFormat="false" ht="15" hidden="false" customHeight="false" outlineLevel="0" collapsed="false">
      <c r="A69" s="0" t="s">
        <v>1736</v>
      </c>
      <c r="B69" s="0" t="s">
        <v>1478</v>
      </c>
      <c r="C69" s="0" t="s">
        <v>1139</v>
      </c>
      <c r="D69" s="0" t="s">
        <v>1172</v>
      </c>
      <c r="E69" s="0" t="s">
        <v>1923</v>
      </c>
      <c r="F69" s="0" t="n">
        <v>38</v>
      </c>
      <c r="G69" s="0" t="n">
        <v>17.45</v>
      </c>
      <c r="H69" s="0" t="n">
        <v>0.75</v>
      </c>
      <c r="I69" s="10" t="n">
        <v>0.549</v>
      </c>
      <c r="J69" s="0" t="n">
        <v>0.41</v>
      </c>
      <c r="K69" s="0" t="n">
        <v>1.15</v>
      </c>
      <c r="L69" s="0" t="n">
        <v>1.21</v>
      </c>
      <c r="M69" s="11" t="n">
        <f aca="false">IFERROR(G69/H69,"")</f>
        <v>23.2666666666667</v>
      </c>
      <c r="N69" s="9" t="s">
        <v>1847</v>
      </c>
      <c r="O69" s="9" t="s">
        <v>1928</v>
      </c>
    </row>
    <row r="70" customFormat="false" ht="15" hidden="false" customHeight="false" outlineLevel="0" collapsed="false">
      <c r="A70" s="0" t="s">
        <v>1737</v>
      </c>
      <c r="B70" s="0" t="s">
        <v>1480</v>
      </c>
      <c r="C70" s="0" t="s">
        <v>1139</v>
      </c>
      <c r="D70" s="0" t="s">
        <v>1173</v>
      </c>
      <c r="E70" s="0" t="s">
        <v>1929</v>
      </c>
      <c r="F70" s="0" t="n">
        <v>33</v>
      </c>
      <c r="G70" s="0" t="n">
        <v>17.7</v>
      </c>
      <c r="H70" s="0" t="n">
        <v>0.77</v>
      </c>
      <c r="I70" s="10" t="n">
        <v>0.637</v>
      </c>
      <c r="J70" s="0" t="n">
        <v>0.49</v>
      </c>
      <c r="K70" s="0" t="n">
        <v>1.13</v>
      </c>
      <c r="L70" s="0" t="n">
        <v>1.22</v>
      </c>
      <c r="M70" s="11" t="n">
        <f aca="false">IFERROR(G70/H70,"")</f>
        <v>22.987012987013</v>
      </c>
      <c r="N70" s="9" t="s">
        <v>1847</v>
      </c>
      <c r="O70" s="9" t="s">
        <v>1930</v>
      </c>
    </row>
    <row r="71" customFormat="false" ht="15" hidden="false" customHeight="false" outlineLevel="0" collapsed="false">
      <c r="A71" s="0" t="s">
        <v>1738</v>
      </c>
      <c r="B71" s="0" t="s">
        <v>1482</v>
      </c>
      <c r="C71" s="0" t="s">
        <v>1139</v>
      </c>
      <c r="D71" s="0" t="s">
        <v>1173</v>
      </c>
      <c r="E71" s="0" t="s">
        <v>1929</v>
      </c>
      <c r="F71" s="0" t="n">
        <v>35</v>
      </c>
      <c r="G71" s="0" t="n">
        <v>14.4</v>
      </c>
      <c r="H71" s="0" t="n">
        <v>0.63</v>
      </c>
      <c r="I71" s="10" t="n">
        <v>0.383</v>
      </c>
      <c r="J71" s="0" t="n">
        <v>0.24</v>
      </c>
      <c r="K71" s="0" t="n">
        <v>1.13</v>
      </c>
      <c r="L71" s="0" t="n">
        <v>1.06</v>
      </c>
      <c r="M71" s="11" t="n">
        <f aca="false">IFERROR(G71/H71,"")</f>
        <v>22.8571428571429</v>
      </c>
      <c r="N71" s="9" t="s">
        <v>1847</v>
      </c>
      <c r="O71" s="9" t="s">
        <v>1931</v>
      </c>
    </row>
    <row r="72" customFormat="false" ht="15" hidden="false" customHeight="false" outlineLevel="0" collapsed="false">
      <c r="A72" s="0" t="s">
        <v>1739</v>
      </c>
      <c r="B72" s="0" t="s">
        <v>1484</v>
      </c>
      <c r="C72" s="0" t="s">
        <v>1139</v>
      </c>
      <c r="D72" s="0" t="s">
        <v>1173</v>
      </c>
      <c r="E72" s="0" t="s">
        <v>1929</v>
      </c>
      <c r="F72" s="0" t="n">
        <v>38</v>
      </c>
      <c r="G72" s="0" t="n">
        <v>15.42</v>
      </c>
      <c r="H72" s="0" t="n">
        <v>0.68</v>
      </c>
      <c r="I72" s="10" t="n">
        <v>0.551</v>
      </c>
      <c r="J72" s="0" t="n">
        <v>0.38</v>
      </c>
      <c r="K72" s="0" t="n">
        <v>1.06</v>
      </c>
      <c r="L72" s="0" t="n">
        <v>1.12</v>
      </c>
      <c r="M72" s="11" t="n">
        <f aca="false">IFERROR(G72/H72,"")</f>
        <v>22.6764705882353</v>
      </c>
      <c r="N72" s="9" t="s">
        <v>1847</v>
      </c>
      <c r="O72" s="9" t="s">
        <v>1932</v>
      </c>
    </row>
    <row r="73" customFormat="false" ht="15" hidden="false" customHeight="false" outlineLevel="0" collapsed="false">
      <c r="A73" s="0" t="s">
        <v>1740</v>
      </c>
      <c r="B73" s="0" t="s">
        <v>1486</v>
      </c>
      <c r="C73" s="0" t="s">
        <v>1139</v>
      </c>
      <c r="D73" s="0" t="s">
        <v>1173</v>
      </c>
      <c r="E73" s="0" t="s">
        <v>1929</v>
      </c>
      <c r="F73" s="0" t="n">
        <v>35</v>
      </c>
      <c r="G73" s="0" t="n">
        <v>14.77</v>
      </c>
      <c r="H73" s="0" t="n">
        <v>0.65</v>
      </c>
      <c r="I73" s="10" t="n">
        <v>0.532</v>
      </c>
      <c r="J73" s="0" t="n">
        <v>0.35</v>
      </c>
      <c r="K73" s="0" t="n">
        <v>1.04</v>
      </c>
      <c r="L73" s="0" t="n">
        <v>1.11</v>
      </c>
      <c r="M73" s="11" t="n">
        <f aca="false">IFERROR(G73/H73,"")</f>
        <v>22.7230769230769</v>
      </c>
      <c r="N73" s="9" t="s">
        <v>1847</v>
      </c>
      <c r="O73" s="9" t="s">
        <v>1933</v>
      </c>
    </row>
    <row r="74" customFormat="false" ht="15" hidden="false" customHeight="false" outlineLevel="0" collapsed="false">
      <c r="A74" s="0" t="s">
        <v>1741</v>
      </c>
      <c r="B74" s="0" t="s">
        <v>1488</v>
      </c>
      <c r="C74" s="0" t="s">
        <v>1139</v>
      </c>
      <c r="D74" s="0" t="s">
        <v>1227</v>
      </c>
      <c r="E74" s="0" t="s">
        <v>1934</v>
      </c>
      <c r="F74" s="0" t="n">
        <v>37</v>
      </c>
      <c r="G74" s="0" t="n">
        <v>15.3</v>
      </c>
      <c r="H74" s="0" t="n">
        <v>0.68</v>
      </c>
      <c r="I74" s="10" t="n">
        <v>0.479</v>
      </c>
      <c r="J74" s="0" t="n">
        <v>0.33</v>
      </c>
      <c r="K74" s="0" t="n">
        <v>1.01</v>
      </c>
      <c r="L74" s="0" t="n">
        <v>1.1</v>
      </c>
      <c r="M74" s="11" t="n">
        <f aca="false">IFERROR(G74/H74,"")</f>
        <v>22.5</v>
      </c>
      <c r="N74" s="9" t="s">
        <v>1847</v>
      </c>
      <c r="O74" s="9" t="s">
        <v>1935</v>
      </c>
    </row>
    <row r="75" customFormat="false" ht="15" hidden="false" customHeight="false" outlineLevel="0" collapsed="false">
      <c r="A75" s="0" t="s">
        <v>1742</v>
      </c>
      <c r="B75" s="0" t="s">
        <v>1490</v>
      </c>
      <c r="C75" s="0" t="s">
        <v>1139</v>
      </c>
      <c r="D75" s="0" t="s">
        <v>1227</v>
      </c>
      <c r="E75" s="0" t="s">
        <v>1934</v>
      </c>
      <c r="F75" s="0" t="n">
        <v>37</v>
      </c>
      <c r="G75" s="0" t="n">
        <v>15.35</v>
      </c>
      <c r="H75" s="0" t="n">
        <v>0.69</v>
      </c>
      <c r="I75" s="10" t="n">
        <v>0.405</v>
      </c>
      <c r="J75" s="0" t="n">
        <v>0.28</v>
      </c>
      <c r="K75" s="0" t="n">
        <v>1.2</v>
      </c>
      <c r="L75" s="0" t="n">
        <v>1.15</v>
      </c>
      <c r="M75" s="11" t="n">
        <f aca="false">IFERROR(G75/H75,"")</f>
        <v>22.2463768115942</v>
      </c>
      <c r="N75" s="9" t="s">
        <v>1847</v>
      </c>
      <c r="O75" s="9" t="s">
        <v>1936</v>
      </c>
    </row>
    <row r="76" customFormat="false" ht="15" hidden="false" customHeight="false" outlineLevel="0" collapsed="false">
      <c r="A76" s="0" t="s">
        <v>1743</v>
      </c>
      <c r="B76" s="0" t="s">
        <v>1492</v>
      </c>
      <c r="C76" s="0" t="s">
        <v>1139</v>
      </c>
      <c r="D76" s="0" t="s">
        <v>1227</v>
      </c>
      <c r="E76" s="0" t="s">
        <v>1934</v>
      </c>
      <c r="F76" s="0" t="n">
        <v>37</v>
      </c>
      <c r="G76" s="0" t="n">
        <v>15.7</v>
      </c>
      <c r="H76" s="0" t="n">
        <v>0.7</v>
      </c>
      <c r="I76" s="10" t="n">
        <v>0.518</v>
      </c>
      <c r="J76" s="0" t="n">
        <v>0.36</v>
      </c>
      <c r="K76" s="0" t="n">
        <v>1.11</v>
      </c>
      <c r="L76" s="0" t="n">
        <v>1.19</v>
      </c>
      <c r="M76" s="11" t="n">
        <f aca="false">IFERROR(G76/H76,"")</f>
        <v>22.4285714285714</v>
      </c>
      <c r="N76" s="9" t="s">
        <v>1847</v>
      </c>
      <c r="O76" s="9" t="s">
        <v>1937</v>
      </c>
    </row>
    <row r="77" customFormat="false" ht="15" hidden="false" customHeight="false" outlineLevel="0" collapsed="false">
      <c r="A77" s="0" t="s">
        <v>1744</v>
      </c>
      <c r="B77" s="0" t="s">
        <v>1495</v>
      </c>
      <c r="C77" s="0" t="s">
        <v>1139</v>
      </c>
      <c r="D77" s="0" t="s">
        <v>1227</v>
      </c>
      <c r="E77" s="0" t="s">
        <v>1934</v>
      </c>
      <c r="F77" s="0" t="n">
        <v>37</v>
      </c>
      <c r="G77" s="0" t="n">
        <v>12.11</v>
      </c>
      <c r="H77" s="0" t="n">
        <v>0.54</v>
      </c>
      <c r="I77" s="10" t="n">
        <v>0.498</v>
      </c>
      <c r="J77" s="0" t="n">
        <v>0.27</v>
      </c>
      <c r="K77" s="0" t="n">
        <v>0.84</v>
      </c>
      <c r="L77" s="0" t="n">
        <v>0.96</v>
      </c>
      <c r="M77" s="11" t="n">
        <f aca="false">IFERROR(G77/H77,"")</f>
        <v>22.4259259259259</v>
      </c>
      <c r="N77" s="9" t="s">
        <v>1847</v>
      </c>
      <c r="O77" s="9" t="s">
        <v>1938</v>
      </c>
    </row>
    <row r="78" customFormat="false" ht="15" hidden="false" customHeight="false" outlineLevel="0" collapsed="false">
      <c r="A78" s="0" t="s">
        <v>1745</v>
      </c>
      <c r="B78" s="0" t="s">
        <v>1497</v>
      </c>
      <c r="C78" s="0" t="s">
        <v>1139</v>
      </c>
      <c r="D78" s="0" t="s">
        <v>1227</v>
      </c>
      <c r="E78" s="0" t="s">
        <v>1934</v>
      </c>
      <c r="F78" s="0" t="n">
        <v>37</v>
      </c>
      <c r="G78" s="0" t="n">
        <v>14.7</v>
      </c>
      <c r="H78" s="0" t="n">
        <v>0.66</v>
      </c>
      <c r="I78" s="10" t="n">
        <v>0.461</v>
      </c>
      <c r="J78" s="0" t="n">
        <v>0.3</v>
      </c>
      <c r="K78" s="0" t="n">
        <v>1.05</v>
      </c>
      <c r="L78" s="0" t="n">
        <v>1.18</v>
      </c>
      <c r="M78" s="11" t="n">
        <f aca="false">IFERROR(G78/H78,"")</f>
        <v>22.2727272727273</v>
      </c>
      <c r="N78" s="9" t="s">
        <v>1847</v>
      </c>
      <c r="O78" s="9" t="s">
        <v>1939</v>
      </c>
    </row>
    <row r="79" customFormat="false" ht="15" hidden="false" customHeight="false" outlineLevel="0" collapsed="false">
      <c r="A79" s="0" t="s">
        <v>1683</v>
      </c>
      <c r="B79" s="0" t="s">
        <v>1348</v>
      </c>
      <c r="C79" s="0" t="s">
        <v>1139</v>
      </c>
      <c r="D79" s="0" t="s">
        <v>1153</v>
      </c>
      <c r="E79" s="0" t="s">
        <v>1940</v>
      </c>
      <c r="F79" s="0" t="n">
        <v>37</v>
      </c>
      <c r="G79" s="0" t="n">
        <v>13.92</v>
      </c>
      <c r="H79" s="0" t="n">
        <v>0.66</v>
      </c>
      <c r="I79" s="10" t="n">
        <v>0.583</v>
      </c>
      <c r="J79" s="0" t="n">
        <v>0.38</v>
      </c>
      <c r="K79" s="0" t="n">
        <v>1</v>
      </c>
      <c r="L79" s="0" t="n">
        <v>1.08</v>
      </c>
      <c r="M79" s="11" t="n">
        <f aca="false">IFERROR(G79/H79,"")</f>
        <v>21.0909090909091</v>
      </c>
      <c r="N79" s="9" t="s">
        <v>1847</v>
      </c>
      <c r="O79" s="9" t="s">
        <v>1941</v>
      </c>
    </row>
    <row r="80" customFormat="false" ht="15" hidden="false" customHeight="false" outlineLevel="0" collapsed="false">
      <c r="A80" s="0" t="s">
        <v>1684</v>
      </c>
      <c r="B80" s="0" t="s">
        <v>1350</v>
      </c>
      <c r="C80" s="0" t="s">
        <v>1139</v>
      </c>
      <c r="D80" s="0" t="s">
        <v>1153</v>
      </c>
      <c r="E80" s="0" t="s">
        <v>1940</v>
      </c>
      <c r="F80" s="0" t="n">
        <v>37</v>
      </c>
      <c r="G80" s="0" t="n">
        <v>15.32</v>
      </c>
      <c r="H80" s="0" t="n">
        <v>0.72</v>
      </c>
      <c r="I80" s="10" t="n">
        <v>0.317</v>
      </c>
      <c r="J80" s="0" t="n">
        <v>0.23</v>
      </c>
      <c r="K80" s="0" t="n">
        <v>1.22</v>
      </c>
      <c r="L80" s="0" t="n">
        <v>1.15</v>
      </c>
      <c r="M80" s="11" t="n">
        <f aca="false">IFERROR(G80/H80,"")</f>
        <v>21.2777777777778</v>
      </c>
      <c r="N80" s="9" t="s">
        <v>1847</v>
      </c>
      <c r="O80" s="9" t="s">
        <v>1942</v>
      </c>
    </row>
    <row r="81" customFormat="false" ht="15" hidden="false" customHeight="false" outlineLevel="0" collapsed="false">
      <c r="A81" s="0" t="s">
        <v>1685</v>
      </c>
      <c r="B81" s="0" t="s">
        <v>1352</v>
      </c>
      <c r="C81" s="0" t="s">
        <v>1139</v>
      </c>
      <c r="D81" s="0" t="s">
        <v>1153</v>
      </c>
      <c r="E81" s="0" t="s">
        <v>1940</v>
      </c>
      <c r="F81" s="0" t="n">
        <v>37</v>
      </c>
      <c r="G81" s="0" t="n">
        <v>12.49</v>
      </c>
      <c r="H81" s="0" t="n">
        <v>0.59</v>
      </c>
      <c r="I81" s="10" t="n">
        <v>0.548</v>
      </c>
      <c r="J81" s="0" t="n">
        <v>0.32</v>
      </c>
      <c r="K81" s="0" t="n">
        <v>0.87</v>
      </c>
      <c r="L81" s="0" t="n">
        <v>1.06</v>
      </c>
      <c r="M81" s="11" t="n">
        <f aca="false">IFERROR(G81/H81,"")</f>
        <v>21.1694915254237</v>
      </c>
      <c r="N81" s="9" t="s">
        <v>1847</v>
      </c>
      <c r="O81" s="9" t="s">
        <v>1943</v>
      </c>
    </row>
    <row r="82" customFormat="false" ht="15" hidden="false" customHeight="false" outlineLevel="0" collapsed="false">
      <c r="A82" s="0" t="s">
        <v>1686</v>
      </c>
      <c r="B82" s="0" t="s">
        <v>1354</v>
      </c>
      <c r="C82" s="0" t="s">
        <v>1139</v>
      </c>
      <c r="D82" s="0" t="s">
        <v>1153</v>
      </c>
      <c r="E82" s="0" t="s">
        <v>1940</v>
      </c>
      <c r="F82" s="0" t="n">
        <v>37</v>
      </c>
      <c r="G82" s="0" t="n">
        <v>14.7</v>
      </c>
      <c r="H82" s="0" t="n">
        <v>0.69</v>
      </c>
      <c r="I82" s="10" t="n">
        <v>0.5</v>
      </c>
      <c r="J82" s="0" t="n">
        <v>0.35</v>
      </c>
      <c r="K82" s="0" t="n">
        <v>1.04</v>
      </c>
      <c r="L82" s="0" t="n">
        <v>1.14</v>
      </c>
      <c r="M82" s="11" t="n">
        <f aca="false">IFERROR(G82/H82,"")</f>
        <v>21.304347826087</v>
      </c>
      <c r="N82" s="9" t="s">
        <v>1847</v>
      </c>
      <c r="O82" s="9" t="s">
        <v>1944</v>
      </c>
    </row>
    <row r="83" customFormat="false" ht="15" hidden="false" customHeight="false" outlineLevel="0" collapsed="false">
      <c r="A83" s="0" t="s">
        <v>1687</v>
      </c>
      <c r="B83" s="0" t="s">
        <v>1356</v>
      </c>
      <c r="C83" s="0" t="s">
        <v>1139</v>
      </c>
      <c r="D83" s="0" t="s">
        <v>1153</v>
      </c>
      <c r="E83" s="0" t="s">
        <v>1940</v>
      </c>
      <c r="F83" s="0" t="n">
        <v>37</v>
      </c>
      <c r="G83" s="0" t="n">
        <v>14.68</v>
      </c>
      <c r="H83" s="0" t="n">
        <v>0.69</v>
      </c>
      <c r="I83" s="10" t="n">
        <v>0.569</v>
      </c>
      <c r="J83" s="0" t="n">
        <v>0.39</v>
      </c>
      <c r="K83" s="0" t="n">
        <v>1.05</v>
      </c>
      <c r="L83" s="0" t="n">
        <v>1.21</v>
      </c>
      <c r="M83" s="11" t="n">
        <f aca="false">IFERROR(G83/H83,"")</f>
        <v>21.2753623188406</v>
      </c>
      <c r="N83" s="9" t="s">
        <v>1847</v>
      </c>
      <c r="O83" s="9" t="s">
        <v>1945</v>
      </c>
    </row>
    <row r="84" customFormat="false" ht="15" hidden="false" customHeight="false" outlineLevel="0" collapsed="false">
      <c r="A84" s="0" t="s">
        <v>1673</v>
      </c>
      <c r="B84" s="0" t="s">
        <v>1324</v>
      </c>
      <c r="C84" s="0" t="s">
        <v>1139</v>
      </c>
      <c r="D84" s="0" t="s">
        <v>1198</v>
      </c>
      <c r="E84" s="0" t="s">
        <v>1946</v>
      </c>
      <c r="F84" s="0" t="n">
        <v>27</v>
      </c>
      <c r="G84" s="0" t="n">
        <v>13.93</v>
      </c>
      <c r="H84" s="0" t="n">
        <v>0.67</v>
      </c>
      <c r="I84" s="10" t="n">
        <v>0.612</v>
      </c>
      <c r="J84" s="0" t="n">
        <v>0.41</v>
      </c>
      <c r="K84" s="0" t="n">
        <v>0.98</v>
      </c>
      <c r="L84" s="0" t="n">
        <v>1.07</v>
      </c>
      <c r="M84" s="11" t="n">
        <f aca="false">IFERROR(G84/H84,"")</f>
        <v>20.7910447761194</v>
      </c>
      <c r="N84" s="9" t="s">
        <v>1847</v>
      </c>
      <c r="O84" s="9" t="s">
        <v>1947</v>
      </c>
    </row>
    <row r="85" customFormat="false" ht="15" hidden="false" customHeight="false" outlineLevel="0" collapsed="false">
      <c r="A85" s="0" t="s">
        <v>1674</v>
      </c>
      <c r="B85" s="0" t="s">
        <v>1326</v>
      </c>
      <c r="C85" s="0" t="s">
        <v>1139</v>
      </c>
      <c r="D85" s="0" t="s">
        <v>1198</v>
      </c>
      <c r="E85" s="0" t="s">
        <v>1946</v>
      </c>
      <c r="F85" s="0" t="n">
        <v>27</v>
      </c>
      <c r="G85" s="0" t="n">
        <v>14.41</v>
      </c>
      <c r="H85" s="0" t="n">
        <v>0.69</v>
      </c>
      <c r="I85" s="10" t="n">
        <v>0.584</v>
      </c>
      <c r="J85" s="0" t="n">
        <v>0.4</v>
      </c>
      <c r="K85" s="0" t="n">
        <v>1.01</v>
      </c>
      <c r="L85" s="0" t="n">
        <v>1.06</v>
      </c>
      <c r="M85" s="11" t="n">
        <f aca="false">IFERROR(G85/H85,"")</f>
        <v>20.8840579710145</v>
      </c>
      <c r="N85" s="9" t="s">
        <v>1847</v>
      </c>
      <c r="O85" s="9" t="s">
        <v>1948</v>
      </c>
    </row>
    <row r="86" customFormat="false" ht="15" hidden="false" customHeight="false" outlineLevel="0" collapsed="false">
      <c r="A86" s="0" t="s">
        <v>1675</v>
      </c>
      <c r="B86" s="0" t="s">
        <v>1328</v>
      </c>
      <c r="C86" s="0" t="s">
        <v>1139</v>
      </c>
      <c r="D86" s="0" t="s">
        <v>1198</v>
      </c>
      <c r="E86" s="0" t="s">
        <v>1946</v>
      </c>
      <c r="F86" s="0" t="n">
        <v>27</v>
      </c>
      <c r="G86" s="0" t="n">
        <v>14.67</v>
      </c>
      <c r="H86" s="0" t="n">
        <v>0.71</v>
      </c>
      <c r="I86" s="10" t="n">
        <v>0.29</v>
      </c>
      <c r="J86" s="0" t="n">
        <v>0.2</v>
      </c>
      <c r="K86" s="0" t="n">
        <v>1.24</v>
      </c>
      <c r="L86" s="0" t="n">
        <v>1.16</v>
      </c>
      <c r="M86" s="11" t="n">
        <f aca="false">IFERROR(G86/H86,"")</f>
        <v>20.6619718309859</v>
      </c>
      <c r="N86" s="9" t="s">
        <v>1847</v>
      </c>
      <c r="O86" s="9" t="s">
        <v>1949</v>
      </c>
    </row>
    <row r="87" customFormat="false" ht="15" hidden="false" customHeight="false" outlineLevel="0" collapsed="false">
      <c r="A87" s="0" t="s">
        <v>1676</v>
      </c>
      <c r="B87" s="0" t="s">
        <v>1331</v>
      </c>
      <c r="C87" s="0" t="s">
        <v>1139</v>
      </c>
      <c r="D87" s="0" t="s">
        <v>1198</v>
      </c>
      <c r="E87" s="0" t="s">
        <v>1946</v>
      </c>
      <c r="F87" s="0" t="n">
        <v>27</v>
      </c>
      <c r="G87" s="0" t="n">
        <v>12.04</v>
      </c>
      <c r="H87" s="0" t="n">
        <v>0.58</v>
      </c>
      <c r="I87" s="10" t="n">
        <v>0.526</v>
      </c>
      <c r="J87" s="0" t="n">
        <v>0.3</v>
      </c>
      <c r="K87" s="0" t="n">
        <v>0.87</v>
      </c>
      <c r="L87" s="0" t="n">
        <v>0.95</v>
      </c>
      <c r="M87" s="11" t="n">
        <f aca="false">IFERROR(G87/H87,"")</f>
        <v>20.7586206896552</v>
      </c>
      <c r="N87" s="9" t="s">
        <v>1847</v>
      </c>
      <c r="O87" s="9" t="s">
        <v>1950</v>
      </c>
    </row>
    <row r="88" customFormat="false" ht="15" hidden="false" customHeight="false" outlineLevel="0" collapsed="false">
      <c r="A88" s="0" t="s">
        <v>1677</v>
      </c>
      <c r="B88" s="0" t="s">
        <v>1333</v>
      </c>
      <c r="C88" s="0" t="s">
        <v>1139</v>
      </c>
      <c r="D88" s="0" t="s">
        <v>1198</v>
      </c>
      <c r="E88" s="0" t="s">
        <v>1946</v>
      </c>
      <c r="F88" s="0" t="n">
        <v>27</v>
      </c>
      <c r="G88" s="0" t="n">
        <v>14.07</v>
      </c>
      <c r="H88" s="0" t="n">
        <v>0.68</v>
      </c>
      <c r="I88" s="10" t="n">
        <v>0.589</v>
      </c>
      <c r="J88" s="0" t="n">
        <v>0.4</v>
      </c>
      <c r="K88" s="0" t="n">
        <v>1.03</v>
      </c>
      <c r="L88" s="0" t="n">
        <v>1.07</v>
      </c>
      <c r="M88" s="11" t="n">
        <f aca="false">IFERROR(G88/H88,"")</f>
        <v>20.6911764705882</v>
      </c>
      <c r="N88" s="9" t="s">
        <v>1847</v>
      </c>
      <c r="O88" s="9" t="s">
        <v>1951</v>
      </c>
    </row>
    <row r="89" customFormat="false" ht="15" hidden="false" customHeight="false" outlineLevel="0" collapsed="false">
      <c r="A89" s="0" t="s">
        <v>1750</v>
      </c>
      <c r="B89" s="0" t="s">
        <v>1509</v>
      </c>
      <c r="C89" s="0" t="s">
        <v>1139</v>
      </c>
      <c r="D89" s="0" t="s">
        <v>1184</v>
      </c>
      <c r="E89" s="0" t="s">
        <v>1952</v>
      </c>
      <c r="F89" s="0" t="n">
        <v>31</v>
      </c>
      <c r="G89" s="0" t="n">
        <v>15.77</v>
      </c>
      <c r="H89" s="0" t="n">
        <v>0.71</v>
      </c>
      <c r="I89" s="10" t="n">
        <v>0.583</v>
      </c>
      <c r="J89" s="0" t="n">
        <v>0.42</v>
      </c>
      <c r="K89" s="0" t="n">
        <v>1.12</v>
      </c>
      <c r="L89" s="0" t="n">
        <v>1.16</v>
      </c>
      <c r="M89" s="11" t="n">
        <f aca="false">IFERROR(G89/H89,"")</f>
        <v>22.2112676056338</v>
      </c>
      <c r="N89" s="9" t="s">
        <v>1847</v>
      </c>
      <c r="O89" s="9" t="s">
        <v>1953</v>
      </c>
    </row>
    <row r="90" customFormat="false" ht="15" hidden="false" customHeight="false" outlineLevel="0" collapsed="false">
      <c r="A90" s="0" t="s">
        <v>1751</v>
      </c>
      <c r="B90" s="0" t="s">
        <v>1511</v>
      </c>
      <c r="C90" s="0" t="s">
        <v>1139</v>
      </c>
      <c r="D90" s="0" t="s">
        <v>1184</v>
      </c>
      <c r="E90" s="0" t="s">
        <v>1952</v>
      </c>
      <c r="F90" s="0" t="n">
        <v>31</v>
      </c>
      <c r="G90" s="0" t="n">
        <v>16.58</v>
      </c>
      <c r="H90" s="0" t="n">
        <v>0.75</v>
      </c>
      <c r="I90" s="10" t="n">
        <v>0.333</v>
      </c>
      <c r="J90" s="0" t="n">
        <v>0.25</v>
      </c>
      <c r="K90" s="0" t="n">
        <v>1.41</v>
      </c>
      <c r="L90" s="0" t="n">
        <v>1.28</v>
      </c>
      <c r="M90" s="11" t="n">
        <f aca="false">IFERROR(G90/H90,"")</f>
        <v>22.1066666666667</v>
      </c>
      <c r="N90" s="9" t="s">
        <v>1847</v>
      </c>
      <c r="O90" s="9" t="s">
        <v>1954</v>
      </c>
    </row>
    <row r="91" customFormat="false" ht="15" hidden="false" customHeight="false" outlineLevel="0" collapsed="false">
      <c r="A91" s="0" t="s">
        <v>1664</v>
      </c>
      <c r="B91" s="0" t="s">
        <v>1300</v>
      </c>
      <c r="C91" s="0" t="s">
        <v>1139</v>
      </c>
      <c r="D91" s="0" t="s">
        <v>1208</v>
      </c>
      <c r="E91" s="0" t="s">
        <v>1955</v>
      </c>
      <c r="F91" s="0" t="n">
        <v>32</v>
      </c>
      <c r="G91" s="0" t="n">
        <v>13.88</v>
      </c>
      <c r="H91" s="0" t="n">
        <v>0.65</v>
      </c>
      <c r="I91" s="10" t="n">
        <v>0.55</v>
      </c>
      <c r="J91" s="0" t="n">
        <v>0.36</v>
      </c>
      <c r="K91" s="0" t="n">
        <v>0.98</v>
      </c>
      <c r="L91" s="0" t="n">
        <v>1.09</v>
      </c>
      <c r="M91" s="11" t="n">
        <f aca="false">IFERROR(G91/H91,"")</f>
        <v>21.3538461538462</v>
      </c>
      <c r="N91" s="9" t="s">
        <v>1847</v>
      </c>
      <c r="O91" s="9" t="s">
        <v>1956</v>
      </c>
    </row>
    <row r="92" customFormat="false" ht="15" hidden="false" customHeight="false" outlineLevel="0" collapsed="false">
      <c r="A92" s="0" t="s">
        <v>1665</v>
      </c>
      <c r="B92" s="0" t="s">
        <v>1306</v>
      </c>
      <c r="C92" s="0" t="s">
        <v>1139</v>
      </c>
      <c r="D92" s="0" t="s">
        <v>1208</v>
      </c>
      <c r="E92" s="0" t="s">
        <v>1955</v>
      </c>
      <c r="F92" s="0" t="n">
        <v>32</v>
      </c>
      <c r="G92" s="0" t="n">
        <v>14.31</v>
      </c>
      <c r="H92" s="0" t="n">
        <v>0.67</v>
      </c>
      <c r="I92" s="10" t="n">
        <v>0.511</v>
      </c>
      <c r="J92" s="0" t="n">
        <v>0.34</v>
      </c>
      <c r="K92" s="0" t="n">
        <v>1</v>
      </c>
      <c r="L92" s="0" t="n">
        <v>1.08</v>
      </c>
      <c r="M92" s="11" t="n">
        <f aca="false">IFERROR(G92/H92,"")</f>
        <v>21.3582089552239</v>
      </c>
      <c r="N92" s="9" t="s">
        <v>1847</v>
      </c>
      <c r="O92" s="9" t="s">
        <v>1957</v>
      </c>
    </row>
    <row r="93" customFormat="false" ht="15" hidden="false" customHeight="false" outlineLevel="0" collapsed="false">
      <c r="A93" s="0" t="s">
        <v>1666</v>
      </c>
      <c r="B93" s="0" t="s">
        <v>1308</v>
      </c>
      <c r="C93" s="0" t="s">
        <v>1139</v>
      </c>
      <c r="D93" s="0" t="s">
        <v>1208</v>
      </c>
      <c r="E93" s="0" t="s">
        <v>1955</v>
      </c>
      <c r="F93" s="0" t="n">
        <v>32</v>
      </c>
      <c r="G93" s="0" t="n">
        <v>14.5</v>
      </c>
      <c r="H93" s="0" t="n">
        <v>0.68</v>
      </c>
      <c r="I93" s="10" t="n">
        <v>0.332</v>
      </c>
      <c r="J93" s="0" t="n">
        <v>0.23</v>
      </c>
      <c r="K93" s="0" t="n">
        <v>1.09</v>
      </c>
      <c r="L93" s="0" t="n">
        <v>1.05</v>
      </c>
      <c r="M93" s="11" t="n">
        <f aca="false">IFERROR(G93/H93,"")</f>
        <v>21.3235294117647</v>
      </c>
      <c r="N93" s="9" t="s">
        <v>1847</v>
      </c>
      <c r="O93" s="9" t="s">
        <v>1958</v>
      </c>
    </row>
    <row r="94" customFormat="false" ht="15" hidden="false" customHeight="false" outlineLevel="0" collapsed="false">
      <c r="A94" s="0" t="s">
        <v>1667</v>
      </c>
      <c r="B94" s="0" t="s">
        <v>1310</v>
      </c>
      <c r="C94" s="0" t="s">
        <v>1139</v>
      </c>
      <c r="D94" s="0" t="s">
        <v>1208</v>
      </c>
      <c r="E94" s="0" t="s">
        <v>1955</v>
      </c>
      <c r="F94" s="0" t="n">
        <v>32</v>
      </c>
      <c r="G94" s="0" t="n">
        <v>14.84</v>
      </c>
      <c r="H94" s="0" t="n">
        <v>0.7</v>
      </c>
      <c r="I94" s="10" t="n">
        <v>0.562</v>
      </c>
      <c r="J94" s="0" t="n">
        <v>0.39</v>
      </c>
      <c r="K94" s="0" t="n">
        <v>0.99</v>
      </c>
      <c r="L94" s="0" t="n">
        <v>1.14</v>
      </c>
      <c r="M94" s="11" t="n">
        <f aca="false">IFERROR(G94/H94,"")</f>
        <v>21.2</v>
      </c>
      <c r="N94" s="9" t="s">
        <v>1847</v>
      </c>
      <c r="O94" s="9" t="s">
        <v>1959</v>
      </c>
    </row>
    <row r="95" customFormat="false" ht="15" hidden="false" customHeight="false" outlineLevel="0" collapsed="false">
      <c r="A95" s="0" t="s">
        <v>1668</v>
      </c>
      <c r="B95" s="0" t="s">
        <v>1312</v>
      </c>
      <c r="C95" s="0" t="s">
        <v>1139</v>
      </c>
      <c r="D95" s="0" t="s">
        <v>1208</v>
      </c>
      <c r="E95" s="0" t="s">
        <v>1955</v>
      </c>
      <c r="F95" s="0" t="n">
        <v>32</v>
      </c>
      <c r="G95" s="0" t="n">
        <v>14.59</v>
      </c>
      <c r="H95" s="0" t="n">
        <v>0.68</v>
      </c>
      <c r="I95" s="10" t="n">
        <v>0.527</v>
      </c>
      <c r="J95" s="0" t="n">
        <v>0.36</v>
      </c>
      <c r="K95" s="0" t="n">
        <v>1.01</v>
      </c>
      <c r="L95" s="0" t="n">
        <v>1.06</v>
      </c>
      <c r="M95" s="11" t="n">
        <f aca="false">IFERROR(G95/H95,"")</f>
        <v>21.4558823529412</v>
      </c>
      <c r="N95" s="9" t="s">
        <v>1847</v>
      </c>
      <c r="O95" s="9" t="s">
        <v>1960</v>
      </c>
    </row>
    <row r="96" customFormat="false" ht="15" hidden="false" customHeight="false" outlineLevel="0" collapsed="false">
      <c r="A96" s="0" t="s">
        <v>1757</v>
      </c>
      <c r="B96" s="0" t="s">
        <v>1526</v>
      </c>
      <c r="C96" s="0" t="s">
        <v>1139</v>
      </c>
      <c r="D96" s="0" t="s">
        <v>1202</v>
      </c>
      <c r="E96" s="0" t="s">
        <v>1961</v>
      </c>
      <c r="F96" s="0" t="n">
        <v>39</v>
      </c>
      <c r="G96" s="0" t="n">
        <v>14.36</v>
      </c>
      <c r="H96" s="0" t="n">
        <v>0.66</v>
      </c>
      <c r="I96" s="10" t="n">
        <v>0.509</v>
      </c>
      <c r="J96" s="0" t="n">
        <v>0.33</v>
      </c>
      <c r="K96" s="0" t="n">
        <v>1.06</v>
      </c>
      <c r="L96" s="0" t="n">
        <v>1.09</v>
      </c>
      <c r="M96" s="11" t="n">
        <f aca="false">IFERROR(G96/H96,"")</f>
        <v>21.7575757575758</v>
      </c>
      <c r="N96" s="9" t="s">
        <v>1847</v>
      </c>
      <c r="O96" s="9" t="s">
        <v>1962</v>
      </c>
    </row>
    <row r="97" customFormat="false" ht="15" hidden="false" customHeight="false" outlineLevel="0" collapsed="false">
      <c r="A97" s="0" t="s">
        <v>1758</v>
      </c>
      <c r="B97" s="0" t="s">
        <v>1528</v>
      </c>
      <c r="C97" s="0" t="s">
        <v>1139</v>
      </c>
      <c r="D97" s="0" t="s">
        <v>1202</v>
      </c>
      <c r="E97" s="0" t="s">
        <v>1961</v>
      </c>
      <c r="F97" s="0" t="n">
        <v>39</v>
      </c>
      <c r="G97" s="0" t="n">
        <v>14.87</v>
      </c>
      <c r="H97" s="0" t="n">
        <v>0.68</v>
      </c>
      <c r="I97" s="10" t="n">
        <v>0.588</v>
      </c>
      <c r="J97" s="0" t="n">
        <v>0.4</v>
      </c>
      <c r="K97" s="0" t="n">
        <v>1.14</v>
      </c>
      <c r="L97" s="0" t="n">
        <v>1.18</v>
      </c>
      <c r="M97" s="11" t="n">
        <f aca="false">IFERROR(G97/H97,"")</f>
        <v>21.8676470588235</v>
      </c>
      <c r="N97" s="9" t="s">
        <v>1847</v>
      </c>
      <c r="O97" s="9" t="s">
        <v>1963</v>
      </c>
    </row>
    <row r="98" customFormat="false" ht="15" hidden="false" customHeight="false" outlineLevel="0" collapsed="false">
      <c r="A98" s="0" t="s">
        <v>1759</v>
      </c>
      <c r="B98" s="0" t="s">
        <v>1530</v>
      </c>
      <c r="C98" s="0" t="s">
        <v>1139</v>
      </c>
      <c r="D98" s="0" t="s">
        <v>1202</v>
      </c>
      <c r="E98" s="0" t="s">
        <v>1961</v>
      </c>
      <c r="F98" s="0" t="n">
        <v>39</v>
      </c>
      <c r="G98" s="0" t="n">
        <v>14.44</v>
      </c>
      <c r="H98" s="0" t="n">
        <v>0.66</v>
      </c>
      <c r="I98" s="10" t="n">
        <v>0.318</v>
      </c>
      <c r="J98" s="0" t="n">
        <v>0.21</v>
      </c>
      <c r="K98" s="0" t="n">
        <v>1.16</v>
      </c>
      <c r="L98" s="0" t="n">
        <v>1.07</v>
      </c>
      <c r="M98" s="11" t="n">
        <f aca="false">IFERROR(G98/H98,"")</f>
        <v>21.8787878787879</v>
      </c>
      <c r="N98" s="9" t="s">
        <v>1847</v>
      </c>
      <c r="O98" s="9" t="s">
        <v>1964</v>
      </c>
    </row>
    <row r="99" customFormat="false" ht="15" hidden="false" customHeight="false" outlineLevel="0" collapsed="false">
      <c r="A99" s="0" t="s">
        <v>1760</v>
      </c>
      <c r="B99" s="0" t="s">
        <v>1532</v>
      </c>
      <c r="C99" s="0" t="s">
        <v>1139</v>
      </c>
      <c r="D99" s="0" t="s">
        <v>1202</v>
      </c>
      <c r="E99" s="0" t="s">
        <v>1961</v>
      </c>
      <c r="F99" s="0" t="n">
        <v>39</v>
      </c>
      <c r="G99" s="0" t="n">
        <v>14.21</v>
      </c>
      <c r="H99" s="0" t="n">
        <v>0.65</v>
      </c>
      <c r="I99" s="10" t="n">
        <v>0.671</v>
      </c>
      <c r="J99" s="0" t="n">
        <v>0.44</v>
      </c>
      <c r="K99" s="0" t="n">
        <v>0.98</v>
      </c>
      <c r="L99" s="0" t="n">
        <v>1.08</v>
      </c>
      <c r="M99" s="11" t="n">
        <f aca="false">IFERROR(G99/H99,"")</f>
        <v>21.8615384615385</v>
      </c>
      <c r="N99" s="9" t="s">
        <v>1847</v>
      </c>
      <c r="O99" s="9" t="s">
        <v>1965</v>
      </c>
    </row>
    <row r="100" customFormat="false" ht="15" hidden="false" customHeight="false" outlineLevel="0" collapsed="false">
      <c r="A100" s="0" t="s">
        <v>1761</v>
      </c>
      <c r="B100" s="0" t="s">
        <v>1534</v>
      </c>
      <c r="C100" s="0" t="s">
        <v>1139</v>
      </c>
      <c r="D100" s="0" t="s">
        <v>1202</v>
      </c>
      <c r="E100" s="0" t="s">
        <v>1961</v>
      </c>
      <c r="F100" s="0" t="n">
        <v>39</v>
      </c>
      <c r="G100" s="0" t="n">
        <v>14.95</v>
      </c>
      <c r="H100" s="0" t="n">
        <v>0.68</v>
      </c>
      <c r="I100" s="10" t="n">
        <v>0.521</v>
      </c>
      <c r="J100" s="0" t="n">
        <v>0.36</v>
      </c>
      <c r="K100" s="0" t="n">
        <v>0.96</v>
      </c>
      <c r="L100" s="0" t="n">
        <v>1.11</v>
      </c>
      <c r="M100" s="11" t="n">
        <f aca="false">IFERROR(G100/H100,"")</f>
        <v>21.9852941176471</v>
      </c>
      <c r="N100" s="9" t="s">
        <v>1847</v>
      </c>
      <c r="O100" s="9" t="s">
        <v>1966</v>
      </c>
    </row>
    <row r="101" customFormat="false" ht="15" hidden="false" customHeight="false" outlineLevel="0" collapsed="false">
      <c r="A101" s="0" t="s">
        <v>1777</v>
      </c>
      <c r="B101" s="0" t="s">
        <v>1566</v>
      </c>
      <c r="C101" s="0" t="s">
        <v>1139</v>
      </c>
      <c r="D101" s="0" t="s">
        <v>1166</v>
      </c>
      <c r="E101" s="0" t="s">
        <v>1967</v>
      </c>
      <c r="F101" s="0" t="n">
        <v>36</v>
      </c>
      <c r="G101" s="0" t="n">
        <v>10.61</v>
      </c>
      <c r="H101" s="0" t="n">
        <v>0.5</v>
      </c>
      <c r="I101" s="10" t="n">
        <v>0.534</v>
      </c>
      <c r="J101" s="0" t="n">
        <v>0.27</v>
      </c>
      <c r="K101" s="0" t="n">
        <v>0.82</v>
      </c>
      <c r="L101" s="0" t="n">
        <v>0.95</v>
      </c>
      <c r="M101" s="11" t="n">
        <f aca="false">IFERROR(G101/H101,"")</f>
        <v>21.22</v>
      </c>
      <c r="N101" s="9" t="s">
        <v>1847</v>
      </c>
      <c r="O101" s="9" t="s">
        <v>1968</v>
      </c>
    </row>
    <row r="102" customFormat="false" ht="15" hidden="false" customHeight="false" outlineLevel="0" collapsed="false">
      <c r="A102" s="0" t="s">
        <v>1778</v>
      </c>
      <c r="B102" s="0" t="s">
        <v>1568</v>
      </c>
      <c r="C102" s="0" t="s">
        <v>1139</v>
      </c>
      <c r="D102" s="0" t="s">
        <v>1166</v>
      </c>
      <c r="E102" s="0" t="s">
        <v>1967</v>
      </c>
      <c r="F102" s="0" t="n">
        <v>36</v>
      </c>
      <c r="G102" s="0" t="n">
        <v>14</v>
      </c>
      <c r="H102" s="0" t="n">
        <v>0.66</v>
      </c>
      <c r="I102" s="10" t="n">
        <v>0.609</v>
      </c>
      <c r="J102" s="0" t="n">
        <v>0.4</v>
      </c>
      <c r="K102" s="0" t="n">
        <v>1.02</v>
      </c>
      <c r="L102" s="0" t="n">
        <v>1.11</v>
      </c>
      <c r="M102" s="11" t="n">
        <f aca="false">IFERROR(G102/H102,"")</f>
        <v>21.2121212121212</v>
      </c>
      <c r="N102" s="9" t="s">
        <v>1847</v>
      </c>
      <c r="O102" s="9" t="s">
        <v>1969</v>
      </c>
    </row>
    <row r="103" customFormat="false" ht="15" hidden="false" customHeight="false" outlineLevel="0" collapsed="false">
      <c r="A103" s="0" t="s">
        <v>1779</v>
      </c>
      <c r="B103" s="0" t="s">
        <v>1570</v>
      </c>
      <c r="C103" s="0" t="s">
        <v>1139</v>
      </c>
      <c r="D103" s="0" t="s">
        <v>1166</v>
      </c>
      <c r="E103" s="0" t="s">
        <v>1967</v>
      </c>
      <c r="F103" s="0" t="n">
        <v>36</v>
      </c>
      <c r="G103" s="0" t="n">
        <v>13.67</v>
      </c>
      <c r="H103" s="0" t="n">
        <v>0.64</v>
      </c>
      <c r="I103" s="10" t="n">
        <v>0.451</v>
      </c>
      <c r="J103" s="0" t="n">
        <v>0.29</v>
      </c>
      <c r="K103" s="0" t="n">
        <v>0.95</v>
      </c>
      <c r="L103" s="0" t="n">
        <v>1.05</v>
      </c>
      <c r="M103" s="11" t="n">
        <f aca="false">IFERROR(G103/H103,"")</f>
        <v>21.359375</v>
      </c>
      <c r="N103" s="9" t="s">
        <v>1847</v>
      </c>
      <c r="O103" s="9" t="s">
        <v>1970</v>
      </c>
    </row>
    <row r="104" customFormat="false" ht="15" hidden="false" customHeight="false" outlineLevel="0" collapsed="false">
      <c r="A104" s="0" t="s">
        <v>1780</v>
      </c>
      <c r="B104" s="0" t="s">
        <v>1572</v>
      </c>
      <c r="C104" s="0" t="s">
        <v>1139</v>
      </c>
      <c r="D104" s="0" t="s">
        <v>1166</v>
      </c>
      <c r="E104" s="0" t="s">
        <v>1967</v>
      </c>
      <c r="F104" s="0" t="n">
        <v>36</v>
      </c>
      <c r="G104" s="0" t="n">
        <v>14.42</v>
      </c>
      <c r="H104" s="0" t="n">
        <v>0.68</v>
      </c>
      <c r="I104" s="10" t="n">
        <v>0.52</v>
      </c>
      <c r="J104" s="0" t="n">
        <v>0.35</v>
      </c>
      <c r="K104" s="0" t="n">
        <v>0.95</v>
      </c>
      <c r="L104" s="0" t="n">
        <v>1.11</v>
      </c>
      <c r="M104" s="11" t="n">
        <f aca="false">IFERROR(G104/H104,"")</f>
        <v>21.2058823529412</v>
      </c>
      <c r="N104" s="9" t="s">
        <v>1847</v>
      </c>
      <c r="O104" s="9" t="s">
        <v>1971</v>
      </c>
    </row>
    <row r="105" customFormat="false" ht="15" hidden="false" customHeight="false" outlineLevel="0" collapsed="false">
      <c r="A105" s="0" t="s">
        <v>1781</v>
      </c>
      <c r="B105" s="0" t="s">
        <v>1576</v>
      </c>
      <c r="C105" s="0" t="s">
        <v>1139</v>
      </c>
      <c r="D105" s="0" t="s">
        <v>1166</v>
      </c>
      <c r="E105" s="0" t="s">
        <v>1967</v>
      </c>
      <c r="F105" s="0" t="n">
        <v>36</v>
      </c>
      <c r="G105" s="0" t="n">
        <v>16.42</v>
      </c>
      <c r="H105" s="0" t="n">
        <v>0.77</v>
      </c>
      <c r="I105" s="10" t="n">
        <v>0.382</v>
      </c>
      <c r="J105" s="0" t="n">
        <v>0.3</v>
      </c>
      <c r="K105" s="0" t="n">
        <v>1.31</v>
      </c>
      <c r="L105" s="0" t="n">
        <v>1.23</v>
      </c>
      <c r="M105" s="11" t="n">
        <f aca="false">IFERROR(G105/H105,"")</f>
        <v>21.3246753246753</v>
      </c>
      <c r="N105" s="9" t="s">
        <v>1847</v>
      </c>
      <c r="O105" s="9" t="s">
        <v>1972</v>
      </c>
    </row>
    <row r="106" customFormat="false" ht="15" hidden="false" customHeight="false" outlineLevel="0" collapsed="false">
      <c r="A106" s="0" t="s">
        <v>1727</v>
      </c>
      <c r="B106" s="0" t="s">
        <v>1458</v>
      </c>
      <c r="C106" s="0" t="s">
        <v>1139</v>
      </c>
      <c r="D106" s="0" t="s">
        <v>1146</v>
      </c>
      <c r="E106" s="0" t="s">
        <v>1973</v>
      </c>
      <c r="F106" s="0" t="n">
        <v>35</v>
      </c>
      <c r="G106" s="0" t="n">
        <v>16.6</v>
      </c>
      <c r="H106" s="0" t="n">
        <v>0.72</v>
      </c>
      <c r="I106" s="10" t="n">
        <v>0.613</v>
      </c>
      <c r="J106" s="0" t="n">
        <v>0.44</v>
      </c>
      <c r="K106" s="0" t="n">
        <v>0.99</v>
      </c>
      <c r="L106" s="0" t="n">
        <v>1.12</v>
      </c>
      <c r="M106" s="11" t="n">
        <f aca="false">IFERROR(G106/H106,"")</f>
        <v>23.0555555555556</v>
      </c>
      <c r="N106" s="9" t="s">
        <v>1847</v>
      </c>
      <c r="O106" s="9" t="s">
        <v>1974</v>
      </c>
    </row>
    <row r="107" customFormat="false" ht="15" hidden="false" customHeight="false" outlineLevel="0" collapsed="false">
      <c r="A107" s="0" t="s">
        <v>1728</v>
      </c>
      <c r="B107" s="0" t="s">
        <v>1460</v>
      </c>
      <c r="C107" s="0" t="s">
        <v>1139</v>
      </c>
      <c r="D107" s="0" t="s">
        <v>1146</v>
      </c>
      <c r="E107" s="0" t="s">
        <v>1973</v>
      </c>
      <c r="F107" s="0" t="n">
        <v>35</v>
      </c>
      <c r="G107" s="0" t="n">
        <v>15.71</v>
      </c>
      <c r="H107" s="0" t="n">
        <v>0.68</v>
      </c>
      <c r="I107" s="10" t="n">
        <v>0.325</v>
      </c>
      <c r="J107" s="0" t="n">
        <v>0.22</v>
      </c>
      <c r="K107" s="0" t="n">
        <v>1.11</v>
      </c>
      <c r="L107" s="0" t="n">
        <v>1.06</v>
      </c>
      <c r="M107" s="11" t="n">
        <f aca="false">IFERROR(G107/H107,"")</f>
        <v>23.1029411764706</v>
      </c>
      <c r="N107" s="9" t="s">
        <v>1847</v>
      </c>
      <c r="O107" s="9" t="s">
        <v>1975</v>
      </c>
    </row>
    <row r="108" customFormat="false" ht="15" hidden="false" customHeight="false" outlineLevel="0" collapsed="false">
      <c r="A108" s="0" t="s">
        <v>1729</v>
      </c>
      <c r="B108" s="0" t="s">
        <v>1462</v>
      </c>
      <c r="C108" s="0" t="s">
        <v>1139</v>
      </c>
      <c r="D108" s="0" t="s">
        <v>1146</v>
      </c>
      <c r="E108" s="0" t="s">
        <v>1973</v>
      </c>
      <c r="F108" s="0" t="n">
        <v>35</v>
      </c>
      <c r="G108" s="0" t="n">
        <v>15.49</v>
      </c>
      <c r="H108" s="0" t="n">
        <v>0.67</v>
      </c>
      <c r="I108" s="10" t="n">
        <v>0.518</v>
      </c>
      <c r="J108" s="0" t="n">
        <v>0.35</v>
      </c>
      <c r="K108" s="0" t="n">
        <v>0.96</v>
      </c>
      <c r="L108" s="0" t="n">
        <v>1.05</v>
      </c>
      <c r="M108" s="11" t="n">
        <f aca="false">IFERROR(G108/H108,"")</f>
        <v>23.1194029850746</v>
      </c>
      <c r="N108" s="9" t="s">
        <v>1847</v>
      </c>
      <c r="O108" s="9" t="s">
        <v>1976</v>
      </c>
    </row>
    <row r="109" customFormat="false" ht="15" hidden="false" customHeight="false" outlineLevel="0" collapsed="false">
      <c r="A109" s="0" t="s">
        <v>1730</v>
      </c>
      <c r="B109" s="0" t="s">
        <v>1465</v>
      </c>
      <c r="C109" s="0" t="s">
        <v>1139</v>
      </c>
      <c r="D109" s="0" t="s">
        <v>1146</v>
      </c>
      <c r="E109" s="0" t="s">
        <v>1973</v>
      </c>
      <c r="F109" s="0" t="n">
        <v>35</v>
      </c>
      <c r="G109" s="0" t="n">
        <v>16.23</v>
      </c>
      <c r="H109" s="0" t="n">
        <v>0.7</v>
      </c>
      <c r="I109" s="10" t="n">
        <v>0.542</v>
      </c>
      <c r="J109" s="0" t="n">
        <v>0.38</v>
      </c>
      <c r="K109" s="0" t="n">
        <v>1.09</v>
      </c>
      <c r="L109" s="0" t="n">
        <v>1.19</v>
      </c>
      <c r="M109" s="11" t="n">
        <f aca="false">IFERROR(G109/H109,"")</f>
        <v>23.1857142857143</v>
      </c>
      <c r="N109" s="9" t="s">
        <v>1847</v>
      </c>
      <c r="O109" s="9" t="s">
        <v>1977</v>
      </c>
    </row>
    <row r="110" customFormat="false" ht="15" hidden="false" customHeight="false" outlineLevel="0" collapsed="false">
      <c r="A110" s="0" t="s">
        <v>1731</v>
      </c>
      <c r="B110" s="0" t="s">
        <v>1468</v>
      </c>
      <c r="C110" s="0" t="s">
        <v>1139</v>
      </c>
      <c r="D110" s="0" t="s">
        <v>1146</v>
      </c>
      <c r="E110" s="0" t="s">
        <v>1973</v>
      </c>
      <c r="F110" s="0" t="n">
        <v>35</v>
      </c>
      <c r="G110" s="0" t="n">
        <v>16.09</v>
      </c>
      <c r="H110" s="0" t="n">
        <v>0.7</v>
      </c>
      <c r="I110" s="10" t="n">
        <v>0.554</v>
      </c>
      <c r="J110" s="0" t="n">
        <v>0.39</v>
      </c>
      <c r="K110" s="0" t="n">
        <v>1.04</v>
      </c>
      <c r="L110" s="0" t="n">
        <v>1.16</v>
      </c>
      <c r="M110" s="11" t="n">
        <f aca="false">IFERROR(G110/H110,"")</f>
        <v>22.9857142857143</v>
      </c>
      <c r="N110" s="9" t="s">
        <v>1847</v>
      </c>
      <c r="O110" s="9" t="s">
        <v>1978</v>
      </c>
    </row>
    <row r="111" customFormat="false" ht="15" hidden="false" customHeight="false" outlineLevel="0" collapsed="false">
      <c r="A111" s="0" t="s">
        <v>1762</v>
      </c>
      <c r="B111" s="0" t="s">
        <v>1536</v>
      </c>
      <c r="C111" s="0" t="s">
        <v>1139</v>
      </c>
      <c r="D111" s="0" t="s">
        <v>1233</v>
      </c>
      <c r="E111" s="0" t="s">
        <v>1979</v>
      </c>
      <c r="F111" s="0" t="n">
        <v>35</v>
      </c>
      <c r="G111" s="0" t="n">
        <v>15.86</v>
      </c>
      <c r="H111" s="0" t="n">
        <v>0.73</v>
      </c>
      <c r="I111" s="10" t="n">
        <v>0.559</v>
      </c>
      <c r="J111" s="0" t="n">
        <v>0.41</v>
      </c>
      <c r="K111" s="0" t="n">
        <v>1</v>
      </c>
      <c r="L111" s="0" t="n">
        <v>1.11</v>
      </c>
      <c r="M111" s="11" t="n">
        <f aca="false">IFERROR(G111/H111,"")</f>
        <v>21.7260273972603</v>
      </c>
      <c r="N111" s="9" t="s">
        <v>1847</v>
      </c>
      <c r="O111" s="9" t="s">
        <v>1980</v>
      </c>
    </row>
    <row r="112" customFormat="false" ht="15" hidden="false" customHeight="false" outlineLevel="0" collapsed="false">
      <c r="A112" s="0" t="s">
        <v>1763</v>
      </c>
      <c r="B112" s="0" t="s">
        <v>1538</v>
      </c>
      <c r="C112" s="0" t="s">
        <v>1139</v>
      </c>
      <c r="D112" s="0" t="s">
        <v>1233</v>
      </c>
      <c r="E112" s="0" t="s">
        <v>1979</v>
      </c>
      <c r="F112" s="0" t="n">
        <v>35</v>
      </c>
      <c r="G112" s="0" t="n">
        <v>15.51</v>
      </c>
      <c r="H112" s="0" t="n">
        <v>0.72</v>
      </c>
      <c r="I112" s="10" t="n">
        <v>0.394</v>
      </c>
      <c r="J112" s="0" t="n">
        <v>0.28</v>
      </c>
      <c r="K112" s="0" t="n">
        <v>1.12</v>
      </c>
      <c r="L112" s="0" t="n">
        <v>1.14</v>
      </c>
      <c r="M112" s="11" t="n">
        <f aca="false">IFERROR(G112/H112,"")</f>
        <v>21.5416666666667</v>
      </c>
      <c r="N112" s="9" t="s">
        <v>1847</v>
      </c>
      <c r="O112" s="9" t="s">
        <v>1981</v>
      </c>
    </row>
    <row r="113" customFormat="false" ht="15" hidden="false" customHeight="false" outlineLevel="0" collapsed="false">
      <c r="A113" s="0" t="s">
        <v>1764</v>
      </c>
      <c r="B113" s="0" t="s">
        <v>1540</v>
      </c>
      <c r="C113" s="0" t="s">
        <v>1139</v>
      </c>
      <c r="D113" s="0" t="s">
        <v>1233</v>
      </c>
      <c r="E113" s="0" t="s">
        <v>1979</v>
      </c>
      <c r="F113" s="0" t="n">
        <v>35</v>
      </c>
      <c r="G113" s="0" t="n">
        <v>13.43</v>
      </c>
      <c r="H113" s="0" t="n">
        <v>0.62</v>
      </c>
      <c r="I113" s="10" t="n">
        <v>0.494</v>
      </c>
      <c r="J113" s="0" t="n">
        <v>0.31</v>
      </c>
      <c r="K113" s="0" t="n">
        <v>0.9</v>
      </c>
      <c r="L113" s="0" t="n">
        <v>0.99</v>
      </c>
      <c r="M113" s="11" t="n">
        <f aca="false">IFERROR(G113/H113,"")</f>
        <v>21.6612903225806</v>
      </c>
      <c r="N113" s="9" t="s">
        <v>1847</v>
      </c>
      <c r="O113" s="9" t="s">
        <v>1982</v>
      </c>
    </row>
    <row r="114" customFormat="false" ht="15" hidden="false" customHeight="false" outlineLevel="0" collapsed="false">
      <c r="A114" s="0" t="s">
        <v>1765</v>
      </c>
      <c r="B114" s="0" t="s">
        <v>1542</v>
      </c>
      <c r="C114" s="0" t="s">
        <v>1139</v>
      </c>
      <c r="D114" s="0" t="s">
        <v>1233</v>
      </c>
      <c r="E114" s="0" t="s">
        <v>1979</v>
      </c>
      <c r="F114" s="0" t="n">
        <v>35</v>
      </c>
      <c r="G114" s="0" t="n">
        <v>13.11</v>
      </c>
      <c r="H114" s="0" t="n">
        <v>0.61</v>
      </c>
      <c r="I114" s="10" t="n">
        <v>0.595</v>
      </c>
      <c r="J114" s="0" t="n">
        <v>0.36</v>
      </c>
      <c r="K114" s="0" t="n">
        <v>0.9</v>
      </c>
      <c r="L114" s="0" t="n">
        <v>0.99</v>
      </c>
      <c r="M114" s="11" t="n">
        <f aca="false">IFERROR(G114/H114,"")</f>
        <v>21.4918032786885</v>
      </c>
      <c r="N114" s="9" t="s">
        <v>1847</v>
      </c>
      <c r="O114" s="9" t="s">
        <v>1983</v>
      </c>
    </row>
    <row r="115" customFormat="false" ht="15" hidden="false" customHeight="false" outlineLevel="0" collapsed="false">
      <c r="A115" s="0" t="s">
        <v>1766</v>
      </c>
      <c r="B115" s="0" t="s">
        <v>1544</v>
      </c>
      <c r="C115" s="0" t="s">
        <v>1139</v>
      </c>
      <c r="D115" s="0" t="s">
        <v>1233</v>
      </c>
      <c r="E115" s="0" t="s">
        <v>1979</v>
      </c>
      <c r="F115" s="0" t="n">
        <v>35</v>
      </c>
      <c r="G115" s="0" t="n">
        <v>14.34</v>
      </c>
      <c r="H115" s="0" t="n">
        <v>0.66</v>
      </c>
      <c r="I115" s="10" t="n">
        <v>0.596</v>
      </c>
      <c r="J115" s="0" t="n">
        <v>0.4</v>
      </c>
      <c r="K115" s="0" t="n">
        <v>0.95</v>
      </c>
      <c r="L115" s="0" t="n">
        <v>1.09</v>
      </c>
      <c r="M115" s="11" t="n">
        <f aca="false">IFERROR(G115/H115,"")</f>
        <v>21.7272727272727</v>
      </c>
      <c r="N115" s="9" t="s">
        <v>1847</v>
      </c>
      <c r="O115" s="9" t="s">
        <v>1984</v>
      </c>
    </row>
    <row r="116" customFormat="false" ht="15" hidden="false" customHeight="false" outlineLevel="0" collapsed="false">
      <c r="A116" s="0" t="s">
        <v>1746</v>
      </c>
      <c r="B116" s="0" t="s">
        <v>1499</v>
      </c>
      <c r="C116" s="0" t="s">
        <v>1139</v>
      </c>
      <c r="D116" s="0" t="s">
        <v>1228</v>
      </c>
      <c r="E116" s="0" t="s">
        <v>1985</v>
      </c>
      <c r="F116" s="0" t="n">
        <v>34</v>
      </c>
      <c r="G116" s="0" t="n">
        <v>14.79</v>
      </c>
      <c r="H116" s="0" t="n">
        <v>0.74</v>
      </c>
      <c r="I116" s="10" t="n">
        <v>0.459</v>
      </c>
      <c r="J116" s="0" t="n">
        <v>0.34</v>
      </c>
      <c r="K116" s="0" t="n">
        <v>1.14</v>
      </c>
      <c r="L116" s="0" t="n">
        <v>1.26</v>
      </c>
      <c r="M116" s="11" t="n">
        <f aca="false">IFERROR(G116/H116,"")</f>
        <v>19.9864864864865</v>
      </c>
      <c r="N116" s="9" t="s">
        <v>1847</v>
      </c>
      <c r="O116" s="9" t="s">
        <v>1986</v>
      </c>
    </row>
    <row r="117" customFormat="false" ht="15" hidden="false" customHeight="false" outlineLevel="0" collapsed="false">
      <c r="A117" s="0" t="s">
        <v>1747</v>
      </c>
      <c r="B117" s="0" t="s">
        <v>1503</v>
      </c>
      <c r="C117" s="0" t="s">
        <v>1139</v>
      </c>
      <c r="D117" s="0" t="s">
        <v>1228</v>
      </c>
      <c r="E117" s="0" t="s">
        <v>1985</v>
      </c>
      <c r="F117" s="0" t="n">
        <v>34</v>
      </c>
      <c r="G117" s="0" t="n">
        <v>14.35</v>
      </c>
      <c r="H117" s="0" t="n">
        <v>0.72</v>
      </c>
      <c r="I117" s="10" t="n">
        <v>0.6</v>
      </c>
      <c r="J117" s="0" t="n">
        <v>0.43</v>
      </c>
      <c r="K117" s="0" t="n">
        <v>1.07</v>
      </c>
      <c r="L117" s="0" t="n">
        <v>1.22</v>
      </c>
      <c r="M117" s="11" t="n">
        <f aca="false">IFERROR(G117/H117,"")</f>
        <v>19.9305555555556</v>
      </c>
      <c r="N117" s="9" t="s">
        <v>1847</v>
      </c>
      <c r="O117" s="9" t="s">
        <v>1987</v>
      </c>
    </row>
    <row r="118" customFormat="false" ht="15" hidden="false" customHeight="false" outlineLevel="0" collapsed="false">
      <c r="A118" s="0" t="s">
        <v>1748</v>
      </c>
      <c r="B118" s="0" t="s">
        <v>1505</v>
      </c>
      <c r="C118" s="0" t="s">
        <v>1139</v>
      </c>
      <c r="D118" s="0" t="s">
        <v>1228</v>
      </c>
      <c r="E118" s="0" t="s">
        <v>1985</v>
      </c>
      <c r="F118" s="0" t="n">
        <v>34</v>
      </c>
      <c r="G118" s="0" t="n">
        <v>12.97</v>
      </c>
      <c r="H118" s="0" t="n">
        <v>0.65</v>
      </c>
      <c r="I118" s="10" t="n">
        <v>0.624</v>
      </c>
      <c r="J118" s="0" t="n">
        <v>0.41</v>
      </c>
      <c r="K118" s="0" t="n">
        <v>1.03</v>
      </c>
      <c r="L118" s="0" t="n">
        <v>1.08</v>
      </c>
      <c r="M118" s="11" t="n">
        <f aca="false">IFERROR(G118/H118,"")</f>
        <v>19.9538461538462</v>
      </c>
      <c r="N118" s="9" t="s">
        <v>1847</v>
      </c>
      <c r="O118" s="9" t="s">
        <v>1988</v>
      </c>
    </row>
    <row r="119" customFormat="false" ht="15" hidden="false" customHeight="false" outlineLevel="0" collapsed="false">
      <c r="A119" s="0" t="s">
        <v>1749</v>
      </c>
      <c r="B119" s="0" t="s">
        <v>1507</v>
      </c>
      <c r="C119" s="0" t="s">
        <v>1139</v>
      </c>
      <c r="D119" s="0" t="s">
        <v>1228</v>
      </c>
      <c r="E119" s="0" t="s">
        <v>1985</v>
      </c>
      <c r="F119" s="0" t="n">
        <v>34</v>
      </c>
      <c r="G119" s="0" t="n">
        <v>13.38</v>
      </c>
      <c r="H119" s="0" t="n">
        <v>0.67</v>
      </c>
      <c r="I119" s="10" t="n">
        <v>0.516</v>
      </c>
      <c r="J119" s="0" t="n">
        <v>0.35</v>
      </c>
      <c r="K119" s="0" t="n">
        <v>1.02</v>
      </c>
      <c r="L119" s="0" t="n">
        <v>1.15</v>
      </c>
      <c r="M119" s="11" t="n">
        <f aca="false">IFERROR(G119/H119,"")</f>
        <v>19.9701492537313</v>
      </c>
      <c r="N119" s="9" t="s">
        <v>1847</v>
      </c>
      <c r="O119" s="9" t="s">
        <v>1989</v>
      </c>
    </row>
    <row r="120" customFormat="false" ht="15" hidden="false" customHeight="false" outlineLevel="0" collapsed="false">
      <c r="A120" s="0" t="s">
        <v>1772</v>
      </c>
      <c r="B120" s="0" t="s">
        <v>1556</v>
      </c>
      <c r="C120" s="0" t="s">
        <v>1139</v>
      </c>
      <c r="D120" s="0" t="s">
        <v>1244</v>
      </c>
      <c r="E120" s="0" t="s">
        <v>1990</v>
      </c>
      <c r="F120" s="0" t="n">
        <v>36</v>
      </c>
      <c r="G120" s="0" t="n">
        <v>13.44</v>
      </c>
      <c r="H120" s="0" t="n">
        <v>0.63</v>
      </c>
      <c r="I120" s="10" t="n">
        <v>0.531</v>
      </c>
      <c r="J120" s="0" t="n">
        <v>0.33</v>
      </c>
      <c r="K120" s="0" t="n">
        <v>0.94</v>
      </c>
      <c r="L120" s="0" t="n">
        <v>1.04</v>
      </c>
      <c r="M120" s="11" t="n">
        <f aca="false">IFERROR(G120/H120,"")</f>
        <v>21.3333333333333</v>
      </c>
      <c r="N120" s="9" t="s">
        <v>1847</v>
      </c>
      <c r="O120" s="9" t="s">
        <v>1991</v>
      </c>
    </row>
    <row r="121" customFormat="false" ht="15" hidden="false" customHeight="false" outlineLevel="0" collapsed="false">
      <c r="A121" s="0" t="s">
        <v>1773</v>
      </c>
      <c r="B121" s="0" t="s">
        <v>1558</v>
      </c>
      <c r="C121" s="0" t="s">
        <v>1139</v>
      </c>
      <c r="D121" s="0" t="s">
        <v>1244</v>
      </c>
      <c r="E121" s="0" t="s">
        <v>1990</v>
      </c>
      <c r="F121" s="0" t="n">
        <v>35</v>
      </c>
      <c r="G121" s="0" t="n">
        <v>14.6</v>
      </c>
      <c r="H121" s="0" t="n">
        <v>0.68</v>
      </c>
      <c r="I121" s="10" t="n">
        <v>0.611</v>
      </c>
      <c r="J121" s="0" t="n">
        <v>0.42</v>
      </c>
      <c r="K121" s="0" t="n">
        <v>0.98</v>
      </c>
      <c r="L121" s="0" t="n">
        <v>1.14</v>
      </c>
      <c r="M121" s="11" t="n">
        <f aca="false">IFERROR(G121/H121,"")</f>
        <v>21.4705882352941</v>
      </c>
      <c r="N121" s="9" t="s">
        <v>1847</v>
      </c>
      <c r="O121" s="9" t="s">
        <v>1992</v>
      </c>
    </row>
    <row r="122" customFormat="false" ht="15" hidden="false" customHeight="false" outlineLevel="0" collapsed="false">
      <c r="A122" s="0" t="s">
        <v>1774</v>
      </c>
      <c r="B122" s="0" t="s">
        <v>1560</v>
      </c>
      <c r="C122" s="0" t="s">
        <v>1139</v>
      </c>
      <c r="D122" s="0" t="s">
        <v>1244</v>
      </c>
      <c r="E122" s="0" t="s">
        <v>1990</v>
      </c>
      <c r="F122" s="0" t="n">
        <v>39</v>
      </c>
      <c r="G122" s="0" t="n">
        <v>13.87</v>
      </c>
      <c r="H122" s="0" t="n">
        <v>0.63</v>
      </c>
      <c r="I122" s="10" t="n">
        <v>0.518</v>
      </c>
      <c r="J122" s="0" t="n">
        <v>0.33</v>
      </c>
      <c r="K122" s="0" t="n">
        <v>0.89</v>
      </c>
      <c r="L122" s="0" t="n">
        <v>1</v>
      </c>
      <c r="M122" s="11" t="n">
        <f aca="false">IFERROR(G122/H122,"")</f>
        <v>22.015873015873</v>
      </c>
      <c r="N122" s="9" t="s">
        <v>1847</v>
      </c>
      <c r="O122" s="9" t="s">
        <v>1993</v>
      </c>
    </row>
    <row r="123" customFormat="false" ht="15" hidden="false" customHeight="false" outlineLevel="0" collapsed="false">
      <c r="A123" s="0" t="s">
        <v>1775</v>
      </c>
      <c r="B123" s="0" t="s">
        <v>1562</v>
      </c>
      <c r="C123" s="0" t="s">
        <v>1139</v>
      </c>
      <c r="D123" s="0" t="s">
        <v>1244</v>
      </c>
      <c r="E123" s="0" t="s">
        <v>1990</v>
      </c>
      <c r="F123" s="0" t="n">
        <v>35</v>
      </c>
      <c r="G123" s="0" t="n">
        <v>14.94</v>
      </c>
      <c r="H123" s="0" t="n">
        <v>0.69</v>
      </c>
      <c r="I123" s="10" t="n">
        <v>0.562</v>
      </c>
      <c r="J123" s="0" t="n">
        <v>0.39</v>
      </c>
      <c r="K123" s="0" t="n">
        <v>1.16</v>
      </c>
      <c r="L123" s="0" t="n">
        <v>1.1</v>
      </c>
      <c r="M123" s="11" t="n">
        <f aca="false">IFERROR(G123/H123,"")</f>
        <v>21.6521739130435</v>
      </c>
      <c r="N123" s="9" t="s">
        <v>1847</v>
      </c>
      <c r="O123" s="9" t="s">
        <v>1994</v>
      </c>
    </row>
    <row r="124" customFormat="false" ht="15" hidden="false" customHeight="false" outlineLevel="0" collapsed="false">
      <c r="A124" s="0" t="s">
        <v>1776</v>
      </c>
      <c r="B124" s="0" t="s">
        <v>1564</v>
      </c>
      <c r="C124" s="0" t="s">
        <v>1139</v>
      </c>
      <c r="D124" s="0" t="s">
        <v>1244</v>
      </c>
      <c r="E124" s="0" t="s">
        <v>1990</v>
      </c>
      <c r="F124" s="0" t="n">
        <v>35</v>
      </c>
      <c r="G124" s="0" t="n">
        <v>13.89</v>
      </c>
      <c r="H124" s="0" t="n">
        <v>0.64</v>
      </c>
      <c r="I124" s="10" t="n">
        <v>0.317</v>
      </c>
      <c r="J124" s="0" t="n">
        <v>0.2</v>
      </c>
      <c r="K124" s="0" t="n">
        <v>1.07</v>
      </c>
      <c r="L124" s="0" t="n">
        <v>1.05</v>
      </c>
      <c r="M124" s="11" t="n">
        <f aca="false">IFERROR(G124/H124,"")</f>
        <v>21.703125</v>
      </c>
      <c r="N124" s="9" t="s">
        <v>1847</v>
      </c>
      <c r="O124" s="9" t="s">
        <v>1995</v>
      </c>
    </row>
    <row r="125" customFormat="false" ht="15" hidden="false" customHeight="false" outlineLevel="0" collapsed="false">
      <c r="A125" s="0" t="s">
        <v>1782</v>
      </c>
      <c r="B125" s="0" t="s">
        <v>1579</v>
      </c>
      <c r="C125" s="0" t="s">
        <v>1139</v>
      </c>
      <c r="D125" s="0" t="s">
        <v>1165</v>
      </c>
      <c r="E125" s="0" t="s">
        <v>1996</v>
      </c>
      <c r="F125" s="0" t="n">
        <v>38</v>
      </c>
      <c r="G125" s="0" t="n">
        <v>14.13</v>
      </c>
      <c r="H125" s="0" t="n">
        <v>0.71</v>
      </c>
      <c r="I125" s="10" t="n">
        <v>0.521</v>
      </c>
      <c r="J125" s="0" t="n">
        <v>0.37</v>
      </c>
      <c r="K125" s="0" t="n">
        <v>1.11</v>
      </c>
      <c r="L125" s="0" t="n">
        <v>1.28</v>
      </c>
      <c r="M125" s="11" t="n">
        <f aca="false">IFERROR(G125/H125,"")</f>
        <v>19.9014084507042</v>
      </c>
      <c r="N125" s="9" t="s">
        <v>1847</v>
      </c>
      <c r="O125" s="9" t="s">
        <v>1997</v>
      </c>
    </row>
    <row r="126" customFormat="false" ht="15" hidden="false" customHeight="false" outlineLevel="0" collapsed="false">
      <c r="A126" s="0" t="s">
        <v>1783</v>
      </c>
      <c r="B126" s="0" t="s">
        <v>1581</v>
      </c>
      <c r="C126" s="0" t="s">
        <v>1139</v>
      </c>
      <c r="D126" s="0" t="s">
        <v>1165</v>
      </c>
      <c r="E126" s="0" t="s">
        <v>1996</v>
      </c>
      <c r="F126" s="0" t="n">
        <v>34</v>
      </c>
      <c r="G126" s="0" t="n">
        <v>13.82</v>
      </c>
      <c r="H126" s="0" t="n">
        <v>0.65</v>
      </c>
      <c r="I126" s="10" t="n">
        <v>0.549</v>
      </c>
      <c r="J126" s="0" t="n">
        <v>0.36</v>
      </c>
      <c r="K126" s="0" t="n">
        <v>1.04</v>
      </c>
      <c r="L126" s="0" t="n">
        <v>1.12</v>
      </c>
      <c r="M126" s="11" t="n">
        <f aca="false">IFERROR(G126/H126,"")</f>
        <v>21.2615384615385</v>
      </c>
      <c r="N126" s="9" t="s">
        <v>1847</v>
      </c>
      <c r="O126" s="9" t="s">
        <v>1998</v>
      </c>
    </row>
    <row r="127" customFormat="false" ht="15" hidden="false" customHeight="false" outlineLevel="0" collapsed="false">
      <c r="A127" s="0" t="s">
        <v>1784</v>
      </c>
      <c r="B127" s="0" t="s">
        <v>1583</v>
      </c>
      <c r="C127" s="0" t="s">
        <v>1139</v>
      </c>
      <c r="D127" s="0" t="s">
        <v>1165</v>
      </c>
      <c r="E127" s="0" t="s">
        <v>1996</v>
      </c>
      <c r="F127" s="0" t="n">
        <v>38</v>
      </c>
      <c r="G127" s="0" t="n">
        <v>12.42</v>
      </c>
      <c r="H127" s="0" t="n">
        <v>0.62</v>
      </c>
      <c r="I127" s="10" t="n">
        <v>0.581</v>
      </c>
      <c r="J127" s="0" t="n">
        <v>0.36</v>
      </c>
      <c r="K127" s="0" t="n">
        <v>1.07</v>
      </c>
      <c r="L127" s="0" t="n">
        <v>1.15</v>
      </c>
      <c r="M127" s="11" t="n">
        <f aca="false">IFERROR(G127/H127,"")</f>
        <v>20.0322580645161</v>
      </c>
      <c r="N127" s="9" t="s">
        <v>1847</v>
      </c>
      <c r="O127" s="9" t="s">
        <v>1999</v>
      </c>
    </row>
    <row r="128" customFormat="false" ht="15" hidden="false" customHeight="false" outlineLevel="0" collapsed="false">
      <c r="A128" s="0" t="s">
        <v>1785</v>
      </c>
      <c r="B128" s="0" t="s">
        <v>1585</v>
      </c>
      <c r="C128" s="0" t="s">
        <v>1139</v>
      </c>
      <c r="D128" s="0" t="s">
        <v>1165</v>
      </c>
      <c r="E128" s="0" t="s">
        <v>1996</v>
      </c>
      <c r="F128" s="0" t="n">
        <v>38</v>
      </c>
      <c r="G128" s="0" t="n">
        <v>14.79</v>
      </c>
      <c r="H128" s="0" t="n">
        <v>0.74</v>
      </c>
      <c r="I128" s="10" t="n">
        <v>0.528</v>
      </c>
      <c r="J128" s="0" t="n">
        <v>0.39</v>
      </c>
      <c r="K128" s="0" t="n">
        <v>1.34</v>
      </c>
      <c r="L128" s="0" t="n">
        <v>1.27</v>
      </c>
      <c r="M128" s="11" t="n">
        <f aca="false">IFERROR(G128/H128,"")</f>
        <v>19.9864864864865</v>
      </c>
      <c r="N128" s="9" t="s">
        <v>1847</v>
      </c>
      <c r="O128" s="9" t="s">
        <v>2000</v>
      </c>
    </row>
    <row r="129" customFormat="false" ht="15" hidden="false" customHeight="false" outlineLevel="0" collapsed="false">
      <c r="A129" s="0" t="s">
        <v>1786</v>
      </c>
      <c r="B129" s="0" t="s">
        <v>1588</v>
      </c>
      <c r="C129" s="0" t="s">
        <v>1139</v>
      </c>
      <c r="D129" s="0" t="s">
        <v>1165</v>
      </c>
      <c r="E129" s="0" t="s">
        <v>1996</v>
      </c>
      <c r="F129" s="0" t="n">
        <v>38</v>
      </c>
      <c r="G129" s="0" t="n">
        <v>17.47</v>
      </c>
      <c r="H129" s="0" t="n">
        <v>0.87</v>
      </c>
      <c r="I129" s="10" t="n">
        <v>0.429</v>
      </c>
      <c r="J129" s="0" t="n">
        <v>0.38</v>
      </c>
      <c r="K129" s="0" t="n">
        <v>1.59</v>
      </c>
      <c r="L129" s="0" t="n">
        <v>1.5</v>
      </c>
      <c r="M129" s="11" t="n">
        <f aca="false">IFERROR(G129/H129,"")</f>
        <v>20.0804597701149</v>
      </c>
      <c r="N129" s="9" t="s">
        <v>1847</v>
      </c>
      <c r="O129" s="9" t="s">
        <v>2001</v>
      </c>
    </row>
    <row r="130" customFormat="false" ht="15" hidden="false" customHeight="false" outlineLevel="0" collapsed="false">
      <c r="A130" s="0" t="s">
        <v>1787</v>
      </c>
      <c r="B130" s="0" t="s">
        <v>1591</v>
      </c>
      <c r="C130" s="0" t="s">
        <v>1139</v>
      </c>
      <c r="D130" s="0" t="s">
        <v>1213</v>
      </c>
      <c r="E130" s="0" t="s">
        <v>2002</v>
      </c>
      <c r="F130" s="0" t="n">
        <v>38</v>
      </c>
      <c r="G130" s="0" t="n">
        <v>14.84</v>
      </c>
      <c r="H130" s="0" t="n">
        <v>0.67</v>
      </c>
      <c r="I130" s="10" t="n">
        <v>0.562</v>
      </c>
      <c r="J130" s="0" t="n">
        <v>0.38</v>
      </c>
      <c r="K130" s="0" t="n">
        <v>1.02</v>
      </c>
      <c r="L130" s="0" t="n">
        <v>1.16</v>
      </c>
      <c r="M130" s="11" t="n">
        <f aca="false">IFERROR(G130/H130,"")</f>
        <v>22.1492537313433</v>
      </c>
      <c r="N130" s="9" t="s">
        <v>1847</v>
      </c>
      <c r="O130" s="9" t="s">
        <v>2003</v>
      </c>
    </row>
    <row r="131" customFormat="false" ht="15" hidden="false" customHeight="false" outlineLevel="0" collapsed="false">
      <c r="A131" s="0" t="s">
        <v>1788</v>
      </c>
      <c r="B131" s="0" t="s">
        <v>1593</v>
      </c>
      <c r="C131" s="0" t="s">
        <v>1139</v>
      </c>
      <c r="D131" s="0" t="s">
        <v>1213</v>
      </c>
      <c r="E131" s="0" t="s">
        <v>2002</v>
      </c>
      <c r="F131" s="0" t="n">
        <v>38</v>
      </c>
      <c r="G131" s="0" t="n">
        <v>14.47</v>
      </c>
      <c r="H131" s="0" t="n">
        <v>0.66</v>
      </c>
      <c r="I131" s="10" t="n">
        <v>0.584</v>
      </c>
      <c r="J131" s="0" t="n">
        <v>0.38</v>
      </c>
      <c r="K131" s="0" t="n">
        <v>1.06</v>
      </c>
      <c r="L131" s="0" t="n">
        <v>1.08</v>
      </c>
      <c r="M131" s="11" t="n">
        <f aca="false">IFERROR(G131/H131,"")</f>
        <v>21.9242424242424</v>
      </c>
      <c r="N131" s="9" t="s">
        <v>1847</v>
      </c>
      <c r="O131" s="9" t="s">
        <v>2004</v>
      </c>
    </row>
    <row r="132" customFormat="false" ht="15" hidden="false" customHeight="false" outlineLevel="0" collapsed="false">
      <c r="A132" s="0" t="s">
        <v>1789</v>
      </c>
      <c r="B132" s="0" t="s">
        <v>1595</v>
      </c>
      <c r="C132" s="0" t="s">
        <v>1139</v>
      </c>
      <c r="D132" s="0" t="s">
        <v>1213</v>
      </c>
      <c r="E132" s="0" t="s">
        <v>2002</v>
      </c>
      <c r="F132" s="0" t="n">
        <v>38</v>
      </c>
      <c r="G132" s="0" t="n">
        <v>14.03</v>
      </c>
      <c r="H132" s="0" t="n">
        <v>0.64</v>
      </c>
      <c r="I132" s="10" t="n">
        <v>0.251</v>
      </c>
      <c r="J132" s="0" t="n">
        <v>0.16</v>
      </c>
      <c r="K132" s="0" t="n">
        <v>1.01</v>
      </c>
      <c r="L132" s="0" t="n">
        <v>1.02</v>
      </c>
      <c r="M132" s="11" t="n">
        <f aca="false">IFERROR(G132/H132,"")</f>
        <v>21.921875</v>
      </c>
      <c r="N132" s="9" t="s">
        <v>1847</v>
      </c>
      <c r="O132" s="9" t="s">
        <v>2005</v>
      </c>
    </row>
    <row r="133" customFormat="false" ht="15" hidden="false" customHeight="false" outlineLevel="0" collapsed="false">
      <c r="A133" s="0" t="s">
        <v>1790</v>
      </c>
      <c r="B133" s="0" t="s">
        <v>1597</v>
      </c>
      <c r="C133" s="0" t="s">
        <v>1139</v>
      </c>
      <c r="D133" s="0" t="s">
        <v>1213</v>
      </c>
      <c r="E133" s="0" t="s">
        <v>2002</v>
      </c>
      <c r="F133" s="0" t="n">
        <v>38</v>
      </c>
      <c r="G133" s="0" t="n">
        <v>13.68</v>
      </c>
      <c r="H133" s="0" t="n">
        <v>0.62</v>
      </c>
      <c r="I133" s="10" t="n">
        <v>0.646</v>
      </c>
      <c r="J133" s="0" t="n">
        <v>0.4</v>
      </c>
      <c r="K133" s="0" t="n">
        <v>0.93</v>
      </c>
      <c r="L133" s="0" t="n">
        <v>1.03</v>
      </c>
      <c r="M133" s="11" t="n">
        <f aca="false">IFERROR(G133/H133,"")</f>
        <v>22.0645161290323</v>
      </c>
      <c r="N133" s="9" t="s">
        <v>1847</v>
      </c>
      <c r="O133" s="9" t="s">
        <v>2006</v>
      </c>
    </row>
    <row r="134" customFormat="false" ht="15" hidden="false" customHeight="false" outlineLevel="0" collapsed="false">
      <c r="A134" s="0" t="s">
        <v>1791</v>
      </c>
      <c r="B134" s="0" t="s">
        <v>1599</v>
      </c>
      <c r="C134" s="0" t="s">
        <v>1247</v>
      </c>
      <c r="D134" s="0" t="s">
        <v>1253</v>
      </c>
      <c r="E134" s="0" t="s">
        <v>2007</v>
      </c>
      <c r="F134" s="0" t="n">
        <v>4</v>
      </c>
      <c r="G134" s="0" t="n">
        <v>17</v>
      </c>
      <c r="H134" s="0" t="n">
        <v>0.69</v>
      </c>
      <c r="I134" s="10"/>
      <c r="K134" s="0" t="n">
        <v>0.88</v>
      </c>
      <c r="M134" s="11" t="n">
        <f aca="false">IFERROR(G134/H134,"")</f>
        <v>24.6376811594203</v>
      </c>
      <c r="N134" s="9" t="s">
        <v>1847</v>
      </c>
      <c r="O134" s="9" t="s">
        <v>2008</v>
      </c>
    </row>
    <row r="135" customFormat="false" ht="15" hidden="false" customHeight="false" outlineLevel="0" collapsed="false">
      <c r="A135" s="0" t="s">
        <v>1792</v>
      </c>
      <c r="B135" s="0" t="s">
        <v>1601</v>
      </c>
      <c r="C135" s="0" t="s">
        <v>1247</v>
      </c>
      <c r="D135" s="0" t="s">
        <v>1253</v>
      </c>
      <c r="E135" s="0" t="s">
        <v>2007</v>
      </c>
      <c r="F135" s="0" t="n">
        <v>30</v>
      </c>
      <c r="G135" s="0" t="n">
        <v>18.3</v>
      </c>
      <c r="H135" s="0" t="n">
        <v>0.84</v>
      </c>
      <c r="I135" s="10"/>
      <c r="K135" s="0" t="n">
        <v>1.17</v>
      </c>
      <c r="M135" s="11" t="n">
        <f aca="false">IFERROR(G135/H135,"")</f>
        <v>21.7857142857143</v>
      </c>
      <c r="N135" s="9" t="s">
        <v>1847</v>
      </c>
      <c r="O135" s="9" t="s">
        <v>2009</v>
      </c>
    </row>
    <row r="136" customFormat="false" ht="15" hidden="false" customHeight="false" outlineLevel="0" collapsed="false">
      <c r="A136" s="0" t="s">
        <v>1794</v>
      </c>
      <c r="B136" s="0" t="s">
        <v>1605</v>
      </c>
      <c r="C136" s="0" t="s">
        <v>1247</v>
      </c>
      <c r="D136" s="0" t="s">
        <v>1260</v>
      </c>
      <c r="E136" s="0" t="s">
        <v>2010</v>
      </c>
      <c r="F136" s="0" t="n">
        <v>29</v>
      </c>
      <c r="G136" s="0" t="n">
        <v>11.66</v>
      </c>
      <c r="H136" s="0" t="n">
        <v>0.55</v>
      </c>
      <c r="I136" s="10"/>
      <c r="K136" s="0" t="n">
        <v>0.74</v>
      </c>
      <c r="M136" s="11" t="n">
        <f aca="false">IFERROR(G136/H136,"")</f>
        <v>21.2</v>
      </c>
      <c r="N136" s="9" t="s">
        <v>1847</v>
      </c>
      <c r="O136" s="9" t="s">
        <v>2011</v>
      </c>
    </row>
    <row r="137" customFormat="false" ht="15" hidden="false" customHeight="false" outlineLevel="0" collapsed="false">
      <c r="A137" s="0" t="s">
        <v>1793</v>
      </c>
      <c r="B137" s="0" t="s">
        <v>1603</v>
      </c>
      <c r="C137" s="0" t="s">
        <v>1247</v>
      </c>
      <c r="D137" s="0" t="s">
        <v>1254</v>
      </c>
      <c r="E137" s="0" t="s">
        <v>2012</v>
      </c>
      <c r="F137" s="0" t="n">
        <v>32</v>
      </c>
      <c r="G137" s="0" t="n">
        <v>14.34</v>
      </c>
      <c r="H137" s="0" t="n">
        <v>0.71</v>
      </c>
      <c r="I137" s="10"/>
      <c r="K137" s="0" t="n">
        <v>1.05</v>
      </c>
      <c r="M137" s="11" t="n">
        <f aca="false">IFERROR(G137/H137,"")</f>
        <v>20.1971830985916</v>
      </c>
      <c r="N137" s="9" t="s">
        <v>1847</v>
      </c>
      <c r="O137" s="9" t="s">
        <v>2013</v>
      </c>
    </row>
  </sheetData>
  <autoFilter ref="A1:O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1607</v>
      </c>
      <c r="B1" s="12" t="s">
        <v>1608</v>
      </c>
      <c r="C1" s="12" t="s">
        <v>1077</v>
      </c>
      <c r="D1" s="12" t="s">
        <v>1102</v>
      </c>
      <c r="E1" s="12" t="s">
        <v>65</v>
      </c>
      <c r="F1" s="12" t="s">
        <v>2014</v>
      </c>
      <c r="G1" s="12" t="s">
        <v>2015</v>
      </c>
      <c r="H1" s="12" t="s">
        <v>2016</v>
      </c>
      <c r="I1" s="12" t="s">
        <v>1839</v>
      </c>
      <c r="J1" s="12" t="s">
        <v>1841</v>
      </c>
      <c r="K1" s="12" t="s">
        <v>2017</v>
      </c>
    </row>
    <row r="2" customFormat="false" ht="15" hidden="false" customHeight="false" outlineLevel="0" collapsed="false">
      <c r="A2" s="0" t="s">
        <v>2018</v>
      </c>
      <c r="B2" s="0" t="s">
        <v>1664</v>
      </c>
      <c r="C2" s="0" t="s">
        <v>1300</v>
      </c>
      <c r="D2" s="0" t="s">
        <v>1139</v>
      </c>
      <c r="E2" s="0" t="s">
        <v>145</v>
      </c>
      <c r="F2" s="0" t="n">
        <v>8</v>
      </c>
      <c r="G2" s="0" t="n">
        <v>16.3</v>
      </c>
      <c r="H2" s="0" t="n">
        <v>0.7</v>
      </c>
      <c r="I2" s="10" t="n">
        <v>0.492</v>
      </c>
      <c r="J2" s="0" t="n">
        <v>1.05</v>
      </c>
      <c r="K2" s="13" t="n">
        <f aca="false">IF(H2&lt;&gt;"",H2,IFERROR(G2/INDEX(Players!$M$2:$M$137,MATCH(B2,Players!$A$2:$A$137,0)),""))</f>
        <v>0.7</v>
      </c>
    </row>
    <row r="3" customFormat="false" ht="15" hidden="false" customHeight="false" outlineLevel="0" collapsed="false">
      <c r="A3" s="0" t="s">
        <v>2019</v>
      </c>
      <c r="B3" s="0" t="s">
        <v>1664</v>
      </c>
      <c r="C3" s="0" t="s">
        <v>1300</v>
      </c>
      <c r="D3" s="0" t="s">
        <v>1139</v>
      </c>
      <c r="E3" s="0" t="s">
        <v>108</v>
      </c>
      <c r="F3" s="0" t="n">
        <v>8</v>
      </c>
      <c r="G3" s="0" t="n">
        <v>13.1</v>
      </c>
      <c r="H3" s="0" t="n">
        <v>0.59</v>
      </c>
      <c r="I3" s="10" t="n">
        <v>0.581</v>
      </c>
      <c r="J3" s="0" t="n">
        <v>0.85</v>
      </c>
      <c r="K3" s="13" t="n">
        <f aca="false">IF(H3&lt;&gt;"",H3,IFERROR(G3/INDEX(Players!$M$2:$M$137,MATCH(B3,Players!$A$2:$A$137,0)),""))</f>
        <v>0.59</v>
      </c>
    </row>
    <row r="4" customFormat="false" ht="15" hidden="false" customHeight="false" outlineLevel="0" collapsed="false">
      <c r="A4" s="0" t="s">
        <v>2020</v>
      </c>
      <c r="B4" s="0" t="s">
        <v>1664</v>
      </c>
      <c r="C4" s="0" t="s">
        <v>1300</v>
      </c>
      <c r="D4" s="0" t="s">
        <v>1139</v>
      </c>
      <c r="E4" s="0" t="s">
        <v>139</v>
      </c>
      <c r="F4" s="0" t="n">
        <v>6</v>
      </c>
      <c r="G4" s="0" t="n">
        <v>14.2</v>
      </c>
      <c r="H4" s="0" t="n">
        <v>0.7</v>
      </c>
      <c r="I4" s="10" t="n">
        <v>0.612</v>
      </c>
      <c r="J4" s="0" t="n">
        <v>1.16</v>
      </c>
      <c r="K4" s="13" t="n">
        <f aca="false">IF(H4&lt;&gt;"",H4,IFERROR(G4/INDEX(Players!$M$2:$M$137,MATCH(B4,Players!$A$2:$A$137,0)),""))</f>
        <v>0.7</v>
      </c>
    </row>
    <row r="5" customFormat="false" ht="15" hidden="false" customHeight="false" outlineLevel="0" collapsed="false">
      <c r="A5" s="0" t="s">
        <v>2021</v>
      </c>
      <c r="B5" s="0" t="s">
        <v>1664</v>
      </c>
      <c r="C5" s="0" t="s">
        <v>1300</v>
      </c>
      <c r="D5" s="0" t="s">
        <v>1139</v>
      </c>
      <c r="E5" s="0" t="s">
        <v>81</v>
      </c>
      <c r="F5" s="0" t="n">
        <v>4</v>
      </c>
      <c r="G5" s="0" t="n">
        <v>12.3</v>
      </c>
      <c r="H5" s="0" t="n">
        <v>0.68</v>
      </c>
      <c r="I5" s="10" t="n">
        <v>0.673</v>
      </c>
      <c r="J5" s="0" t="n">
        <v>0.98</v>
      </c>
      <c r="K5" s="13" t="n">
        <f aca="false">IF(H5&lt;&gt;"",H5,IFERROR(G5/INDEX(Players!$M$2:$M$137,MATCH(B5,Players!$A$2:$A$137,0)),""))</f>
        <v>0.68</v>
      </c>
    </row>
    <row r="6" customFormat="false" ht="15" hidden="false" customHeight="false" outlineLevel="0" collapsed="false">
      <c r="A6" s="0" t="s">
        <v>2022</v>
      </c>
      <c r="B6" s="0" t="s">
        <v>1664</v>
      </c>
      <c r="C6" s="0" t="s">
        <v>1300</v>
      </c>
      <c r="D6" s="0" t="s">
        <v>1139</v>
      </c>
      <c r="E6" s="0" t="s">
        <v>129</v>
      </c>
      <c r="F6" s="0" t="n">
        <v>4</v>
      </c>
      <c r="G6" s="0" t="n">
        <v>12.3</v>
      </c>
      <c r="H6" s="0" t="n">
        <v>0.58</v>
      </c>
      <c r="I6" s="10" t="n">
        <v>0.367</v>
      </c>
      <c r="J6" s="0" t="n">
        <v>0.91</v>
      </c>
      <c r="K6" s="13" t="n">
        <f aca="false">IF(H6&lt;&gt;"",H6,IFERROR(G6/INDEX(Players!$M$2:$M$137,MATCH(B6,Players!$A$2:$A$137,0)),""))</f>
        <v>0.58</v>
      </c>
    </row>
    <row r="7" customFormat="false" ht="15" hidden="false" customHeight="false" outlineLevel="0" collapsed="false">
      <c r="A7" s="0" t="s">
        <v>2023</v>
      </c>
      <c r="B7" s="0" t="s">
        <v>1664</v>
      </c>
      <c r="C7" s="0" t="s">
        <v>1300</v>
      </c>
      <c r="D7" s="0" t="s">
        <v>1139</v>
      </c>
      <c r="E7" s="0" t="s">
        <v>121</v>
      </c>
      <c r="F7" s="0" t="n">
        <v>2</v>
      </c>
      <c r="G7" s="0" t="n">
        <v>13</v>
      </c>
      <c r="H7" s="0" t="n">
        <v>0.6</v>
      </c>
      <c r="I7" s="10" t="n">
        <v>0.615</v>
      </c>
      <c r="J7" s="0" t="n">
        <v>0.96</v>
      </c>
      <c r="K7" s="13" t="n">
        <f aca="false">IF(H7&lt;&gt;"",H7,IFERROR(G7/INDEX(Players!$M$2:$M$137,MATCH(B7,Players!$A$2:$A$137,0)),""))</f>
        <v>0.6</v>
      </c>
    </row>
    <row r="8" customFormat="false" ht="15" hidden="false" customHeight="false" outlineLevel="0" collapsed="false">
      <c r="A8" s="0" t="s">
        <v>2024</v>
      </c>
      <c r="B8" s="0" t="s">
        <v>1777</v>
      </c>
      <c r="C8" s="0" t="s">
        <v>1566</v>
      </c>
      <c r="D8" s="0" t="s">
        <v>1139</v>
      </c>
      <c r="E8" s="0" t="s">
        <v>108</v>
      </c>
      <c r="F8" s="0" t="n">
        <v>7</v>
      </c>
      <c r="G8" s="0" t="n">
        <v>10.7</v>
      </c>
      <c r="H8" s="0" t="n">
        <v>0.51</v>
      </c>
      <c r="I8" s="10" t="n">
        <v>0.507</v>
      </c>
      <c r="J8" s="0" t="n">
        <v>0.76</v>
      </c>
      <c r="K8" s="13" t="n">
        <f aca="false">IF(H8&lt;&gt;"",H8,IFERROR(G8/INDEX(Players!$M$2:$M$137,MATCH(B8,Players!$A$2:$A$137,0)),""))</f>
        <v>0.51</v>
      </c>
    </row>
    <row r="9" customFormat="false" ht="15" hidden="false" customHeight="false" outlineLevel="0" collapsed="false">
      <c r="A9" s="0" t="s">
        <v>2025</v>
      </c>
      <c r="B9" s="0" t="s">
        <v>1777</v>
      </c>
      <c r="C9" s="0" t="s">
        <v>1566</v>
      </c>
      <c r="D9" s="0" t="s">
        <v>1139</v>
      </c>
      <c r="E9" s="0" t="s">
        <v>139</v>
      </c>
      <c r="F9" s="0" t="n">
        <v>7</v>
      </c>
      <c r="G9" s="0" t="n">
        <v>8.1</v>
      </c>
      <c r="H9" s="0" t="n">
        <v>0.42</v>
      </c>
      <c r="I9" s="10" t="n">
        <v>0.596</v>
      </c>
      <c r="J9" s="0" t="n">
        <v>0.63</v>
      </c>
      <c r="K9" s="13" t="n">
        <f aca="false">IF(H9&lt;&gt;"",H9,IFERROR(G9/INDEX(Players!$M$2:$M$137,MATCH(B9,Players!$A$2:$A$137,0)),""))</f>
        <v>0.42</v>
      </c>
    </row>
    <row r="10" customFormat="false" ht="15" hidden="false" customHeight="false" outlineLevel="0" collapsed="false">
      <c r="A10" s="0" t="s">
        <v>2026</v>
      </c>
      <c r="B10" s="0" t="s">
        <v>1777</v>
      </c>
      <c r="C10" s="0" t="s">
        <v>1566</v>
      </c>
      <c r="D10" s="0" t="s">
        <v>1139</v>
      </c>
      <c r="E10" s="0" t="s">
        <v>145</v>
      </c>
      <c r="F10" s="0" t="n">
        <v>6</v>
      </c>
      <c r="G10" s="0" t="n">
        <v>11.2</v>
      </c>
      <c r="H10" s="0" t="n">
        <v>0.53</v>
      </c>
      <c r="I10" s="10" t="n">
        <v>0.716</v>
      </c>
      <c r="J10" s="0" t="n">
        <v>0.97</v>
      </c>
      <c r="K10" s="13" t="n">
        <f aca="false">IF(H10&lt;&gt;"",H10,IFERROR(G10/INDEX(Players!$M$2:$M$137,MATCH(B10,Players!$A$2:$A$137,0)),""))</f>
        <v>0.53</v>
      </c>
    </row>
    <row r="11" customFormat="false" ht="15" hidden="false" customHeight="false" outlineLevel="0" collapsed="false">
      <c r="A11" s="0" t="s">
        <v>2027</v>
      </c>
      <c r="B11" s="0" t="s">
        <v>1777</v>
      </c>
      <c r="C11" s="0" t="s">
        <v>1566</v>
      </c>
      <c r="D11" s="0" t="s">
        <v>1139</v>
      </c>
      <c r="E11" s="0" t="s">
        <v>95</v>
      </c>
      <c r="F11" s="0" t="n">
        <v>5</v>
      </c>
      <c r="G11" s="0" t="n">
        <v>14.6</v>
      </c>
      <c r="H11" s="0" t="n">
        <v>0.57</v>
      </c>
      <c r="I11" s="10" t="n">
        <v>0.452</v>
      </c>
      <c r="J11" s="0" t="n">
        <v>0.96</v>
      </c>
      <c r="K11" s="13" t="n">
        <f aca="false">IF(H11&lt;&gt;"",H11,IFERROR(G11/INDEX(Players!$M$2:$M$137,MATCH(B11,Players!$A$2:$A$137,0)),""))</f>
        <v>0.57</v>
      </c>
    </row>
    <row r="12" customFormat="false" ht="15" hidden="false" customHeight="false" outlineLevel="0" collapsed="false">
      <c r="A12" s="0" t="s">
        <v>2028</v>
      </c>
      <c r="B12" s="0" t="s">
        <v>1777</v>
      </c>
      <c r="C12" s="0" t="s">
        <v>1566</v>
      </c>
      <c r="D12" s="0" t="s">
        <v>1139</v>
      </c>
      <c r="E12" s="0" t="s">
        <v>129</v>
      </c>
      <c r="F12" s="0" t="n">
        <v>5</v>
      </c>
      <c r="G12" s="0" t="n">
        <v>9.2</v>
      </c>
      <c r="H12" s="0" t="n">
        <v>0.46</v>
      </c>
      <c r="I12" s="10" t="n">
        <v>0.5</v>
      </c>
      <c r="J12" s="0" t="n">
        <v>0.87</v>
      </c>
      <c r="K12" s="13" t="n">
        <f aca="false">IF(H12&lt;&gt;"",H12,IFERROR(G12/INDEX(Players!$M$2:$M$137,MATCH(B12,Players!$A$2:$A$137,0)),""))</f>
        <v>0.46</v>
      </c>
    </row>
    <row r="13" customFormat="false" ht="15" hidden="false" customHeight="false" outlineLevel="0" collapsed="false">
      <c r="A13" s="0" t="s">
        <v>2029</v>
      </c>
      <c r="B13" s="0" t="s">
        <v>1777</v>
      </c>
      <c r="C13" s="0" t="s">
        <v>1566</v>
      </c>
      <c r="D13" s="0" t="s">
        <v>1139</v>
      </c>
      <c r="E13" s="0" t="s">
        <v>121</v>
      </c>
      <c r="F13" s="0" t="n">
        <v>4</v>
      </c>
      <c r="G13" s="0" t="n">
        <v>11.5</v>
      </c>
      <c r="H13" s="0" t="n">
        <v>0.54</v>
      </c>
      <c r="I13" s="10" t="n">
        <v>0.457</v>
      </c>
      <c r="J13" s="0" t="n">
        <v>0.88</v>
      </c>
      <c r="K13" s="13" t="n">
        <f aca="false">IF(H13&lt;&gt;"",H13,IFERROR(G13/INDEX(Players!$M$2:$M$137,MATCH(B13,Players!$A$2:$A$137,0)),""))</f>
        <v>0.54</v>
      </c>
    </row>
    <row r="14" customFormat="false" ht="15" hidden="false" customHeight="false" outlineLevel="0" collapsed="false">
      <c r="A14" s="0" t="s">
        <v>2030</v>
      </c>
      <c r="B14" s="0" t="s">
        <v>1777</v>
      </c>
      <c r="C14" s="0" t="s">
        <v>1566</v>
      </c>
      <c r="D14" s="0" t="s">
        <v>1139</v>
      </c>
      <c r="E14" s="0" t="s">
        <v>81</v>
      </c>
      <c r="F14" s="0" t="n">
        <v>2</v>
      </c>
      <c r="G14" s="0" t="n">
        <v>9</v>
      </c>
      <c r="H14" s="0" t="n">
        <v>0.43</v>
      </c>
      <c r="I14" s="10" t="n">
        <v>0.389</v>
      </c>
      <c r="J14" s="0" t="n">
        <v>0.64</v>
      </c>
      <c r="K14" s="13" t="n">
        <f aca="false">IF(H14&lt;&gt;"",H14,IFERROR(G14/INDEX(Players!$M$2:$M$137,MATCH(B14,Players!$A$2:$A$137,0)),""))</f>
        <v>0.43</v>
      </c>
    </row>
    <row r="15" customFormat="false" ht="15" hidden="false" customHeight="false" outlineLevel="0" collapsed="false">
      <c r="A15" s="0" t="s">
        <v>2031</v>
      </c>
      <c r="B15" s="0" t="s">
        <v>1665</v>
      </c>
      <c r="C15" s="0" t="s">
        <v>1306</v>
      </c>
      <c r="D15" s="0" t="s">
        <v>1139</v>
      </c>
      <c r="E15" s="0" t="s">
        <v>145</v>
      </c>
      <c r="F15" s="0" t="n">
        <v>8</v>
      </c>
      <c r="G15" s="0" t="n">
        <v>18.6</v>
      </c>
      <c r="H15" s="0" t="n">
        <v>0.81</v>
      </c>
      <c r="I15" s="10" t="n">
        <v>0.517</v>
      </c>
      <c r="J15" s="0" t="n">
        <v>1.24</v>
      </c>
      <c r="K15" s="13" t="n">
        <f aca="false">IF(H15&lt;&gt;"",H15,IFERROR(G15/INDEX(Players!$M$2:$M$137,MATCH(B15,Players!$A$2:$A$137,0)),""))</f>
        <v>0.81</v>
      </c>
    </row>
    <row r="16" customFormat="false" ht="15" hidden="false" customHeight="false" outlineLevel="0" collapsed="false">
      <c r="A16" s="0" t="s">
        <v>2032</v>
      </c>
      <c r="B16" s="0" t="s">
        <v>1665</v>
      </c>
      <c r="C16" s="0" t="s">
        <v>1306</v>
      </c>
      <c r="D16" s="0" t="s">
        <v>1139</v>
      </c>
      <c r="E16" s="0" t="s">
        <v>108</v>
      </c>
      <c r="F16" s="0" t="n">
        <v>8</v>
      </c>
      <c r="G16" s="0" t="n">
        <v>15</v>
      </c>
      <c r="H16" s="0" t="n">
        <v>0.68</v>
      </c>
      <c r="I16" s="10" t="n">
        <v>0.525</v>
      </c>
      <c r="J16" s="0" t="n">
        <v>1.03</v>
      </c>
      <c r="K16" s="13" t="n">
        <f aca="false">IF(H16&lt;&gt;"",H16,IFERROR(G16/INDEX(Players!$M$2:$M$137,MATCH(B16,Players!$A$2:$A$137,0)),""))</f>
        <v>0.68</v>
      </c>
    </row>
    <row r="17" customFormat="false" ht="15" hidden="false" customHeight="false" outlineLevel="0" collapsed="false">
      <c r="A17" s="0" t="s">
        <v>2033</v>
      </c>
      <c r="B17" s="0" t="s">
        <v>1665</v>
      </c>
      <c r="C17" s="0" t="s">
        <v>1306</v>
      </c>
      <c r="D17" s="0" t="s">
        <v>1139</v>
      </c>
      <c r="E17" s="0" t="s">
        <v>139</v>
      </c>
      <c r="F17" s="0" t="n">
        <v>6</v>
      </c>
      <c r="G17" s="0" t="n">
        <v>12.5</v>
      </c>
      <c r="H17" s="0" t="n">
        <v>0.62</v>
      </c>
      <c r="I17" s="10" t="n">
        <v>0.6</v>
      </c>
      <c r="J17" s="0" t="n">
        <v>0.89</v>
      </c>
      <c r="K17" s="13" t="n">
        <f aca="false">IF(H17&lt;&gt;"",H17,IFERROR(G17/INDEX(Players!$M$2:$M$137,MATCH(B17,Players!$A$2:$A$137,0)),""))</f>
        <v>0.62</v>
      </c>
    </row>
    <row r="18" customFormat="false" ht="15" hidden="false" customHeight="false" outlineLevel="0" collapsed="false">
      <c r="A18" s="0" t="s">
        <v>2034</v>
      </c>
      <c r="B18" s="0" t="s">
        <v>1665</v>
      </c>
      <c r="C18" s="0" t="s">
        <v>1306</v>
      </c>
      <c r="D18" s="0" t="s">
        <v>1139</v>
      </c>
      <c r="E18" s="0" t="s">
        <v>129</v>
      </c>
      <c r="F18" s="0" t="n">
        <v>4</v>
      </c>
      <c r="G18" s="0" t="n">
        <v>13</v>
      </c>
      <c r="H18" s="0" t="n">
        <v>0.62</v>
      </c>
      <c r="I18" s="10" t="n">
        <v>0.385</v>
      </c>
      <c r="J18" s="0" t="n">
        <v>0.85</v>
      </c>
      <c r="K18" s="13" t="n">
        <f aca="false">IF(H18&lt;&gt;"",H18,IFERROR(G18/INDEX(Players!$M$2:$M$137,MATCH(B18,Players!$A$2:$A$137,0)),""))</f>
        <v>0.62</v>
      </c>
    </row>
    <row r="19" customFormat="false" ht="15" hidden="false" customHeight="false" outlineLevel="0" collapsed="false">
      <c r="A19" s="0" t="s">
        <v>2035</v>
      </c>
      <c r="B19" s="0" t="s">
        <v>1665</v>
      </c>
      <c r="C19" s="0" t="s">
        <v>1306</v>
      </c>
      <c r="D19" s="0" t="s">
        <v>1139</v>
      </c>
      <c r="E19" s="0" t="s">
        <v>81</v>
      </c>
      <c r="F19" s="0" t="n">
        <v>4</v>
      </c>
      <c r="G19" s="0" t="n">
        <v>9.5</v>
      </c>
      <c r="H19" s="0" t="n">
        <v>0.53</v>
      </c>
      <c r="I19" s="10" t="n">
        <v>0.421</v>
      </c>
      <c r="J19" s="0" t="n">
        <v>0.72</v>
      </c>
      <c r="K19" s="13" t="n">
        <f aca="false">IF(H19&lt;&gt;"",H19,IFERROR(G19/INDEX(Players!$M$2:$M$137,MATCH(B19,Players!$A$2:$A$137,0)),""))</f>
        <v>0.53</v>
      </c>
    </row>
    <row r="20" customFormat="false" ht="15" hidden="false" customHeight="false" outlineLevel="0" collapsed="false">
      <c r="A20" s="0" t="s">
        <v>2036</v>
      </c>
      <c r="B20" s="0" t="s">
        <v>1665</v>
      </c>
      <c r="C20" s="0" t="s">
        <v>1306</v>
      </c>
      <c r="D20" s="0" t="s">
        <v>1139</v>
      </c>
      <c r="E20" s="0" t="s">
        <v>121</v>
      </c>
      <c r="F20" s="0" t="n">
        <v>2</v>
      </c>
      <c r="G20" s="0" t="n">
        <v>12</v>
      </c>
      <c r="H20" s="0" t="n">
        <v>0.56</v>
      </c>
      <c r="I20" s="10" t="n">
        <v>0.542</v>
      </c>
      <c r="J20" s="0" t="n">
        <v>1.04</v>
      </c>
      <c r="K20" s="13" t="n">
        <f aca="false">IF(H20&lt;&gt;"",H20,IFERROR(G20/INDEX(Players!$M$2:$M$137,MATCH(B20,Players!$A$2:$A$137,0)),""))</f>
        <v>0.56</v>
      </c>
    </row>
    <row r="21" customFormat="false" ht="15" hidden="false" customHeight="false" outlineLevel="0" collapsed="false">
      <c r="A21" s="0" t="s">
        <v>2037</v>
      </c>
      <c r="B21" s="0" t="s">
        <v>1678</v>
      </c>
      <c r="C21" s="0" t="s">
        <v>1335</v>
      </c>
      <c r="D21" s="0" t="s">
        <v>1139</v>
      </c>
      <c r="E21" s="0" t="s">
        <v>108</v>
      </c>
      <c r="F21" s="0" t="n">
        <v>9</v>
      </c>
      <c r="G21" s="0" t="n">
        <v>13.2</v>
      </c>
      <c r="H21" s="0" t="n">
        <v>0.65</v>
      </c>
      <c r="I21" s="10" t="n">
        <v>0.538</v>
      </c>
      <c r="J21" s="0" t="n">
        <v>0.88</v>
      </c>
      <c r="K21" s="13" t="n">
        <f aca="false">IF(H21&lt;&gt;"",H21,IFERROR(G21/INDEX(Players!$M$2:$M$137,MATCH(B21,Players!$A$2:$A$137,0)),""))</f>
        <v>0.65</v>
      </c>
    </row>
    <row r="22" customFormat="false" ht="15" hidden="false" customHeight="false" outlineLevel="0" collapsed="false">
      <c r="A22" s="0" t="s">
        <v>2038</v>
      </c>
      <c r="B22" s="0" t="s">
        <v>1678</v>
      </c>
      <c r="C22" s="0" t="s">
        <v>1335</v>
      </c>
      <c r="D22" s="0" t="s">
        <v>1139</v>
      </c>
      <c r="E22" s="0" t="s">
        <v>95</v>
      </c>
      <c r="F22" s="0" t="n">
        <v>6</v>
      </c>
      <c r="G22" s="0" t="n">
        <v>12.7</v>
      </c>
      <c r="H22" s="0" t="n">
        <v>0.6</v>
      </c>
      <c r="I22" s="10" t="n">
        <v>0.592</v>
      </c>
      <c r="J22" s="0" t="n">
        <v>0.96</v>
      </c>
      <c r="K22" s="13" t="n">
        <f aca="false">IF(H22&lt;&gt;"",H22,IFERROR(G22/INDEX(Players!$M$2:$M$137,MATCH(B22,Players!$A$2:$A$137,0)),""))</f>
        <v>0.6</v>
      </c>
    </row>
    <row r="23" customFormat="false" ht="15" hidden="false" customHeight="false" outlineLevel="0" collapsed="false">
      <c r="A23" s="0" t="s">
        <v>2039</v>
      </c>
      <c r="B23" s="0" t="s">
        <v>1678</v>
      </c>
      <c r="C23" s="0" t="s">
        <v>1335</v>
      </c>
      <c r="D23" s="0" t="s">
        <v>1139</v>
      </c>
      <c r="E23" s="0" t="s">
        <v>81</v>
      </c>
      <c r="F23" s="0" t="n">
        <v>6</v>
      </c>
      <c r="G23" s="0" t="n">
        <v>13.8</v>
      </c>
      <c r="H23" s="0" t="n">
        <v>0.6</v>
      </c>
      <c r="I23" s="10" t="n">
        <v>0.506</v>
      </c>
      <c r="J23" s="0" t="n">
        <v>0.94</v>
      </c>
      <c r="K23" s="13" t="n">
        <f aca="false">IF(H23&lt;&gt;"",H23,IFERROR(G23/INDEX(Players!$M$2:$M$137,MATCH(B23,Players!$A$2:$A$137,0)),""))</f>
        <v>0.6</v>
      </c>
    </row>
    <row r="24" customFormat="false" ht="15" hidden="false" customHeight="false" outlineLevel="0" collapsed="false">
      <c r="A24" s="0" t="s">
        <v>2040</v>
      </c>
      <c r="B24" s="0" t="s">
        <v>1678</v>
      </c>
      <c r="C24" s="0" t="s">
        <v>1335</v>
      </c>
      <c r="D24" s="0" t="s">
        <v>1139</v>
      </c>
      <c r="E24" s="0" t="s">
        <v>139</v>
      </c>
      <c r="F24" s="0" t="n">
        <v>4</v>
      </c>
      <c r="G24" s="0" t="n">
        <v>12.5</v>
      </c>
      <c r="H24" s="0" t="n">
        <v>0.5</v>
      </c>
      <c r="I24" s="10" t="n">
        <v>0.58</v>
      </c>
      <c r="J24" s="0" t="n">
        <v>0.68</v>
      </c>
      <c r="K24" s="13" t="n">
        <f aca="false">IF(H24&lt;&gt;"",H24,IFERROR(G24/INDEX(Players!$M$2:$M$137,MATCH(B24,Players!$A$2:$A$137,0)),""))</f>
        <v>0.5</v>
      </c>
    </row>
    <row r="25" customFormat="false" ht="15" hidden="false" customHeight="false" outlineLevel="0" collapsed="false">
      <c r="A25" s="0" t="s">
        <v>2041</v>
      </c>
      <c r="B25" s="0" t="s">
        <v>1678</v>
      </c>
      <c r="C25" s="0" t="s">
        <v>1335</v>
      </c>
      <c r="D25" s="0" t="s">
        <v>1139</v>
      </c>
      <c r="E25" s="0" t="s">
        <v>129</v>
      </c>
      <c r="F25" s="0" t="n">
        <v>3</v>
      </c>
      <c r="G25" s="0" t="n">
        <v>9.7</v>
      </c>
      <c r="H25" s="0" t="n">
        <v>0.44</v>
      </c>
      <c r="I25" s="10" t="n">
        <v>0.483</v>
      </c>
      <c r="J25" s="0" t="n">
        <v>0.64</v>
      </c>
      <c r="K25" s="13" t="n">
        <f aca="false">IF(H25&lt;&gt;"",H25,IFERROR(G25/INDEX(Players!$M$2:$M$137,MATCH(B25,Players!$A$2:$A$137,0)),""))</f>
        <v>0.44</v>
      </c>
    </row>
    <row r="26" customFormat="false" ht="15" hidden="false" customHeight="false" outlineLevel="0" collapsed="false">
      <c r="A26" s="0" t="s">
        <v>2042</v>
      </c>
      <c r="B26" s="0" t="s">
        <v>1678</v>
      </c>
      <c r="C26" s="0" t="s">
        <v>1335</v>
      </c>
      <c r="D26" s="0" t="s">
        <v>1139</v>
      </c>
      <c r="E26" s="0" t="s">
        <v>145</v>
      </c>
      <c r="F26" s="0" t="n">
        <v>2</v>
      </c>
      <c r="G26" s="0" t="n">
        <v>11.5</v>
      </c>
      <c r="H26" s="0" t="n">
        <v>0.66</v>
      </c>
      <c r="I26" s="10" t="n">
        <v>0.478</v>
      </c>
      <c r="J26" s="0" t="n">
        <v>0.92</v>
      </c>
      <c r="K26" s="13" t="n">
        <f aca="false">IF(H26&lt;&gt;"",H26,IFERROR(G26/INDEX(Players!$M$2:$M$137,MATCH(B26,Players!$A$2:$A$137,0)),""))</f>
        <v>0.66</v>
      </c>
    </row>
    <row r="27" customFormat="false" ht="15" hidden="false" customHeight="false" outlineLevel="0" collapsed="false">
      <c r="A27" s="0" t="s">
        <v>2043</v>
      </c>
      <c r="B27" s="0" t="s">
        <v>1688</v>
      </c>
      <c r="C27" s="0" t="s">
        <v>1360</v>
      </c>
      <c r="D27" s="0" t="s">
        <v>1139</v>
      </c>
      <c r="E27" s="0" t="s">
        <v>81</v>
      </c>
      <c r="F27" s="0" t="n">
        <v>9</v>
      </c>
      <c r="G27" s="0" t="n">
        <v>13.9</v>
      </c>
      <c r="H27" s="0" t="n">
        <v>0.62</v>
      </c>
      <c r="I27" s="10" t="n">
        <v>0.368</v>
      </c>
      <c r="J27" s="0" t="n">
        <v>0.84</v>
      </c>
      <c r="K27" s="13" t="n">
        <f aca="false">IF(H27&lt;&gt;"",H27,IFERROR(G27/INDEX(Players!$M$2:$M$137,MATCH(B27,Players!$A$2:$A$137,0)),""))</f>
        <v>0.62</v>
      </c>
    </row>
    <row r="28" customFormat="false" ht="15" hidden="false" customHeight="false" outlineLevel="0" collapsed="false">
      <c r="A28" s="0" t="s">
        <v>2044</v>
      </c>
      <c r="B28" s="0" t="s">
        <v>1688</v>
      </c>
      <c r="C28" s="0" t="s">
        <v>1360</v>
      </c>
      <c r="D28" s="0" t="s">
        <v>1139</v>
      </c>
      <c r="E28" s="0" t="s">
        <v>95</v>
      </c>
      <c r="F28" s="0" t="n">
        <v>7</v>
      </c>
      <c r="G28" s="0" t="n">
        <v>11</v>
      </c>
      <c r="H28" s="0" t="n">
        <v>0.57</v>
      </c>
      <c r="I28" s="10" t="n">
        <v>0.494</v>
      </c>
      <c r="J28" s="0" t="n">
        <v>0.86</v>
      </c>
      <c r="K28" s="13" t="n">
        <f aca="false">IF(H28&lt;&gt;"",H28,IFERROR(G28/INDEX(Players!$M$2:$M$137,MATCH(B28,Players!$A$2:$A$137,0)),""))</f>
        <v>0.57</v>
      </c>
    </row>
    <row r="29" customFormat="false" ht="15" hidden="false" customHeight="false" outlineLevel="0" collapsed="false">
      <c r="A29" s="0" t="s">
        <v>2045</v>
      </c>
      <c r="B29" s="0" t="s">
        <v>1688</v>
      </c>
      <c r="C29" s="0" t="s">
        <v>1360</v>
      </c>
      <c r="D29" s="0" t="s">
        <v>1139</v>
      </c>
      <c r="E29" s="0" t="s">
        <v>108</v>
      </c>
      <c r="F29" s="0" t="n">
        <v>6</v>
      </c>
      <c r="G29" s="0" t="n">
        <v>17.2</v>
      </c>
      <c r="H29" s="0" t="n">
        <v>0.79</v>
      </c>
      <c r="I29" s="10" t="n">
        <v>0.592</v>
      </c>
      <c r="J29" s="0" t="n">
        <v>1.29</v>
      </c>
      <c r="K29" s="13" t="n">
        <f aca="false">IF(H29&lt;&gt;"",H29,IFERROR(G29/INDEX(Players!$M$2:$M$137,MATCH(B29,Players!$A$2:$A$137,0)),""))</f>
        <v>0.79</v>
      </c>
    </row>
    <row r="30" customFormat="false" ht="15" hidden="false" customHeight="false" outlineLevel="0" collapsed="false">
      <c r="A30" s="0" t="s">
        <v>2046</v>
      </c>
      <c r="B30" s="0" t="s">
        <v>1688</v>
      </c>
      <c r="C30" s="0" t="s">
        <v>1360</v>
      </c>
      <c r="D30" s="0" t="s">
        <v>1139</v>
      </c>
      <c r="E30" s="0" t="s">
        <v>139</v>
      </c>
      <c r="F30" s="0" t="n">
        <v>6</v>
      </c>
      <c r="G30" s="0" t="n">
        <v>13.8</v>
      </c>
      <c r="H30" s="0" t="n">
        <v>0.68</v>
      </c>
      <c r="I30" s="10" t="n">
        <v>0.398</v>
      </c>
      <c r="J30" s="0" t="n">
        <v>1.19</v>
      </c>
      <c r="K30" s="13" t="n">
        <f aca="false">IF(H30&lt;&gt;"",H30,IFERROR(G30/INDEX(Players!$M$2:$M$137,MATCH(B30,Players!$A$2:$A$137,0)),""))</f>
        <v>0.68</v>
      </c>
    </row>
    <row r="31" customFormat="false" ht="15" hidden="false" customHeight="false" outlineLevel="0" collapsed="false">
      <c r="A31" s="0" t="s">
        <v>2047</v>
      </c>
      <c r="B31" s="0" t="s">
        <v>1688</v>
      </c>
      <c r="C31" s="0" t="s">
        <v>1360</v>
      </c>
      <c r="D31" s="0" t="s">
        <v>1139</v>
      </c>
      <c r="E31" s="0" t="s">
        <v>145</v>
      </c>
      <c r="F31" s="0" t="n">
        <v>5</v>
      </c>
      <c r="G31" s="0" t="n">
        <v>16.6</v>
      </c>
      <c r="H31" s="0" t="n">
        <v>0.86</v>
      </c>
      <c r="I31" s="10" t="n">
        <v>0.434</v>
      </c>
      <c r="J31" s="0" t="n">
        <v>1.34</v>
      </c>
      <c r="K31" s="13" t="n">
        <f aca="false">IF(H31&lt;&gt;"",H31,IFERROR(G31/INDEX(Players!$M$2:$M$137,MATCH(B31,Players!$A$2:$A$137,0)),""))</f>
        <v>0.86</v>
      </c>
    </row>
    <row r="32" customFormat="false" ht="15" hidden="false" customHeight="false" outlineLevel="0" collapsed="false">
      <c r="A32" s="0" t="s">
        <v>2048</v>
      </c>
      <c r="B32" s="0" t="s">
        <v>1688</v>
      </c>
      <c r="C32" s="0" t="s">
        <v>1360</v>
      </c>
      <c r="D32" s="0" t="s">
        <v>1139</v>
      </c>
      <c r="E32" s="0" t="s">
        <v>129</v>
      </c>
      <c r="F32" s="0" t="n">
        <v>4</v>
      </c>
      <c r="G32" s="0" t="n">
        <v>14.8</v>
      </c>
      <c r="H32" s="0" t="n">
        <v>0.69</v>
      </c>
      <c r="I32" s="10" t="n">
        <v>0.39</v>
      </c>
      <c r="J32" s="0" t="n">
        <v>1</v>
      </c>
      <c r="K32" s="13" t="n">
        <f aca="false">IF(H32&lt;&gt;"",H32,IFERROR(G32/INDEX(Players!$M$2:$M$137,MATCH(B32,Players!$A$2:$A$137,0)),""))</f>
        <v>0.69</v>
      </c>
    </row>
    <row r="33" customFormat="false" ht="15" hidden="false" customHeight="false" outlineLevel="0" collapsed="false">
      <c r="A33" s="0" t="s">
        <v>2049</v>
      </c>
      <c r="B33" s="0" t="s">
        <v>1778</v>
      </c>
      <c r="C33" s="0" t="s">
        <v>1568</v>
      </c>
      <c r="D33" s="0" t="s">
        <v>1139</v>
      </c>
      <c r="E33" s="0" t="s">
        <v>139</v>
      </c>
      <c r="F33" s="0" t="n">
        <v>7</v>
      </c>
      <c r="G33" s="0" t="n">
        <v>13.6</v>
      </c>
      <c r="H33" s="0" t="n">
        <v>0.69</v>
      </c>
      <c r="I33" s="10" t="n">
        <v>0.589</v>
      </c>
      <c r="J33" s="0" t="n">
        <v>1.1</v>
      </c>
      <c r="K33" s="13" t="n">
        <f aca="false">IF(H33&lt;&gt;"",H33,IFERROR(G33/INDEX(Players!$M$2:$M$137,MATCH(B33,Players!$A$2:$A$137,0)),""))</f>
        <v>0.69</v>
      </c>
    </row>
    <row r="34" customFormat="false" ht="15" hidden="false" customHeight="false" outlineLevel="0" collapsed="false">
      <c r="A34" s="0" t="s">
        <v>2050</v>
      </c>
      <c r="B34" s="0" t="s">
        <v>1778</v>
      </c>
      <c r="C34" s="0" t="s">
        <v>1568</v>
      </c>
      <c r="D34" s="0" t="s">
        <v>1139</v>
      </c>
      <c r="E34" s="0" t="s">
        <v>108</v>
      </c>
      <c r="F34" s="0" t="n">
        <v>7</v>
      </c>
      <c r="G34" s="0" t="n">
        <v>12</v>
      </c>
      <c r="H34" s="0" t="n">
        <v>0.58</v>
      </c>
      <c r="I34" s="10" t="n">
        <v>0.56</v>
      </c>
      <c r="J34" s="0" t="n">
        <v>0.76</v>
      </c>
      <c r="K34" s="13" t="n">
        <f aca="false">IF(H34&lt;&gt;"",H34,IFERROR(G34/INDEX(Players!$M$2:$M$137,MATCH(B34,Players!$A$2:$A$137,0)),""))</f>
        <v>0.58</v>
      </c>
    </row>
    <row r="35" customFormat="false" ht="15" hidden="false" customHeight="false" outlineLevel="0" collapsed="false">
      <c r="A35" s="0" t="s">
        <v>2051</v>
      </c>
      <c r="B35" s="0" t="s">
        <v>1778</v>
      </c>
      <c r="C35" s="0" t="s">
        <v>1568</v>
      </c>
      <c r="D35" s="0" t="s">
        <v>1139</v>
      </c>
      <c r="E35" s="0" t="s">
        <v>145</v>
      </c>
      <c r="F35" s="0" t="n">
        <v>6</v>
      </c>
      <c r="G35" s="0" t="n">
        <v>17.3</v>
      </c>
      <c r="H35" s="0" t="n">
        <v>0.83</v>
      </c>
      <c r="I35" s="10" t="n">
        <v>0.625</v>
      </c>
      <c r="J35" s="0" t="n">
        <v>1.27</v>
      </c>
      <c r="K35" s="13" t="n">
        <f aca="false">IF(H35&lt;&gt;"",H35,IFERROR(G35/INDEX(Players!$M$2:$M$137,MATCH(B35,Players!$A$2:$A$137,0)),""))</f>
        <v>0.83</v>
      </c>
    </row>
    <row r="36" customFormat="false" ht="15" hidden="false" customHeight="false" outlineLevel="0" collapsed="false">
      <c r="A36" s="0" t="s">
        <v>2052</v>
      </c>
      <c r="B36" s="0" t="s">
        <v>1778</v>
      </c>
      <c r="C36" s="0" t="s">
        <v>1568</v>
      </c>
      <c r="D36" s="0" t="s">
        <v>1139</v>
      </c>
      <c r="E36" s="0" t="s">
        <v>129</v>
      </c>
      <c r="F36" s="0" t="n">
        <v>5</v>
      </c>
      <c r="G36" s="0" t="n">
        <v>13.4</v>
      </c>
      <c r="H36" s="0" t="n">
        <v>0.67</v>
      </c>
      <c r="I36" s="10" t="n">
        <v>0.627</v>
      </c>
      <c r="J36" s="0" t="n">
        <v>1.22</v>
      </c>
      <c r="K36" s="13" t="n">
        <f aca="false">IF(H36&lt;&gt;"",H36,IFERROR(G36/INDEX(Players!$M$2:$M$137,MATCH(B36,Players!$A$2:$A$137,0)),""))</f>
        <v>0.67</v>
      </c>
    </row>
    <row r="37" customFormat="false" ht="15" hidden="false" customHeight="false" outlineLevel="0" collapsed="false">
      <c r="A37" s="0" t="s">
        <v>2053</v>
      </c>
      <c r="B37" s="0" t="s">
        <v>1778</v>
      </c>
      <c r="C37" s="0" t="s">
        <v>1568</v>
      </c>
      <c r="D37" s="0" t="s">
        <v>1139</v>
      </c>
      <c r="E37" s="0" t="s">
        <v>95</v>
      </c>
      <c r="F37" s="0" t="n">
        <v>5</v>
      </c>
      <c r="G37" s="0" t="n">
        <v>15.4</v>
      </c>
      <c r="H37" s="0" t="n">
        <v>0.61</v>
      </c>
      <c r="I37" s="10" t="n">
        <v>0.61</v>
      </c>
      <c r="J37" s="0" t="n">
        <v>0.92</v>
      </c>
      <c r="K37" s="13" t="n">
        <f aca="false">IF(H37&lt;&gt;"",H37,IFERROR(G37/INDEX(Players!$M$2:$M$137,MATCH(B37,Players!$A$2:$A$137,0)),""))</f>
        <v>0.61</v>
      </c>
    </row>
    <row r="38" customFormat="false" ht="15" hidden="false" customHeight="false" outlineLevel="0" collapsed="false">
      <c r="A38" s="0" t="s">
        <v>2054</v>
      </c>
      <c r="B38" s="0" t="s">
        <v>1778</v>
      </c>
      <c r="C38" s="0" t="s">
        <v>1568</v>
      </c>
      <c r="D38" s="0" t="s">
        <v>1139</v>
      </c>
      <c r="E38" s="0" t="s">
        <v>121</v>
      </c>
      <c r="F38" s="0" t="n">
        <v>4</v>
      </c>
      <c r="G38" s="0" t="n">
        <v>11.5</v>
      </c>
      <c r="H38" s="0" t="n">
        <v>0.54</v>
      </c>
      <c r="I38" s="10" t="n">
        <v>0.652</v>
      </c>
      <c r="J38" s="0" t="n">
        <v>0.94</v>
      </c>
      <c r="K38" s="13" t="n">
        <f aca="false">IF(H38&lt;&gt;"",H38,IFERROR(G38/INDEX(Players!$M$2:$M$137,MATCH(B38,Players!$A$2:$A$137,0)),""))</f>
        <v>0.54</v>
      </c>
    </row>
    <row r="39" customFormat="false" ht="15" hidden="false" customHeight="false" outlineLevel="0" collapsed="false">
      <c r="A39" s="0" t="s">
        <v>2055</v>
      </c>
      <c r="B39" s="0" t="s">
        <v>1778</v>
      </c>
      <c r="C39" s="0" t="s">
        <v>1568</v>
      </c>
      <c r="D39" s="0" t="s">
        <v>1139</v>
      </c>
      <c r="E39" s="0" t="s">
        <v>81</v>
      </c>
      <c r="F39" s="0" t="n">
        <v>2</v>
      </c>
      <c r="G39" s="0" t="n">
        <v>15.5</v>
      </c>
      <c r="H39" s="0" t="n">
        <v>0.74</v>
      </c>
      <c r="I39" s="10" t="n">
        <v>0.645</v>
      </c>
      <c r="J39" s="0" t="n">
        <v>1.11</v>
      </c>
      <c r="K39" s="13" t="n">
        <f aca="false">IF(H39&lt;&gt;"",H39,IFERROR(G39/INDEX(Players!$M$2:$M$137,MATCH(B39,Players!$A$2:$A$137,0)),""))</f>
        <v>0.74</v>
      </c>
    </row>
    <row r="40" customFormat="false" ht="15" hidden="false" customHeight="false" outlineLevel="0" collapsed="false">
      <c r="A40" s="0" t="s">
        <v>2056</v>
      </c>
      <c r="B40" s="0" t="s">
        <v>1787</v>
      </c>
      <c r="C40" s="0" t="s">
        <v>1591</v>
      </c>
      <c r="D40" s="0" t="s">
        <v>1139</v>
      </c>
      <c r="E40" s="0" t="s">
        <v>95</v>
      </c>
      <c r="F40" s="0" t="n">
        <v>11</v>
      </c>
      <c r="G40" s="0" t="n">
        <v>16.5</v>
      </c>
      <c r="H40" s="0" t="n">
        <v>0.7</v>
      </c>
      <c r="I40" s="10" t="n">
        <v>0.569</v>
      </c>
      <c r="J40" s="0" t="n">
        <v>1.15</v>
      </c>
      <c r="K40" s="13" t="n">
        <f aca="false">IF(H40&lt;&gt;"",H40,IFERROR(G40/INDEX(Players!$M$2:$M$137,MATCH(B40,Players!$A$2:$A$137,0)),""))</f>
        <v>0.7</v>
      </c>
    </row>
    <row r="41" customFormat="false" ht="15" hidden="false" customHeight="false" outlineLevel="0" collapsed="false">
      <c r="A41" s="0" t="s">
        <v>2057</v>
      </c>
      <c r="B41" s="0" t="s">
        <v>1787</v>
      </c>
      <c r="C41" s="0" t="s">
        <v>1591</v>
      </c>
      <c r="D41" s="0" t="s">
        <v>1139</v>
      </c>
      <c r="E41" s="0" t="s">
        <v>121</v>
      </c>
      <c r="F41" s="0" t="n">
        <v>7</v>
      </c>
      <c r="G41" s="0" t="n">
        <v>17</v>
      </c>
      <c r="H41" s="0" t="n">
        <v>0.78</v>
      </c>
      <c r="I41" s="10" t="n">
        <v>0.546</v>
      </c>
      <c r="J41" s="0" t="n">
        <v>1.23</v>
      </c>
      <c r="K41" s="13" t="n">
        <f aca="false">IF(H41&lt;&gt;"",H41,IFERROR(G41/INDEX(Players!$M$2:$M$137,MATCH(B41,Players!$A$2:$A$137,0)),""))</f>
        <v>0.78</v>
      </c>
    </row>
    <row r="42" customFormat="false" ht="15" hidden="false" customHeight="false" outlineLevel="0" collapsed="false">
      <c r="A42" s="0" t="s">
        <v>2058</v>
      </c>
      <c r="B42" s="0" t="s">
        <v>1787</v>
      </c>
      <c r="C42" s="0" t="s">
        <v>1591</v>
      </c>
      <c r="D42" s="0" t="s">
        <v>1139</v>
      </c>
      <c r="E42" s="0" t="s">
        <v>108</v>
      </c>
      <c r="F42" s="0" t="n">
        <v>7</v>
      </c>
      <c r="G42" s="0" t="n">
        <v>15.3</v>
      </c>
      <c r="H42" s="0" t="n">
        <v>0.69</v>
      </c>
      <c r="I42" s="10" t="n">
        <v>0.551</v>
      </c>
      <c r="J42" s="0" t="n">
        <v>0.98</v>
      </c>
      <c r="K42" s="13" t="n">
        <f aca="false">IF(H42&lt;&gt;"",H42,IFERROR(G42/INDEX(Players!$M$2:$M$137,MATCH(B42,Players!$A$2:$A$137,0)),""))</f>
        <v>0.69</v>
      </c>
    </row>
    <row r="43" customFormat="false" ht="15" hidden="false" customHeight="false" outlineLevel="0" collapsed="false">
      <c r="A43" s="0" t="s">
        <v>2059</v>
      </c>
      <c r="B43" s="0" t="s">
        <v>1787</v>
      </c>
      <c r="C43" s="0" t="s">
        <v>1591</v>
      </c>
      <c r="D43" s="0" t="s">
        <v>1139</v>
      </c>
      <c r="E43" s="0" t="s">
        <v>129</v>
      </c>
      <c r="F43" s="0" t="n">
        <v>6</v>
      </c>
      <c r="G43" s="0" t="n">
        <v>14.7</v>
      </c>
      <c r="H43" s="0" t="n">
        <v>0.68</v>
      </c>
      <c r="I43" s="10" t="n">
        <v>0.557</v>
      </c>
      <c r="J43" s="0" t="n">
        <v>1.01</v>
      </c>
      <c r="K43" s="13" t="n">
        <f aca="false">IF(H43&lt;&gt;"",H43,IFERROR(G43/INDEX(Players!$M$2:$M$137,MATCH(B43,Players!$A$2:$A$137,0)),""))</f>
        <v>0.68</v>
      </c>
    </row>
    <row r="44" customFormat="false" ht="15" hidden="false" customHeight="false" outlineLevel="0" collapsed="false">
      <c r="A44" s="0" t="s">
        <v>2060</v>
      </c>
      <c r="B44" s="0" t="s">
        <v>1787</v>
      </c>
      <c r="C44" s="0" t="s">
        <v>1591</v>
      </c>
      <c r="D44" s="0" t="s">
        <v>1139</v>
      </c>
      <c r="E44" s="0" t="s">
        <v>139</v>
      </c>
      <c r="F44" s="0" t="n">
        <v>6</v>
      </c>
      <c r="G44" s="0" t="n">
        <v>7.7</v>
      </c>
      <c r="H44" s="0" t="n">
        <v>0.41</v>
      </c>
      <c r="I44" s="10" t="n">
        <v>0.609</v>
      </c>
      <c r="J44" s="0" t="n">
        <v>0.55</v>
      </c>
      <c r="K44" s="13" t="n">
        <f aca="false">IF(H44&lt;&gt;"",H44,IFERROR(G44/INDEX(Players!$M$2:$M$137,MATCH(B44,Players!$A$2:$A$137,0)),""))</f>
        <v>0.41</v>
      </c>
    </row>
    <row r="45" customFormat="false" ht="15" hidden="false" customHeight="false" outlineLevel="0" collapsed="false">
      <c r="A45" s="0" t="s">
        <v>2061</v>
      </c>
      <c r="B45" s="0" t="s">
        <v>1787</v>
      </c>
      <c r="C45" s="0" t="s">
        <v>1591</v>
      </c>
      <c r="D45" s="0" t="s">
        <v>1139</v>
      </c>
      <c r="E45" s="0" t="s">
        <v>145</v>
      </c>
      <c r="F45" s="0" t="n">
        <v>1</v>
      </c>
      <c r="G45" s="0" t="n">
        <v>23</v>
      </c>
      <c r="H45" s="0" t="n">
        <v>0.79</v>
      </c>
      <c r="I45" s="10" t="n">
        <v>0.565</v>
      </c>
      <c r="J45" s="0" t="n">
        <v>1.15</v>
      </c>
      <c r="K45" s="13" t="n">
        <f aca="false">IF(H45&lt;&gt;"",H45,IFERROR(G45/INDEX(Players!$M$2:$M$137,MATCH(B45,Players!$A$2:$A$137,0)),""))</f>
        <v>0.79</v>
      </c>
    </row>
    <row r="46" customFormat="false" ht="15" hidden="false" customHeight="false" outlineLevel="0" collapsed="false">
      <c r="A46" s="0" t="s">
        <v>2062</v>
      </c>
      <c r="B46" s="0" t="s">
        <v>1712</v>
      </c>
      <c r="C46" s="0" t="s">
        <v>1423</v>
      </c>
      <c r="D46" s="0" t="s">
        <v>1139</v>
      </c>
      <c r="E46" s="0" t="s">
        <v>129</v>
      </c>
      <c r="F46" s="0" t="n">
        <v>12</v>
      </c>
      <c r="G46" s="0" t="n">
        <v>16.5</v>
      </c>
      <c r="H46" s="0" t="n">
        <v>0.77</v>
      </c>
      <c r="I46" s="10" t="n">
        <v>0.414</v>
      </c>
      <c r="J46" s="0" t="n">
        <v>1.27</v>
      </c>
      <c r="K46" s="13" t="n">
        <f aca="false">IF(H46&lt;&gt;"",H46,IFERROR(G46/INDEX(Players!$M$2:$M$137,MATCH(B46,Players!$A$2:$A$137,0)),""))</f>
        <v>0.77</v>
      </c>
    </row>
    <row r="47" customFormat="false" ht="15" hidden="false" customHeight="false" outlineLevel="0" collapsed="false">
      <c r="A47" s="0" t="s">
        <v>2063</v>
      </c>
      <c r="B47" s="0" t="s">
        <v>1712</v>
      </c>
      <c r="C47" s="0" t="s">
        <v>1423</v>
      </c>
      <c r="D47" s="0" t="s">
        <v>1139</v>
      </c>
      <c r="E47" s="0" t="s">
        <v>108</v>
      </c>
      <c r="F47" s="0" t="n">
        <v>10</v>
      </c>
      <c r="G47" s="0" t="n">
        <v>15.9</v>
      </c>
      <c r="H47" s="0" t="n">
        <v>0.75</v>
      </c>
      <c r="I47" s="10" t="n">
        <v>0.415</v>
      </c>
      <c r="J47" s="0" t="n">
        <v>1.29</v>
      </c>
      <c r="K47" s="13" t="n">
        <f aca="false">IF(H47&lt;&gt;"",H47,IFERROR(G47/INDEX(Players!$M$2:$M$137,MATCH(B47,Players!$A$2:$A$137,0)),""))</f>
        <v>0.75</v>
      </c>
    </row>
    <row r="48" customFormat="false" ht="15" hidden="false" customHeight="false" outlineLevel="0" collapsed="false">
      <c r="A48" s="0" t="s">
        <v>2064</v>
      </c>
      <c r="B48" s="0" t="s">
        <v>1712</v>
      </c>
      <c r="C48" s="0" t="s">
        <v>1423</v>
      </c>
      <c r="D48" s="0" t="s">
        <v>1139</v>
      </c>
      <c r="E48" s="0" t="s">
        <v>81</v>
      </c>
      <c r="F48" s="0" t="n">
        <v>6</v>
      </c>
      <c r="G48" s="0" t="n">
        <v>17</v>
      </c>
      <c r="H48" s="0" t="n">
        <v>0.75</v>
      </c>
      <c r="I48" s="10" t="n">
        <v>0.471</v>
      </c>
      <c r="J48" s="0" t="n">
        <v>1.31</v>
      </c>
      <c r="K48" s="13" t="n">
        <f aca="false">IF(H48&lt;&gt;"",H48,IFERROR(G48/INDEX(Players!$M$2:$M$137,MATCH(B48,Players!$A$2:$A$137,0)),""))</f>
        <v>0.75</v>
      </c>
    </row>
    <row r="49" customFormat="false" ht="15" hidden="false" customHeight="false" outlineLevel="0" collapsed="false">
      <c r="A49" s="0" t="s">
        <v>2065</v>
      </c>
      <c r="B49" s="0" t="s">
        <v>1712</v>
      </c>
      <c r="C49" s="0" t="s">
        <v>1423</v>
      </c>
      <c r="D49" s="0" t="s">
        <v>1139</v>
      </c>
      <c r="E49" s="0" t="s">
        <v>139</v>
      </c>
      <c r="F49" s="0" t="n">
        <v>5</v>
      </c>
      <c r="G49" s="0" t="n">
        <v>14.2</v>
      </c>
      <c r="H49" s="0" t="n">
        <v>0.65</v>
      </c>
      <c r="I49" s="10" t="n">
        <v>0.521</v>
      </c>
      <c r="J49" s="0" t="n">
        <v>1.06</v>
      </c>
      <c r="K49" s="13" t="n">
        <f aca="false">IF(H49&lt;&gt;"",H49,IFERROR(G49/INDEX(Players!$M$2:$M$137,MATCH(B49,Players!$A$2:$A$137,0)),""))</f>
        <v>0.65</v>
      </c>
    </row>
    <row r="50" customFormat="false" ht="15" hidden="false" customHeight="false" outlineLevel="0" collapsed="false">
      <c r="A50" s="0" t="s">
        <v>2066</v>
      </c>
      <c r="B50" s="0" t="s">
        <v>1712</v>
      </c>
      <c r="C50" s="0" t="s">
        <v>1423</v>
      </c>
      <c r="D50" s="0" t="s">
        <v>1139</v>
      </c>
      <c r="E50" s="0" t="s">
        <v>95</v>
      </c>
      <c r="F50" s="0" t="n">
        <v>3</v>
      </c>
      <c r="G50" s="0" t="n">
        <v>19</v>
      </c>
      <c r="H50" s="0" t="n">
        <v>0.92</v>
      </c>
      <c r="I50" s="10" t="n">
        <v>0.667</v>
      </c>
      <c r="J50" s="0" t="n">
        <v>1.73</v>
      </c>
      <c r="K50" s="13" t="n">
        <f aca="false">IF(H50&lt;&gt;"",H50,IFERROR(G50/INDEX(Players!$M$2:$M$137,MATCH(B50,Players!$A$2:$A$137,0)),""))</f>
        <v>0.92</v>
      </c>
    </row>
    <row r="51" customFormat="false" ht="15" hidden="false" customHeight="false" outlineLevel="0" collapsed="false">
      <c r="A51" s="0" t="s">
        <v>2067</v>
      </c>
      <c r="B51" s="0" t="s">
        <v>1712</v>
      </c>
      <c r="C51" s="0" t="s">
        <v>1423</v>
      </c>
      <c r="D51" s="0" t="s">
        <v>1139</v>
      </c>
      <c r="E51" s="0" t="s">
        <v>145</v>
      </c>
      <c r="F51" s="0" t="n">
        <v>2</v>
      </c>
      <c r="G51" s="0" t="n">
        <v>15</v>
      </c>
      <c r="H51" s="0" t="n">
        <v>0.65</v>
      </c>
      <c r="I51" s="10" t="n">
        <v>0.467</v>
      </c>
      <c r="J51" s="0" t="n">
        <v>1.25</v>
      </c>
      <c r="K51" s="13" t="n">
        <f aca="false">IF(H51&lt;&gt;"",H51,IFERROR(G51/INDEX(Players!$M$2:$M$137,MATCH(B51,Players!$A$2:$A$137,0)),""))</f>
        <v>0.65</v>
      </c>
    </row>
    <row r="52" customFormat="false" ht="15" hidden="false" customHeight="false" outlineLevel="0" collapsed="false">
      <c r="A52" s="0" t="s">
        <v>2068</v>
      </c>
      <c r="B52" s="0" t="s">
        <v>1767</v>
      </c>
      <c r="C52" s="0" t="s">
        <v>1546</v>
      </c>
      <c r="D52" s="0" t="s">
        <v>1139</v>
      </c>
      <c r="E52" s="0" t="s">
        <v>95</v>
      </c>
      <c r="F52" s="0" t="n">
        <v>12</v>
      </c>
      <c r="G52" s="0" t="n">
        <v>13.5</v>
      </c>
      <c r="H52" s="0" t="n">
        <v>0.66</v>
      </c>
      <c r="I52" s="10" t="n">
        <v>0.549</v>
      </c>
      <c r="J52" s="0" t="n">
        <v>0.91</v>
      </c>
      <c r="K52" s="13" t="n">
        <f aca="false">IF(H52&lt;&gt;"",H52,IFERROR(G52/INDEX(Players!$M$2:$M$137,MATCH(B52,Players!$A$2:$A$137,0)),""))</f>
        <v>0.66</v>
      </c>
    </row>
    <row r="53" customFormat="false" ht="15" hidden="false" customHeight="false" outlineLevel="0" collapsed="false">
      <c r="A53" s="0" t="s">
        <v>2069</v>
      </c>
      <c r="B53" s="0" t="s">
        <v>1767</v>
      </c>
      <c r="C53" s="0" t="s">
        <v>1546</v>
      </c>
      <c r="D53" s="0" t="s">
        <v>1139</v>
      </c>
      <c r="E53" s="0" t="s">
        <v>81</v>
      </c>
      <c r="F53" s="0" t="n">
        <v>10</v>
      </c>
      <c r="G53" s="0" t="n">
        <v>12.9</v>
      </c>
      <c r="H53" s="0" t="n">
        <v>0.58</v>
      </c>
      <c r="I53" s="10" t="n">
        <v>0.457</v>
      </c>
      <c r="J53" s="0" t="n">
        <v>0.8</v>
      </c>
      <c r="K53" s="13" t="n">
        <f aca="false">IF(H53&lt;&gt;"",H53,IFERROR(G53/INDEX(Players!$M$2:$M$137,MATCH(B53,Players!$A$2:$A$137,0)),""))</f>
        <v>0.58</v>
      </c>
    </row>
    <row r="54" customFormat="false" ht="15" hidden="false" customHeight="false" outlineLevel="0" collapsed="false">
      <c r="A54" s="0" t="s">
        <v>2070</v>
      </c>
      <c r="B54" s="0" t="s">
        <v>1767</v>
      </c>
      <c r="C54" s="0" t="s">
        <v>1546</v>
      </c>
      <c r="D54" s="0" t="s">
        <v>1139</v>
      </c>
      <c r="E54" s="0" t="s">
        <v>145</v>
      </c>
      <c r="F54" s="0" t="n">
        <v>6</v>
      </c>
      <c r="G54" s="0" t="n">
        <v>11.8</v>
      </c>
      <c r="H54" s="0" t="n">
        <v>0.53</v>
      </c>
      <c r="I54" s="10" t="n">
        <v>0.577</v>
      </c>
      <c r="J54" s="0" t="n">
        <v>0.69</v>
      </c>
      <c r="K54" s="13" t="n">
        <f aca="false">IF(H54&lt;&gt;"",H54,IFERROR(G54/INDEX(Players!$M$2:$M$137,MATCH(B54,Players!$A$2:$A$137,0)),""))</f>
        <v>0.53</v>
      </c>
    </row>
    <row r="55" customFormat="false" ht="15" hidden="false" customHeight="false" outlineLevel="0" collapsed="false">
      <c r="A55" s="0" t="s">
        <v>2071</v>
      </c>
      <c r="B55" s="0" t="s">
        <v>1767</v>
      </c>
      <c r="C55" s="0" t="s">
        <v>1546</v>
      </c>
      <c r="D55" s="0" t="s">
        <v>1139</v>
      </c>
      <c r="E55" s="0" t="s">
        <v>108</v>
      </c>
      <c r="F55" s="0" t="n">
        <v>4</v>
      </c>
      <c r="G55" s="0" t="n">
        <v>13.3</v>
      </c>
      <c r="H55" s="0" t="n">
        <v>0.67</v>
      </c>
      <c r="I55" s="10" t="n">
        <v>0.566</v>
      </c>
      <c r="J55" s="0" t="n">
        <v>0.91</v>
      </c>
      <c r="K55" s="13" t="n">
        <f aca="false">IF(H55&lt;&gt;"",H55,IFERROR(G55/INDEX(Players!$M$2:$M$137,MATCH(B55,Players!$A$2:$A$137,0)),""))</f>
        <v>0.67</v>
      </c>
    </row>
    <row r="56" customFormat="false" ht="15" hidden="false" customHeight="false" outlineLevel="0" collapsed="false">
      <c r="A56" s="0" t="s">
        <v>2072</v>
      </c>
      <c r="B56" s="0" t="s">
        <v>1767</v>
      </c>
      <c r="C56" s="0" t="s">
        <v>1546</v>
      </c>
      <c r="D56" s="0" t="s">
        <v>1139</v>
      </c>
      <c r="E56" s="0" t="s">
        <v>139</v>
      </c>
      <c r="F56" s="0" t="n">
        <v>2</v>
      </c>
      <c r="G56" s="0" t="n">
        <v>9.5</v>
      </c>
      <c r="H56" s="0" t="n">
        <v>0.51</v>
      </c>
      <c r="I56" s="10" t="n">
        <v>0.526</v>
      </c>
      <c r="J56" s="0" t="n">
        <v>0.76</v>
      </c>
      <c r="K56" s="13" t="n">
        <f aca="false">IF(H56&lt;&gt;"",H56,IFERROR(G56/INDEX(Players!$M$2:$M$137,MATCH(B56,Players!$A$2:$A$137,0)),""))</f>
        <v>0.51</v>
      </c>
    </row>
    <row r="57" customFormat="false" ht="15" hidden="false" customHeight="false" outlineLevel="0" collapsed="false">
      <c r="A57" s="0" t="s">
        <v>2073</v>
      </c>
      <c r="B57" s="0" t="s">
        <v>1767</v>
      </c>
      <c r="C57" s="0" t="s">
        <v>1546</v>
      </c>
      <c r="D57" s="0" t="s">
        <v>1139</v>
      </c>
      <c r="E57" s="0" t="s">
        <v>129</v>
      </c>
      <c r="F57" s="0" t="n">
        <v>1</v>
      </c>
      <c r="G57" s="0" t="n">
        <v>34</v>
      </c>
      <c r="H57" s="0" t="n">
        <v>0.72</v>
      </c>
      <c r="I57" s="10" t="n">
        <v>0.382</v>
      </c>
      <c r="J57" s="0" t="n">
        <v>0.97</v>
      </c>
      <c r="K57" s="13" t="n">
        <f aca="false">IF(H57&lt;&gt;"",H57,IFERROR(G57/INDEX(Players!$M$2:$M$137,MATCH(B57,Players!$A$2:$A$137,0)),""))</f>
        <v>0.72</v>
      </c>
    </row>
    <row r="58" customFormat="false" ht="15" hidden="false" customHeight="false" outlineLevel="0" collapsed="false">
      <c r="A58" s="0" t="s">
        <v>2074</v>
      </c>
      <c r="B58" s="0" t="s">
        <v>1767</v>
      </c>
      <c r="C58" s="0" t="s">
        <v>1546</v>
      </c>
      <c r="D58" s="0" t="s">
        <v>1139</v>
      </c>
      <c r="E58" s="0" t="s">
        <v>121</v>
      </c>
      <c r="F58" s="0" t="n">
        <v>1</v>
      </c>
      <c r="G58" s="0" t="n">
        <v>16</v>
      </c>
      <c r="H58" s="0" t="n">
        <v>0.73</v>
      </c>
      <c r="I58" s="10" t="n">
        <v>0.5</v>
      </c>
      <c r="J58" s="0" t="n">
        <v>0.94</v>
      </c>
      <c r="K58" s="13" t="n">
        <f aca="false">IF(H58&lt;&gt;"",H58,IFERROR(G58/INDEX(Players!$M$2:$M$137,MATCH(B58,Players!$A$2:$A$137,0)),""))</f>
        <v>0.73</v>
      </c>
    </row>
    <row r="59" customFormat="false" ht="15" hidden="false" customHeight="false" outlineLevel="0" collapsed="false">
      <c r="A59" s="0" t="s">
        <v>2075</v>
      </c>
      <c r="B59" s="0" t="s">
        <v>1697</v>
      </c>
      <c r="C59" s="0" t="s">
        <v>1387</v>
      </c>
      <c r="D59" s="0" t="s">
        <v>1139</v>
      </c>
      <c r="E59" s="0" t="s">
        <v>108</v>
      </c>
      <c r="F59" s="0" t="n">
        <v>12</v>
      </c>
      <c r="G59" s="0" t="n">
        <v>11</v>
      </c>
      <c r="H59" s="0" t="n">
        <v>0.5</v>
      </c>
      <c r="I59" s="10" t="n">
        <v>0.432</v>
      </c>
      <c r="J59" s="0" t="n">
        <v>0.74</v>
      </c>
      <c r="K59" s="13" t="n">
        <f aca="false">IF(H59&lt;&gt;"",H59,IFERROR(G59/INDEX(Players!$M$2:$M$137,MATCH(B59,Players!$A$2:$A$137,0)),""))</f>
        <v>0.5</v>
      </c>
    </row>
    <row r="60" customFormat="false" ht="15" hidden="false" customHeight="false" outlineLevel="0" collapsed="false">
      <c r="A60" s="0" t="s">
        <v>2076</v>
      </c>
      <c r="B60" s="0" t="s">
        <v>1697</v>
      </c>
      <c r="C60" s="0" t="s">
        <v>1387</v>
      </c>
      <c r="D60" s="0" t="s">
        <v>1139</v>
      </c>
      <c r="E60" s="0" t="s">
        <v>121</v>
      </c>
      <c r="F60" s="0" t="n">
        <v>9</v>
      </c>
      <c r="G60" s="0" t="n">
        <v>15.1</v>
      </c>
      <c r="H60" s="0" t="n">
        <v>0.68</v>
      </c>
      <c r="I60" s="10" t="n">
        <v>0.463</v>
      </c>
      <c r="J60" s="0" t="n">
        <v>1.01</v>
      </c>
      <c r="K60" s="13" t="n">
        <f aca="false">IF(H60&lt;&gt;"",H60,IFERROR(G60/INDEX(Players!$M$2:$M$137,MATCH(B60,Players!$A$2:$A$137,0)),""))</f>
        <v>0.68</v>
      </c>
    </row>
    <row r="61" customFormat="false" ht="15" hidden="false" customHeight="false" outlineLevel="0" collapsed="false">
      <c r="A61" s="0" t="s">
        <v>2077</v>
      </c>
      <c r="B61" s="0" t="s">
        <v>1697</v>
      </c>
      <c r="C61" s="0" t="s">
        <v>1387</v>
      </c>
      <c r="D61" s="0" t="s">
        <v>1139</v>
      </c>
      <c r="E61" s="0" t="s">
        <v>81</v>
      </c>
      <c r="F61" s="0" t="n">
        <v>6</v>
      </c>
      <c r="G61" s="0" t="n">
        <v>12</v>
      </c>
      <c r="H61" s="0" t="n">
        <v>0.49</v>
      </c>
      <c r="I61" s="10" t="n">
        <v>0.444</v>
      </c>
      <c r="J61" s="0" t="n">
        <v>0.77</v>
      </c>
      <c r="K61" s="13" t="n">
        <f aca="false">IF(H61&lt;&gt;"",H61,IFERROR(G61/INDEX(Players!$M$2:$M$137,MATCH(B61,Players!$A$2:$A$137,0)),""))</f>
        <v>0.49</v>
      </c>
    </row>
    <row r="62" customFormat="false" ht="15" hidden="false" customHeight="false" outlineLevel="0" collapsed="false">
      <c r="A62" s="0" t="s">
        <v>2078</v>
      </c>
      <c r="B62" s="0" t="s">
        <v>1697</v>
      </c>
      <c r="C62" s="0" t="s">
        <v>1387</v>
      </c>
      <c r="D62" s="0" t="s">
        <v>1139</v>
      </c>
      <c r="E62" s="0" t="s">
        <v>95</v>
      </c>
      <c r="F62" s="0" t="n">
        <v>5</v>
      </c>
      <c r="G62" s="0" t="n">
        <v>12.2</v>
      </c>
      <c r="H62" s="0" t="n">
        <v>0.52</v>
      </c>
      <c r="I62" s="10" t="n">
        <v>0.426</v>
      </c>
      <c r="J62" s="0" t="n">
        <v>0.75</v>
      </c>
      <c r="K62" s="13" t="n">
        <f aca="false">IF(H62&lt;&gt;"",H62,IFERROR(G62/INDEX(Players!$M$2:$M$137,MATCH(B62,Players!$A$2:$A$137,0)),""))</f>
        <v>0.52</v>
      </c>
    </row>
    <row r="63" customFormat="false" ht="15" hidden="false" customHeight="false" outlineLevel="0" collapsed="false">
      <c r="A63" s="0" t="s">
        <v>2079</v>
      </c>
      <c r="B63" s="0" t="s">
        <v>1697</v>
      </c>
      <c r="C63" s="0" t="s">
        <v>1387</v>
      </c>
      <c r="D63" s="0" t="s">
        <v>1139</v>
      </c>
      <c r="E63" s="0" t="s">
        <v>145</v>
      </c>
      <c r="F63" s="0" t="n">
        <v>4</v>
      </c>
      <c r="G63" s="0" t="n">
        <v>15</v>
      </c>
      <c r="H63" s="0" t="n">
        <v>0.65</v>
      </c>
      <c r="I63" s="10" t="n">
        <v>0.483</v>
      </c>
      <c r="J63" s="0" t="n">
        <v>1.05</v>
      </c>
      <c r="K63" s="13" t="n">
        <f aca="false">IF(H63&lt;&gt;"",H63,IFERROR(G63/INDEX(Players!$M$2:$M$137,MATCH(B63,Players!$A$2:$A$137,0)),""))</f>
        <v>0.65</v>
      </c>
    </row>
    <row r="64" customFormat="false" ht="15" hidden="false" customHeight="false" outlineLevel="0" collapsed="false">
      <c r="A64" s="0" t="s">
        <v>2080</v>
      </c>
      <c r="B64" s="0" t="s">
        <v>1697</v>
      </c>
      <c r="C64" s="0" t="s">
        <v>1387</v>
      </c>
      <c r="D64" s="0" t="s">
        <v>1139</v>
      </c>
      <c r="E64" s="0" t="s">
        <v>129</v>
      </c>
      <c r="F64" s="0" t="n">
        <v>3</v>
      </c>
      <c r="G64" s="0" t="n">
        <v>13.7</v>
      </c>
      <c r="H64" s="0" t="n">
        <v>0.52</v>
      </c>
      <c r="I64" s="10" t="n">
        <v>0.512</v>
      </c>
      <c r="J64" s="0" t="n">
        <v>0.73</v>
      </c>
      <c r="K64" s="13" t="n">
        <f aca="false">IF(H64&lt;&gt;"",H64,IFERROR(G64/INDEX(Players!$M$2:$M$137,MATCH(B64,Players!$A$2:$A$137,0)),""))</f>
        <v>0.52</v>
      </c>
    </row>
    <row r="65" customFormat="false" ht="15" hidden="false" customHeight="false" outlineLevel="0" collapsed="false">
      <c r="A65" s="0" t="s">
        <v>2081</v>
      </c>
      <c r="B65" s="0" t="s">
        <v>1768</v>
      </c>
      <c r="C65" s="0" t="s">
        <v>1548</v>
      </c>
      <c r="D65" s="0" t="s">
        <v>1139</v>
      </c>
      <c r="E65" s="0" t="s">
        <v>95</v>
      </c>
      <c r="F65" s="0" t="n">
        <v>12</v>
      </c>
      <c r="G65" s="0" t="n">
        <v>13.9</v>
      </c>
      <c r="H65" s="0" t="n">
        <v>0.68</v>
      </c>
      <c r="I65" s="10" t="n">
        <v>0.515</v>
      </c>
      <c r="J65" s="0" t="n">
        <v>1.08</v>
      </c>
      <c r="K65" s="13" t="n">
        <f aca="false">IF(H65&lt;&gt;"",H65,IFERROR(G65/INDEX(Players!$M$2:$M$137,MATCH(B65,Players!$A$2:$A$137,0)),""))</f>
        <v>0.68</v>
      </c>
    </row>
    <row r="66" customFormat="false" ht="15" hidden="false" customHeight="false" outlineLevel="0" collapsed="false">
      <c r="A66" s="0" t="s">
        <v>2082</v>
      </c>
      <c r="B66" s="0" t="s">
        <v>1768</v>
      </c>
      <c r="C66" s="0" t="s">
        <v>1548</v>
      </c>
      <c r="D66" s="0" t="s">
        <v>1139</v>
      </c>
      <c r="E66" s="0" t="s">
        <v>81</v>
      </c>
      <c r="F66" s="0" t="n">
        <v>10</v>
      </c>
      <c r="G66" s="0" t="n">
        <v>15.1</v>
      </c>
      <c r="H66" s="0" t="n">
        <v>0.68</v>
      </c>
      <c r="I66" s="10" t="n">
        <v>0.45</v>
      </c>
      <c r="J66" s="0" t="n">
        <v>1.01</v>
      </c>
      <c r="K66" s="13" t="n">
        <f aca="false">IF(H66&lt;&gt;"",H66,IFERROR(G66/INDEX(Players!$M$2:$M$137,MATCH(B66,Players!$A$2:$A$137,0)),""))</f>
        <v>0.68</v>
      </c>
    </row>
    <row r="67" customFormat="false" ht="15" hidden="false" customHeight="false" outlineLevel="0" collapsed="false">
      <c r="A67" s="0" t="s">
        <v>2083</v>
      </c>
      <c r="B67" s="0" t="s">
        <v>1768</v>
      </c>
      <c r="C67" s="0" t="s">
        <v>1548</v>
      </c>
      <c r="D67" s="0" t="s">
        <v>1139</v>
      </c>
      <c r="E67" s="0" t="s">
        <v>145</v>
      </c>
      <c r="F67" s="0" t="n">
        <v>6</v>
      </c>
      <c r="G67" s="0" t="n">
        <v>14.8</v>
      </c>
      <c r="H67" s="0" t="n">
        <v>0.66</v>
      </c>
      <c r="I67" s="10" t="n">
        <v>0.506</v>
      </c>
      <c r="J67" s="0" t="n">
        <v>1.1</v>
      </c>
      <c r="K67" s="13" t="n">
        <f aca="false">IF(H67&lt;&gt;"",H67,IFERROR(G67/INDEX(Players!$M$2:$M$137,MATCH(B67,Players!$A$2:$A$137,0)),""))</f>
        <v>0.66</v>
      </c>
    </row>
    <row r="68" customFormat="false" ht="15" hidden="false" customHeight="false" outlineLevel="0" collapsed="false">
      <c r="A68" s="0" t="s">
        <v>2084</v>
      </c>
      <c r="B68" s="0" t="s">
        <v>1768</v>
      </c>
      <c r="C68" s="0" t="s">
        <v>1548</v>
      </c>
      <c r="D68" s="0" t="s">
        <v>1139</v>
      </c>
      <c r="E68" s="0" t="s">
        <v>108</v>
      </c>
      <c r="F68" s="0" t="n">
        <v>4</v>
      </c>
      <c r="G68" s="0" t="n">
        <v>11.3</v>
      </c>
      <c r="H68" s="0" t="n">
        <v>0.57</v>
      </c>
      <c r="I68" s="10" t="n">
        <v>0.467</v>
      </c>
      <c r="J68" s="0" t="n">
        <v>0.98</v>
      </c>
      <c r="K68" s="13" t="n">
        <f aca="false">IF(H68&lt;&gt;"",H68,IFERROR(G68/INDEX(Players!$M$2:$M$137,MATCH(B68,Players!$A$2:$A$137,0)),""))</f>
        <v>0.57</v>
      </c>
    </row>
    <row r="69" customFormat="false" ht="15" hidden="false" customHeight="false" outlineLevel="0" collapsed="false">
      <c r="A69" s="0" t="s">
        <v>2085</v>
      </c>
      <c r="B69" s="0" t="s">
        <v>1768</v>
      </c>
      <c r="C69" s="0" t="s">
        <v>1548</v>
      </c>
      <c r="D69" s="0" t="s">
        <v>1139</v>
      </c>
      <c r="E69" s="0" t="s">
        <v>139</v>
      </c>
      <c r="F69" s="0" t="n">
        <v>2</v>
      </c>
      <c r="G69" s="0" t="n">
        <v>9</v>
      </c>
      <c r="H69" s="0" t="n">
        <v>0.49</v>
      </c>
      <c r="I69" s="10" t="n">
        <v>0.5</v>
      </c>
      <c r="J69" s="0" t="n">
        <v>0.69</v>
      </c>
      <c r="K69" s="13" t="n">
        <f aca="false">IF(H69&lt;&gt;"",H69,IFERROR(G69/INDEX(Players!$M$2:$M$137,MATCH(B69,Players!$A$2:$A$137,0)),""))</f>
        <v>0.49</v>
      </c>
    </row>
    <row r="70" customFormat="false" ht="15" hidden="false" customHeight="false" outlineLevel="0" collapsed="false">
      <c r="A70" s="0" t="s">
        <v>2086</v>
      </c>
      <c r="B70" s="0" t="s">
        <v>1768</v>
      </c>
      <c r="C70" s="0" t="s">
        <v>1548</v>
      </c>
      <c r="D70" s="0" t="s">
        <v>1139</v>
      </c>
      <c r="E70" s="0" t="s">
        <v>129</v>
      </c>
      <c r="F70" s="0" t="n">
        <v>1</v>
      </c>
      <c r="G70" s="0" t="n">
        <v>27</v>
      </c>
      <c r="H70" s="0" t="n">
        <v>0.57</v>
      </c>
      <c r="I70" s="10" t="n">
        <v>0.481</v>
      </c>
      <c r="J70" s="0" t="n">
        <v>0.87</v>
      </c>
      <c r="K70" s="13" t="n">
        <f aca="false">IF(H70&lt;&gt;"",H70,IFERROR(G70/INDEX(Players!$M$2:$M$137,MATCH(B70,Players!$A$2:$A$137,0)),""))</f>
        <v>0.57</v>
      </c>
    </row>
    <row r="71" customFormat="false" ht="15" hidden="false" customHeight="false" outlineLevel="0" collapsed="false">
      <c r="A71" s="0" t="s">
        <v>2087</v>
      </c>
      <c r="B71" s="0" t="s">
        <v>1768</v>
      </c>
      <c r="C71" s="0" t="s">
        <v>1548</v>
      </c>
      <c r="D71" s="0" t="s">
        <v>1139</v>
      </c>
      <c r="E71" s="0" t="s">
        <v>121</v>
      </c>
      <c r="F71" s="0" t="n">
        <v>1</v>
      </c>
      <c r="G71" s="0" t="n">
        <v>10</v>
      </c>
      <c r="H71" s="0" t="n">
        <v>0.45</v>
      </c>
      <c r="I71" s="10" t="n">
        <v>0.8</v>
      </c>
      <c r="J71" s="0" t="n">
        <v>0.56</v>
      </c>
      <c r="K71" s="13" t="n">
        <f aca="false">IF(H71&lt;&gt;"",H71,IFERROR(G71/INDEX(Players!$M$2:$M$137,MATCH(B71,Players!$A$2:$A$137,0)),""))</f>
        <v>0.45</v>
      </c>
    </row>
    <row r="72" customFormat="false" ht="15" hidden="false" customHeight="false" outlineLevel="0" collapsed="false">
      <c r="A72" s="0" t="s">
        <v>2088</v>
      </c>
      <c r="B72" s="0" t="s">
        <v>1673</v>
      </c>
      <c r="C72" s="0" t="s">
        <v>1324</v>
      </c>
      <c r="D72" s="0" t="s">
        <v>1139</v>
      </c>
      <c r="E72" s="0" t="s">
        <v>95</v>
      </c>
      <c r="F72" s="0" t="n">
        <v>6</v>
      </c>
      <c r="G72" s="0" t="n">
        <v>15</v>
      </c>
      <c r="H72" s="0" t="n">
        <v>0.65</v>
      </c>
      <c r="I72" s="10" t="n">
        <v>0.644</v>
      </c>
      <c r="J72" s="0" t="n">
        <v>0.96</v>
      </c>
      <c r="K72" s="13" t="n">
        <f aca="false">IF(H72&lt;&gt;"",H72,IFERROR(G72/INDEX(Players!$M$2:$M$137,MATCH(B72,Players!$A$2:$A$137,0)),""))</f>
        <v>0.65</v>
      </c>
    </row>
    <row r="73" customFormat="false" ht="15" hidden="false" customHeight="false" outlineLevel="0" collapsed="false">
      <c r="A73" s="0" t="s">
        <v>2089</v>
      </c>
      <c r="B73" s="0" t="s">
        <v>1673</v>
      </c>
      <c r="C73" s="0" t="s">
        <v>1324</v>
      </c>
      <c r="D73" s="0" t="s">
        <v>1139</v>
      </c>
      <c r="E73" s="0" t="s">
        <v>145</v>
      </c>
      <c r="F73" s="0" t="n">
        <v>6</v>
      </c>
      <c r="G73" s="0" t="n">
        <v>13.3</v>
      </c>
      <c r="H73" s="0" t="n">
        <v>0.66</v>
      </c>
      <c r="I73" s="10" t="n">
        <v>0.588</v>
      </c>
      <c r="J73" s="0" t="n">
        <v>0.94</v>
      </c>
      <c r="K73" s="13" t="n">
        <f aca="false">IF(H73&lt;&gt;"",H73,IFERROR(G73/INDEX(Players!$M$2:$M$137,MATCH(B73,Players!$A$2:$A$137,0)),""))</f>
        <v>0.66</v>
      </c>
    </row>
    <row r="74" customFormat="false" ht="15" hidden="false" customHeight="false" outlineLevel="0" collapsed="false">
      <c r="A74" s="0" t="s">
        <v>2090</v>
      </c>
      <c r="B74" s="0" t="s">
        <v>1673</v>
      </c>
      <c r="C74" s="0" t="s">
        <v>1324</v>
      </c>
      <c r="D74" s="0" t="s">
        <v>1139</v>
      </c>
      <c r="E74" s="0" t="s">
        <v>108</v>
      </c>
      <c r="F74" s="0" t="n">
        <v>5</v>
      </c>
      <c r="G74" s="0" t="n">
        <v>13.8</v>
      </c>
      <c r="H74" s="0" t="n">
        <v>0.71</v>
      </c>
      <c r="I74" s="10" t="n">
        <v>0.638</v>
      </c>
      <c r="J74" s="0" t="n">
        <v>1.03</v>
      </c>
      <c r="K74" s="13" t="n">
        <f aca="false">IF(H74&lt;&gt;"",H74,IFERROR(G74/INDEX(Players!$M$2:$M$137,MATCH(B74,Players!$A$2:$A$137,0)),""))</f>
        <v>0.71</v>
      </c>
    </row>
    <row r="75" customFormat="false" ht="15" hidden="false" customHeight="false" outlineLevel="0" collapsed="false">
      <c r="A75" s="0" t="s">
        <v>2091</v>
      </c>
      <c r="B75" s="0" t="s">
        <v>1673</v>
      </c>
      <c r="C75" s="0" t="s">
        <v>1324</v>
      </c>
      <c r="D75" s="0" t="s">
        <v>1139</v>
      </c>
      <c r="E75" s="0" t="s">
        <v>129</v>
      </c>
      <c r="F75" s="0" t="n">
        <v>4</v>
      </c>
      <c r="G75" s="0" t="n">
        <v>14.5</v>
      </c>
      <c r="H75" s="0" t="n">
        <v>0.73</v>
      </c>
      <c r="I75" s="10" t="n">
        <v>0.569</v>
      </c>
      <c r="J75" s="0" t="n">
        <v>1.21</v>
      </c>
      <c r="K75" s="13" t="n">
        <f aca="false">IF(H75&lt;&gt;"",H75,IFERROR(G75/INDEX(Players!$M$2:$M$137,MATCH(B75,Players!$A$2:$A$137,0)),""))</f>
        <v>0.73</v>
      </c>
    </row>
    <row r="76" customFormat="false" ht="15" hidden="false" customHeight="false" outlineLevel="0" collapsed="false">
      <c r="A76" s="0" t="s">
        <v>2092</v>
      </c>
      <c r="B76" s="0" t="s">
        <v>1673</v>
      </c>
      <c r="C76" s="0" t="s">
        <v>1324</v>
      </c>
      <c r="D76" s="0" t="s">
        <v>1139</v>
      </c>
      <c r="E76" s="0" t="s">
        <v>81</v>
      </c>
      <c r="F76" s="0" t="n">
        <v>3</v>
      </c>
      <c r="G76" s="0" t="n">
        <v>13.3</v>
      </c>
      <c r="H76" s="0" t="n">
        <v>0.7</v>
      </c>
      <c r="I76" s="10" t="n">
        <v>0.6</v>
      </c>
      <c r="J76" s="0" t="n">
        <v>0.95</v>
      </c>
      <c r="K76" s="13" t="n">
        <f aca="false">IF(H76&lt;&gt;"",H76,IFERROR(G76/INDEX(Players!$M$2:$M$137,MATCH(B76,Players!$A$2:$A$137,0)),""))</f>
        <v>0.7</v>
      </c>
    </row>
    <row r="77" customFormat="false" ht="15" hidden="false" customHeight="false" outlineLevel="0" collapsed="false">
      <c r="A77" s="0" t="s">
        <v>2093</v>
      </c>
      <c r="B77" s="0" t="s">
        <v>1673</v>
      </c>
      <c r="C77" s="0" t="s">
        <v>1324</v>
      </c>
      <c r="D77" s="0" t="s">
        <v>1139</v>
      </c>
      <c r="E77" s="0" t="s">
        <v>121</v>
      </c>
      <c r="F77" s="0" t="n">
        <v>3</v>
      </c>
      <c r="G77" s="0" t="n">
        <v>13</v>
      </c>
      <c r="H77" s="0" t="n">
        <v>0.57</v>
      </c>
      <c r="I77" s="10" t="n">
        <v>0.615</v>
      </c>
      <c r="J77" s="0" t="n">
        <v>0.81</v>
      </c>
      <c r="K77" s="13" t="n">
        <f aca="false">IF(H77&lt;&gt;"",H77,IFERROR(G77/INDEX(Players!$M$2:$M$137,MATCH(B77,Players!$A$2:$A$137,0)),""))</f>
        <v>0.57</v>
      </c>
    </row>
    <row r="78" customFormat="false" ht="15" hidden="false" customHeight="false" outlineLevel="0" collapsed="false">
      <c r="A78" s="0" t="s">
        <v>2094</v>
      </c>
      <c r="B78" s="0" t="s">
        <v>1698</v>
      </c>
      <c r="C78" s="0" t="s">
        <v>1390</v>
      </c>
      <c r="D78" s="0" t="s">
        <v>1139</v>
      </c>
      <c r="E78" s="0" t="s">
        <v>108</v>
      </c>
      <c r="F78" s="0" t="n">
        <v>12</v>
      </c>
      <c r="G78" s="0" t="n">
        <v>14.2</v>
      </c>
      <c r="H78" s="0" t="n">
        <v>0.65</v>
      </c>
      <c r="I78" s="10" t="n">
        <v>0.541</v>
      </c>
      <c r="J78" s="0" t="n">
        <v>0.97</v>
      </c>
      <c r="K78" s="13" t="n">
        <f aca="false">IF(H78&lt;&gt;"",H78,IFERROR(G78/INDEX(Players!$M$2:$M$137,MATCH(B78,Players!$A$2:$A$137,0)),""))</f>
        <v>0.65</v>
      </c>
    </row>
    <row r="79" customFormat="false" ht="15" hidden="false" customHeight="false" outlineLevel="0" collapsed="false">
      <c r="A79" s="0" t="s">
        <v>2095</v>
      </c>
      <c r="B79" s="0" t="s">
        <v>1698</v>
      </c>
      <c r="C79" s="0" t="s">
        <v>1390</v>
      </c>
      <c r="D79" s="0" t="s">
        <v>1139</v>
      </c>
      <c r="E79" s="0" t="s">
        <v>121</v>
      </c>
      <c r="F79" s="0" t="n">
        <v>9</v>
      </c>
      <c r="G79" s="0" t="n">
        <v>14.8</v>
      </c>
      <c r="H79" s="0" t="n">
        <v>0.67</v>
      </c>
      <c r="I79" s="10" t="n">
        <v>0.647</v>
      </c>
      <c r="J79" s="0" t="n">
        <v>1.05</v>
      </c>
      <c r="K79" s="13" t="n">
        <f aca="false">IF(H79&lt;&gt;"",H79,IFERROR(G79/INDEX(Players!$M$2:$M$137,MATCH(B79,Players!$A$2:$A$137,0)),""))</f>
        <v>0.67</v>
      </c>
    </row>
    <row r="80" customFormat="false" ht="15" hidden="false" customHeight="false" outlineLevel="0" collapsed="false">
      <c r="A80" s="0" t="s">
        <v>2096</v>
      </c>
      <c r="B80" s="0" t="s">
        <v>1698</v>
      </c>
      <c r="C80" s="0" t="s">
        <v>1390</v>
      </c>
      <c r="D80" s="0" t="s">
        <v>1139</v>
      </c>
      <c r="E80" s="0" t="s">
        <v>81</v>
      </c>
      <c r="F80" s="0" t="n">
        <v>6</v>
      </c>
      <c r="G80" s="0" t="n">
        <v>17.8</v>
      </c>
      <c r="H80" s="0" t="n">
        <v>0.73</v>
      </c>
      <c r="I80" s="10" t="n">
        <v>0.533</v>
      </c>
      <c r="J80" s="0" t="n">
        <v>1.11</v>
      </c>
      <c r="K80" s="13" t="n">
        <f aca="false">IF(H80&lt;&gt;"",H80,IFERROR(G80/INDEX(Players!$M$2:$M$137,MATCH(B80,Players!$A$2:$A$137,0)),""))</f>
        <v>0.73</v>
      </c>
    </row>
    <row r="81" customFormat="false" ht="15" hidden="false" customHeight="false" outlineLevel="0" collapsed="false">
      <c r="A81" s="0" t="s">
        <v>2097</v>
      </c>
      <c r="B81" s="0" t="s">
        <v>1698</v>
      </c>
      <c r="C81" s="0" t="s">
        <v>1390</v>
      </c>
      <c r="D81" s="0" t="s">
        <v>1139</v>
      </c>
      <c r="E81" s="0" t="s">
        <v>95</v>
      </c>
      <c r="F81" s="0" t="n">
        <v>5</v>
      </c>
      <c r="G81" s="0" t="n">
        <v>15.4</v>
      </c>
      <c r="H81" s="0" t="n">
        <v>0.66</v>
      </c>
      <c r="I81" s="10" t="n">
        <v>0.558</v>
      </c>
      <c r="J81" s="0" t="n">
        <v>0.94</v>
      </c>
      <c r="K81" s="13" t="n">
        <f aca="false">IF(H81&lt;&gt;"",H81,IFERROR(G81/INDEX(Players!$M$2:$M$137,MATCH(B81,Players!$A$2:$A$137,0)),""))</f>
        <v>0.66</v>
      </c>
    </row>
    <row r="82" customFormat="false" ht="15" hidden="false" customHeight="false" outlineLevel="0" collapsed="false">
      <c r="A82" s="0" t="s">
        <v>2098</v>
      </c>
      <c r="B82" s="0" t="s">
        <v>1698</v>
      </c>
      <c r="C82" s="0" t="s">
        <v>1390</v>
      </c>
      <c r="D82" s="0" t="s">
        <v>1139</v>
      </c>
      <c r="E82" s="0" t="s">
        <v>145</v>
      </c>
      <c r="F82" s="0" t="n">
        <v>4</v>
      </c>
      <c r="G82" s="0" t="n">
        <v>14.5</v>
      </c>
      <c r="H82" s="0" t="n">
        <v>0.62</v>
      </c>
      <c r="I82" s="10" t="n">
        <v>0.534</v>
      </c>
      <c r="J82" s="0" t="n">
        <v>1.04</v>
      </c>
      <c r="K82" s="13" t="n">
        <f aca="false">IF(H82&lt;&gt;"",H82,IFERROR(G82/INDEX(Players!$M$2:$M$137,MATCH(B82,Players!$A$2:$A$137,0)),""))</f>
        <v>0.62</v>
      </c>
    </row>
    <row r="83" customFormat="false" ht="15" hidden="false" customHeight="false" outlineLevel="0" collapsed="false">
      <c r="A83" s="0" t="s">
        <v>2099</v>
      </c>
      <c r="B83" s="0" t="s">
        <v>1698</v>
      </c>
      <c r="C83" s="0" t="s">
        <v>1390</v>
      </c>
      <c r="D83" s="0" t="s">
        <v>1139</v>
      </c>
      <c r="E83" s="0" t="s">
        <v>129</v>
      </c>
      <c r="F83" s="0" t="n">
        <v>3</v>
      </c>
      <c r="G83" s="0" t="n">
        <v>15.3</v>
      </c>
      <c r="H83" s="0" t="n">
        <v>0.58</v>
      </c>
      <c r="I83" s="10" t="n">
        <v>0.63</v>
      </c>
      <c r="J83" s="0" t="n">
        <v>0.78</v>
      </c>
      <c r="K83" s="13" t="n">
        <f aca="false">IF(H83&lt;&gt;"",H83,IFERROR(G83/INDEX(Players!$M$2:$M$137,MATCH(B83,Players!$A$2:$A$137,0)),""))</f>
        <v>0.58</v>
      </c>
    </row>
    <row r="84" customFormat="false" ht="15" hidden="false" customHeight="false" outlineLevel="0" collapsed="false">
      <c r="A84" s="0" t="s">
        <v>2100</v>
      </c>
      <c r="B84" s="0" t="s">
        <v>1666</v>
      </c>
      <c r="C84" s="0" t="s">
        <v>1308</v>
      </c>
      <c r="D84" s="0" t="s">
        <v>1139</v>
      </c>
      <c r="E84" s="0" t="s">
        <v>145</v>
      </c>
      <c r="F84" s="0" t="n">
        <v>8</v>
      </c>
      <c r="G84" s="0" t="n">
        <v>15.5</v>
      </c>
      <c r="H84" s="0" t="n">
        <v>0.67</v>
      </c>
      <c r="I84" s="10" t="n">
        <v>0.306</v>
      </c>
      <c r="J84" s="0" t="n">
        <v>1.16</v>
      </c>
      <c r="K84" s="13" t="n">
        <f aca="false">IF(H84&lt;&gt;"",H84,IFERROR(G84/INDEX(Players!$M$2:$M$137,MATCH(B84,Players!$A$2:$A$137,0)),""))</f>
        <v>0.67</v>
      </c>
    </row>
    <row r="85" customFormat="false" ht="15" hidden="false" customHeight="false" outlineLevel="0" collapsed="false">
      <c r="A85" s="0" t="s">
        <v>2101</v>
      </c>
      <c r="B85" s="0" t="s">
        <v>1666</v>
      </c>
      <c r="C85" s="0" t="s">
        <v>1308</v>
      </c>
      <c r="D85" s="0" t="s">
        <v>1139</v>
      </c>
      <c r="E85" s="0" t="s">
        <v>108</v>
      </c>
      <c r="F85" s="0" t="n">
        <v>8</v>
      </c>
      <c r="G85" s="0" t="n">
        <v>15.9</v>
      </c>
      <c r="H85" s="0" t="n">
        <v>0.72</v>
      </c>
      <c r="I85" s="10" t="n">
        <v>0.307</v>
      </c>
      <c r="J85" s="0" t="n">
        <v>1.1</v>
      </c>
      <c r="K85" s="13" t="n">
        <f aca="false">IF(H85&lt;&gt;"",H85,IFERROR(G85/INDEX(Players!$M$2:$M$137,MATCH(B85,Players!$A$2:$A$137,0)),""))</f>
        <v>0.72</v>
      </c>
    </row>
    <row r="86" customFormat="false" ht="15" hidden="false" customHeight="false" outlineLevel="0" collapsed="false">
      <c r="A86" s="0" t="s">
        <v>2102</v>
      </c>
      <c r="B86" s="0" t="s">
        <v>1666</v>
      </c>
      <c r="C86" s="0" t="s">
        <v>1308</v>
      </c>
      <c r="D86" s="0" t="s">
        <v>1139</v>
      </c>
      <c r="E86" s="0" t="s">
        <v>139</v>
      </c>
      <c r="F86" s="0" t="n">
        <v>6</v>
      </c>
      <c r="G86" s="0" t="n">
        <v>14.8</v>
      </c>
      <c r="H86" s="0" t="n">
        <v>0.74</v>
      </c>
      <c r="I86" s="10" t="n">
        <v>0.303</v>
      </c>
      <c r="J86" s="0" t="n">
        <v>1.17</v>
      </c>
      <c r="K86" s="13" t="n">
        <f aca="false">IF(H86&lt;&gt;"",H86,IFERROR(G86/INDEX(Players!$M$2:$M$137,MATCH(B86,Players!$A$2:$A$137,0)),""))</f>
        <v>0.74</v>
      </c>
    </row>
    <row r="87" customFormat="false" ht="15" hidden="false" customHeight="false" outlineLevel="0" collapsed="false">
      <c r="A87" s="0" t="s">
        <v>2103</v>
      </c>
      <c r="B87" s="0" t="s">
        <v>1666</v>
      </c>
      <c r="C87" s="0" t="s">
        <v>1308</v>
      </c>
      <c r="D87" s="0" t="s">
        <v>1139</v>
      </c>
      <c r="E87" s="0" t="s">
        <v>129</v>
      </c>
      <c r="F87" s="0" t="n">
        <v>4</v>
      </c>
      <c r="G87" s="0" t="n">
        <v>15.8</v>
      </c>
      <c r="H87" s="0" t="n">
        <v>0.75</v>
      </c>
      <c r="I87" s="10" t="n">
        <v>0.381</v>
      </c>
      <c r="J87" s="0" t="n">
        <v>1.21</v>
      </c>
      <c r="K87" s="13" t="n">
        <f aca="false">IF(H87&lt;&gt;"",H87,IFERROR(G87/INDEX(Players!$M$2:$M$137,MATCH(B87,Players!$A$2:$A$137,0)),""))</f>
        <v>0.75</v>
      </c>
    </row>
    <row r="88" customFormat="false" ht="15" hidden="false" customHeight="false" outlineLevel="0" collapsed="false">
      <c r="A88" s="0" t="s">
        <v>2104</v>
      </c>
      <c r="B88" s="0" t="s">
        <v>1666</v>
      </c>
      <c r="C88" s="0" t="s">
        <v>1308</v>
      </c>
      <c r="D88" s="0" t="s">
        <v>1139</v>
      </c>
      <c r="E88" s="0" t="s">
        <v>81</v>
      </c>
      <c r="F88" s="0" t="n">
        <v>4</v>
      </c>
      <c r="G88" s="0" t="n">
        <v>9.8</v>
      </c>
      <c r="H88" s="0" t="n">
        <v>0.54</v>
      </c>
      <c r="I88" s="10" t="n">
        <v>0.385</v>
      </c>
      <c r="J88" s="0" t="n">
        <v>0.85</v>
      </c>
      <c r="K88" s="13" t="n">
        <f aca="false">IF(H88&lt;&gt;"",H88,IFERROR(G88/INDEX(Players!$M$2:$M$137,MATCH(B88,Players!$A$2:$A$137,0)),""))</f>
        <v>0.54</v>
      </c>
    </row>
    <row r="89" customFormat="false" ht="15" hidden="false" customHeight="false" outlineLevel="0" collapsed="false">
      <c r="A89" s="0" t="s">
        <v>2105</v>
      </c>
      <c r="B89" s="0" t="s">
        <v>1666</v>
      </c>
      <c r="C89" s="0" t="s">
        <v>1308</v>
      </c>
      <c r="D89" s="0" t="s">
        <v>1139</v>
      </c>
      <c r="E89" s="0" t="s">
        <v>121</v>
      </c>
      <c r="F89" s="0" t="n">
        <v>2</v>
      </c>
      <c r="G89" s="0" t="n">
        <v>11</v>
      </c>
      <c r="H89" s="0" t="n">
        <v>0.51</v>
      </c>
      <c r="I89" s="10" t="n">
        <v>0.5</v>
      </c>
      <c r="J89" s="0" t="n">
        <v>0.73</v>
      </c>
      <c r="K89" s="13" t="n">
        <f aca="false">IF(H89&lt;&gt;"",H89,IFERROR(G89/INDEX(Players!$M$2:$M$137,MATCH(B89,Players!$A$2:$A$137,0)),""))</f>
        <v>0.51</v>
      </c>
    </row>
    <row r="90" customFormat="false" ht="15" hidden="false" customHeight="false" outlineLevel="0" collapsed="false">
      <c r="A90" s="0" t="s">
        <v>2106</v>
      </c>
      <c r="B90" s="0" t="s">
        <v>1674</v>
      </c>
      <c r="C90" s="0" t="s">
        <v>1326</v>
      </c>
      <c r="D90" s="0" t="s">
        <v>1139</v>
      </c>
      <c r="E90" s="0" t="s">
        <v>145</v>
      </c>
      <c r="F90" s="0" t="n">
        <v>6</v>
      </c>
      <c r="G90" s="0" t="n">
        <v>14.7</v>
      </c>
      <c r="H90" s="0" t="n">
        <v>0.73</v>
      </c>
      <c r="I90" s="10" t="n">
        <v>0.648</v>
      </c>
      <c r="J90" s="0" t="n">
        <v>1.05</v>
      </c>
      <c r="K90" s="13" t="n">
        <f aca="false">IF(H90&lt;&gt;"",H90,IFERROR(G90/INDEX(Players!$M$2:$M$137,MATCH(B90,Players!$A$2:$A$137,0)),""))</f>
        <v>0.73</v>
      </c>
    </row>
    <row r="91" customFormat="false" ht="15" hidden="false" customHeight="false" outlineLevel="0" collapsed="false">
      <c r="A91" s="0" t="s">
        <v>2107</v>
      </c>
      <c r="B91" s="0" t="s">
        <v>1674</v>
      </c>
      <c r="C91" s="0" t="s">
        <v>1326</v>
      </c>
      <c r="D91" s="0" t="s">
        <v>1139</v>
      </c>
      <c r="E91" s="0" t="s">
        <v>95</v>
      </c>
      <c r="F91" s="0" t="n">
        <v>6</v>
      </c>
      <c r="G91" s="0" t="n">
        <v>16</v>
      </c>
      <c r="H91" s="0" t="n">
        <v>0.69</v>
      </c>
      <c r="I91" s="10" t="n">
        <v>0.583</v>
      </c>
      <c r="J91" s="0" t="n">
        <v>0.98</v>
      </c>
      <c r="K91" s="13" t="n">
        <f aca="false">IF(H91&lt;&gt;"",H91,IFERROR(G91/INDEX(Players!$M$2:$M$137,MATCH(B91,Players!$A$2:$A$137,0)),""))</f>
        <v>0.69</v>
      </c>
    </row>
    <row r="92" customFormat="false" ht="15" hidden="false" customHeight="false" outlineLevel="0" collapsed="false">
      <c r="A92" s="0" t="s">
        <v>2108</v>
      </c>
      <c r="B92" s="0" t="s">
        <v>1674</v>
      </c>
      <c r="C92" s="0" t="s">
        <v>1326</v>
      </c>
      <c r="D92" s="0" t="s">
        <v>1139</v>
      </c>
      <c r="E92" s="0" t="s">
        <v>108</v>
      </c>
      <c r="F92" s="0" t="n">
        <v>5</v>
      </c>
      <c r="G92" s="0" t="n">
        <v>16</v>
      </c>
      <c r="H92" s="0" t="n">
        <v>0.82</v>
      </c>
      <c r="I92" s="10" t="n">
        <v>0.525</v>
      </c>
      <c r="J92" s="0" t="n">
        <v>1.36</v>
      </c>
      <c r="K92" s="13" t="n">
        <f aca="false">IF(H92&lt;&gt;"",H92,IFERROR(G92/INDEX(Players!$M$2:$M$137,MATCH(B92,Players!$A$2:$A$137,0)),""))</f>
        <v>0.82</v>
      </c>
    </row>
    <row r="93" customFormat="false" ht="15" hidden="false" customHeight="false" outlineLevel="0" collapsed="false">
      <c r="A93" s="0" t="s">
        <v>2109</v>
      </c>
      <c r="B93" s="0" t="s">
        <v>1674</v>
      </c>
      <c r="C93" s="0" t="s">
        <v>1326</v>
      </c>
      <c r="D93" s="0" t="s">
        <v>1139</v>
      </c>
      <c r="E93" s="0" t="s">
        <v>129</v>
      </c>
      <c r="F93" s="0" t="n">
        <v>4</v>
      </c>
      <c r="G93" s="0" t="n">
        <v>10.8</v>
      </c>
      <c r="H93" s="0" t="n">
        <v>0.54</v>
      </c>
      <c r="I93" s="10" t="n">
        <v>0.581</v>
      </c>
      <c r="J93" s="0" t="n">
        <v>0.77</v>
      </c>
      <c r="K93" s="13" t="n">
        <f aca="false">IF(H93&lt;&gt;"",H93,IFERROR(G93/INDEX(Players!$M$2:$M$137,MATCH(B93,Players!$A$2:$A$137,0)),""))</f>
        <v>0.54</v>
      </c>
    </row>
    <row r="94" customFormat="false" ht="15" hidden="false" customHeight="false" outlineLevel="0" collapsed="false">
      <c r="A94" s="0" t="s">
        <v>2110</v>
      </c>
      <c r="B94" s="0" t="s">
        <v>1674</v>
      </c>
      <c r="C94" s="0" t="s">
        <v>1326</v>
      </c>
      <c r="D94" s="0" t="s">
        <v>1139</v>
      </c>
      <c r="E94" s="0" t="s">
        <v>81</v>
      </c>
      <c r="F94" s="0" t="n">
        <v>3</v>
      </c>
      <c r="G94" s="0" t="n">
        <v>13</v>
      </c>
      <c r="H94" s="0" t="n">
        <v>0.68</v>
      </c>
      <c r="I94" s="10" t="n">
        <v>0.513</v>
      </c>
      <c r="J94" s="0" t="n">
        <v>0.93</v>
      </c>
      <c r="K94" s="13" t="n">
        <f aca="false">IF(H94&lt;&gt;"",H94,IFERROR(G94/INDEX(Players!$M$2:$M$137,MATCH(B94,Players!$A$2:$A$137,0)),""))</f>
        <v>0.68</v>
      </c>
    </row>
    <row r="95" customFormat="false" ht="15" hidden="false" customHeight="false" outlineLevel="0" collapsed="false">
      <c r="A95" s="0" t="s">
        <v>2111</v>
      </c>
      <c r="B95" s="0" t="s">
        <v>1674</v>
      </c>
      <c r="C95" s="0" t="s">
        <v>1326</v>
      </c>
      <c r="D95" s="0" t="s">
        <v>1139</v>
      </c>
      <c r="E95" s="0" t="s">
        <v>121</v>
      </c>
      <c r="F95" s="0" t="n">
        <v>3</v>
      </c>
      <c r="G95" s="0" t="n">
        <v>14.3</v>
      </c>
      <c r="H95" s="0" t="n">
        <v>0.63</v>
      </c>
      <c r="I95" s="10" t="n">
        <v>0.628</v>
      </c>
      <c r="J95" s="0" t="n">
        <v>0.91</v>
      </c>
      <c r="K95" s="13" t="n">
        <f aca="false">IF(H95&lt;&gt;"",H95,IFERROR(G95/INDEX(Players!$M$2:$M$137,MATCH(B95,Players!$A$2:$A$137,0)),""))</f>
        <v>0.63</v>
      </c>
    </row>
    <row r="96" customFormat="false" ht="15" hidden="false" customHeight="false" outlineLevel="0" collapsed="false">
      <c r="A96" s="0" t="s">
        <v>2112</v>
      </c>
      <c r="B96" s="0" t="s">
        <v>1750</v>
      </c>
      <c r="C96" s="0" t="s">
        <v>1509</v>
      </c>
      <c r="D96" s="0" t="s">
        <v>1139</v>
      </c>
      <c r="E96" s="0" t="s">
        <v>108</v>
      </c>
      <c r="F96" s="0" t="n">
        <v>7</v>
      </c>
      <c r="G96" s="0" t="n">
        <v>19.6</v>
      </c>
      <c r="H96" s="0" t="n">
        <v>0.84</v>
      </c>
      <c r="I96" s="10" t="n">
        <v>0.445</v>
      </c>
      <c r="J96" s="0" t="n">
        <v>1.22</v>
      </c>
      <c r="K96" s="13" t="n">
        <f aca="false">IF(H96&lt;&gt;"",H96,IFERROR(G96/INDEX(Players!$M$2:$M$137,MATCH(B96,Players!$A$2:$A$137,0)),""))</f>
        <v>0.84</v>
      </c>
    </row>
    <row r="97" customFormat="false" ht="15" hidden="false" customHeight="false" outlineLevel="0" collapsed="false">
      <c r="A97" s="0" t="s">
        <v>2113</v>
      </c>
      <c r="B97" s="0" t="s">
        <v>1750</v>
      </c>
      <c r="C97" s="0" t="s">
        <v>1509</v>
      </c>
      <c r="D97" s="0" t="s">
        <v>1139</v>
      </c>
      <c r="E97" s="0" t="s">
        <v>145</v>
      </c>
      <c r="F97" s="0" t="n">
        <v>5</v>
      </c>
      <c r="G97" s="0" t="n">
        <v>16.4</v>
      </c>
      <c r="H97" s="0" t="n">
        <v>0.75</v>
      </c>
      <c r="I97" s="10" t="n">
        <v>0.634</v>
      </c>
      <c r="J97" s="0" t="n">
        <v>1.19</v>
      </c>
      <c r="K97" s="13" t="n">
        <f aca="false">IF(H97&lt;&gt;"",H97,IFERROR(G97/INDEX(Players!$M$2:$M$137,MATCH(B97,Players!$A$2:$A$137,0)),""))</f>
        <v>0.75</v>
      </c>
    </row>
    <row r="98" customFormat="false" ht="15" hidden="false" customHeight="false" outlineLevel="0" collapsed="false">
      <c r="A98" s="0" t="s">
        <v>2114</v>
      </c>
      <c r="B98" s="0" t="s">
        <v>1750</v>
      </c>
      <c r="C98" s="0" t="s">
        <v>1509</v>
      </c>
      <c r="D98" s="0" t="s">
        <v>1139</v>
      </c>
      <c r="E98" s="0" t="s">
        <v>95</v>
      </c>
      <c r="F98" s="0" t="n">
        <v>5</v>
      </c>
      <c r="G98" s="0" t="n">
        <v>14</v>
      </c>
      <c r="H98" s="0" t="n">
        <v>0.69</v>
      </c>
      <c r="I98" s="10" t="n">
        <v>0.657</v>
      </c>
      <c r="J98" s="0" t="n">
        <v>1.17</v>
      </c>
      <c r="K98" s="13" t="n">
        <f aca="false">IF(H98&lt;&gt;"",H98,IFERROR(G98/INDEX(Players!$M$2:$M$137,MATCH(B98,Players!$A$2:$A$137,0)),""))</f>
        <v>0.69</v>
      </c>
    </row>
    <row r="99" customFormat="false" ht="15" hidden="false" customHeight="false" outlineLevel="0" collapsed="false">
      <c r="A99" s="0" t="s">
        <v>2115</v>
      </c>
      <c r="B99" s="0" t="s">
        <v>1750</v>
      </c>
      <c r="C99" s="0" t="s">
        <v>1509</v>
      </c>
      <c r="D99" s="0" t="s">
        <v>1139</v>
      </c>
      <c r="E99" s="0" t="s">
        <v>129</v>
      </c>
      <c r="F99" s="0" t="n">
        <v>5</v>
      </c>
      <c r="G99" s="0" t="n">
        <v>16</v>
      </c>
      <c r="H99" s="0" t="n">
        <v>0.65</v>
      </c>
      <c r="I99" s="10" t="n">
        <v>0.6</v>
      </c>
      <c r="J99" s="0" t="n">
        <v>1.01</v>
      </c>
      <c r="K99" s="13" t="n">
        <f aca="false">IF(H99&lt;&gt;"",H99,IFERROR(G99/INDEX(Players!$M$2:$M$137,MATCH(B99,Players!$A$2:$A$137,0)),""))</f>
        <v>0.65</v>
      </c>
    </row>
    <row r="100" customFormat="false" ht="15" hidden="false" customHeight="false" outlineLevel="0" collapsed="false">
      <c r="A100" s="0" t="s">
        <v>2116</v>
      </c>
      <c r="B100" s="0" t="s">
        <v>1750</v>
      </c>
      <c r="C100" s="0" t="s">
        <v>1509</v>
      </c>
      <c r="D100" s="0" t="s">
        <v>1139</v>
      </c>
      <c r="E100" s="0" t="s">
        <v>121</v>
      </c>
      <c r="F100" s="0" t="n">
        <v>5</v>
      </c>
      <c r="G100" s="0" t="n">
        <v>13.4</v>
      </c>
      <c r="H100" s="0" t="n">
        <v>0.61</v>
      </c>
      <c r="I100" s="10" t="n">
        <v>0.657</v>
      </c>
      <c r="J100" s="0" t="n">
        <v>0.96</v>
      </c>
      <c r="K100" s="13" t="n">
        <f aca="false">IF(H100&lt;&gt;"",H100,IFERROR(G100/INDEX(Players!$M$2:$M$137,MATCH(B100,Players!$A$2:$A$137,0)),""))</f>
        <v>0.61</v>
      </c>
    </row>
    <row r="101" customFormat="false" ht="15" hidden="false" customHeight="false" outlineLevel="0" collapsed="false">
      <c r="A101" s="0" t="s">
        <v>2117</v>
      </c>
      <c r="B101" s="0" t="s">
        <v>1750</v>
      </c>
      <c r="C101" s="0" t="s">
        <v>1509</v>
      </c>
      <c r="D101" s="0" t="s">
        <v>1139</v>
      </c>
      <c r="E101" s="0" t="s">
        <v>139</v>
      </c>
      <c r="F101" s="0" t="n">
        <v>4</v>
      </c>
      <c r="G101" s="0" t="n">
        <v>13.3</v>
      </c>
      <c r="H101" s="0" t="n">
        <v>0.7</v>
      </c>
      <c r="I101" s="10" t="n">
        <v>0.642</v>
      </c>
      <c r="J101" s="0" t="n">
        <v>1.13</v>
      </c>
      <c r="K101" s="13" t="n">
        <f aca="false">IF(H101&lt;&gt;"",H101,IFERROR(G101/INDEX(Players!$M$2:$M$137,MATCH(B101,Players!$A$2:$A$137,0)),""))</f>
        <v>0.7</v>
      </c>
    </row>
    <row r="102" customFormat="false" ht="15" hidden="false" customHeight="false" outlineLevel="0" collapsed="false">
      <c r="A102" s="0" t="s">
        <v>2118</v>
      </c>
      <c r="B102" s="0" t="s">
        <v>1722</v>
      </c>
      <c r="C102" s="0" t="s">
        <v>1446</v>
      </c>
      <c r="D102" s="0" t="s">
        <v>1139</v>
      </c>
      <c r="E102" s="0" t="s">
        <v>81</v>
      </c>
      <c r="F102" s="0" t="n">
        <v>10</v>
      </c>
      <c r="G102" s="0" t="n">
        <v>16.6</v>
      </c>
      <c r="H102" s="0" t="n">
        <v>0.78</v>
      </c>
      <c r="I102" s="10" t="n">
        <v>0.693</v>
      </c>
      <c r="J102" s="0" t="n">
        <v>1.15</v>
      </c>
      <c r="K102" s="13" t="n">
        <f aca="false">IF(H102&lt;&gt;"",H102,IFERROR(G102/INDEX(Players!$M$2:$M$137,MATCH(B102,Players!$A$2:$A$137,0)),""))</f>
        <v>0.78</v>
      </c>
    </row>
    <row r="103" customFormat="false" ht="15" hidden="false" customHeight="false" outlineLevel="0" collapsed="false">
      <c r="A103" s="0" t="s">
        <v>2119</v>
      </c>
      <c r="B103" s="0" t="s">
        <v>1722</v>
      </c>
      <c r="C103" s="0" t="s">
        <v>1446</v>
      </c>
      <c r="D103" s="0" t="s">
        <v>1139</v>
      </c>
      <c r="E103" s="0" t="s">
        <v>95</v>
      </c>
      <c r="F103" s="0" t="n">
        <v>9</v>
      </c>
      <c r="G103" s="0" t="n">
        <v>17.6</v>
      </c>
      <c r="H103" s="0" t="n">
        <v>0.74</v>
      </c>
      <c r="I103" s="10" t="n">
        <v>0.696</v>
      </c>
      <c r="J103" s="0" t="n">
        <v>1.1</v>
      </c>
      <c r="K103" s="13" t="n">
        <f aca="false">IF(H103&lt;&gt;"",H103,IFERROR(G103/INDEX(Players!$M$2:$M$137,MATCH(B103,Players!$A$2:$A$137,0)),""))</f>
        <v>0.74</v>
      </c>
    </row>
    <row r="104" customFormat="false" ht="15" hidden="false" customHeight="false" outlineLevel="0" collapsed="false">
      <c r="A104" s="0" t="s">
        <v>2120</v>
      </c>
      <c r="B104" s="0" t="s">
        <v>1722</v>
      </c>
      <c r="C104" s="0" t="s">
        <v>1446</v>
      </c>
      <c r="D104" s="0" t="s">
        <v>1139</v>
      </c>
      <c r="E104" s="0" t="s">
        <v>108</v>
      </c>
      <c r="F104" s="0" t="n">
        <v>6</v>
      </c>
      <c r="G104" s="0" t="n">
        <v>16.7</v>
      </c>
      <c r="H104" s="0" t="n">
        <v>0.75</v>
      </c>
      <c r="I104" s="10" t="n">
        <v>0.58</v>
      </c>
      <c r="J104" s="0" t="n">
        <v>1.22</v>
      </c>
      <c r="K104" s="13" t="n">
        <f aca="false">IF(H104&lt;&gt;"",H104,IFERROR(G104/INDEX(Players!$M$2:$M$137,MATCH(B104,Players!$A$2:$A$137,0)),""))</f>
        <v>0.75</v>
      </c>
    </row>
    <row r="105" customFormat="false" ht="15" hidden="false" customHeight="false" outlineLevel="0" collapsed="false">
      <c r="A105" s="0" t="s">
        <v>2121</v>
      </c>
      <c r="B105" s="0" t="s">
        <v>1722</v>
      </c>
      <c r="C105" s="0" t="s">
        <v>1446</v>
      </c>
      <c r="D105" s="0" t="s">
        <v>1139</v>
      </c>
      <c r="E105" s="0" t="s">
        <v>145</v>
      </c>
      <c r="F105" s="0" t="n">
        <v>5</v>
      </c>
      <c r="G105" s="0" t="n">
        <v>17.2</v>
      </c>
      <c r="H105" s="0" t="n">
        <v>0.81</v>
      </c>
      <c r="I105" s="10" t="n">
        <v>0.64</v>
      </c>
      <c r="J105" s="0" t="n">
        <v>1.46</v>
      </c>
      <c r="K105" s="13" t="n">
        <f aca="false">IF(H105&lt;&gt;"",H105,IFERROR(G105/INDEX(Players!$M$2:$M$137,MATCH(B105,Players!$A$2:$A$137,0)),""))</f>
        <v>0.81</v>
      </c>
    </row>
    <row r="106" customFormat="false" ht="15" hidden="false" customHeight="false" outlineLevel="0" collapsed="false">
      <c r="A106" s="0" t="s">
        <v>2122</v>
      </c>
      <c r="B106" s="0" t="s">
        <v>1722</v>
      </c>
      <c r="C106" s="0" t="s">
        <v>1446</v>
      </c>
      <c r="D106" s="0" t="s">
        <v>1139</v>
      </c>
      <c r="E106" s="0" t="s">
        <v>121</v>
      </c>
      <c r="F106" s="0" t="n">
        <v>5</v>
      </c>
      <c r="G106" s="0" t="n">
        <v>15.2</v>
      </c>
      <c r="H106" s="0" t="n">
        <v>0.7</v>
      </c>
      <c r="I106" s="10" t="n">
        <v>0.684</v>
      </c>
      <c r="J106" s="0" t="n">
        <v>1.03</v>
      </c>
      <c r="K106" s="13" t="n">
        <f aca="false">IF(H106&lt;&gt;"",H106,IFERROR(G106/INDEX(Players!$M$2:$M$137,MATCH(B106,Players!$A$2:$A$137,0)),""))</f>
        <v>0.7</v>
      </c>
    </row>
    <row r="107" customFormat="false" ht="15" hidden="false" customHeight="false" outlineLevel="0" collapsed="false">
      <c r="A107" s="0" t="s">
        <v>2123</v>
      </c>
      <c r="B107" s="0" t="s">
        <v>1722</v>
      </c>
      <c r="C107" s="0" t="s">
        <v>1446</v>
      </c>
      <c r="D107" s="0" t="s">
        <v>1139</v>
      </c>
      <c r="E107" s="0" t="s">
        <v>129</v>
      </c>
      <c r="F107" s="0" t="n">
        <v>2</v>
      </c>
      <c r="G107" s="0" t="n">
        <v>16.5</v>
      </c>
      <c r="H107" s="0" t="n">
        <v>0.8</v>
      </c>
      <c r="I107" s="10" t="n">
        <v>0.515</v>
      </c>
      <c r="J107" s="0" t="n">
        <v>1.65</v>
      </c>
      <c r="K107" s="13" t="n">
        <f aca="false">IF(H107&lt;&gt;"",H107,IFERROR(G107/INDEX(Players!$M$2:$M$137,MATCH(B107,Players!$A$2:$A$137,0)),""))</f>
        <v>0.8</v>
      </c>
    </row>
    <row r="108" customFormat="false" ht="15" hidden="false" customHeight="false" outlineLevel="0" collapsed="false">
      <c r="A108" s="0" t="s">
        <v>2124</v>
      </c>
      <c r="B108" s="0" t="s">
        <v>1741</v>
      </c>
      <c r="C108" s="0" t="s">
        <v>1488</v>
      </c>
      <c r="D108" s="0" t="s">
        <v>1139</v>
      </c>
      <c r="E108" s="0" t="s">
        <v>81</v>
      </c>
      <c r="F108" s="0" t="n">
        <v>12</v>
      </c>
      <c r="G108" s="0" t="n">
        <v>16.3</v>
      </c>
      <c r="H108" s="0" t="n">
        <v>0.7</v>
      </c>
      <c r="I108" s="10" t="n">
        <v>0.454</v>
      </c>
      <c r="J108" s="0" t="n">
        <v>1.01</v>
      </c>
      <c r="K108" s="13" t="n">
        <f aca="false">IF(H108&lt;&gt;"",H108,IFERROR(G108/INDEX(Players!$M$2:$M$137,MATCH(B108,Players!$A$2:$A$137,0)),""))</f>
        <v>0.7</v>
      </c>
    </row>
    <row r="109" customFormat="false" ht="15" hidden="false" customHeight="false" outlineLevel="0" collapsed="false">
      <c r="A109" s="0" t="s">
        <v>2125</v>
      </c>
      <c r="B109" s="0" t="s">
        <v>1741</v>
      </c>
      <c r="C109" s="0" t="s">
        <v>1488</v>
      </c>
      <c r="D109" s="0" t="s">
        <v>1139</v>
      </c>
      <c r="E109" s="0" t="s">
        <v>95</v>
      </c>
      <c r="F109" s="0" t="n">
        <v>7</v>
      </c>
      <c r="G109" s="0" t="n">
        <v>16.6</v>
      </c>
      <c r="H109" s="0" t="n">
        <v>0.7</v>
      </c>
      <c r="I109" s="10" t="n">
        <v>0.569</v>
      </c>
      <c r="J109" s="0" t="n">
        <v>1.07</v>
      </c>
      <c r="K109" s="13" t="n">
        <f aca="false">IF(H109&lt;&gt;"",H109,IFERROR(G109/INDEX(Players!$M$2:$M$137,MATCH(B109,Players!$A$2:$A$137,0)),""))</f>
        <v>0.7</v>
      </c>
    </row>
    <row r="110" customFormat="false" ht="15" hidden="false" customHeight="false" outlineLevel="0" collapsed="false">
      <c r="A110" s="0" t="s">
        <v>2126</v>
      </c>
      <c r="B110" s="0" t="s">
        <v>1741</v>
      </c>
      <c r="C110" s="0" t="s">
        <v>1488</v>
      </c>
      <c r="D110" s="0" t="s">
        <v>1139</v>
      </c>
      <c r="E110" s="0" t="s">
        <v>139</v>
      </c>
      <c r="F110" s="0" t="n">
        <v>7</v>
      </c>
      <c r="G110" s="0" t="n">
        <v>14.7</v>
      </c>
      <c r="H110" s="0" t="n">
        <v>0.67</v>
      </c>
      <c r="I110" s="10" t="n">
        <v>0.437</v>
      </c>
      <c r="J110" s="0" t="n">
        <v>0.96</v>
      </c>
      <c r="K110" s="13" t="n">
        <f aca="false">IF(H110&lt;&gt;"",H110,IFERROR(G110/INDEX(Players!$M$2:$M$137,MATCH(B110,Players!$A$2:$A$137,0)),""))</f>
        <v>0.67</v>
      </c>
    </row>
    <row r="111" customFormat="false" ht="15" hidden="false" customHeight="false" outlineLevel="0" collapsed="false">
      <c r="A111" s="0" t="s">
        <v>2127</v>
      </c>
      <c r="B111" s="0" t="s">
        <v>1741</v>
      </c>
      <c r="C111" s="0" t="s">
        <v>1488</v>
      </c>
      <c r="D111" s="0" t="s">
        <v>1139</v>
      </c>
      <c r="E111" s="0" t="s">
        <v>121</v>
      </c>
      <c r="F111" s="0" t="n">
        <v>4</v>
      </c>
      <c r="G111" s="0" t="n">
        <v>12.3</v>
      </c>
      <c r="H111" s="0" t="n">
        <v>0.64</v>
      </c>
      <c r="I111" s="10" t="n">
        <v>0.51</v>
      </c>
      <c r="J111" s="0" t="n">
        <v>1.14</v>
      </c>
      <c r="K111" s="13" t="n">
        <f aca="false">IF(H111&lt;&gt;"",H111,IFERROR(G111/INDEX(Players!$M$2:$M$137,MATCH(B111,Players!$A$2:$A$137,0)),""))</f>
        <v>0.64</v>
      </c>
    </row>
    <row r="112" customFormat="false" ht="15" hidden="false" customHeight="false" outlineLevel="0" collapsed="false">
      <c r="A112" s="0" t="s">
        <v>2128</v>
      </c>
      <c r="B112" s="0" t="s">
        <v>1741</v>
      </c>
      <c r="C112" s="0" t="s">
        <v>1488</v>
      </c>
      <c r="D112" s="0" t="s">
        <v>1139</v>
      </c>
      <c r="E112" s="0" t="s">
        <v>145</v>
      </c>
      <c r="F112" s="0" t="n">
        <v>4</v>
      </c>
      <c r="G112" s="0" t="n">
        <v>15.3</v>
      </c>
      <c r="H112" s="0" t="n">
        <v>0.69</v>
      </c>
      <c r="I112" s="10" t="n">
        <v>0.459</v>
      </c>
      <c r="J112" s="0" t="n">
        <v>0.92</v>
      </c>
      <c r="K112" s="13" t="n">
        <f aca="false">IF(H112&lt;&gt;"",H112,IFERROR(G112/INDEX(Players!$M$2:$M$137,MATCH(B112,Players!$A$2:$A$137,0)),""))</f>
        <v>0.69</v>
      </c>
    </row>
    <row r="113" customFormat="false" ht="15" hidden="false" customHeight="false" outlineLevel="0" collapsed="false">
      <c r="A113" s="0" t="s">
        <v>2129</v>
      </c>
      <c r="B113" s="0" t="s">
        <v>1741</v>
      </c>
      <c r="C113" s="0" t="s">
        <v>1488</v>
      </c>
      <c r="D113" s="0" t="s">
        <v>1139</v>
      </c>
      <c r="E113" s="0" t="s">
        <v>129</v>
      </c>
      <c r="F113" s="0" t="n">
        <v>3</v>
      </c>
      <c r="G113" s="0" t="n">
        <v>13.7</v>
      </c>
      <c r="H113" s="0" t="n">
        <v>0.66</v>
      </c>
      <c r="I113" s="10" t="n">
        <v>0.439</v>
      </c>
      <c r="J113" s="0" t="n">
        <v>0.98</v>
      </c>
      <c r="K113" s="13" t="n">
        <f aca="false">IF(H113&lt;&gt;"",H113,IFERROR(G113/INDEX(Players!$M$2:$M$137,MATCH(B113,Players!$A$2:$A$137,0)),""))</f>
        <v>0.66</v>
      </c>
    </row>
    <row r="114" customFormat="false" ht="15" hidden="false" customHeight="false" outlineLevel="0" collapsed="false">
      <c r="A114" s="0" t="s">
        <v>2130</v>
      </c>
      <c r="B114" s="0" t="s">
        <v>1742</v>
      </c>
      <c r="C114" s="0" t="s">
        <v>1490</v>
      </c>
      <c r="D114" s="0" t="s">
        <v>1139</v>
      </c>
      <c r="E114" s="0" t="s">
        <v>81</v>
      </c>
      <c r="F114" s="0" t="n">
        <v>12</v>
      </c>
      <c r="G114" s="0" t="n">
        <v>14.9</v>
      </c>
      <c r="H114" s="0" t="n">
        <v>0.64</v>
      </c>
      <c r="I114" s="10" t="n">
        <v>0.475</v>
      </c>
      <c r="J114" s="0" t="n">
        <v>1.16</v>
      </c>
      <c r="K114" s="13" t="n">
        <f aca="false">IF(H114&lt;&gt;"",H114,IFERROR(G114/INDEX(Players!$M$2:$M$137,MATCH(B114,Players!$A$2:$A$137,0)),""))</f>
        <v>0.64</v>
      </c>
    </row>
    <row r="115" customFormat="false" ht="15" hidden="false" customHeight="false" outlineLevel="0" collapsed="false">
      <c r="A115" s="0" t="s">
        <v>2131</v>
      </c>
      <c r="B115" s="0" t="s">
        <v>1742</v>
      </c>
      <c r="C115" s="0" t="s">
        <v>1490</v>
      </c>
      <c r="D115" s="0" t="s">
        <v>1139</v>
      </c>
      <c r="E115" s="0" t="s">
        <v>95</v>
      </c>
      <c r="F115" s="0" t="n">
        <v>7</v>
      </c>
      <c r="G115" s="0" t="n">
        <v>18.1</v>
      </c>
      <c r="H115" s="0" t="n">
        <v>0.77</v>
      </c>
      <c r="I115" s="10" t="n">
        <v>0.213</v>
      </c>
      <c r="J115" s="0" t="n">
        <v>1.32</v>
      </c>
      <c r="K115" s="13" t="n">
        <f aca="false">IF(H115&lt;&gt;"",H115,IFERROR(G115/INDEX(Players!$M$2:$M$137,MATCH(B115,Players!$A$2:$A$137,0)),""))</f>
        <v>0.77</v>
      </c>
    </row>
    <row r="116" customFormat="false" ht="15" hidden="false" customHeight="false" outlineLevel="0" collapsed="false">
      <c r="A116" s="0" t="s">
        <v>2132</v>
      </c>
      <c r="B116" s="0" t="s">
        <v>1742</v>
      </c>
      <c r="C116" s="0" t="s">
        <v>1490</v>
      </c>
      <c r="D116" s="0" t="s">
        <v>1139</v>
      </c>
      <c r="E116" s="0" t="s">
        <v>139</v>
      </c>
      <c r="F116" s="0" t="n">
        <v>7</v>
      </c>
      <c r="G116" s="0" t="n">
        <v>14.9</v>
      </c>
      <c r="H116" s="0" t="n">
        <v>0.68</v>
      </c>
      <c r="I116" s="10" t="n">
        <v>0.394</v>
      </c>
      <c r="J116" s="0" t="n">
        <v>1.12</v>
      </c>
      <c r="K116" s="13" t="n">
        <f aca="false">IF(H116&lt;&gt;"",H116,IFERROR(G116/INDEX(Players!$M$2:$M$137,MATCH(B116,Players!$A$2:$A$137,0)),""))</f>
        <v>0.68</v>
      </c>
    </row>
    <row r="117" customFormat="false" ht="15" hidden="false" customHeight="false" outlineLevel="0" collapsed="false">
      <c r="A117" s="0" t="s">
        <v>2133</v>
      </c>
      <c r="B117" s="0" t="s">
        <v>1742</v>
      </c>
      <c r="C117" s="0" t="s">
        <v>1490</v>
      </c>
      <c r="D117" s="0" t="s">
        <v>1139</v>
      </c>
      <c r="E117" s="0" t="s">
        <v>121</v>
      </c>
      <c r="F117" s="0" t="n">
        <v>4</v>
      </c>
      <c r="G117" s="0" t="n">
        <v>15</v>
      </c>
      <c r="H117" s="0" t="n">
        <v>0.78</v>
      </c>
      <c r="I117" s="10" t="n">
        <v>0.483</v>
      </c>
      <c r="J117" s="0" t="n">
        <v>1.54</v>
      </c>
      <c r="K117" s="13" t="n">
        <f aca="false">IF(H117&lt;&gt;"",H117,IFERROR(G117/INDEX(Players!$M$2:$M$137,MATCH(B117,Players!$A$2:$A$137,0)),""))</f>
        <v>0.78</v>
      </c>
    </row>
    <row r="118" customFormat="false" ht="15" hidden="false" customHeight="false" outlineLevel="0" collapsed="false">
      <c r="A118" s="0" t="s">
        <v>2134</v>
      </c>
      <c r="B118" s="0" t="s">
        <v>1742</v>
      </c>
      <c r="C118" s="0" t="s">
        <v>1490</v>
      </c>
      <c r="D118" s="0" t="s">
        <v>1139</v>
      </c>
      <c r="E118" s="0" t="s">
        <v>145</v>
      </c>
      <c r="F118" s="0" t="n">
        <v>4</v>
      </c>
      <c r="G118" s="0" t="n">
        <v>16.5</v>
      </c>
      <c r="H118" s="0" t="n">
        <v>0.74</v>
      </c>
      <c r="I118" s="10" t="n">
        <v>0.545</v>
      </c>
      <c r="J118" s="0" t="n">
        <v>1.32</v>
      </c>
      <c r="K118" s="13" t="n">
        <f aca="false">IF(H118&lt;&gt;"",H118,IFERROR(G118/INDEX(Players!$M$2:$M$137,MATCH(B118,Players!$A$2:$A$137,0)),""))</f>
        <v>0.74</v>
      </c>
    </row>
    <row r="119" customFormat="false" ht="15" hidden="false" customHeight="false" outlineLevel="0" collapsed="false">
      <c r="A119" s="0" t="s">
        <v>2135</v>
      </c>
      <c r="B119" s="0" t="s">
        <v>1742</v>
      </c>
      <c r="C119" s="0" t="s">
        <v>1490</v>
      </c>
      <c r="D119" s="0" t="s">
        <v>1139</v>
      </c>
      <c r="E119" s="0" t="s">
        <v>129</v>
      </c>
      <c r="F119" s="0" t="n">
        <v>3</v>
      </c>
      <c r="G119" s="0" t="n">
        <v>10.7</v>
      </c>
      <c r="H119" s="0" t="n">
        <v>0.52</v>
      </c>
      <c r="I119" s="10" t="n">
        <v>0.375</v>
      </c>
      <c r="J119" s="0" t="n">
        <v>0.8</v>
      </c>
      <c r="K119" s="13" t="n">
        <f aca="false">IF(H119&lt;&gt;"",H119,IFERROR(G119/INDEX(Players!$M$2:$M$137,MATCH(B119,Players!$A$2:$A$137,0)),""))</f>
        <v>0.52</v>
      </c>
    </row>
    <row r="120" customFormat="false" ht="15" hidden="false" customHeight="false" outlineLevel="0" collapsed="false">
      <c r="A120" s="0" t="s">
        <v>2136</v>
      </c>
      <c r="B120" s="0" t="s">
        <v>1659</v>
      </c>
      <c r="C120" s="0" t="s">
        <v>1285</v>
      </c>
      <c r="D120" s="0" t="s">
        <v>1139</v>
      </c>
      <c r="E120" s="0" t="s">
        <v>95</v>
      </c>
      <c r="F120" s="0" t="n">
        <v>7</v>
      </c>
      <c r="G120" s="0" t="n">
        <v>16.3</v>
      </c>
      <c r="H120" s="0" t="n">
        <v>0.86</v>
      </c>
      <c r="I120" s="10" t="n">
        <v>0.351</v>
      </c>
      <c r="J120" s="0" t="n">
        <v>1.75</v>
      </c>
      <c r="K120" s="13" t="n">
        <f aca="false">IF(H120&lt;&gt;"",H120,IFERROR(G120/INDEX(Players!$M$2:$M$137,MATCH(B120,Players!$A$2:$A$137,0)),""))</f>
        <v>0.86</v>
      </c>
    </row>
    <row r="121" customFormat="false" ht="15" hidden="false" customHeight="false" outlineLevel="0" collapsed="false">
      <c r="A121" s="0" t="s">
        <v>2137</v>
      </c>
      <c r="B121" s="0" t="s">
        <v>1659</v>
      </c>
      <c r="C121" s="0" t="s">
        <v>1285</v>
      </c>
      <c r="D121" s="0" t="s">
        <v>1139</v>
      </c>
      <c r="E121" s="0" t="s">
        <v>81</v>
      </c>
      <c r="F121" s="0" t="n">
        <v>6</v>
      </c>
      <c r="G121" s="0" t="n">
        <v>17.3</v>
      </c>
      <c r="H121" s="0" t="n">
        <v>0.85</v>
      </c>
      <c r="I121" s="10" t="n">
        <v>0.298</v>
      </c>
      <c r="J121" s="0" t="n">
        <v>1.42</v>
      </c>
      <c r="K121" s="13" t="n">
        <f aca="false">IF(H121&lt;&gt;"",H121,IFERROR(G121/INDEX(Players!$M$2:$M$137,MATCH(B121,Players!$A$2:$A$137,0)),""))</f>
        <v>0.85</v>
      </c>
    </row>
    <row r="122" customFormat="false" ht="15" hidden="false" customHeight="false" outlineLevel="0" collapsed="false">
      <c r="A122" s="0" t="s">
        <v>2138</v>
      </c>
      <c r="B122" s="0" t="s">
        <v>1659</v>
      </c>
      <c r="C122" s="0" t="s">
        <v>1285</v>
      </c>
      <c r="D122" s="0" t="s">
        <v>1139</v>
      </c>
      <c r="E122" s="0" t="s">
        <v>108</v>
      </c>
      <c r="F122" s="0" t="n">
        <v>4</v>
      </c>
      <c r="G122" s="0" t="n">
        <v>14.8</v>
      </c>
      <c r="H122" s="0" t="n">
        <v>0.69</v>
      </c>
      <c r="I122" s="10" t="n">
        <v>0.288</v>
      </c>
      <c r="J122" s="0" t="n">
        <v>1.11</v>
      </c>
      <c r="K122" s="13" t="n">
        <f aca="false">IF(H122&lt;&gt;"",H122,IFERROR(G122/INDEX(Players!$M$2:$M$137,MATCH(B122,Players!$A$2:$A$137,0)),""))</f>
        <v>0.69</v>
      </c>
    </row>
    <row r="123" customFormat="false" ht="15" hidden="false" customHeight="false" outlineLevel="0" collapsed="false">
      <c r="A123" s="0" t="s">
        <v>2139</v>
      </c>
      <c r="B123" s="0" t="s">
        <v>1659</v>
      </c>
      <c r="C123" s="0" t="s">
        <v>1285</v>
      </c>
      <c r="D123" s="0" t="s">
        <v>1139</v>
      </c>
      <c r="E123" s="0" t="s">
        <v>139</v>
      </c>
      <c r="F123" s="0" t="n">
        <v>4</v>
      </c>
      <c r="G123" s="0" t="n">
        <v>13.5</v>
      </c>
      <c r="H123" s="0" t="n">
        <v>0.65</v>
      </c>
      <c r="I123" s="10" t="n">
        <v>0.481</v>
      </c>
      <c r="J123" s="0" t="n">
        <v>1</v>
      </c>
      <c r="K123" s="13" t="n">
        <f aca="false">IF(H123&lt;&gt;"",H123,IFERROR(G123/INDEX(Players!$M$2:$M$137,MATCH(B123,Players!$A$2:$A$137,0)),""))</f>
        <v>0.65</v>
      </c>
    </row>
    <row r="124" customFormat="false" ht="15" hidden="false" customHeight="false" outlineLevel="0" collapsed="false">
      <c r="A124" s="0" t="s">
        <v>2140</v>
      </c>
      <c r="B124" s="0" t="s">
        <v>1659</v>
      </c>
      <c r="C124" s="0" t="s">
        <v>1285</v>
      </c>
      <c r="D124" s="0" t="s">
        <v>1139</v>
      </c>
      <c r="E124" s="0" t="s">
        <v>145</v>
      </c>
      <c r="F124" s="0" t="n">
        <v>3</v>
      </c>
      <c r="G124" s="0" t="n">
        <v>15</v>
      </c>
      <c r="H124" s="0" t="n">
        <v>0.8</v>
      </c>
      <c r="I124" s="10" t="n">
        <v>0.356</v>
      </c>
      <c r="J124" s="0" t="n">
        <v>1.61</v>
      </c>
      <c r="K124" s="13" t="n">
        <f aca="false">IF(H124&lt;&gt;"",H124,IFERROR(G124/INDEX(Players!$M$2:$M$137,MATCH(B124,Players!$A$2:$A$137,0)),""))</f>
        <v>0.8</v>
      </c>
    </row>
    <row r="125" customFormat="false" ht="15" hidden="false" customHeight="false" outlineLevel="0" collapsed="false">
      <c r="A125" s="0" t="s">
        <v>2141</v>
      </c>
      <c r="B125" s="0" t="s">
        <v>1659</v>
      </c>
      <c r="C125" s="0" t="s">
        <v>1285</v>
      </c>
      <c r="D125" s="0" t="s">
        <v>1139</v>
      </c>
      <c r="E125" s="0" t="s">
        <v>121</v>
      </c>
      <c r="F125" s="0" t="n">
        <v>3</v>
      </c>
      <c r="G125" s="0" t="n">
        <v>14</v>
      </c>
      <c r="H125" s="0" t="n">
        <v>0.6</v>
      </c>
      <c r="I125" s="10" t="n">
        <v>0.262</v>
      </c>
      <c r="J125" s="0" t="n">
        <v>1.08</v>
      </c>
      <c r="K125" s="13" t="n">
        <f aca="false">IF(H125&lt;&gt;"",H125,IFERROR(G125/INDEX(Players!$M$2:$M$137,MATCH(B125,Players!$A$2:$A$137,0)),""))</f>
        <v>0.6</v>
      </c>
    </row>
    <row r="126" customFormat="false" ht="15" hidden="false" customHeight="false" outlineLevel="0" collapsed="false">
      <c r="A126" s="0" t="s">
        <v>2142</v>
      </c>
      <c r="B126" s="0" t="s">
        <v>1659</v>
      </c>
      <c r="C126" s="0" t="s">
        <v>1285</v>
      </c>
      <c r="D126" s="0" t="s">
        <v>1139</v>
      </c>
      <c r="E126" s="0" t="s">
        <v>129</v>
      </c>
      <c r="F126" s="0" t="n">
        <v>3</v>
      </c>
      <c r="G126" s="0" t="n">
        <v>12.3</v>
      </c>
      <c r="H126" s="0" t="n">
        <v>0.62</v>
      </c>
      <c r="I126" s="10" t="n">
        <v>0.27</v>
      </c>
      <c r="J126" s="0" t="n">
        <v>1.06</v>
      </c>
      <c r="K126" s="13" t="n">
        <f aca="false">IF(H126&lt;&gt;"",H126,IFERROR(G126/INDEX(Players!$M$2:$M$137,MATCH(B126,Players!$A$2:$A$137,0)),""))</f>
        <v>0.62</v>
      </c>
    </row>
    <row r="127" customFormat="false" ht="15" hidden="false" customHeight="false" outlineLevel="0" collapsed="false">
      <c r="A127" s="0" t="s">
        <v>2143</v>
      </c>
      <c r="B127" s="0" t="s">
        <v>1689</v>
      </c>
      <c r="C127" s="0" t="s">
        <v>1364</v>
      </c>
      <c r="D127" s="0" t="s">
        <v>1139</v>
      </c>
      <c r="E127" s="0" t="s">
        <v>81</v>
      </c>
      <c r="F127" s="0" t="n">
        <v>9</v>
      </c>
      <c r="G127" s="0" t="n">
        <v>12.6</v>
      </c>
      <c r="H127" s="0" t="n">
        <v>0.56</v>
      </c>
      <c r="I127" s="10" t="n">
        <v>0.274</v>
      </c>
      <c r="J127" s="0" t="n">
        <v>0.96</v>
      </c>
      <c r="K127" s="13" t="n">
        <f aca="false">IF(H127&lt;&gt;"",H127,IFERROR(G127/INDEX(Players!$M$2:$M$137,MATCH(B127,Players!$A$2:$A$137,0)),""))</f>
        <v>0.56</v>
      </c>
    </row>
    <row r="128" customFormat="false" ht="15" hidden="false" customHeight="false" outlineLevel="0" collapsed="false">
      <c r="A128" s="0" t="s">
        <v>2144</v>
      </c>
      <c r="B128" s="0" t="s">
        <v>1689</v>
      </c>
      <c r="C128" s="0" t="s">
        <v>1364</v>
      </c>
      <c r="D128" s="0" t="s">
        <v>1139</v>
      </c>
      <c r="E128" s="0" t="s">
        <v>95</v>
      </c>
      <c r="F128" s="0" t="n">
        <v>7</v>
      </c>
      <c r="G128" s="0" t="n">
        <v>12.9</v>
      </c>
      <c r="H128" s="0" t="n">
        <v>0.66</v>
      </c>
      <c r="I128" s="10" t="n">
        <v>0.378</v>
      </c>
      <c r="J128" s="0" t="n">
        <v>1.27</v>
      </c>
      <c r="K128" s="13" t="n">
        <f aca="false">IF(H128&lt;&gt;"",H128,IFERROR(G128/INDEX(Players!$M$2:$M$137,MATCH(B128,Players!$A$2:$A$137,0)),""))</f>
        <v>0.66</v>
      </c>
    </row>
    <row r="129" customFormat="false" ht="15" hidden="false" customHeight="false" outlineLevel="0" collapsed="false">
      <c r="A129" s="0" t="s">
        <v>2145</v>
      </c>
      <c r="B129" s="0" t="s">
        <v>1689</v>
      </c>
      <c r="C129" s="0" t="s">
        <v>1364</v>
      </c>
      <c r="D129" s="0" t="s">
        <v>1139</v>
      </c>
      <c r="E129" s="0" t="s">
        <v>108</v>
      </c>
      <c r="F129" s="0" t="n">
        <v>6</v>
      </c>
      <c r="G129" s="0" t="n">
        <v>15.2</v>
      </c>
      <c r="H129" s="0" t="n">
        <v>0.69</v>
      </c>
      <c r="I129" s="10" t="n">
        <v>0.275</v>
      </c>
      <c r="J129" s="0" t="n">
        <v>1.21</v>
      </c>
      <c r="K129" s="13" t="n">
        <f aca="false">IF(H129&lt;&gt;"",H129,IFERROR(G129/INDEX(Players!$M$2:$M$137,MATCH(B129,Players!$A$2:$A$137,0)),""))</f>
        <v>0.69</v>
      </c>
    </row>
    <row r="130" customFormat="false" ht="15" hidden="false" customHeight="false" outlineLevel="0" collapsed="false">
      <c r="A130" s="0" t="s">
        <v>2146</v>
      </c>
      <c r="B130" s="0" t="s">
        <v>1689</v>
      </c>
      <c r="C130" s="0" t="s">
        <v>1364</v>
      </c>
      <c r="D130" s="0" t="s">
        <v>1139</v>
      </c>
      <c r="E130" s="0" t="s">
        <v>139</v>
      </c>
      <c r="F130" s="0" t="n">
        <v>6</v>
      </c>
      <c r="G130" s="0" t="n">
        <v>11.2</v>
      </c>
      <c r="H130" s="0" t="n">
        <v>0.55</v>
      </c>
      <c r="I130" s="10" t="n">
        <v>0.433</v>
      </c>
      <c r="J130" s="0" t="n">
        <v>1.08</v>
      </c>
      <c r="K130" s="13" t="n">
        <f aca="false">IF(H130&lt;&gt;"",H130,IFERROR(G130/INDEX(Players!$M$2:$M$137,MATCH(B130,Players!$A$2:$A$137,0)),""))</f>
        <v>0.55</v>
      </c>
    </row>
    <row r="131" customFormat="false" ht="15" hidden="false" customHeight="false" outlineLevel="0" collapsed="false">
      <c r="A131" s="0" t="s">
        <v>2147</v>
      </c>
      <c r="B131" s="0" t="s">
        <v>1689</v>
      </c>
      <c r="C131" s="0" t="s">
        <v>1364</v>
      </c>
      <c r="D131" s="0" t="s">
        <v>1139</v>
      </c>
      <c r="E131" s="0" t="s">
        <v>145</v>
      </c>
      <c r="F131" s="0" t="n">
        <v>5</v>
      </c>
      <c r="G131" s="0" t="n">
        <v>15</v>
      </c>
      <c r="H131" s="0" t="n">
        <v>0.77</v>
      </c>
      <c r="I131" s="10" t="n">
        <v>0.4</v>
      </c>
      <c r="J131" s="0" t="n">
        <v>1.47</v>
      </c>
      <c r="K131" s="13" t="n">
        <f aca="false">IF(H131&lt;&gt;"",H131,IFERROR(G131/INDEX(Players!$M$2:$M$137,MATCH(B131,Players!$A$2:$A$137,0)),""))</f>
        <v>0.77</v>
      </c>
    </row>
    <row r="132" customFormat="false" ht="15" hidden="false" customHeight="false" outlineLevel="0" collapsed="false">
      <c r="A132" s="0" t="s">
        <v>2148</v>
      </c>
      <c r="B132" s="0" t="s">
        <v>1689</v>
      </c>
      <c r="C132" s="0" t="s">
        <v>1364</v>
      </c>
      <c r="D132" s="0" t="s">
        <v>1139</v>
      </c>
      <c r="E132" s="0" t="s">
        <v>129</v>
      </c>
      <c r="F132" s="0" t="n">
        <v>4</v>
      </c>
      <c r="G132" s="0" t="n">
        <v>12.8</v>
      </c>
      <c r="H132" s="0" t="n">
        <v>0.59</v>
      </c>
      <c r="I132" s="10" t="n">
        <v>0.294</v>
      </c>
      <c r="J132" s="0" t="n">
        <v>0.93</v>
      </c>
      <c r="K132" s="13" t="n">
        <f aca="false">IF(H132&lt;&gt;"",H132,IFERROR(G132/INDEX(Players!$M$2:$M$137,MATCH(B132,Players!$A$2:$A$137,0)),""))</f>
        <v>0.59</v>
      </c>
    </row>
    <row r="133" customFormat="false" ht="15" hidden="false" customHeight="false" outlineLevel="0" collapsed="false">
      <c r="A133" s="0" t="s">
        <v>2149</v>
      </c>
      <c r="B133" s="0" t="s">
        <v>1707</v>
      </c>
      <c r="C133" s="0" t="s">
        <v>1413</v>
      </c>
      <c r="D133" s="0" t="s">
        <v>1139</v>
      </c>
      <c r="E133" s="0" t="s">
        <v>108</v>
      </c>
      <c r="F133" s="0" t="n">
        <v>7</v>
      </c>
      <c r="G133" s="0" t="n">
        <v>17.3</v>
      </c>
      <c r="H133" s="0" t="n">
        <v>0.72</v>
      </c>
      <c r="I133" s="10" t="n">
        <v>0.57</v>
      </c>
      <c r="J133" s="0" t="n">
        <v>1.08</v>
      </c>
      <c r="K133" s="13" t="n">
        <f aca="false">IF(H133&lt;&gt;"",H133,IFERROR(G133/INDEX(Players!$M$2:$M$137,MATCH(B133,Players!$A$2:$A$137,0)),""))</f>
        <v>0.72</v>
      </c>
    </row>
    <row r="134" customFormat="false" ht="15" hidden="false" customHeight="false" outlineLevel="0" collapsed="false">
      <c r="A134" s="0" t="s">
        <v>2150</v>
      </c>
      <c r="B134" s="0" t="s">
        <v>1707</v>
      </c>
      <c r="C134" s="0" t="s">
        <v>1413</v>
      </c>
      <c r="D134" s="0" t="s">
        <v>1139</v>
      </c>
      <c r="E134" s="0" t="s">
        <v>139</v>
      </c>
      <c r="F134" s="0" t="n">
        <v>7</v>
      </c>
      <c r="G134" s="0" t="n">
        <v>14.4</v>
      </c>
      <c r="H134" s="0" t="n">
        <v>0.7</v>
      </c>
      <c r="I134" s="10" t="n">
        <v>0.634</v>
      </c>
      <c r="J134" s="0" t="n">
        <v>1.07</v>
      </c>
      <c r="K134" s="13" t="n">
        <f aca="false">IF(H134&lt;&gt;"",H134,IFERROR(G134/INDEX(Players!$M$2:$M$137,MATCH(B134,Players!$A$2:$A$137,0)),""))</f>
        <v>0.7</v>
      </c>
    </row>
    <row r="135" customFormat="false" ht="15" hidden="false" customHeight="false" outlineLevel="0" collapsed="false">
      <c r="A135" s="0" t="s">
        <v>2151</v>
      </c>
      <c r="B135" s="0" t="s">
        <v>1707</v>
      </c>
      <c r="C135" s="0" t="s">
        <v>1413</v>
      </c>
      <c r="D135" s="0" t="s">
        <v>1139</v>
      </c>
      <c r="E135" s="0" t="s">
        <v>81</v>
      </c>
      <c r="F135" s="0" t="n">
        <v>6</v>
      </c>
      <c r="G135" s="0" t="n">
        <v>17.8</v>
      </c>
      <c r="H135" s="0" t="n">
        <v>0.8</v>
      </c>
      <c r="I135" s="10" t="n">
        <v>0.477</v>
      </c>
      <c r="J135" s="0" t="n">
        <v>1.14</v>
      </c>
      <c r="K135" s="13" t="n">
        <f aca="false">IF(H135&lt;&gt;"",H135,IFERROR(G135/INDEX(Players!$M$2:$M$137,MATCH(B135,Players!$A$2:$A$137,0)),""))</f>
        <v>0.8</v>
      </c>
    </row>
    <row r="136" customFormat="false" ht="15" hidden="false" customHeight="false" outlineLevel="0" collapsed="false">
      <c r="A136" s="0" t="s">
        <v>2152</v>
      </c>
      <c r="B136" s="0" t="s">
        <v>1707</v>
      </c>
      <c r="C136" s="0" t="s">
        <v>1413</v>
      </c>
      <c r="D136" s="0" t="s">
        <v>1139</v>
      </c>
      <c r="E136" s="0" t="s">
        <v>145</v>
      </c>
      <c r="F136" s="0" t="n">
        <v>6</v>
      </c>
      <c r="G136" s="0" t="n">
        <v>16.8</v>
      </c>
      <c r="H136" s="0" t="n">
        <v>0.78</v>
      </c>
      <c r="I136" s="10" t="n">
        <v>0.663</v>
      </c>
      <c r="J136" s="0" t="n">
        <v>1.09</v>
      </c>
      <c r="K136" s="13" t="n">
        <f aca="false">IF(H136&lt;&gt;"",H136,IFERROR(G136/INDEX(Players!$M$2:$M$137,MATCH(B136,Players!$A$2:$A$137,0)),""))</f>
        <v>0.78</v>
      </c>
    </row>
    <row r="137" customFormat="false" ht="15" hidden="false" customHeight="false" outlineLevel="0" collapsed="false">
      <c r="A137" s="0" t="s">
        <v>2153</v>
      </c>
      <c r="B137" s="0" t="s">
        <v>1707</v>
      </c>
      <c r="C137" s="0" t="s">
        <v>1413</v>
      </c>
      <c r="D137" s="0" t="s">
        <v>1139</v>
      </c>
      <c r="E137" s="0" t="s">
        <v>129</v>
      </c>
      <c r="F137" s="0" t="n">
        <v>6</v>
      </c>
      <c r="G137" s="0" t="n">
        <v>16.8</v>
      </c>
      <c r="H137" s="0" t="n">
        <v>0.74</v>
      </c>
      <c r="I137" s="10" t="n">
        <v>0.574</v>
      </c>
      <c r="J137" s="0" t="n">
        <v>1.06</v>
      </c>
      <c r="K137" s="13" t="n">
        <f aca="false">IF(H137&lt;&gt;"",H137,IFERROR(G137/INDEX(Players!$M$2:$M$137,MATCH(B137,Players!$A$2:$A$137,0)),""))</f>
        <v>0.74</v>
      </c>
    </row>
    <row r="138" customFormat="false" ht="15" hidden="false" customHeight="false" outlineLevel="0" collapsed="false">
      <c r="A138" s="0" t="s">
        <v>2154</v>
      </c>
      <c r="B138" s="0" t="s">
        <v>1707</v>
      </c>
      <c r="C138" s="0" t="s">
        <v>1413</v>
      </c>
      <c r="D138" s="0" t="s">
        <v>1139</v>
      </c>
      <c r="E138" s="0" t="s">
        <v>121</v>
      </c>
      <c r="F138" s="0" t="n">
        <v>3</v>
      </c>
      <c r="G138" s="0" t="n">
        <v>17</v>
      </c>
      <c r="H138" s="0" t="n">
        <v>0.76</v>
      </c>
      <c r="I138" s="10" t="n">
        <v>0.51</v>
      </c>
      <c r="J138" s="0" t="n">
        <v>1.11</v>
      </c>
      <c r="K138" s="13" t="n">
        <f aca="false">IF(H138&lt;&gt;"",H138,IFERROR(G138/INDEX(Players!$M$2:$M$137,MATCH(B138,Players!$A$2:$A$137,0)),""))</f>
        <v>0.76</v>
      </c>
    </row>
    <row r="139" customFormat="false" ht="15" hidden="false" customHeight="false" outlineLevel="0" collapsed="false">
      <c r="A139" s="0" t="s">
        <v>2155</v>
      </c>
      <c r="B139" s="0" t="s">
        <v>1683</v>
      </c>
      <c r="C139" s="0" t="s">
        <v>1348</v>
      </c>
      <c r="D139" s="0" t="s">
        <v>1139</v>
      </c>
      <c r="E139" s="0" t="s">
        <v>95</v>
      </c>
      <c r="F139" s="0" t="n">
        <v>9</v>
      </c>
      <c r="G139" s="0" t="n">
        <v>16.6</v>
      </c>
      <c r="H139" s="0" t="n">
        <v>0.73</v>
      </c>
      <c r="I139" s="10" t="n">
        <v>0.611</v>
      </c>
      <c r="J139" s="0" t="n">
        <v>1.17</v>
      </c>
      <c r="K139" s="13" t="n">
        <f aca="false">IF(H139&lt;&gt;"",H139,IFERROR(G139/INDEX(Players!$M$2:$M$137,MATCH(B139,Players!$A$2:$A$137,0)),""))</f>
        <v>0.73</v>
      </c>
    </row>
    <row r="140" customFormat="false" ht="15" hidden="false" customHeight="false" outlineLevel="0" collapsed="false">
      <c r="A140" s="0" t="s">
        <v>2156</v>
      </c>
      <c r="B140" s="0" t="s">
        <v>1683</v>
      </c>
      <c r="C140" s="0" t="s">
        <v>1348</v>
      </c>
      <c r="D140" s="0" t="s">
        <v>1139</v>
      </c>
      <c r="E140" s="0" t="s">
        <v>121</v>
      </c>
      <c r="F140" s="0" t="n">
        <v>8</v>
      </c>
      <c r="G140" s="0" t="n">
        <v>10.1</v>
      </c>
      <c r="H140" s="0" t="n">
        <v>0.53</v>
      </c>
      <c r="I140" s="10" t="n">
        <v>0.58</v>
      </c>
      <c r="J140" s="0" t="n">
        <v>0.72</v>
      </c>
      <c r="K140" s="13" t="n">
        <f aca="false">IF(H140&lt;&gt;"",H140,IFERROR(G140/INDEX(Players!$M$2:$M$137,MATCH(B140,Players!$A$2:$A$137,0)),""))</f>
        <v>0.53</v>
      </c>
    </row>
    <row r="141" customFormat="false" ht="15" hidden="false" customHeight="false" outlineLevel="0" collapsed="false">
      <c r="A141" s="0" t="s">
        <v>2157</v>
      </c>
      <c r="B141" s="0" t="s">
        <v>1683</v>
      </c>
      <c r="C141" s="0" t="s">
        <v>1348</v>
      </c>
      <c r="D141" s="0" t="s">
        <v>1139</v>
      </c>
      <c r="E141" s="0" t="s">
        <v>129</v>
      </c>
      <c r="F141" s="0" t="n">
        <v>7</v>
      </c>
      <c r="G141" s="0" t="n">
        <v>16.3</v>
      </c>
      <c r="H141" s="0" t="n">
        <v>0.74</v>
      </c>
      <c r="I141" s="10" t="n">
        <v>0.526</v>
      </c>
      <c r="J141" s="0" t="n">
        <v>1.09</v>
      </c>
      <c r="K141" s="13" t="n">
        <f aca="false">IF(H141&lt;&gt;"",H141,IFERROR(G141/INDEX(Players!$M$2:$M$137,MATCH(B141,Players!$A$2:$A$137,0)),""))</f>
        <v>0.74</v>
      </c>
    </row>
    <row r="142" customFormat="false" ht="15" hidden="false" customHeight="false" outlineLevel="0" collapsed="false">
      <c r="A142" s="0" t="s">
        <v>2158</v>
      </c>
      <c r="B142" s="0" t="s">
        <v>1683</v>
      </c>
      <c r="C142" s="0" t="s">
        <v>1348</v>
      </c>
      <c r="D142" s="0" t="s">
        <v>1139</v>
      </c>
      <c r="E142" s="0" t="s">
        <v>81</v>
      </c>
      <c r="F142" s="0" t="n">
        <v>6</v>
      </c>
      <c r="G142" s="0" t="n">
        <v>14.7</v>
      </c>
      <c r="H142" s="0" t="n">
        <v>0.64</v>
      </c>
      <c r="I142" s="10" t="n">
        <v>0.614</v>
      </c>
      <c r="J142" s="0" t="n">
        <v>0.95</v>
      </c>
      <c r="K142" s="13" t="n">
        <f aca="false">IF(H142&lt;&gt;"",H142,IFERROR(G142/INDEX(Players!$M$2:$M$137,MATCH(B142,Players!$A$2:$A$137,0)),""))</f>
        <v>0.64</v>
      </c>
    </row>
    <row r="143" customFormat="false" ht="15" hidden="false" customHeight="false" outlineLevel="0" collapsed="false">
      <c r="A143" s="0" t="s">
        <v>2159</v>
      </c>
      <c r="B143" s="0" t="s">
        <v>1683</v>
      </c>
      <c r="C143" s="0" t="s">
        <v>1348</v>
      </c>
      <c r="D143" s="0" t="s">
        <v>1139</v>
      </c>
      <c r="E143" s="0" t="s">
        <v>108</v>
      </c>
      <c r="F143" s="0" t="n">
        <v>4</v>
      </c>
      <c r="G143" s="0" t="n">
        <v>13.5</v>
      </c>
      <c r="H143" s="0" t="n">
        <v>0.66</v>
      </c>
      <c r="I143" s="10" t="n">
        <v>0.556</v>
      </c>
      <c r="J143" s="0" t="n">
        <v>1.1</v>
      </c>
      <c r="K143" s="13" t="n">
        <f aca="false">IF(H143&lt;&gt;"",H143,IFERROR(G143/INDEX(Players!$M$2:$M$137,MATCH(B143,Players!$A$2:$A$137,0)),""))</f>
        <v>0.66</v>
      </c>
    </row>
    <row r="144" customFormat="false" ht="15" hidden="false" customHeight="false" outlineLevel="0" collapsed="false">
      <c r="A144" s="0" t="s">
        <v>2160</v>
      </c>
      <c r="B144" s="0" t="s">
        <v>1683</v>
      </c>
      <c r="C144" s="0" t="s">
        <v>1348</v>
      </c>
      <c r="D144" s="0" t="s">
        <v>1139</v>
      </c>
      <c r="E144" s="0" t="s">
        <v>145</v>
      </c>
      <c r="F144" s="0" t="n">
        <v>3</v>
      </c>
      <c r="G144" s="0" t="n">
        <v>9.7</v>
      </c>
      <c r="H144" s="0" t="n">
        <v>0.57</v>
      </c>
      <c r="I144" s="10" t="n">
        <v>0.621</v>
      </c>
      <c r="J144" s="0" t="n">
        <v>0.94</v>
      </c>
      <c r="K144" s="13" t="n">
        <f aca="false">IF(H144&lt;&gt;"",H144,IFERROR(G144/INDEX(Players!$M$2:$M$137,MATCH(B144,Players!$A$2:$A$137,0)),""))</f>
        <v>0.57</v>
      </c>
    </row>
    <row r="145" customFormat="false" ht="15" hidden="false" customHeight="false" outlineLevel="0" collapsed="false">
      <c r="A145" s="0" t="s">
        <v>2161</v>
      </c>
      <c r="B145" s="0" t="s">
        <v>1723</v>
      </c>
      <c r="C145" s="0" t="s">
        <v>1448</v>
      </c>
      <c r="D145" s="0" t="s">
        <v>1139</v>
      </c>
      <c r="E145" s="0" t="s">
        <v>81</v>
      </c>
      <c r="F145" s="0" t="n">
        <v>10</v>
      </c>
      <c r="G145" s="0" t="n">
        <v>13.5</v>
      </c>
      <c r="H145" s="0" t="n">
        <v>0.63</v>
      </c>
      <c r="I145" s="10" t="n">
        <v>0.57</v>
      </c>
      <c r="J145" s="0" t="n">
        <v>0.92</v>
      </c>
      <c r="K145" s="13" t="n">
        <f aca="false">IF(H145&lt;&gt;"",H145,IFERROR(G145/INDEX(Players!$M$2:$M$137,MATCH(B145,Players!$A$2:$A$137,0)),""))</f>
        <v>0.63</v>
      </c>
    </row>
    <row r="146" customFormat="false" ht="15" hidden="false" customHeight="false" outlineLevel="0" collapsed="false">
      <c r="A146" s="0" t="s">
        <v>2162</v>
      </c>
      <c r="B146" s="0" t="s">
        <v>1723</v>
      </c>
      <c r="C146" s="0" t="s">
        <v>1448</v>
      </c>
      <c r="D146" s="0" t="s">
        <v>1139</v>
      </c>
      <c r="E146" s="0" t="s">
        <v>95</v>
      </c>
      <c r="F146" s="0" t="n">
        <v>9</v>
      </c>
      <c r="G146" s="0" t="n">
        <v>13.3</v>
      </c>
      <c r="H146" s="0" t="n">
        <v>0.56</v>
      </c>
      <c r="I146" s="10" t="n">
        <v>0.533</v>
      </c>
      <c r="J146" s="0" t="n">
        <v>0.85</v>
      </c>
      <c r="K146" s="13" t="n">
        <f aca="false">IF(H146&lt;&gt;"",H146,IFERROR(G146/INDEX(Players!$M$2:$M$137,MATCH(B146,Players!$A$2:$A$137,0)),""))</f>
        <v>0.56</v>
      </c>
    </row>
    <row r="147" customFormat="false" ht="15" hidden="false" customHeight="false" outlineLevel="0" collapsed="false">
      <c r="A147" s="0" t="s">
        <v>2163</v>
      </c>
      <c r="B147" s="0" t="s">
        <v>1723</v>
      </c>
      <c r="C147" s="0" t="s">
        <v>1448</v>
      </c>
      <c r="D147" s="0" t="s">
        <v>1139</v>
      </c>
      <c r="E147" s="0" t="s">
        <v>108</v>
      </c>
      <c r="F147" s="0" t="n">
        <v>6</v>
      </c>
      <c r="G147" s="0" t="n">
        <v>17.2</v>
      </c>
      <c r="H147" s="0" t="n">
        <v>0.77</v>
      </c>
      <c r="I147" s="10" t="n">
        <v>0.583</v>
      </c>
      <c r="J147" s="0" t="n">
        <v>1.26</v>
      </c>
      <c r="K147" s="13" t="n">
        <f aca="false">IF(H147&lt;&gt;"",H147,IFERROR(G147/INDEX(Players!$M$2:$M$137,MATCH(B147,Players!$A$2:$A$137,0)),""))</f>
        <v>0.77</v>
      </c>
    </row>
    <row r="148" customFormat="false" ht="15" hidden="false" customHeight="false" outlineLevel="0" collapsed="false">
      <c r="A148" s="0" t="s">
        <v>2164</v>
      </c>
      <c r="B148" s="0" t="s">
        <v>1723</v>
      </c>
      <c r="C148" s="0" t="s">
        <v>1448</v>
      </c>
      <c r="D148" s="0" t="s">
        <v>1139</v>
      </c>
      <c r="E148" s="0" t="s">
        <v>121</v>
      </c>
      <c r="F148" s="0" t="n">
        <v>5</v>
      </c>
      <c r="G148" s="0" t="n">
        <v>15</v>
      </c>
      <c r="H148" s="0" t="n">
        <v>0.69</v>
      </c>
      <c r="I148" s="10" t="n">
        <v>0.6</v>
      </c>
      <c r="J148" s="0" t="n">
        <v>1.15</v>
      </c>
      <c r="K148" s="13" t="n">
        <f aca="false">IF(H148&lt;&gt;"",H148,IFERROR(G148/INDEX(Players!$M$2:$M$137,MATCH(B148,Players!$A$2:$A$137,0)),""))</f>
        <v>0.69</v>
      </c>
    </row>
    <row r="149" customFormat="false" ht="15" hidden="false" customHeight="false" outlineLevel="0" collapsed="false">
      <c r="A149" s="0" t="s">
        <v>2165</v>
      </c>
      <c r="B149" s="0" t="s">
        <v>1723</v>
      </c>
      <c r="C149" s="0" t="s">
        <v>1448</v>
      </c>
      <c r="D149" s="0" t="s">
        <v>1139</v>
      </c>
      <c r="E149" s="0" t="s">
        <v>145</v>
      </c>
      <c r="F149" s="0" t="n">
        <v>5</v>
      </c>
      <c r="G149" s="0" t="n">
        <v>9.6</v>
      </c>
      <c r="H149" s="0" t="n">
        <v>0.45</v>
      </c>
      <c r="I149" s="10" t="n">
        <v>0.688</v>
      </c>
      <c r="J149" s="0" t="n">
        <v>0.67</v>
      </c>
      <c r="K149" s="13" t="n">
        <f aca="false">IF(H149&lt;&gt;"",H149,IFERROR(G149/INDEX(Players!$M$2:$M$137,MATCH(B149,Players!$A$2:$A$137,0)),""))</f>
        <v>0.45</v>
      </c>
    </row>
    <row r="150" customFormat="false" ht="15" hidden="false" customHeight="false" outlineLevel="0" collapsed="false">
      <c r="A150" s="0" t="s">
        <v>2166</v>
      </c>
      <c r="B150" s="0" t="s">
        <v>1723</v>
      </c>
      <c r="C150" s="0" t="s">
        <v>1448</v>
      </c>
      <c r="D150" s="0" t="s">
        <v>1139</v>
      </c>
      <c r="E150" s="0" t="s">
        <v>129</v>
      </c>
      <c r="F150" s="0" t="n">
        <v>2</v>
      </c>
      <c r="G150" s="0" t="n">
        <v>13.5</v>
      </c>
      <c r="H150" s="0" t="n">
        <v>0.66</v>
      </c>
      <c r="I150" s="10" t="n">
        <v>0.37</v>
      </c>
      <c r="J150" s="0" t="n">
        <v>1.23</v>
      </c>
      <c r="K150" s="13" t="n">
        <f aca="false">IF(H150&lt;&gt;"",H150,IFERROR(G150/INDEX(Players!$M$2:$M$137,MATCH(B150,Players!$A$2:$A$137,0)),""))</f>
        <v>0.66</v>
      </c>
    </row>
    <row r="151" customFormat="false" ht="15" hidden="false" customHeight="false" outlineLevel="0" collapsed="false">
      <c r="A151" s="0" t="s">
        <v>2167</v>
      </c>
      <c r="B151" s="0" t="s">
        <v>1679</v>
      </c>
      <c r="C151" s="0" t="s">
        <v>1339</v>
      </c>
      <c r="D151" s="0" t="s">
        <v>1139</v>
      </c>
      <c r="E151" s="0" t="s">
        <v>108</v>
      </c>
      <c r="F151" s="0" t="n">
        <v>9</v>
      </c>
      <c r="G151" s="0" t="n">
        <v>13</v>
      </c>
      <c r="H151" s="0" t="n">
        <v>0.64</v>
      </c>
      <c r="I151" s="10" t="n">
        <v>0.65</v>
      </c>
      <c r="J151" s="0" t="n">
        <v>1.05</v>
      </c>
      <c r="K151" s="13" t="n">
        <f aca="false">IF(H151&lt;&gt;"",H151,IFERROR(G151/INDEX(Players!$M$2:$M$137,MATCH(B151,Players!$A$2:$A$137,0)),""))</f>
        <v>0.64</v>
      </c>
    </row>
    <row r="152" customFormat="false" ht="15" hidden="false" customHeight="false" outlineLevel="0" collapsed="false">
      <c r="A152" s="0" t="s">
        <v>2168</v>
      </c>
      <c r="B152" s="0" t="s">
        <v>1679</v>
      </c>
      <c r="C152" s="0" t="s">
        <v>1339</v>
      </c>
      <c r="D152" s="0" t="s">
        <v>1139</v>
      </c>
      <c r="E152" s="0" t="s">
        <v>95</v>
      </c>
      <c r="F152" s="0" t="n">
        <v>6</v>
      </c>
      <c r="G152" s="0" t="n">
        <v>17</v>
      </c>
      <c r="H152" s="0" t="n">
        <v>0.81</v>
      </c>
      <c r="I152" s="10" t="n">
        <v>0.696</v>
      </c>
      <c r="J152" s="0" t="n">
        <v>1.42</v>
      </c>
      <c r="K152" s="13" t="n">
        <f aca="false">IF(H152&lt;&gt;"",H152,IFERROR(G152/INDEX(Players!$M$2:$M$137,MATCH(B152,Players!$A$2:$A$137,0)),""))</f>
        <v>0.81</v>
      </c>
    </row>
    <row r="153" customFormat="false" ht="15" hidden="false" customHeight="false" outlineLevel="0" collapsed="false">
      <c r="A153" s="0" t="s">
        <v>2169</v>
      </c>
      <c r="B153" s="0" t="s">
        <v>1679</v>
      </c>
      <c r="C153" s="0" t="s">
        <v>1339</v>
      </c>
      <c r="D153" s="0" t="s">
        <v>1139</v>
      </c>
      <c r="E153" s="0" t="s">
        <v>81</v>
      </c>
      <c r="F153" s="0" t="n">
        <v>6</v>
      </c>
      <c r="G153" s="0" t="n">
        <v>16.7</v>
      </c>
      <c r="H153" s="0" t="n">
        <v>0.72</v>
      </c>
      <c r="I153" s="10" t="n">
        <v>0.68</v>
      </c>
      <c r="J153" s="0" t="n">
        <v>1.11</v>
      </c>
      <c r="K153" s="13" t="n">
        <f aca="false">IF(H153&lt;&gt;"",H153,IFERROR(G153/INDEX(Players!$M$2:$M$137,MATCH(B153,Players!$A$2:$A$137,0)),""))</f>
        <v>0.72</v>
      </c>
    </row>
    <row r="154" customFormat="false" ht="15" hidden="false" customHeight="false" outlineLevel="0" collapsed="false">
      <c r="A154" s="0" t="s">
        <v>2170</v>
      </c>
      <c r="B154" s="0" t="s">
        <v>1679</v>
      </c>
      <c r="C154" s="0" t="s">
        <v>1339</v>
      </c>
      <c r="D154" s="0" t="s">
        <v>1139</v>
      </c>
      <c r="E154" s="0" t="s">
        <v>139</v>
      </c>
      <c r="F154" s="0" t="n">
        <v>4</v>
      </c>
      <c r="G154" s="0" t="n">
        <v>18.5</v>
      </c>
      <c r="H154" s="0" t="n">
        <v>0.74</v>
      </c>
      <c r="I154" s="10" t="n">
        <v>0.649</v>
      </c>
      <c r="J154" s="0" t="n">
        <v>1.06</v>
      </c>
      <c r="K154" s="13" t="n">
        <f aca="false">IF(H154&lt;&gt;"",H154,IFERROR(G154/INDEX(Players!$M$2:$M$137,MATCH(B154,Players!$A$2:$A$137,0)),""))</f>
        <v>0.74</v>
      </c>
    </row>
    <row r="155" customFormat="false" ht="15" hidden="false" customHeight="false" outlineLevel="0" collapsed="false">
      <c r="A155" s="0" t="s">
        <v>2171</v>
      </c>
      <c r="B155" s="0" t="s">
        <v>1679</v>
      </c>
      <c r="C155" s="0" t="s">
        <v>1339</v>
      </c>
      <c r="D155" s="0" t="s">
        <v>1139</v>
      </c>
      <c r="E155" s="0" t="s">
        <v>129</v>
      </c>
      <c r="F155" s="0" t="n">
        <v>3</v>
      </c>
      <c r="G155" s="0" t="n">
        <v>15</v>
      </c>
      <c r="H155" s="0" t="n">
        <v>0.68</v>
      </c>
      <c r="I155" s="10" t="n">
        <v>0.667</v>
      </c>
      <c r="J155" s="0" t="n">
        <v>1.13</v>
      </c>
      <c r="K155" s="13" t="n">
        <f aca="false">IF(H155&lt;&gt;"",H155,IFERROR(G155/INDEX(Players!$M$2:$M$137,MATCH(B155,Players!$A$2:$A$137,0)),""))</f>
        <v>0.68</v>
      </c>
    </row>
    <row r="156" customFormat="false" ht="15" hidden="false" customHeight="false" outlineLevel="0" collapsed="false">
      <c r="A156" s="0" t="s">
        <v>2172</v>
      </c>
      <c r="B156" s="0" t="s">
        <v>1679</v>
      </c>
      <c r="C156" s="0" t="s">
        <v>1339</v>
      </c>
      <c r="D156" s="0" t="s">
        <v>1139</v>
      </c>
      <c r="E156" s="0" t="s">
        <v>145</v>
      </c>
      <c r="F156" s="0" t="n">
        <v>2</v>
      </c>
      <c r="G156" s="0" t="n">
        <v>9</v>
      </c>
      <c r="H156" s="0" t="n">
        <v>0.51</v>
      </c>
      <c r="I156" s="10" t="n">
        <v>0.778</v>
      </c>
      <c r="J156" s="0" t="n">
        <v>0.64</v>
      </c>
      <c r="K156" s="13" t="n">
        <f aca="false">IF(H156&lt;&gt;"",H156,IFERROR(G156/INDEX(Players!$M$2:$M$137,MATCH(B156,Players!$A$2:$A$137,0)),""))</f>
        <v>0.51</v>
      </c>
    </row>
    <row r="157" customFormat="false" ht="15" hidden="false" customHeight="false" outlineLevel="0" collapsed="false">
      <c r="A157" s="0" t="s">
        <v>2173</v>
      </c>
      <c r="B157" s="0" t="s">
        <v>1702</v>
      </c>
      <c r="C157" s="0" t="s">
        <v>1402</v>
      </c>
      <c r="D157" s="0" t="s">
        <v>1139</v>
      </c>
      <c r="E157" s="0" t="s">
        <v>108</v>
      </c>
      <c r="F157" s="0" t="n">
        <v>9</v>
      </c>
      <c r="G157" s="0" t="n">
        <v>11.6</v>
      </c>
      <c r="H157" s="0" t="n">
        <v>0.57</v>
      </c>
      <c r="I157" s="10" t="n">
        <v>0.519</v>
      </c>
      <c r="J157" s="0" t="n">
        <v>0.98</v>
      </c>
      <c r="K157" s="13" t="n">
        <f aca="false">IF(H157&lt;&gt;"",H157,IFERROR(G157/INDEX(Players!$M$2:$M$137,MATCH(B157,Players!$A$2:$A$137,0)),""))</f>
        <v>0.57</v>
      </c>
    </row>
    <row r="158" customFormat="false" ht="15" hidden="false" customHeight="false" outlineLevel="0" collapsed="false">
      <c r="A158" s="0" t="s">
        <v>2174</v>
      </c>
      <c r="B158" s="0" t="s">
        <v>1702</v>
      </c>
      <c r="C158" s="0" t="s">
        <v>1402</v>
      </c>
      <c r="D158" s="0" t="s">
        <v>1139</v>
      </c>
      <c r="E158" s="0" t="s">
        <v>139</v>
      </c>
      <c r="F158" s="0" t="n">
        <v>8</v>
      </c>
      <c r="G158" s="0" t="n">
        <v>12.9</v>
      </c>
      <c r="H158" s="0" t="n">
        <v>0.65</v>
      </c>
      <c r="I158" s="10" t="n">
        <v>0.544</v>
      </c>
      <c r="J158" s="0" t="n">
        <v>1.1</v>
      </c>
      <c r="K158" s="13" t="n">
        <f aca="false">IF(H158&lt;&gt;"",H158,IFERROR(G158/INDEX(Players!$M$2:$M$137,MATCH(B158,Players!$A$2:$A$137,0)),""))</f>
        <v>0.65</v>
      </c>
    </row>
    <row r="159" customFormat="false" ht="15" hidden="false" customHeight="false" outlineLevel="0" collapsed="false">
      <c r="A159" s="0" t="s">
        <v>2175</v>
      </c>
      <c r="B159" s="0" t="s">
        <v>1702</v>
      </c>
      <c r="C159" s="0" t="s">
        <v>1402</v>
      </c>
      <c r="D159" s="0" t="s">
        <v>1139</v>
      </c>
      <c r="E159" s="0" t="s">
        <v>145</v>
      </c>
      <c r="F159" s="0" t="n">
        <v>6</v>
      </c>
      <c r="G159" s="0" t="n">
        <v>11.7</v>
      </c>
      <c r="H159" s="0" t="n">
        <v>0.53</v>
      </c>
      <c r="I159" s="10" t="n">
        <v>0.486</v>
      </c>
      <c r="J159" s="0" t="n">
        <v>0.76</v>
      </c>
      <c r="K159" s="13" t="n">
        <f aca="false">IF(H159&lt;&gt;"",H159,IFERROR(G159/INDEX(Players!$M$2:$M$137,MATCH(B159,Players!$A$2:$A$137,0)),""))</f>
        <v>0.53</v>
      </c>
    </row>
    <row r="160" customFormat="false" ht="15" hidden="false" customHeight="false" outlineLevel="0" collapsed="false">
      <c r="A160" s="0" t="s">
        <v>2176</v>
      </c>
      <c r="B160" s="0" t="s">
        <v>1702</v>
      </c>
      <c r="C160" s="0" t="s">
        <v>1402</v>
      </c>
      <c r="D160" s="0" t="s">
        <v>1139</v>
      </c>
      <c r="E160" s="0" t="s">
        <v>81</v>
      </c>
      <c r="F160" s="0" t="n">
        <v>6</v>
      </c>
      <c r="G160" s="0" t="n">
        <v>11.7</v>
      </c>
      <c r="H160" s="0" t="n">
        <v>0.49</v>
      </c>
      <c r="I160" s="10" t="n">
        <v>0.571</v>
      </c>
      <c r="J160" s="0" t="n">
        <v>0.72</v>
      </c>
      <c r="K160" s="13" t="n">
        <f aca="false">IF(H160&lt;&gt;"",H160,IFERROR(G160/INDEX(Players!$M$2:$M$137,MATCH(B160,Players!$A$2:$A$137,0)),""))</f>
        <v>0.49</v>
      </c>
    </row>
    <row r="161" customFormat="false" ht="15" hidden="false" customHeight="false" outlineLevel="0" collapsed="false">
      <c r="A161" s="0" t="s">
        <v>2177</v>
      </c>
      <c r="B161" s="0" t="s">
        <v>1702</v>
      </c>
      <c r="C161" s="0" t="s">
        <v>1402</v>
      </c>
      <c r="D161" s="0" t="s">
        <v>1139</v>
      </c>
      <c r="E161" s="0" t="s">
        <v>95</v>
      </c>
      <c r="F161" s="0" t="n">
        <v>4</v>
      </c>
      <c r="G161" s="0" t="n">
        <v>11.3</v>
      </c>
      <c r="H161" s="0" t="n">
        <v>0.57</v>
      </c>
      <c r="I161" s="10" t="n">
        <v>0.578</v>
      </c>
      <c r="J161" s="0" t="n">
        <v>0.92</v>
      </c>
      <c r="K161" s="13" t="n">
        <f aca="false">IF(H161&lt;&gt;"",H161,IFERROR(G161/INDEX(Players!$M$2:$M$137,MATCH(B161,Players!$A$2:$A$137,0)),""))</f>
        <v>0.57</v>
      </c>
    </row>
    <row r="162" customFormat="false" ht="15" hidden="false" customHeight="false" outlineLevel="0" collapsed="false">
      <c r="A162" s="0" t="s">
        <v>2178</v>
      </c>
      <c r="B162" s="0" t="s">
        <v>1702</v>
      </c>
      <c r="C162" s="0" t="s">
        <v>1402</v>
      </c>
      <c r="D162" s="0" t="s">
        <v>1139</v>
      </c>
      <c r="E162" s="0" t="s">
        <v>129</v>
      </c>
      <c r="F162" s="0" t="n">
        <v>4</v>
      </c>
      <c r="G162" s="0" t="n">
        <v>9.5</v>
      </c>
      <c r="H162" s="0" t="n">
        <v>0.43</v>
      </c>
      <c r="I162" s="10" t="n">
        <v>0.553</v>
      </c>
      <c r="J162" s="0" t="n">
        <v>0.6</v>
      </c>
      <c r="K162" s="13" t="n">
        <f aca="false">IF(H162&lt;&gt;"",H162,IFERROR(G162/INDEX(Players!$M$2:$M$137,MATCH(B162,Players!$A$2:$A$137,0)),""))</f>
        <v>0.43</v>
      </c>
    </row>
    <row r="163" customFormat="false" ht="15" hidden="false" customHeight="false" outlineLevel="0" collapsed="false">
      <c r="A163" s="0" t="s">
        <v>2179</v>
      </c>
      <c r="B163" s="0" t="s">
        <v>1713</v>
      </c>
      <c r="C163" s="0" t="s">
        <v>1425</v>
      </c>
      <c r="D163" s="0" t="s">
        <v>1139</v>
      </c>
      <c r="E163" s="0" t="s">
        <v>129</v>
      </c>
      <c r="F163" s="0" t="n">
        <v>12</v>
      </c>
      <c r="G163" s="0" t="n">
        <v>13.9</v>
      </c>
      <c r="H163" s="0" t="n">
        <v>0.65</v>
      </c>
      <c r="I163" s="10" t="n">
        <v>0.575</v>
      </c>
      <c r="J163" s="0" t="n">
        <v>1.02</v>
      </c>
      <c r="K163" s="13" t="n">
        <f aca="false">IF(H163&lt;&gt;"",H163,IFERROR(G163/INDEX(Players!$M$2:$M$137,MATCH(B163,Players!$A$2:$A$137,0)),""))</f>
        <v>0.65</v>
      </c>
    </row>
    <row r="164" customFormat="false" ht="15" hidden="false" customHeight="false" outlineLevel="0" collapsed="false">
      <c r="A164" s="0" t="s">
        <v>2180</v>
      </c>
      <c r="B164" s="0" t="s">
        <v>1713</v>
      </c>
      <c r="C164" s="0" t="s">
        <v>1425</v>
      </c>
      <c r="D164" s="0" t="s">
        <v>1139</v>
      </c>
      <c r="E164" s="0" t="s">
        <v>108</v>
      </c>
      <c r="F164" s="0" t="n">
        <v>10</v>
      </c>
      <c r="G164" s="0" t="n">
        <v>13.8</v>
      </c>
      <c r="H164" s="0" t="n">
        <v>0.65</v>
      </c>
      <c r="I164" s="10" t="n">
        <v>0.551</v>
      </c>
      <c r="J164" s="0" t="n">
        <v>0.93</v>
      </c>
      <c r="K164" s="13" t="n">
        <f aca="false">IF(H164&lt;&gt;"",H164,IFERROR(G164/INDEX(Players!$M$2:$M$137,MATCH(B164,Players!$A$2:$A$137,0)),""))</f>
        <v>0.65</v>
      </c>
    </row>
    <row r="165" customFormat="false" ht="15" hidden="false" customHeight="false" outlineLevel="0" collapsed="false">
      <c r="A165" s="0" t="s">
        <v>2181</v>
      </c>
      <c r="B165" s="0" t="s">
        <v>1713</v>
      </c>
      <c r="C165" s="0" t="s">
        <v>1425</v>
      </c>
      <c r="D165" s="0" t="s">
        <v>1139</v>
      </c>
      <c r="E165" s="0" t="s">
        <v>81</v>
      </c>
      <c r="F165" s="0" t="n">
        <v>6</v>
      </c>
      <c r="G165" s="0" t="n">
        <v>15.5</v>
      </c>
      <c r="H165" s="0" t="n">
        <v>0.68</v>
      </c>
      <c r="I165" s="10" t="n">
        <v>0.645</v>
      </c>
      <c r="J165" s="0" t="n">
        <v>1.02</v>
      </c>
      <c r="K165" s="13" t="n">
        <f aca="false">IF(H165&lt;&gt;"",H165,IFERROR(G165/INDEX(Players!$M$2:$M$137,MATCH(B165,Players!$A$2:$A$137,0)),""))</f>
        <v>0.68</v>
      </c>
    </row>
    <row r="166" customFormat="false" ht="15" hidden="false" customHeight="false" outlineLevel="0" collapsed="false">
      <c r="A166" s="0" t="s">
        <v>2182</v>
      </c>
      <c r="B166" s="0" t="s">
        <v>1713</v>
      </c>
      <c r="C166" s="0" t="s">
        <v>1425</v>
      </c>
      <c r="D166" s="0" t="s">
        <v>1139</v>
      </c>
      <c r="E166" s="0" t="s">
        <v>139</v>
      </c>
      <c r="F166" s="0" t="n">
        <v>5</v>
      </c>
      <c r="G166" s="0" t="n">
        <v>15.6</v>
      </c>
      <c r="H166" s="0" t="n">
        <v>0.71</v>
      </c>
      <c r="I166" s="10" t="n">
        <v>0.436</v>
      </c>
      <c r="J166" s="0" t="n">
        <v>1.1</v>
      </c>
      <c r="K166" s="13" t="n">
        <f aca="false">IF(H166&lt;&gt;"",H166,IFERROR(G166/INDEX(Players!$M$2:$M$137,MATCH(B166,Players!$A$2:$A$137,0)),""))</f>
        <v>0.71</v>
      </c>
    </row>
    <row r="167" customFormat="false" ht="15" hidden="false" customHeight="false" outlineLevel="0" collapsed="false">
      <c r="A167" s="0" t="s">
        <v>2183</v>
      </c>
      <c r="B167" s="0" t="s">
        <v>1713</v>
      </c>
      <c r="C167" s="0" t="s">
        <v>1425</v>
      </c>
      <c r="D167" s="0" t="s">
        <v>1139</v>
      </c>
      <c r="E167" s="0" t="s">
        <v>95</v>
      </c>
      <c r="F167" s="0" t="n">
        <v>3</v>
      </c>
      <c r="G167" s="0" t="n">
        <v>12.7</v>
      </c>
      <c r="H167" s="0" t="n">
        <v>0.61</v>
      </c>
      <c r="I167" s="10" t="n">
        <v>0.684</v>
      </c>
      <c r="J167" s="0" t="n">
        <v>1.03</v>
      </c>
      <c r="K167" s="13" t="n">
        <f aca="false">IF(H167&lt;&gt;"",H167,IFERROR(G167/INDEX(Players!$M$2:$M$137,MATCH(B167,Players!$A$2:$A$137,0)),""))</f>
        <v>0.61</v>
      </c>
    </row>
    <row r="168" customFormat="false" ht="15" hidden="false" customHeight="false" outlineLevel="0" collapsed="false">
      <c r="A168" s="0" t="s">
        <v>2184</v>
      </c>
      <c r="B168" s="0" t="s">
        <v>1713</v>
      </c>
      <c r="C168" s="0" t="s">
        <v>1425</v>
      </c>
      <c r="D168" s="0" t="s">
        <v>1139</v>
      </c>
      <c r="E168" s="0" t="s">
        <v>145</v>
      </c>
      <c r="F168" s="0" t="n">
        <v>2</v>
      </c>
      <c r="G168" s="0" t="n">
        <v>13</v>
      </c>
      <c r="H168" s="0" t="n">
        <v>0.57</v>
      </c>
      <c r="I168" s="10" t="n">
        <v>0.692</v>
      </c>
      <c r="J168" s="0" t="n">
        <v>0.74</v>
      </c>
      <c r="K168" s="13" t="n">
        <f aca="false">IF(H168&lt;&gt;"",H168,IFERROR(G168/INDEX(Players!$M$2:$M$137,MATCH(B168,Players!$A$2:$A$137,0)),""))</f>
        <v>0.57</v>
      </c>
    </row>
    <row r="169" customFormat="false" ht="15" hidden="false" customHeight="false" outlineLevel="0" collapsed="false">
      <c r="A169" s="0" t="s">
        <v>2185</v>
      </c>
      <c r="B169" s="0" t="s">
        <v>1737</v>
      </c>
      <c r="C169" s="0" t="s">
        <v>1480</v>
      </c>
      <c r="D169" s="0" t="s">
        <v>1139</v>
      </c>
      <c r="E169" s="0" t="s">
        <v>81</v>
      </c>
      <c r="F169" s="0" t="n">
        <v>7</v>
      </c>
      <c r="G169" s="0" t="n">
        <v>23.6</v>
      </c>
      <c r="H169" s="0" t="n">
        <v>0.9</v>
      </c>
      <c r="I169" s="10" t="n">
        <v>0.594</v>
      </c>
      <c r="J169" s="0" t="n">
        <v>1.42</v>
      </c>
      <c r="K169" s="13" t="n">
        <f aca="false">IF(H169&lt;&gt;"",H169,IFERROR(G169/INDEX(Players!$M$2:$M$137,MATCH(B169,Players!$A$2:$A$137,0)),""))</f>
        <v>0.9</v>
      </c>
    </row>
    <row r="170" customFormat="false" ht="15" hidden="false" customHeight="false" outlineLevel="0" collapsed="false">
      <c r="A170" s="0" t="s">
        <v>2186</v>
      </c>
      <c r="B170" s="0" t="s">
        <v>1737</v>
      </c>
      <c r="C170" s="0" t="s">
        <v>1480</v>
      </c>
      <c r="D170" s="0" t="s">
        <v>1139</v>
      </c>
      <c r="E170" s="0" t="s">
        <v>129</v>
      </c>
      <c r="F170" s="0" t="n">
        <v>7</v>
      </c>
      <c r="G170" s="0" t="n">
        <v>16.4</v>
      </c>
      <c r="H170" s="0" t="n">
        <v>0.68</v>
      </c>
      <c r="I170" s="10" t="n">
        <v>0.635</v>
      </c>
      <c r="J170" s="0" t="n">
        <v>0.95</v>
      </c>
      <c r="K170" s="13" t="n">
        <f aca="false">IF(H170&lt;&gt;"",H170,IFERROR(G170/INDEX(Players!$M$2:$M$137,MATCH(B170,Players!$A$2:$A$137,0)),""))</f>
        <v>0.68</v>
      </c>
    </row>
    <row r="171" customFormat="false" ht="15" hidden="false" customHeight="false" outlineLevel="0" collapsed="false">
      <c r="A171" s="0" t="s">
        <v>2187</v>
      </c>
      <c r="B171" s="0" t="s">
        <v>1737</v>
      </c>
      <c r="C171" s="0" t="s">
        <v>1480</v>
      </c>
      <c r="D171" s="0" t="s">
        <v>1139</v>
      </c>
      <c r="E171" s="0" t="s">
        <v>95</v>
      </c>
      <c r="F171" s="0" t="n">
        <v>6</v>
      </c>
      <c r="G171" s="0" t="n">
        <v>15.5</v>
      </c>
      <c r="H171" s="0" t="n">
        <v>0.73</v>
      </c>
      <c r="I171" s="10" t="n">
        <v>0.72</v>
      </c>
      <c r="J171" s="0" t="n">
        <v>1.01</v>
      </c>
      <c r="K171" s="13" t="n">
        <f aca="false">IF(H171&lt;&gt;"",H171,IFERROR(G171/INDEX(Players!$M$2:$M$137,MATCH(B171,Players!$A$2:$A$137,0)),""))</f>
        <v>0.73</v>
      </c>
    </row>
    <row r="172" customFormat="false" ht="15" hidden="false" customHeight="false" outlineLevel="0" collapsed="false">
      <c r="A172" s="0" t="s">
        <v>2188</v>
      </c>
      <c r="B172" s="0" t="s">
        <v>1737</v>
      </c>
      <c r="C172" s="0" t="s">
        <v>1480</v>
      </c>
      <c r="D172" s="0" t="s">
        <v>1139</v>
      </c>
      <c r="E172" s="0" t="s">
        <v>108</v>
      </c>
      <c r="F172" s="0" t="n">
        <v>5</v>
      </c>
      <c r="G172" s="0" t="n">
        <v>19.2</v>
      </c>
      <c r="H172" s="0" t="n">
        <v>0.84</v>
      </c>
      <c r="I172" s="10" t="n">
        <v>0.635</v>
      </c>
      <c r="J172" s="0" t="n">
        <v>1.23</v>
      </c>
      <c r="K172" s="13" t="n">
        <f aca="false">IF(H172&lt;&gt;"",H172,IFERROR(G172/INDEX(Players!$M$2:$M$137,MATCH(B172,Players!$A$2:$A$137,0)),""))</f>
        <v>0.84</v>
      </c>
    </row>
    <row r="173" customFormat="false" ht="15" hidden="false" customHeight="false" outlineLevel="0" collapsed="false">
      <c r="A173" s="0" t="s">
        <v>2189</v>
      </c>
      <c r="B173" s="0" t="s">
        <v>1737</v>
      </c>
      <c r="C173" s="0" t="s">
        <v>1480</v>
      </c>
      <c r="D173" s="0" t="s">
        <v>1139</v>
      </c>
      <c r="E173" s="0" t="s">
        <v>145</v>
      </c>
      <c r="F173" s="0" t="n">
        <v>5</v>
      </c>
      <c r="G173" s="0" t="n">
        <v>17</v>
      </c>
      <c r="H173" s="0" t="n">
        <v>0.79</v>
      </c>
      <c r="I173" s="10" t="n">
        <v>0.647</v>
      </c>
      <c r="J173" s="0" t="n">
        <v>1.2</v>
      </c>
      <c r="K173" s="13" t="n">
        <f aca="false">IF(H173&lt;&gt;"",H173,IFERROR(G173/INDEX(Players!$M$2:$M$137,MATCH(B173,Players!$A$2:$A$137,0)),""))</f>
        <v>0.79</v>
      </c>
    </row>
    <row r="174" customFormat="false" ht="15" hidden="false" customHeight="false" outlineLevel="0" collapsed="false">
      <c r="A174" s="0" t="s">
        <v>2190</v>
      </c>
      <c r="B174" s="0" t="s">
        <v>1737</v>
      </c>
      <c r="C174" s="0" t="s">
        <v>1480</v>
      </c>
      <c r="D174" s="0" t="s">
        <v>1139</v>
      </c>
      <c r="E174" s="0" t="s">
        <v>139</v>
      </c>
      <c r="F174" s="0" t="n">
        <v>3</v>
      </c>
      <c r="G174" s="0" t="n">
        <v>10</v>
      </c>
      <c r="H174" s="0" t="n">
        <v>0.53</v>
      </c>
      <c r="I174" s="10" t="n">
        <v>0.6</v>
      </c>
      <c r="J174" s="0" t="n">
        <v>0.77</v>
      </c>
      <c r="K174" s="13" t="n">
        <f aca="false">IF(H174&lt;&gt;"",H174,IFERROR(G174/INDEX(Players!$M$2:$M$137,MATCH(B174,Players!$A$2:$A$137,0)),""))</f>
        <v>0.53</v>
      </c>
    </row>
    <row r="175" customFormat="false" ht="15" hidden="false" customHeight="false" outlineLevel="0" collapsed="false">
      <c r="A175" s="0" t="s">
        <v>2191</v>
      </c>
      <c r="B175" s="0" t="s">
        <v>1782</v>
      </c>
      <c r="C175" s="0" t="s">
        <v>1579</v>
      </c>
      <c r="D175" s="0" t="s">
        <v>1139</v>
      </c>
      <c r="E175" s="0" t="s">
        <v>108</v>
      </c>
      <c r="F175" s="0" t="n">
        <v>8</v>
      </c>
      <c r="G175" s="0" t="n">
        <v>14.6</v>
      </c>
      <c r="H175" s="0" t="n">
        <v>0.73</v>
      </c>
      <c r="I175" s="10" t="n">
        <v>0.453</v>
      </c>
      <c r="J175" s="0" t="n">
        <v>1.13</v>
      </c>
      <c r="K175" s="13" t="n">
        <f aca="false">IF(H175&lt;&gt;"",H175,IFERROR(G175/INDEX(Players!$M$2:$M$137,MATCH(B175,Players!$A$2:$A$137,0)),""))</f>
        <v>0.73</v>
      </c>
    </row>
    <row r="176" customFormat="false" ht="15" hidden="false" customHeight="false" outlineLevel="0" collapsed="false">
      <c r="A176" s="0" t="s">
        <v>2192</v>
      </c>
      <c r="B176" s="0" t="s">
        <v>1782</v>
      </c>
      <c r="C176" s="0" t="s">
        <v>1579</v>
      </c>
      <c r="D176" s="0" t="s">
        <v>1139</v>
      </c>
      <c r="E176" s="0" t="s">
        <v>95</v>
      </c>
      <c r="F176" s="0" t="n">
        <v>8</v>
      </c>
      <c r="G176" s="0" t="n">
        <v>14.4</v>
      </c>
      <c r="H176" s="0" t="n">
        <v>0.69</v>
      </c>
      <c r="I176" s="10" t="n">
        <v>0.53</v>
      </c>
      <c r="J176" s="0" t="n">
        <v>1.06</v>
      </c>
      <c r="K176" s="13" t="n">
        <f aca="false">IF(H176&lt;&gt;"",H176,IFERROR(G176/INDEX(Players!$M$2:$M$137,MATCH(B176,Players!$A$2:$A$137,0)),""))</f>
        <v>0.69</v>
      </c>
    </row>
    <row r="177" customFormat="false" ht="15" hidden="false" customHeight="false" outlineLevel="0" collapsed="false">
      <c r="A177" s="0" t="s">
        <v>2193</v>
      </c>
      <c r="B177" s="0" t="s">
        <v>1782</v>
      </c>
      <c r="C177" s="0" t="s">
        <v>1579</v>
      </c>
      <c r="D177" s="0" t="s">
        <v>1139</v>
      </c>
      <c r="E177" s="0" t="s">
        <v>129</v>
      </c>
      <c r="F177" s="0" t="n">
        <v>7</v>
      </c>
      <c r="G177" s="0" t="n">
        <v>16.4</v>
      </c>
      <c r="H177" s="0" t="n">
        <v>0.85</v>
      </c>
      <c r="I177" s="10" t="n">
        <v>0.513</v>
      </c>
      <c r="J177" s="0" t="n">
        <v>1.49</v>
      </c>
      <c r="K177" s="13" t="n">
        <f aca="false">IF(H177&lt;&gt;"",H177,IFERROR(G177/INDEX(Players!$M$2:$M$137,MATCH(B177,Players!$A$2:$A$137,0)),""))</f>
        <v>0.85</v>
      </c>
    </row>
    <row r="178" customFormat="false" ht="15" hidden="false" customHeight="false" outlineLevel="0" collapsed="false">
      <c r="A178" s="0" t="s">
        <v>2194</v>
      </c>
      <c r="B178" s="0" t="s">
        <v>1782</v>
      </c>
      <c r="C178" s="0" t="s">
        <v>1579</v>
      </c>
      <c r="D178" s="0" t="s">
        <v>1139</v>
      </c>
      <c r="E178" s="0" t="s">
        <v>121</v>
      </c>
      <c r="F178" s="0" t="n">
        <v>7</v>
      </c>
      <c r="G178" s="0" t="n">
        <v>11</v>
      </c>
      <c r="H178" s="0" t="n">
        <v>0.55</v>
      </c>
      <c r="I178" s="10" t="n">
        <v>0.597</v>
      </c>
      <c r="J178" s="0" t="n">
        <v>0.76</v>
      </c>
      <c r="K178" s="13" t="n">
        <f aca="false">IF(H178&lt;&gt;"",H178,IFERROR(G178/INDEX(Players!$M$2:$M$137,MATCH(B178,Players!$A$2:$A$137,0)),""))</f>
        <v>0.55</v>
      </c>
    </row>
    <row r="179" customFormat="false" ht="15" hidden="false" customHeight="false" outlineLevel="0" collapsed="false">
      <c r="A179" s="0" t="s">
        <v>2195</v>
      </c>
      <c r="B179" s="0" t="s">
        <v>1782</v>
      </c>
      <c r="C179" s="0" t="s">
        <v>1579</v>
      </c>
      <c r="D179" s="0" t="s">
        <v>1139</v>
      </c>
      <c r="E179" s="0" t="s">
        <v>139</v>
      </c>
      <c r="F179" s="0" t="n">
        <v>6</v>
      </c>
      <c r="G179" s="0" t="n">
        <v>14.8</v>
      </c>
      <c r="H179" s="0" t="n">
        <v>0.76</v>
      </c>
      <c r="I179" s="10" t="n">
        <v>0.539</v>
      </c>
      <c r="J179" s="0" t="n">
        <v>1.41</v>
      </c>
      <c r="K179" s="13" t="n">
        <f aca="false">IF(H179&lt;&gt;"",H179,IFERROR(G179/INDEX(Players!$M$2:$M$137,MATCH(B179,Players!$A$2:$A$137,0)),""))</f>
        <v>0.76</v>
      </c>
    </row>
    <row r="180" customFormat="false" ht="15" hidden="false" customHeight="false" outlineLevel="0" collapsed="false">
      <c r="A180" s="0" t="s">
        <v>2196</v>
      </c>
      <c r="B180" s="0" t="s">
        <v>1782</v>
      </c>
      <c r="C180" s="0" t="s">
        <v>1579</v>
      </c>
      <c r="D180" s="0" t="s">
        <v>1139</v>
      </c>
      <c r="E180" s="0" t="s">
        <v>145</v>
      </c>
      <c r="F180" s="0" t="n">
        <v>2</v>
      </c>
      <c r="G180" s="0" t="n">
        <v>12</v>
      </c>
      <c r="H180" s="0" t="n">
        <v>0.62</v>
      </c>
      <c r="I180" s="10" t="n">
        <v>0.542</v>
      </c>
      <c r="J180" s="0" t="n">
        <v>0.83</v>
      </c>
      <c r="K180" s="13" t="n">
        <f aca="false">IF(H180&lt;&gt;"",H180,IFERROR(G180/INDEX(Players!$M$2:$M$137,MATCH(B180,Players!$A$2:$A$137,0)),""))</f>
        <v>0.62</v>
      </c>
    </row>
    <row r="181" customFormat="false" ht="15" hidden="false" customHeight="false" outlineLevel="0" collapsed="false">
      <c r="A181" s="0" t="s">
        <v>2197</v>
      </c>
      <c r="B181" s="0" t="s">
        <v>1684</v>
      </c>
      <c r="C181" s="0" t="s">
        <v>1350</v>
      </c>
      <c r="D181" s="0" t="s">
        <v>1139</v>
      </c>
      <c r="E181" s="0" t="s">
        <v>95</v>
      </c>
      <c r="F181" s="0" t="n">
        <v>9</v>
      </c>
      <c r="G181" s="0" t="n">
        <v>18.2</v>
      </c>
      <c r="H181" s="0" t="n">
        <v>0.8</v>
      </c>
      <c r="I181" s="10" t="n">
        <v>0.372</v>
      </c>
      <c r="J181" s="0" t="n">
        <v>1.41</v>
      </c>
      <c r="K181" s="13" t="n">
        <f aca="false">IF(H181&lt;&gt;"",H181,IFERROR(G181/INDEX(Players!$M$2:$M$137,MATCH(B181,Players!$A$2:$A$137,0)),""))</f>
        <v>0.8</v>
      </c>
    </row>
    <row r="182" customFormat="false" ht="15" hidden="false" customHeight="false" outlineLevel="0" collapsed="false">
      <c r="A182" s="0" t="s">
        <v>2198</v>
      </c>
      <c r="B182" s="0" t="s">
        <v>1684</v>
      </c>
      <c r="C182" s="0" t="s">
        <v>1350</v>
      </c>
      <c r="D182" s="0" t="s">
        <v>1139</v>
      </c>
      <c r="E182" s="0" t="s">
        <v>121</v>
      </c>
      <c r="F182" s="0" t="n">
        <v>8</v>
      </c>
      <c r="G182" s="0" t="n">
        <v>13.4</v>
      </c>
      <c r="H182" s="0" t="n">
        <v>0.69</v>
      </c>
      <c r="I182" s="10" t="n">
        <v>0.271</v>
      </c>
      <c r="J182" s="0" t="n">
        <v>1.08</v>
      </c>
      <c r="K182" s="13" t="n">
        <f aca="false">IF(H182&lt;&gt;"",H182,IFERROR(G182/INDEX(Players!$M$2:$M$137,MATCH(B182,Players!$A$2:$A$137,0)),""))</f>
        <v>0.69</v>
      </c>
    </row>
    <row r="183" customFormat="false" ht="15" hidden="false" customHeight="false" outlineLevel="0" collapsed="false">
      <c r="A183" s="0" t="s">
        <v>2199</v>
      </c>
      <c r="B183" s="0" t="s">
        <v>1684</v>
      </c>
      <c r="C183" s="0" t="s">
        <v>1350</v>
      </c>
      <c r="D183" s="0" t="s">
        <v>1139</v>
      </c>
      <c r="E183" s="0" t="s">
        <v>129</v>
      </c>
      <c r="F183" s="0" t="n">
        <v>7</v>
      </c>
      <c r="G183" s="0" t="n">
        <v>15.1</v>
      </c>
      <c r="H183" s="0" t="n">
        <v>0.68</v>
      </c>
      <c r="I183" s="10" t="n">
        <v>0.311</v>
      </c>
      <c r="J183" s="0" t="n">
        <v>1.22</v>
      </c>
      <c r="K183" s="13" t="n">
        <f aca="false">IF(H183&lt;&gt;"",H183,IFERROR(G183/INDEX(Players!$M$2:$M$137,MATCH(B183,Players!$A$2:$A$137,0)),""))</f>
        <v>0.68</v>
      </c>
    </row>
    <row r="184" customFormat="false" ht="15" hidden="false" customHeight="false" outlineLevel="0" collapsed="false">
      <c r="A184" s="0" t="s">
        <v>2200</v>
      </c>
      <c r="B184" s="0" t="s">
        <v>1684</v>
      </c>
      <c r="C184" s="0" t="s">
        <v>1350</v>
      </c>
      <c r="D184" s="0" t="s">
        <v>1139</v>
      </c>
      <c r="E184" s="0" t="s">
        <v>81</v>
      </c>
      <c r="F184" s="0" t="n">
        <v>6</v>
      </c>
      <c r="G184" s="0" t="n">
        <v>15.7</v>
      </c>
      <c r="H184" s="0" t="n">
        <v>0.68</v>
      </c>
      <c r="I184" s="10" t="n">
        <v>0.277</v>
      </c>
      <c r="J184" s="0" t="n">
        <v>1.04</v>
      </c>
      <c r="K184" s="13" t="n">
        <f aca="false">IF(H184&lt;&gt;"",H184,IFERROR(G184/INDEX(Players!$M$2:$M$137,MATCH(B184,Players!$A$2:$A$137,0)),""))</f>
        <v>0.68</v>
      </c>
    </row>
    <row r="185" customFormat="false" ht="15" hidden="false" customHeight="false" outlineLevel="0" collapsed="false">
      <c r="A185" s="0" t="s">
        <v>2201</v>
      </c>
      <c r="B185" s="0" t="s">
        <v>1684</v>
      </c>
      <c r="C185" s="0" t="s">
        <v>1350</v>
      </c>
      <c r="D185" s="0" t="s">
        <v>1139</v>
      </c>
      <c r="E185" s="0" t="s">
        <v>108</v>
      </c>
      <c r="F185" s="0" t="n">
        <v>4</v>
      </c>
      <c r="G185" s="0" t="n">
        <v>15.3</v>
      </c>
      <c r="H185" s="0" t="n">
        <v>0.74</v>
      </c>
      <c r="I185" s="10" t="n">
        <v>0.23</v>
      </c>
      <c r="J185" s="0" t="n">
        <v>1.56</v>
      </c>
      <c r="K185" s="13" t="n">
        <f aca="false">IF(H185&lt;&gt;"",H185,IFERROR(G185/INDEX(Players!$M$2:$M$137,MATCH(B185,Players!$A$2:$A$137,0)),""))</f>
        <v>0.74</v>
      </c>
    </row>
    <row r="186" customFormat="false" ht="15" hidden="false" customHeight="false" outlineLevel="0" collapsed="false">
      <c r="A186" s="0" t="s">
        <v>2202</v>
      </c>
      <c r="B186" s="0" t="s">
        <v>1684</v>
      </c>
      <c r="C186" s="0" t="s">
        <v>1350</v>
      </c>
      <c r="D186" s="0" t="s">
        <v>1139</v>
      </c>
      <c r="E186" s="0" t="s">
        <v>145</v>
      </c>
      <c r="F186" s="0" t="n">
        <v>3</v>
      </c>
      <c r="G186" s="0" t="n">
        <v>11.7</v>
      </c>
      <c r="H186" s="0" t="n">
        <v>0.69</v>
      </c>
      <c r="I186" s="10" t="n">
        <v>0.486</v>
      </c>
      <c r="J186" s="0" t="n">
        <v>1.09</v>
      </c>
      <c r="K186" s="13" t="n">
        <f aca="false">IF(H186&lt;&gt;"",H186,IFERROR(G186/INDEX(Players!$M$2:$M$137,MATCH(B186,Players!$A$2:$A$137,0)),""))</f>
        <v>0.69</v>
      </c>
    </row>
    <row r="187" customFormat="false" ht="15" hidden="false" customHeight="false" outlineLevel="0" collapsed="false">
      <c r="A187" s="0" t="s">
        <v>2203</v>
      </c>
      <c r="B187" s="0" t="s">
        <v>1732</v>
      </c>
      <c r="C187" s="0" t="s">
        <v>1470</v>
      </c>
      <c r="D187" s="0" t="s">
        <v>1139</v>
      </c>
      <c r="E187" s="0" t="s">
        <v>81</v>
      </c>
      <c r="F187" s="0" t="n">
        <v>9</v>
      </c>
      <c r="G187" s="0" t="n">
        <v>15.7</v>
      </c>
      <c r="H187" s="0" t="n">
        <v>0.71</v>
      </c>
      <c r="I187" s="10" t="n">
        <v>0.426</v>
      </c>
      <c r="J187" s="0" t="n">
        <v>1.08</v>
      </c>
      <c r="K187" s="13" t="n">
        <f aca="false">IF(H187&lt;&gt;"",H187,IFERROR(G187/INDEX(Players!$M$2:$M$137,MATCH(B187,Players!$A$2:$A$137,0)),""))</f>
        <v>0.71</v>
      </c>
    </row>
    <row r="188" customFormat="false" ht="15" hidden="false" customHeight="false" outlineLevel="0" collapsed="false">
      <c r="A188" s="0" t="s">
        <v>2204</v>
      </c>
      <c r="B188" s="0" t="s">
        <v>1732</v>
      </c>
      <c r="C188" s="0" t="s">
        <v>1470</v>
      </c>
      <c r="D188" s="0" t="s">
        <v>1139</v>
      </c>
      <c r="E188" s="0" t="s">
        <v>145</v>
      </c>
      <c r="F188" s="0" t="n">
        <v>8</v>
      </c>
      <c r="G188" s="0" t="n">
        <v>14.4</v>
      </c>
      <c r="H188" s="0" t="n">
        <v>0.63</v>
      </c>
      <c r="I188" s="10" t="n">
        <v>0.522</v>
      </c>
      <c r="J188" s="0" t="n">
        <v>0.98</v>
      </c>
      <c r="K188" s="13" t="n">
        <f aca="false">IF(H188&lt;&gt;"",H188,IFERROR(G188/INDEX(Players!$M$2:$M$137,MATCH(B188,Players!$A$2:$A$137,0)),""))</f>
        <v>0.63</v>
      </c>
    </row>
    <row r="189" customFormat="false" ht="15" hidden="false" customHeight="false" outlineLevel="0" collapsed="false">
      <c r="A189" s="0" t="s">
        <v>2205</v>
      </c>
      <c r="B189" s="0" t="s">
        <v>1732</v>
      </c>
      <c r="C189" s="0" t="s">
        <v>1470</v>
      </c>
      <c r="D189" s="0" t="s">
        <v>1139</v>
      </c>
      <c r="E189" s="0" t="s">
        <v>95</v>
      </c>
      <c r="F189" s="0" t="n">
        <v>7</v>
      </c>
      <c r="G189" s="0" t="n">
        <v>17.9</v>
      </c>
      <c r="H189" s="0" t="n">
        <v>0.71</v>
      </c>
      <c r="I189" s="10" t="n">
        <v>0.504</v>
      </c>
      <c r="J189" s="0" t="n">
        <v>1.02</v>
      </c>
      <c r="K189" s="13" t="n">
        <f aca="false">IF(H189&lt;&gt;"",H189,IFERROR(G189/INDEX(Players!$M$2:$M$137,MATCH(B189,Players!$A$2:$A$137,0)),""))</f>
        <v>0.71</v>
      </c>
    </row>
    <row r="190" customFormat="false" ht="15" hidden="false" customHeight="false" outlineLevel="0" collapsed="false">
      <c r="A190" s="0" t="s">
        <v>2206</v>
      </c>
      <c r="B190" s="0" t="s">
        <v>1732</v>
      </c>
      <c r="C190" s="0" t="s">
        <v>1470</v>
      </c>
      <c r="D190" s="0" t="s">
        <v>1139</v>
      </c>
      <c r="E190" s="0" t="s">
        <v>108</v>
      </c>
      <c r="F190" s="0" t="n">
        <v>6</v>
      </c>
      <c r="G190" s="0" t="n">
        <v>13.8</v>
      </c>
      <c r="H190" s="0" t="n">
        <v>0.62</v>
      </c>
      <c r="I190" s="10" t="n">
        <v>0.434</v>
      </c>
      <c r="J190" s="0" t="n">
        <v>1.05</v>
      </c>
      <c r="K190" s="13" t="n">
        <f aca="false">IF(H190&lt;&gt;"",H190,IFERROR(G190/INDEX(Players!$M$2:$M$137,MATCH(B190,Players!$A$2:$A$137,0)),""))</f>
        <v>0.62</v>
      </c>
    </row>
    <row r="191" customFormat="false" ht="15" hidden="false" customHeight="false" outlineLevel="0" collapsed="false">
      <c r="A191" s="0" t="s">
        <v>2207</v>
      </c>
      <c r="B191" s="0" t="s">
        <v>1732</v>
      </c>
      <c r="C191" s="0" t="s">
        <v>1470</v>
      </c>
      <c r="D191" s="0" t="s">
        <v>1139</v>
      </c>
      <c r="E191" s="0" t="s">
        <v>121</v>
      </c>
      <c r="F191" s="0" t="n">
        <v>4</v>
      </c>
      <c r="G191" s="0" t="n">
        <v>15.3</v>
      </c>
      <c r="H191" s="0" t="n">
        <v>0.67</v>
      </c>
      <c r="I191" s="10" t="n">
        <v>0.525</v>
      </c>
      <c r="J191" s="0" t="n">
        <v>1.13</v>
      </c>
      <c r="K191" s="13" t="n">
        <f aca="false">IF(H191&lt;&gt;"",H191,IFERROR(G191/INDEX(Players!$M$2:$M$137,MATCH(B191,Players!$A$2:$A$137,0)),""))</f>
        <v>0.67</v>
      </c>
    </row>
    <row r="192" customFormat="false" ht="15" hidden="false" customHeight="false" outlineLevel="0" collapsed="false">
      <c r="A192" s="0" t="s">
        <v>2208</v>
      </c>
      <c r="B192" s="0" t="s">
        <v>1732</v>
      </c>
      <c r="C192" s="0" t="s">
        <v>1470</v>
      </c>
      <c r="D192" s="0" t="s">
        <v>1139</v>
      </c>
      <c r="E192" s="0" t="s">
        <v>129</v>
      </c>
      <c r="F192" s="0" t="n">
        <v>4</v>
      </c>
      <c r="G192" s="0" t="n">
        <v>14</v>
      </c>
      <c r="H192" s="0" t="n">
        <v>0.52</v>
      </c>
      <c r="I192" s="10" t="n">
        <v>0.518</v>
      </c>
      <c r="J192" s="0" t="n">
        <v>0.78</v>
      </c>
      <c r="K192" s="13" t="n">
        <f aca="false">IF(H192&lt;&gt;"",H192,IFERROR(G192/INDEX(Players!$M$2:$M$137,MATCH(B192,Players!$A$2:$A$137,0)),""))</f>
        <v>0.52</v>
      </c>
    </row>
    <row r="193" customFormat="false" ht="15" hidden="false" customHeight="false" outlineLevel="0" collapsed="false">
      <c r="A193" s="0" t="s">
        <v>2209</v>
      </c>
      <c r="B193" s="0" t="s">
        <v>1708</v>
      </c>
      <c r="C193" s="0" t="s">
        <v>1415</v>
      </c>
      <c r="D193" s="0" t="s">
        <v>1139</v>
      </c>
      <c r="E193" s="0" t="s">
        <v>108</v>
      </c>
      <c r="F193" s="0" t="n">
        <v>7</v>
      </c>
      <c r="G193" s="0" t="n">
        <v>13.6</v>
      </c>
      <c r="H193" s="0" t="n">
        <v>0.56</v>
      </c>
      <c r="I193" s="10" t="n">
        <v>0.368</v>
      </c>
      <c r="J193" s="0" t="n">
        <v>0.97</v>
      </c>
      <c r="K193" s="13" t="n">
        <f aca="false">IF(H193&lt;&gt;"",H193,IFERROR(G193/INDEX(Players!$M$2:$M$137,MATCH(B193,Players!$A$2:$A$137,0)),""))</f>
        <v>0.56</v>
      </c>
    </row>
    <row r="194" customFormat="false" ht="15" hidden="false" customHeight="false" outlineLevel="0" collapsed="false">
      <c r="A194" s="0" t="s">
        <v>2210</v>
      </c>
      <c r="B194" s="0" t="s">
        <v>1708</v>
      </c>
      <c r="C194" s="0" t="s">
        <v>1415</v>
      </c>
      <c r="D194" s="0" t="s">
        <v>1139</v>
      </c>
      <c r="E194" s="0" t="s">
        <v>139</v>
      </c>
      <c r="F194" s="0" t="n">
        <v>7</v>
      </c>
      <c r="G194" s="0" t="n">
        <v>12</v>
      </c>
      <c r="H194" s="0" t="n">
        <v>0.58</v>
      </c>
      <c r="I194" s="10" t="n">
        <v>0.476</v>
      </c>
      <c r="J194" s="0" t="n">
        <v>0.91</v>
      </c>
      <c r="K194" s="13" t="n">
        <f aca="false">IF(H194&lt;&gt;"",H194,IFERROR(G194/INDEX(Players!$M$2:$M$137,MATCH(B194,Players!$A$2:$A$137,0)),""))</f>
        <v>0.58</v>
      </c>
    </row>
    <row r="195" customFormat="false" ht="15" hidden="false" customHeight="false" outlineLevel="0" collapsed="false">
      <c r="A195" s="0" t="s">
        <v>2211</v>
      </c>
      <c r="B195" s="0" t="s">
        <v>1708</v>
      </c>
      <c r="C195" s="0" t="s">
        <v>1415</v>
      </c>
      <c r="D195" s="0" t="s">
        <v>1139</v>
      </c>
      <c r="E195" s="0" t="s">
        <v>129</v>
      </c>
      <c r="F195" s="0" t="n">
        <v>6</v>
      </c>
      <c r="G195" s="0" t="n">
        <v>14.3</v>
      </c>
      <c r="H195" s="0" t="n">
        <v>0.63</v>
      </c>
      <c r="I195" s="10" t="n">
        <v>0.488</v>
      </c>
      <c r="J195" s="0" t="n">
        <v>1.02</v>
      </c>
      <c r="K195" s="13" t="n">
        <f aca="false">IF(H195&lt;&gt;"",H195,IFERROR(G195/INDEX(Players!$M$2:$M$137,MATCH(B195,Players!$A$2:$A$137,0)),""))</f>
        <v>0.63</v>
      </c>
    </row>
    <row r="196" customFormat="false" ht="15" hidden="false" customHeight="false" outlineLevel="0" collapsed="false">
      <c r="A196" s="0" t="s">
        <v>2212</v>
      </c>
      <c r="B196" s="0" t="s">
        <v>1708</v>
      </c>
      <c r="C196" s="0" t="s">
        <v>1415</v>
      </c>
      <c r="D196" s="0" t="s">
        <v>1139</v>
      </c>
      <c r="E196" s="0" t="s">
        <v>81</v>
      </c>
      <c r="F196" s="0" t="n">
        <v>6</v>
      </c>
      <c r="G196" s="0" t="n">
        <v>14.2</v>
      </c>
      <c r="H196" s="0" t="n">
        <v>0.63</v>
      </c>
      <c r="I196" s="10" t="n">
        <v>0.424</v>
      </c>
      <c r="J196" s="0" t="n">
        <v>0.91</v>
      </c>
      <c r="K196" s="13" t="n">
        <f aca="false">IF(H196&lt;&gt;"",H196,IFERROR(G196/INDEX(Players!$M$2:$M$137,MATCH(B196,Players!$A$2:$A$137,0)),""))</f>
        <v>0.63</v>
      </c>
    </row>
    <row r="197" customFormat="false" ht="15" hidden="false" customHeight="false" outlineLevel="0" collapsed="false">
      <c r="A197" s="0" t="s">
        <v>2213</v>
      </c>
      <c r="B197" s="0" t="s">
        <v>1708</v>
      </c>
      <c r="C197" s="0" t="s">
        <v>1415</v>
      </c>
      <c r="D197" s="0" t="s">
        <v>1139</v>
      </c>
      <c r="E197" s="0" t="s">
        <v>145</v>
      </c>
      <c r="F197" s="0" t="n">
        <v>6</v>
      </c>
      <c r="G197" s="0" t="n">
        <v>10.8</v>
      </c>
      <c r="H197" s="0" t="n">
        <v>0.5</v>
      </c>
      <c r="I197" s="10" t="n">
        <v>0.523</v>
      </c>
      <c r="J197" s="0" t="n">
        <v>0.7</v>
      </c>
      <c r="K197" s="13" t="n">
        <f aca="false">IF(H197&lt;&gt;"",H197,IFERROR(G197/INDEX(Players!$M$2:$M$137,MATCH(B197,Players!$A$2:$A$137,0)),""))</f>
        <v>0.5</v>
      </c>
    </row>
    <row r="198" customFormat="false" ht="15" hidden="false" customHeight="false" outlineLevel="0" collapsed="false">
      <c r="A198" s="0" t="s">
        <v>2214</v>
      </c>
      <c r="B198" s="0" t="s">
        <v>1708</v>
      </c>
      <c r="C198" s="0" t="s">
        <v>1415</v>
      </c>
      <c r="D198" s="0" t="s">
        <v>1139</v>
      </c>
      <c r="E198" s="0" t="s">
        <v>121</v>
      </c>
      <c r="F198" s="0" t="n">
        <v>3</v>
      </c>
      <c r="G198" s="0" t="n">
        <v>7.3</v>
      </c>
      <c r="H198" s="0" t="n">
        <v>0.33</v>
      </c>
      <c r="I198" s="10" t="n">
        <v>0.545</v>
      </c>
      <c r="J198" s="0" t="n">
        <v>0.51</v>
      </c>
      <c r="K198" s="13" t="n">
        <f aca="false">IF(H198&lt;&gt;"",H198,IFERROR(G198/INDEX(Players!$M$2:$M$137,MATCH(B198,Players!$A$2:$A$137,0)),""))</f>
        <v>0.33</v>
      </c>
    </row>
    <row r="199" customFormat="false" ht="15" hidden="false" customHeight="false" outlineLevel="0" collapsed="false">
      <c r="A199" s="0" t="s">
        <v>2215</v>
      </c>
      <c r="B199" s="0" t="s">
        <v>1743</v>
      </c>
      <c r="C199" s="0" t="s">
        <v>1492</v>
      </c>
      <c r="D199" s="0" t="s">
        <v>1139</v>
      </c>
      <c r="E199" s="0" t="s">
        <v>81</v>
      </c>
      <c r="F199" s="0" t="n">
        <v>12</v>
      </c>
      <c r="G199" s="0" t="n">
        <v>19.3</v>
      </c>
      <c r="H199" s="0" t="n">
        <v>0.83</v>
      </c>
      <c r="I199" s="10" t="n">
        <v>0.489</v>
      </c>
      <c r="J199" s="0" t="n">
        <v>1.38</v>
      </c>
      <c r="K199" s="13" t="n">
        <f aca="false">IF(H199&lt;&gt;"",H199,IFERROR(G199/INDEX(Players!$M$2:$M$137,MATCH(B199,Players!$A$2:$A$137,0)),""))</f>
        <v>0.83</v>
      </c>
    </row>
    <row r="200" customFormat="false" ht="15" hidden="false" customHeight="false" outlineLevel="0" collapsed="false">
      <c r="A200" s="0" t="s">
        <v>2216</v>
      </c>
      <c r="B200" s="0" t="s">
        <v>1743</v>
      </c>
      <c r="C200" s="0" t="s">
        <v>1492</v>
      </c>
      <c r="D200" s="0" t="s">
        <v>1139</v>
      </c>
      <c r="E200" s="0" t="s">
        <v>95</v>
      </c>
      <c r="F200" s="0" t="n">
        <v>7</v>
      </c>
      <c r="G200" s="0" t="n">
        <v>16.1</v>
      </c>
      <c r="H200" s="0" t="n">
        <v>0.68</v>
      </c>
      <c r="I200" s="10" t="n">
        <v>0.496</v>
      </c>
      <c r="J200" s="0" t="n">
        <v>1.07</v>
      </c>
      <c r="K200" s="13" t="n">
        <f aca="false">IF(H200&lt;&gt;"",H200,IFERROR(G200/INDEX(Players!$M$2:$M$137,MATCH(B200,Players!$A$2:$A$137,0)),""))</f>
        <v>0.68</v>
      </c>
    </row>
    <row r="201" customFormat="false" ht="15" hidden="false" customHeight="false" outlineLevel="0" collapsed="false">
      <c r="A201" s="0" t="s">
        <v>2217</v>
      </c>
      <c r="B201" s="0" t="s">
        <v>1743</v>
      </c>
      <c r="C201" s="0" t="s">
        <v>1492</v>
      </c>
      <c r="D201" s="0" t="s">
        <v>1139</v>
      </c>
      <c r="E201" s="0" t="s">
        <v>139</v>
      </c>
      <c r="F201" s="0" t="n">
        <v>7</v>
      </c>
      <c r="G201" s="0" t="n">
        <v>10.7</v>
      </c>
      <c r="H201" s="0" t="n">
        <v>0.49</v>
      </c>
      <c r="I201" s="10" t="n">
        <v>0.573</v>
      </c>
      <c r="J201" s="0" t="n">
        <v>0.7</v>
      </c>
      <c r="K201" s="13" t="n">
        <f aca="false">IF(H201&lt;&gt;"",H201,IFERROR(G201/INDEX(Players!$M$2:$M$137,MATCH(B201,Players!$A$2:$A$137,0)),""))</f>
        <v>0.49</v>
      </c>
    </row>
    <row r="202" customFormat="false" ht="15" hidden="false" customHeight="false" outlineLevel="0" collapsed="false">
      <c r="A202" s="0" t="s">
        <v>2218</v>
      </c>
      <c r="B202" s="0" t="s">
        <v>1743</v>
      </c>
      <c r="C202" s="0" t="s">
        <v>1492</v>
      </c>
      <c r="D202" s="0" t="s">
        <v>1139</v>
      </c>
      <c r="E202" s="0" t="s">
        <v>145</v>
      </c>
      <c r="F202" s="0" t="n">
        <v>4</v>
      </c>
      <c r="G202" s="0" t="n">
        <v>15.8</v>
      </c>
      <c r="H202" s="0" t="n">
        <v>0.71</v>
      </c>
      <c r="I202" s="10" t="n">
        <v>0.556</v>
      </c>
      <c r="J202" s="0" t="n">
        <v>1.15</v>
      </c>
      <c r="K202" s="13" t="n">
        <f aca="false">IF(H202&lt;&gt;"",H202,IFERROR(G202/INDEX(Players!$M$2:$M$137,MATCH(B202,Players!$A$2:$A$137,0)),""))</f>
        <v>0.71</v>
      </c>
    </row>
    <row r="203" customFormat="false" ht="15" hidden="false" customHeight="false" outlineLevel="0" collapsed="false">
      <c r="A203" s="0" t="s">
        <v>2219</v>
      </c>
      <c r="B203" s="0" t="s">
        <v>1743</v>
      </c>
      <c r="C203" s="0" t="s">
        <v>1492</v>
      </c>
      <c r="D203" s="0" t="s">
        <v>1139</v>
      </c>
      <c r="E203" s="0" t="s">
        <v>121</v>
      </c>
      <c r="F203" s="0" t="n">
        <v>4</v>
      </c>
      <c r="G203" s="0" t="n">
        <v>11.3</v>
      </c>
      <c r="H203" s="0" t="n">
        <v>0.58</v>
      </c>
      <c r="I203" s="10" t="n">
        <v>0.578</v>
      </c>
      <c r="J203" s="0" t="n">
        <v>0.96</v>
      </c>
      <c r="K203" s="13" t="n">
        <f aca="false">IF(H203&lt;&gt;"",H203,IFERROR(G203/INDEX(Players!$M$2:$M$137,MATCH(B203,Players!$A$2:$A$137,0)),""))</f>
        <v>0.58</v>
      </c>
    </row>
    <row r="204" customFormat="false" ht="15" hidden="false" customHeight="false" outlineLevel="0" collapsed="false">
      <c r="A204" s="0" t="s">
        <v>2220</v>
      </c>
      <c r="B204" s="0" t="s">
        <v>1743</v>
      </c>
      <c r="C204" s="0" t="s">
        <v>1492</v>
      </c>
      <c r="D204" s="0" t="s">
        <v>1139</v>
      </c>
      <c r="E204" s="0" t="s">
        <v>129</v>
      </c>
      <c r="F204" s="0" t="n">
        <v>3</v>
      </c>
      <c r="G204" s="0" t="n">
        <v>18</v>
      </c>
      <c r="H204" s="0" t="n">
        <v>0.87</v>
      </c>
      <c r="I204" s="10" t="n">
        <v>0.519</v>
      </c>
      <c r="J204" s="0" t="n">
        <v>1.29</v>
      </c>
      <c r="K204" s="13" t="n">
        <f aca="false">IF(H204&lt;&gt;"",H204,IFERROR(G204/INDEX(Players!$M$2:$M$137,MATCH(B204,Players!$A$2:$A$137,0)),""))</f>
        <v>0.87</v>
      </c>
    </row>
    <row r="205" customFormat="false" ht="15" hidden="false" customHeight="false" outlineLevel="0" collapsed="false">
      <c r="A205" s="0" t="s">
        <v>2221</v>
      </c>
      <c r="B205" s="0" t="s">
        <v>1660</v>
      </c>
      <c r="C205" s="0" t="s">
        <v>1292</v>
      </c>
      <c r="D205" s="0" t="s">
        <v>1139</v>
      </c>
      <c r="E205" s="0" t="s">
        <v>95</v>
      </c>
      <c r="F205" s="0" t="n">
        <v>7</v>
      </c>
      <c r="G205" s="0" t="n">
        <v>11.6</v>
      </c>
      <c r="H205" s="0" t="n">
        <v>0.61</v>
      </c>
      <c r="I205" s="10" t="n">
        <v>0.444</v>
      </c>
      <c r="J205" s="0" t="n">
        <v>1.04</v>
      </c>
      <c r="K205" s="13" t="n">
        <f aca="false">IF(H205&lt;&gt;"",H205,IFERROR(G205/INDEX(Players!$M$2:$M$137,MATCH(B205,Players!$A$2:$A$137,0)),""))</f>
        <v>0.61</v>
      </c>
    </row>
    <row r="206" customFormat="false" ht="15" hidden="false" customHeight="false" outlineLevel="0" collapsed="false">
      <c r="A206" s="0" t="s">
        <v>2222</v>
      </c>
      <c r="B206" s="0" t="s">
        <v>1660</v>
      </c>
      <c r="C206" s="0" t="s">
        <v>1292</v>
      </c>
      <c r="D206" s="0" t="s">
        <v>1139</v>
      </c>
      <c r="E206" s="0" t="s">
        <v>81</v>
      </c>
      <c r="F206" s="0" t="n">
        <v>6</v>
      </c>
      <c r="G206" s="0" t="n">
        <v>11.7</v>
      </c>
      <c r="H206" s="0" t="n">
        <v>0.57</v>
      </c>
      <c r="I206" s="10" t="n">
        <v>0.486</v>
      </c>
      <c r="J206" s="0" t="n">
        <v>0.78</v>
      </c>
      <c r="K206" s="13" t="n">
        <f aca="false">IF(H206&lt;&gt;"",H206,IFERROR(G206/INDEX(Players!$M$2:$M$137,MATCH(B206,Players!$A$2:$A$137,0)),""))</f>
        <v>0.57</v>
      </c>
    </row>
    <row r="207" customFormat="false" ht="15" hidden="false" customHeight="false" outlineLevel="0" collapsed="false">
      <c r="A207" s="0" t="s">
        <v>2223</v>
      </c>
      <c r="B207" s="0" t="s">
        <v>1660</v>
      </c>
      <c r="C207" s="0" t="s">
        <v>1292</v>
      </c>
      <c r="D207" s="0" t="s">
        <v>1139</v>
      </c>
      <c r="E207" s="0" t="s">
        <v>139</v>
      </c>
      <c r="F207" s="0" t="n">
        <v>4</v>
      </c>
      <c r="G207" s="0" t="n">
        <v>13.8</v>
      </c>
      <c r="H207" s="0" t="n">
        <v>0.66</v>
      </c>
      <c r="I207" s="10" t="n">
        <v>0.564</v>
      </c>
      <c r="J207" s="0" t="n">
        <v>0.86</v>
      </c>
      <c r="K207" s="13" t="n">
        <f aca="false">IF(H207&lt;&gt;"",H207,IFERROR(G207/INDEX(Players!$M$2:$M$137,MATCH(B207,Players!$A$2:$A$137,0)),""))</f>
        <v>0.66</v>
      </c>
    </row>
    <row r="208" customFormat="false" ht="15" hidden="false" customHeight="false" outlineLevel="0" collapsed="false">
      <c r="A208" s="0" t="s">
        <v>2224</v>
      </c>
      <c r="B208" s="0" t="s">
        <v>1660</v>
      </c>
      <c r="C208" s="0" t="s">
        <v>1292</v>
      </c>
      <c r="D208" s="0" t="s">
        <v>1139</v>
      </c>
      <c r="E208" s="0" t="s">
        <v>108</v>
      </c>
      <c r="F208" s="0" t="n">
        <v>4</v>
      </c>
      <c r="G208" s="0" t="n">
        <v>12</v>
      </c>
      <c r="H208" s="0" t="n">
        <v>0.56</v>
      </c>
      <c r="I208" s="10" t="n">
        <v>0.438</v>
      </c>
      <c r="J208" s="0" t="n">
        <v>0.79</v>
      </c>
      <c r="K208" s="13" t="n">
        <f aca="false">IF(H208&lt;&gt;"",H208,IFERROR(G208/INDEX(Players!$M$2:$M$137,MATCH(B208,Players!$A$2:$A$137,0)),""))</f>
        <v>0.56</v>
      </c>
    </row>
    <row r="209" customFormat="false" ht="15" hidden="false" customHeight="false" outlineLevel="0" collapsed="false">
      <c r="A209" s="0" t="s">
        <v>2225</v>
      </c>
      <c r="B209" s="0" t="s">
        <v>1660</v>
      </c>
      <c r="C209" s="0" t="s">
        <v>1292</v>
      </c>
      <c r="D209" s="0" t="s">
        <v>1139</v>
      </c>
      <c r="E209" s="0" t="s">
        <v>129</v>
      </c>
      <c r="F209" s="0" t="n">
        <v>3</v>
      </c>
      <c r="G209" s="0" t="n">
        <v>10.7</v>
      </c>
      <c r="H209" s="0" t="n">
        <v>0.53</v>
      </c>
      <c r="I209" s="10" t="n">
        <v>0.531</v>
      </c>
      <c r="J209" s="0" t="n">
        <v>0.89</v>
      </c>
      <c r="K209" s="13" t="n">
        <f aca="false">IF(H209&lt;&gt;"",H209,IFERROR(G209/INDEX(Players!$M$2:$M$137,MATCH(B209,Players!$A$2:$A$137,0)),""))</f>
        <v>0.53</v>
      </c>
    </row>
    <row r="210" customFormat="false" ht="15" hidden="false" customHeight="false" outlineLevel="0" collapsed="false">
      <c r="A210" s="0" t="s">
        <v>2226</v>
      </c>
      <c r="B210" s="0" t="s">
        <v>1660</v>
      </c>
      <c r="C210" s="0" t="s">
        <v>1292</v>
      </c>
      <c r="D210" s="0" t="s">
        <v>1139</v>
      </c>
      <c r="E210" s="0" t="s">
        <v>121</v>
      </c>
      <c r="F210" s="0" t="n">
        <v>3</v>
      </c>
      <c r="G210" s="0" t="n">
        <v>13.3</v>
      </c>
      <c r="H210" s="0" t="n">
        <v>0.57</v>
      </c>
      <c r="I210" s="10" t="n">
        <v>0.4</v>
      </c>
      <c r="J210" s="0" t="n">
        <v>0.83</v>
      </c>
      <c r="K210" s="13" t="n">
        <f aca="false">IF(H210&lt;&gt;"",H210,IFERROR(G210/INDEX(Players!$M$2:$M$137,MATCH(B210,Players!$A$2:$A$137,0)),""))</f>
        <v>0.57</v>
      </c>
    </row>
    <row r="211" customFormat="false" ht="15" hidden="false" customHeight="false" outlineLevel="0" collapsed="false">
      <c r="A211" s="0" t="s">
        <v>2227</v>
      </c>
      <c r="B211" s="0" t="s">
        <v>1660</v>
      </c>
      <c r="C211" s="0" t="s">
        <v>1292</v>
      </c>
      <c r="D211" s="0" t="s">
        <v>1139</v>
      </c>
      <c r="E211" s="0" t="s">
        <v>145</v>
      </c>
      <c r="F211" s="0" t="n">
        <v>3</v>
      </c>
      <c r="G211" s="0" t="n">
        <v>10.3</v>
      </c>
      <c r="H211" s="0" t="n">
        <v>0.55</v>
      </c>
      <c r="I211" s="10" t="n">
        <v>0.677</v>
      </c>
      <c r="J211" s="0" t="n">
        <v>0.82</v>
      </c>
      <c r="K211" s="13" t="n">
        <f aca="false">IF(H211&lt;&gt;"",H211,IFERROR(G211/INDEX(Players!$M$2:$M$137,MATCH(B211,Players!$A$2:$A$137,0)),""))</f>
        <v>0.55</v>
      </c>
    </row>
    <row r="212" customFormat="false" ht="15" hidden="false" customHeight="false" outlineLevel="0" collapsed="false">
      <c r="A212" s="0" t="s">
        <v>2228</v>
      </c>
      <c r="B212" s="0" t="s">
        <v>1714</v>
      </c>
      <c r="C212" s="0" t="s">
        <v>1427</v>
      </c>
      <c r="D212" s="0" t="s">
        <v>1139</v>
      </c>
      <c r="E212" s="0" t="s">
        <v>129</v>
      </c>
      <c r="F212" s="0" t="n">
        <v>12</v>
      </c>
      <c r="G212" s="0" t="n">
        <v>13.4</v>
      </c>
      <c r="H212" s="0" t="n">
        <v>0.63</v>
      </c>
      <c r="I212" s="10" t="n">
        <v>0.261</v>
      </c>
      <c r="J212" s="0" t="n">
        <v>1.08</v>
      </c>
      <c r="K212" s="13" t="n">
        <f aca="false">IF(H212&lt;&gt;"",H212,IFERROR(G212/INDEX(Players!$M$2:$M$137,MATCH(B212,Players!$A$2:$A$137,0)),""))</f>
        <v>0.63</v>
      </c>
    </row>
    <row r="213" customFormat="false" ht="15" hidden="false" customHeight="false" outlineLevel="0" collapsed="false">
      <c r="A213" s="0" t="s">
        <v>2229</v>
      </c>
      <c r="B213" s="0" t="s">
        <v>1714</v>
      </c>
      <c r="C213" s="0" t="s">
        <v>1427</v>
      </c>
      <c r="D213" s="0" t="s">
        <v>1139</v>
      </c>
      <c r="E213" s="0" t="s">
        <v>108</v>
      </c>
      <c r="F213" s="0" t="n">
        <v>10</v>
      </c>
      <c r="G213" s="0" t="n">
        <v>15.8</v>
      </c>
      <c r="H213" s="0" t="n">
        <v>0.74</v>
      </c>
      <c r="I213" s="10" t="n">
        <v>0.247</v>
      </c>
      <c r="J213" s="0" t="n">
        <v>1.22</v>
      </c>
      <c r="K213" s="13" t="n">
        <f aca="false">IF(H213&lt;&gt;"",H213,IFERROR(G213/INDEX(Players!$M$2:$M$137,MATCH(B213,Players!$A$2:$A$137,0)),""))</f>
        <v>0.74</v>
      </c>
    </row>
    <row r="214" customFormat="false" ht="15" hidden="false" customHeight="false" outlineLevel="0" collapsed="false">
      <c r="A214" s="0" t="s">
        <v>2230</v>
      </c>
      <c r="B214" s="0" t="s">
        <v>1714</v>
      </c>
      <c r="C214" s="0" t="s">
        <v>1427</v>
      </c>
      <c r="D214" s="0" t="s">
        <v>1139</v>
      </c>
      <c r="E214" s="0" t="s">
        <v>81</v>
      </c>
      <c r="F214" s="0" t="n">
        <v>6</v>
      </c>
      <c r="G214" s="0" t="n">
        <v>12.7</v>
      </c>
      <c r="H214" s="0" t="n">
        <v>0.56</v>
      </c>
      <c r="I214" s="10" t="n">
        <v>0.329</v>
      </c>
      <c r="J214" s="0" t="n">
        <v>0.89</v>
      </c>
      <c r="K214" s="13" t="n">
        <f aca="false">IF(H214&lt;&gt;"",H214,IFERROR(G214/INDEX(Players!$M$2:$M$137,MATCH(B214,Players!$A$2:$A$137,0)),""))</f>
        <v>0.56</v>
      </c>
    </row>
    <row r="215" customFormat="false" ht="15" hidden="false" customHeight="false" outlineLevel="0" collapsed="false">
      <c r="A215" s="0" t="s">
        <v>2231</v>
      </c>
      <c r="B215" s="0" t="s">
        <v>1714</v>
      </c>
      <c r="C215" s="0" t="s">
        <v>1427</v>
      </c>
      <c r="D215" s="0" t="s">
        <v>1139</v>
      </c>
      <c r="E215" s="0" t="s">
        <v>139</v>
      </c>
      <c r="F215" s="0" t="n">
        <v>5</v>
      </c>
      <c r="G215" s="0" t="n">
        <v>12.2</v>
      </c>
      <c r="H215" s="0" t="n">
        <v>0.55</v>
      </c>
      <c r="I215" s="10" t="n">
        <v>0.246</v>
      </c>
      <c r="J215" s="0" t="n">
        <v>0.88</v>
      </c>
      <c r="K215" s="13" t="n">
        <f aca="false">IF(H215&lt;&gt;"",H215,IFERROR(G215/INDEX(Players!$M$2:$M$137,MATCH(B215,Players!$A$2:$A$137,0)),""))</f>
        <v>0.55</v>
      </c>
    </row>
    <row r="216" customFormat="false" ht="15" hidden="false" customHeight="false" outlineLevel="0" collapsed="false">
      <c r="A216" s="0" t="s">
        <v>2232</v>
      </c>
      <c r="B216" s="0" t="s">
        <v>1714</v>
      </c>
      <c r="C216" s="0" t="s">
        <v>1427</v>
      </c>
      <c r="D216" s="0" t="s">
        <v>1139</v>
      </c>
      <c r="E216" s="0" t="s">
        <v>95</v>
      </c>
      <c r="F216" s="0" t="n">
        <v>3</v>
      </c>
      <c r="G216" s="0" t="n">
        <v>15.7</v>
      </c>
      <c r="H216" s="0" t="n">
        <v>0.76</v>
      </c>
      <c r="I216" s="10" t="n">
        <v>0.34</v>
      </c>
      <c r="J216" s="0" t="n">
        <v>1.15</v>
      </c>
      <c r="K216" s="13" t="n">
        <f aca="false">IF(H216&lt;&gt;"",H216,IFERROR(G216/INDEX(Players!$M$2:$M$137,MATCH(B216,Players!$A$2:$A$137,0)),""))</f>
        <v>0.76</v>
      </c>
    </row>
    <row r="217" customFormat="false" ht="15" hidden="false" customHeight="false" outlineLevel="0" collapsed="false">
      <c r="A217" s="0" t="s">
        <v>2233</v>
      </c>
      <c r="B217" s="0" t="s">
        <v>1714</v>
      </c>
      <c r="C217" s="0" t="s">
        <v>1427</v>
      </c>
      <c r="D217" s="0" t="s">
        <v>1139</v>
      </c>
      <c r="E217" s="0" t="s">
        <v>145</v>
      </c>
      <c r="F217" s="0" t="n">
        <v>2</v>
      </c>
      <c r="G217" s="0" t="n">
        <v>19.5</v>
      </c>
      <c r="H217" s="0" t="n">
        <v>0.85</v>
      </c>
      <c r="I217" s="10" t="n">
        <v>0.308</v>
      </c>
      <c r="J217" s="0" t="n">
        <v>1.39</v>
      </c>
      <c r="K217" s="13" t="n">
        <f aca="false">IF(H217&lt;&gt;"",H217,IFERROR(G217/INDEX(Players!$M$2:$M$137,MATCH(B217,Players!$A$2:$A$137,0)),""))</f>
        <v>0.85</v>
      </c>
    </row>
    <row r="218" customFormat="false" ht="15" hidden="false" customHeight="false" outlineLevel="0" collapsed="false">
      <c r="A218" s="0" t="s">
        <v>2234</v>
      </c>
      <c r="B218" s="0" t="s">
        <v>1762</v>
      </c>
      <c r="C218" s="0" t="s">
        <v>1536</v>
      </c>
      <c r="D218" s="0" t="s">
        <v>1139</v>
      </c>
      <c r="E218" s="0" t="s">
        <v>129</v>
      </c>
      <c r="F218" s="0" t="n">
        <v>8</v>
      </c>
      <c r="G218" s="0" t="n">
        <v>12.8</v>
      </c>
      <c r="H218" s="0" t="n">
        <v>0.63</v>
      </c>
      <c r="I218" s="10" t="n">
        <v>0.667</v>
      </c>
      <c r="J218" s="0" t="n">
        <v>0.81</v>
      </c>
      <c r="K218" s="13" t="n">
        <f aca="false">IF(H218&lt;&gt;"",H218,IFERROR(G218/INDEX(Players!$M$2:$M$137,MATCH(B218,Players!$A$2:$A$137,0)),""))</f>
        <v>0.63</v>
      </c>
    </row>
    <row r="219" customFormat="false" ht="15" hidden="false" customHeight="false" outlineLevel="0" collapsed="false">
      <c r="A219" s="0" t="s">
        <v>2235</v>
      </c>
      <c r="B219" s="0" t="s">
        <v>1762</v>
      </c>
      <c r="C219" s="0" t="s">
        <v>1536</v>
      </c>
      <c r="D219" s="0" t="s">
        <v>1139</v>
      </c>
      <c r="E219" s="0" t="s">
        <v>108</v>
      </c>
      <c r="F219" s="0" t="n">
        <v>7</v>
      </c>
      <c r="G219" s="0" t="n">
        <v>19.1</v>
      </c>
      <c r="H219" s="0" t="n">
        <v>0.77</v>
      </c>
      <c r="I219" s="10" t="n">
        <v>0.485</v>
      </c>
      <c r="J219" s="0" t="n">
        <v>1.08</v>
      </c>
      <c r="K219" s="13" t="n">
        <f aca="false">IF(H219&lt;&gt;"",H219,IFERROR(G219/INDEX(Players!$M$2:$M$137,MATCH(B219,Players!$A$2:$A$137,0)),""))</f>
        <v>0.77</v>
      </c>
    </row>
    <row r="220" customFormat="false" ht="15" hidden="false" customHeight="false" outlineLevel="0" collapsed="false">
      <c r="A220" s="0" t="s">
        <v>2236</v>
      </c>
      <c r="B220" s="0" t="s">
        <v>1762</v>
      </c>
      <c r="C220" s="0" t="s">
        <v>1536</v>
      </c>
      <c r="D220" s="0" t="s">
        <v>1139</v>
      </c>
      <c r="E220" s="0" t="s">
        <v>145</v>
      </c>
      <c r="F220" s="0" t="n">
        <v>6</v>
      </c>
      <c r="G220" s="0" t="n">
        <v>20.5</v>
      </c>
      <c r="H220" s="0" t="n">
        <v>0.9</v>
      </c>
      <c r="I220" s="10" t="n">
        <v>0.52</v>
      </c>
      <c r="J220" s="0" t="n">
        <v>1.29</v>
      </c>
      <c r="K220" s="13" t="n">
        <f aca="false">IF(H220&lt;&gt;"",H220,IFERROR(G220/INDEX(Players!$M$2:$M$137,MATCH(B220,Players!$A$2:$A$137,0)),""))</f>
        <v>0.9</v>
      </c>
    </row>
    <row r="221" customFormat="false" ht="15" hidden="false" customHeight="false" outlineLevel="0" collapsed="false">
      <c r="A221" s="0" t="s">
        <v>2237</v>
      </c>
      <c r="B221" s="0" t="s">
        <v>1762</v>
      </c>
      <c r="C221" s="0" t="s">
        <v>1536</v>
      </c>
      <c r="D221" s="0" t="s">
        <v>1139</v>
      </c>
      <c r="E221" s="0" t="s">
        <v>139</v>
      </c>
      <c r="F221" s="0" t="n">
        <v>6</v>
      </c>
      <c r="G221" s="0" t="n">
        <v>12.8</v>
      </c>
      <c r="H221" s="0" t="n">
        <v>0.71</v>
      </c>
      <c r="I221" s="10" t="n">
        <v>0.558</v>
      </c>
      <c r="J221" s="0" t="n">
        <v>0.92</v>
      </c>
      <c r="K221" s="13" t="n">
        <f aca="false">IF(H221&lt;&gt;"",H221,IFERROR(G221/INDEX(Players!$M$2:$M$137,MATCH(B221,Players!$A$2:$A$137,0)),""))</f>
        <v>0.71</v>
      </c>
    </row>
    <row r="222" customFormat="false" ht="15" hidden="false" customHeight="false" outlineLevel="0" collapsed="false">
      <c r="A222" s="0" t="s">
        <v>2238</v>
      </c>
      <c r="B222" s="0" t="s">
        <v>1762</v>
      </c>
      <c r="C222" s="0" t="s">
        <v>1536</v>
      </c>
      <c r="D222" s="0" t="s">
        <v>1139</v>
      </c>
      <c r="E222" s="0" t="s">
        <v>95</v>
      </c>
      <c r="F222" s="0" t="n">
        <v>5</v>
      </c>
      <c r="G222" s="0" t="n">
        <v>13.8</v>
      </c>
      <c r="H222" s="0" t="n">
        <v>0.63</v>
      </c>
      <c r="I222" s="10" t="n">
        <v>0.652</v>
      </c>
      <c r="J222" s="0" t="n">
        <v>0.88</v>
      </c>
      <c r="K222" s="13" t="n">
        <f aca="false">IF(H222&lt;&gt;"",H222,IFERROR(G222/INDEX(Players!$M$2:$M$137,MATCH(B222,Players!$A$2:$A$137,0)),""))</f>
        <v>0.63</v>
      </c>
    </row>
    <row r="223" customFormat="false" ht="15" hidden="false" customHeight="false" outlineLevel="0" collapsed="false">
      <c r="A223" s="0" t="s">
        <v>2239</v>
      </c>
      <c r="B223" s="0" t="s">
        <v>1762</v>
      </c>
      <c r="C223" s="0" t="s">
        <v>1536</v>
      </c>
      <c r="D223" s="0" t="s">
        <v>1139</v>
      </c>
      <c r="E223" s="0" t="s">
        <v>81</v>
      </c>
      <c r="F223" s="0" t="n">
        <v>3</v>
      </c>
      <c r="G223" s="0" t="n">
        <v>16.7</v>
      </c>
      <c r="H223" s="0" t="n">
        <v>0.78</v>
      </c>
      <c r="I223" s="10" t="n">
        <v>0.5</v>
      </c>
      <c r="J223" s="0" t="n">
        <v>1</v>
      </c>
      <c r="K223" s="13" t="n">
        <f aca="false">IF(H223&lt;&gt;"",H223,IFERROR(G223/INDEX(Players!$M$2:$M$137,MATCH(B223,Players!$A$2:$A$137,0)),""))</f>
        <v>0.78</v>
      </c>
    </row>
    <row r="224" customFormat="false" ht="15" hidden="false" customHeight="false" outlineLevel="0" collapsed="false">
      <c r="A224" s="0" t="s">
        <v>2240</v>
      </c>
      <c r="B224" s="0" t="s">
        <v>1763</v>
      </c>
      <c r="C224" s="0" t="s">
        <v>1538</v>
      </c>
      <c r="D224" s="0" t="s">
        <v>1139</v>
      </c>
      <c r="E224" s="0" t="s">
        <v>129</v>
      </c>
      <c r="F224" s="0" t="n">
        <v>8</v>
      </c>
      <c r="G224" s="0" t="n">
        <v>13.3</v>
      </c>
      <c r="H224" s="0" t="n">
        <v>0.65</v>
      </c>
      <c r="I224" s="10" t="n">
        <v>0.434</v>
      </c>
      <c r="J224" s="0" t="n">
        <v>0.95</v>
      </c>
      <c r="K224" s="13" t="n">
        <f aca="false">IF(H224&lt;&gt;"",H224,IFERROR(G224/INDEX(Players!$M$2:$M$137,MATCH(B224,Players!$A$2:$A$137,0)),""))</f>
        <v>0.65</v>
      </c>
    </row>
    <row r="225" customFormat="false" ht="15" hidden="false" customHeight="false" outlineLevel="0" collapsed="false">
      <c r="A225" s="0" t="s">
        <v>2241</v>
      </c>
      <c r="B225" s="0" t="s">
        <v>1763</v>
      </c>
      <c r="C225" s="0" t="s">
        <v>1538</v>
      </c>
      <c r="D225" s="0" t="s">
        <v>1139</v>
      </c>
      <c r="E225" s="0" t="s">
        <v>108</v>
      </c>
      <c r="F225" s="0" t="n">
        <v>7</v>
      </c>
      <c r="G225" s="0" t="n">
        <v>17.7</v>
      </c>
      <c r="H225" s="0" t="n">
        <v>0.72</v>
      </c>
      <c r="I225" s="10" t="n">
        <v>0.355</v>
      </c>
      <c r="J225" s="0" t="n">
        <v>1.07</v>
      </c>
      <c r="K225" s="13" t="n">
        <f aca="false">IF(H225&lt;&gt;"",H225,IFERROR(G225/INDEX(Players!$M$2:$M$137,MATCH(B225,Players!$A$2:$A$137,0)),""))</f>
        <v>0.72</v>
      </c>
    </row>
    <row r="226" customFormat="false" ht="15" hidden="false" customHeight="false" outlineLevel="0" collapsed="false">
      <c r="A226" s="0" t="s">
        <v>2242</v>
      </c>
      <c r="B226" s="0" t="s">
        <v>1763</v>
      </c>
      <c r="C226" s="0" t="s">
        <v>1538</v>
      </c>
      <c r="D226" s="0" t="s">
        <v>1139</v>
      </c>
      <c r="E226" s="0" t="s">
        <v>145</v>
      </c>
      <c r="F226" s="0" t="n">
        <v>6</v>
      </c>
      <c r="G226" s="0" t="n">
        <v>17.8</v>
      </c>
      <c r="H226" s="0" t="n">
        <v>0.78</v>
      </c>
      <c r="I226" s="10" t="n">
        <v>0.364</v>
      </c>
      <c r="J226" s="0" t="n">
        <v>1.24</v>
      </c>
      <c r="K226" s="13" t="n">
        <f aca="false">IF(H226&lt;&gt;"",H226,IFERROR(G226/INDEX(Players!$M$2:$M$137,MATCH(B226,Players!$A$2:$A$137,0)),""))</f>
        <v>0.78</v>
      </c>
    </row>
    <row r="227" customFormat="false" ht="15" hidden="false" customHeight="false" outlineLevel="0" collapsed="false">
      <c r="A227" s="0" t="s">
        <v>2243</v>
      </c>
      <c r="B227" s="0" t="s">
        <v>1763</v>
      </c>
      <c r="C227" s="0" t="s">
        <v>1538</v>
      </c>
      <c r="D227" s="0" t="s">
        <v>1139</v>
      </c>
      <c r="E227" s="0" t="s">
        <v>139</v>
      </c>
      <c r="F227" s="0" t="n">
        <v>6</v>
      </c>
      <c r="G227" s="0" t="n">
        <v>11.8</v>
      </c>
      <c r="H227" s="0" t="n">
        <v>0.65</v>
      </c>
      <c r="I227" s="10" t="n">
        <v>0.408</v>
      </c>
      <c r="J227" s="0" t="n">
        <v>1.04</v>
      </c>
      <c r="K227" s="13" t="n">
        <f aca="false">IF(H227&lt;&gt;"",H227,IFERROR(G227/INDEX(Players!$M$2:$M$137,MATCH(B227,Players!$A$2:$A$137,0)),""))</f>
        <v>0.65</v>
      </c>
    </row>
    <row r="228" customFormat="false" ht="15" hidden="false" customHeight="false" outlineLevel="0" collapsed="false">
      <c r="A228" s="0" t="s">
        <v>2244</v>
      </c>
      <c r="B228" s="0" t="s">
        <v>1763</v>
      </c>
      <c r="C228" s="0" t="s">
        <v>1538</v>
      </c>
      <c r="D228" s="0" t="s">
        <v>1139</v>
      </c>
      <c r="E228" s="0" t="s">
        <v>95</v>
      </c>
      <c r="F228" s="0" t="n">
        <v>5</v>
      </c>
      <c r="G228" s="0" t="n">
        <v>16.4</v>
      </c>
      <c r="H228" s="0" t="n">
        <v>0.75</v>
      </c>
      <c r="I228" s="10" t="n">
        <v>0.366</v>
      </c>
      <c r="J228" s="0" t="n">
        <v>1.22</v>
      </c>
      <c r="K228" s="13" t="n">
        <f aca="false">IF(H228&lt;&gt;"",H228,IFERROR(G228/INDEX(Players!$M$2:$M$137,MATCH(B228,Players!$A$2:$A$137,0)),""))</f>
        <v>0.75</v>
      </c>
    </row>
    <row r="229" customFormat="false" ht="15" hidden="false" customHeight="false" outlineLevel="0" collapsed="false">
      <c r="A229" s="0" t="s">
        <v>2245</v>
      </c>
      <c r="B229" s="0" t="s">
        <v>1763</v>
      </c>
      <c r="C229" s="0" t="s">
        <v>1538</v>
      </c>
      <c r="D229" s="0" t="s">
        <v>1139</v>
      </c>
      <c r="E229" s="0" t="s">
        <v>81</v>
      </c>
      <c r="F229" s="0" t="n">
        <v>3</v>
      </c>
      <c r="G229" s="0" t="n">
        <v>17.7</v>
      </c>
      <c r="H229" s="0" t="n">
        <v>0.83</v>
      </c>
      <c r="I229" s="10" t="n">
        <v>0.491</v>
      </c>
      <c r="J229" s="0" t="n">
        <v>1.43</v>
      </c>
      <c r="K229" s="13" t="n">
        <f aca="false">IF(H229&lt;&gt;"",H229,IFERROR(G229/INDEX(Players!$M$2:$M$137,MATCH(B229,Players!$A$2:$A$137,0)),""))</f>
        <v>0.83</v>
      </c>
    </row>
    <row r="230" customFormat="false" ht="15" hidden="false" customHeight="false" outlineLevel="0" collapsed="false">
      <c r="A230" s="0" t="s">
        <v>2246</v>
      </c>
      <c r="B230" s="0" t="s">
        <v>1690</v>
      </c>
      <c r="C230" s="0" t="s">
        <v>1367</v>
      </c>
      <c r="D230" s="0" t="s">
        <v>1139</v>
      </c>
      <c r="E230" s="0" t="s">
        <v>81</v>
      </c>
      <c r="F230" s="0" t="n">
        <v>9</v>
      </c>
      <c r="G230" s="0" t="n">
        <v>13.8</v>
      </c>
      <c r="H230" s="0" t="n">
        <v>0.61</v>
      </c>
      <c r="I230" s="10" t="n">
        <v>0.556</v>
      </c>
      <c r="J230" s="0" t="n">
        <v>0.95</v>
      </c>
      <c r="K230" s="13" t="n">
        <f aca="false">IF(H230&lt;&gt;"",H230,IFERROR(G230/INDEX(Players!$M$2:$M$137,MATCH(B230,Players!$A$2:$A$137,0)),""))</f>
        <v>0.61</v>
      </c>
    </row>
    <row r="231" customFormat="false" ht="15" hidden="false" customHeight="false" outlineLevel="0" collapsed="false">
      <c r="A231" s="0" t="s">
        <v>2247</v>
      </c>
      <c r="B231" s="0" t="s">
        <v>1690</v>
      </c>
      <c r="C231" s="0" t="s">
        <v>1367</v>
      </c>
      <c r="D231" s="0" t="s">
        <v>1139</v>
      </c>
      <c r="E231" s="0" t="s">
        <v>95</v>
      </c>
      <c r="F231" s="0" t="n">
        <v>7</v>
      </c>
      <c r="G231" s="0" t="n">
        <v>13</v>
      </c>
      <c r="H231" s="0" t="n">
        <v>0.67</v>
      </c>
      <c r="I231" s="10" t="n">
        <v>0.549</v>
      </c>
      <c r="J231" s="0" t="n">
        <v>1.12</v>
      </c>
      <c r="K231" s="13" t="n">
        <f aca="false">IF(H231&lt;&gt;"",H231,IFERROR(G231/INDEX(Players!$M$2:$M$137,MATCH(B231,Players!$A$2:$A$137,0)),""))</f>
        <v>0.67</v>
      </c>
    </row>
    <row r="232" customFormat="false" ht="15" hidden="false" customHeight="false" outlineLevel="0" collapsed="false">
      <c r="A232" s="0" t="s">
        <v>2248</v>
      </c>
      <c r="B232" s="0" t="s">
        <v>1690</v>
      </c>
      <c r="C232" s="0" t="s">
        <v>1367</v>
      </c>
      <c r="D232" s="0" t="s">
        <v>1139</v>
      </c>
      <c r="E232" s="0" t="s">
        <v>139</v>
      </c>
      <c r="F232" s="0" t="n">
        <v>6</v>
      </c>
      <c r="G232" s="0" t="n">
        <v>18.3</v>
      </c>
      <c r="H232" s="0" t="n">
        <v>0.9</v>
      </c>
      <c r="I232" s="10" t="n">
        <v>0.618</v>
      </c>
      <c r="J232" s="0" t="n">
        <v>2.29</v>
      </c>
      <c r="K232" s="13" t="n">
        <f aca="false">IF(H232&lt;&gt;"",H232,IFERROR(G232/INDEX(Players!$M$2:$M$137,MATCH(B232,Players!$A$2:$A$137,0)),""))</f>
        <v>0.9</v>
      </c>
    </row>
    <row r="233" customFormat="false" ht="15" hidden="false" customHeight="false" outlineLevel="0" collapsed="false">
      <c r="A233" s="0" t="s">
        <v>2249</v>
      </c>
      <c r="B233" s="0" t="s">
        <v>1690</v>
      </c>
      <c r="C233" s="0" t="s">
        <v>1367</v>
      </c>
      <c r="D233" s="0" t="s">
        <v>1139</v>
      </c>
      <c r="E233" s="0" t="s">
        <v>108</v>
      </c>
      <c r="F233" s="0" t="n">
        <v>6</v>
      </c>
      <c r="G233" s="0" t="n">
        <v>13.8</v>
      </c>
      <c r="H233" s="0" t="n">
        <v>0.63</v>
      </c>
      <c r="I233" s="10" t="n">
        <v>0.542</v>
      </c>
      <c r="J233" s="0" t="n">
        <v>1.12</v>
      </c>
      <c r="K233" s="13" t="n">
        <f aca="false">IF(H233&lt;&gt;"",H233,IFERROR(G233/INDEX(Players!$M$2:$M$137,MATCH(B233,Players!$A$2:$A$137,0)),""))</f>
        <v>0.63</v>
      </c>
    </row>
    <row r="234" customFormat="false" ht="15" hidden="false" customHeight="false" outlineLevel="0" collapsed="false">
      <c r="A234" s="0" t="s">
        <v>2250</v>
      </c>
      <c r="B234" s="0" t="s">
        <v>1690</v>
      </c>
      <c r="C234" s="0" t="s">
        <v>1367</v>
      </c>
      <c r="D234" s="0" t="s">
        <v>1139</v>
      </c>
      <c r="E234" s="0" t="s">
        <v>145</v>
      </c>
      <c r="F234" s="0" t="n">
        <v>5</v>
      </c>
      <c r="G234" s="0" t="n">
        <v>11.8</v>
      </c>
      <c r="H234" s="0" t="n">
        <v>0.61</v>
      </c>
      <c r="I234" s="10" t="n">
        <v>0.407</v>
      </c>
      <c r="J234" s="0" t="n">
        <v>1.07</v>
      </c>
      <c r="K234" s="13" t="n">
        <f aca="false">IF(H234&lt;&gt;"",H234,IFERROR(G234/INDEX(Players!$M$2:$M$137,MATCH(B234,Players!$A$2:$A$137,0)),""))</f>
        <v>0.61</v>
      </c>
    </row>
    <row r="235" customFormat="false" ht="15" hidden="false" customHeight="false" outlineLevel="0" collapsed="false">
      <c r="A235" s="0" t="s">
        <v>2251</v>
      </c>
      <c r="B235" s="0" t="s">
        <v>1690</v>
      </c>
      <c r="C235" s="0" t="s">
        <v>1367</v>
      </c>
      <c r="D235" s="0" t="s">
        <v>1139</v>
      </c>
      <c r="E235" s="0" t="s">
        <v>129</v>
      </c>
      <c r="F235" s="0" t="n">
        <v>4</v>
      </c>
      <c r="G235" s="0" t="n">
        <v>12.3</v>
      </c>
      <c r="H235" s="0" t="n">
        <v>0.57</v>
      </c>
      <c r="I235" s="10" t="n">
        <v>0.469</v>
      </c>
      <c r="J235" s="0" t="n">
        <v>0.86</v>
      </c>
      <c r="K235" s="13" t="n">
        <f aca="false">IF(H235&lt;&gt;"",H235,IFERROR(G235/INDEX(Players!$M$2:$M$137,MATCH(B235,Players!$A$2:$A$137,0)),""))</f>
        <v>0.57</v>
      </c>
    </row>
    <row r="236" customFormat="false" ht="15" hidden="false" customHeight="false" outlineLevel="0" collapsed="false">
      <c r="A236" s="0" t="s">
        <v>2252</v>
      </c>
      <c r="B236" s="0" t="s">
        <v>1675</v>
      </c>
      <c r="C236" s="0" t="s">
        <v>1328</v>
      </c>
      <c r="D236" s="0" t="s">
        <v>1139</v>
      </c>
      <c r="E236" s="0" t="s">
        <v>145</v>
      </c>
      <c r="F236" s="0" t="n">
        <v>6</v>
      </c>
      <c r="G236" s="0" t="n">
        <v>14.5</v>
      </c>
      <c r="H236" s="0" t="n">
        <v>0.72</v>
      </c>
      <c r="I236" s="10" t="n">
        <v>0.264</v>
      </c>
      <c r="J236" s="0" t="n">
        <v>1.26</v>
      </c>
      <c r="K236" s="13" t="n">
        <f aca="false">IF(H236&lt;&gt;"",H236,IFERROR(G236/INDEX(Players!$M$2:$M$137,MATCH(B236,Players!$A$2:$A$137,0)),""))</f>
        <v>0.72</v>
      </c>
    </row>
    <row r="237" customFormat="false" ht="15" hidden="false" customHeight="false" outlineLevel="0" collapsed="false">
      <c r="A237" s="0" t="s">
        <v>2253</v>
      </c>
      <c r="B237" s="0" t="s">
        <v>1675</v>
      </c>
      <c r="C237" s="0" t="s">
        <v>1328</v>
      </c>
      <c r="D237" s="0" t="s">
        <v>1139</v>
      </c>
      <c r="E237" s="0" t="s">
        <v>95</v>
      </c>
      <c r="F237" s="0" t="n">
        <v>6</v>
      </c>
      <c r="G237" s="0" t="n">
        <v>16.5</v>
      </c>
      <c r="H237" s="0" t="n">
        <v>0.71</v>
      </c>
      <c r="I237" s="10" t="n">
        <v>0.323</v>
      </c>
      <c r="J237" s="0" t="n">
        <v>1.24</v>
      </c>
      <c r="K237" s="13" t="n">
        <f aca="false">IF(H237&lt;&gt;"",H237,IFERROR(G237/INDEX(Players!$M$2:$M$137,MATCH(B237,Players!$A$2:$A$137,0)),""))</f>
        <v>0.71</v>
      </c>
    </row>
    <row r="238" customFormat="false" ht="15" hidden="false" customHeight="false" outlineLevel="0" collapsed="false">
      <c r="A238" s="0" t="s">
        <v>2254</v>
      </c>
      <c r="B238" s="0" t="s">
        <v>1675</v>
      </c>
      <c r="C238" s="0" t="s">
        <v>1328</v>
      </c>
      <c r="D238" s="0" t="s">
        <v>1139</v>
      </c>
      <c r="E238" s="0" t="s">
        <v>108</v>
      </c>
      <c r="F238" s="0" t="n">
        <v>5</v>
      </c>
      <c r="G238" s="0" t="n">
        <v>14</v>
      </c>
      <c r="H238" s="0" t="n">
        <v>0.72</v>
      </c>
      <c r="I238" s="10" t="n">
        <v>0.286</v>
      </c>
      <c r="J238" s="0" t="n">
        <v>1.4</v>
      </c>
      <c r="K238" s="13" t="n">
        <f aca="false">IF(H238&lt;&gt;"",H238,IFERROR(G238/INDEX(Players!$M$2:$M$137,MATCH(B238,Players!$A$2:$A$137,0)),""))</f>
        <v>0.72</v>
      </c>
    </row>
    <row r="239" customFormat="false" ht="15" hidden="false" customHeight="false" outlineLevel="0" collapsed="false">
      <c r="A239" s="0" t="s">
        <v>2255</v>
      </c>
      <c r="B239" s="0" t="s">
        <v>1675</v>
      </c>
      <c r="C239" s="0" t="s">
        <v>1328</v>
      </c>
      <c r="D239" s="0" t="s">
        <v>1139</v>
      </c>
      <c r="E239" s="0" t="s">
        <v>129</v>
      </c>
      <c r="F239" s="0" t="n">
        <v>4</v>
      </c>
      <c r="G239" s="0" t="n">
        <v>13</v>
      </c>
      <c r="H239" s="0" t="n">
        <v>0.66</v>
      </c>
      <c r="I239" s="10" t="n">
        <v>0.269</v>
      </c>
      <c r="J239" s="0" t="n">
        <v>1.18</v>
      </c>
      <c r="K239" s="13" t="n">
        <f aca="false">IF(H239&lt;&gt;"",H239,IFERROR(G239/INDEX(Players!$M$2:$M$137,MATCH(B239,Players!$A$2:$A$137,0)),""))</f>
        <v>0.66</v>
      </c>
    </row>
    <row r="240" customFormat="false" ht="15" hidden="false" customHeight="false" outlineLevel="0" collapsed="false">
      <c r="A240" s="0" t="s">
        <v>2256</v>
      </c>
      <c r="B240" s="0" t="s">
        <v>1675</v>
      </c>
      <c r="C240" s="0" t="s">
        <v>1328</v>
      </c>
      <c r="D240" s="0" t="s">
        <v>1139</v>
      </c>
      <c r="E240" s="0" t="s">
        <v>121</v>
      </c>
      <c r="F240" s="0" t="n">
        <v>3</v>
      </c>
      <c r="G240" s="0" t="n">
        <v>16.7</v>
      </c>
      <c r="H240" s="0" t="n">
        <v>0.74</v>
      </c>
      <c r="I240" s="10" t="n">
        <v>0.3</v>
      </c>
      <c r="J240" s="0" t="n">
        <v>1.25</v>
      </c>
      <c r="K240" s="13" t="n">
        <f aca="false">IF(H240&lt;&gt;"",H240,IFERROR(G240/INDEX(Players!$M$2:$M$137,MATCH(B240,Players!$A$2:$A$137,0)),""))</f>
        <v>0.74</v>
      </c>
    </row>
    <row r="241" customFormat="false" ht="15" hidden="false" customHeight="false" outlineLevel="0" collapsed="false">
      <c r="A241" s="0" t="s">
        <v>2257</v>
      </c>
      <c r="B241" s="0" t="s">
        <v>1675</v>
      </c>
      <c r="C241" s="0" t="s">
        <v>1328</v>
      </c>
      <c r="D241" s="0" t="s">
        <v>1139</v>
      </c>
      <c r="E241" s="0" t="s">
        <v>81</v>
      </c>
      <c r="F241" s="0" t="n">
        <v>3</v>
      </c>
      <c r="G241" s="0" t="n">
        <v>12.7</v>
      </c>
      <c r="H241" s="0" t="n">
        <v>0.67</v>
      </c>
      <c r="I241" s="10" t="n">
        <v>0.289</v>
      </c>
      <c r="J241" s="0" t="n">
        <v>1.06</v>
      </c>
      <c r="K241" s="13" t="n">
        <f aca="false">IF(H241&lt;&gt;"",H241,IFERROR(G241/INDEX(Players!$M$2:$M$137,MATCH(B241,Players!$A$2:$A$137,0)),""))</f>
        <v>0.67</v>
      </c>
    </row>
    <row r="242" customFormat="false" ht="15" hidden="false" customHeight="false" outlineLevel="0" collapsed="false">
      <c r="A242" s="0" t="s">
        <v>2258</v>
      </c>
      <c r="B242" s="0" t="s">
        <v>1738</v>
      </c>
      <c r="C242" s="0" t="s">
        <v>1482</v>
      </c>
      <c r="D242" s="0" t="s">
        <v>1139</v>
      </c>
      <c r="E242" s="0" t="s">
        <v>81</v>
      </c>
      <c r="F242" s="0" t="n">
        <v>8</v>
      </c>
      <c r="G242" s="0" t="n">
        <v>15.4</v>
      </c>
      <c r="H242" s="0" t="n">
        <v>0.62</v>
      </c>
      <c r="I242" s="10" t="n">
        <v>0.341</v>
      </c>
      <c r="J242" s="0" t="n">
        <v>1.07</v>
      </c>
      <c r="K242" s="13" t="n">
        <f aca="false">IF(H242&lt;&gt;"",H242,IFERROR(G242/INDEX(Players!$M$2:$M$137,MATCH(B242,Players!$A$2:$A$137,0)),""))</f>
        <v>0.62</v>
      </c>
    </row>
    <row r="243" customFormat="false" ht="15" hidden="false" customHeight="false" outlineLevel="0" collapsed="false">
      <c r="A243" s="0" t="s">
        <v>2259</v>
      </c>
      <c r="B243" s="0" t="s">
        <v>1738</v>
      </c>
      <c r="C243" s="0" t="s">
        <v>1482</v>
      </c>
      <c r="D243" s="0" t="s">
        <v>1139</v>
      </c>
      <c r="E243" s="0" t="s">
        <v>129</v>
      </c>
      <c r="F243" s="0" t="n">
        <v>7</v>
      </c>
      <c r="G243" s="0" t="n">
        <v>14.1</v>
      </c>
      <c r="H243" s="0" t="n">
        <v>0.58</v>
      </c>
      <c r="I243" s="10" t="n">
        <v>0.364</v>
      </c>
      <c r="J243" s="0" t="n">
        <v>1.08</v>
      </c>
      <c r="K243" s="13" t="n">
        <f aca="false">IF(H243&lt;&gt;"",H243,IFERROR(G243/INDEX(Players!$M$2:$M$137,MATCH(B243,Players!$A$2:$A$137,0)),""))</f>
        <v>0.58</v>
      </c>
    </row>
    <row r="244" customFormat="false" ht="15" hidden="false" customHeight="false" outlineLevel="0" collapsed="false">
      <c r="A244" s="0" t="s">
        <v>2260</v>
      </c>
      <c r="B244" s="0" t="s">
        <v>1738</v>
      </c>
      <c r="C244" s="0" t="s">
        <v>1482</v>
      </c>
      <c r="D244" s="0" t="s">
        <v>1139</v>
      </c>
      <c r="E244" s="0" t="s">
        <v>95</v>
      </c>
      <c r="F244" s="0" t="n">
        <v>7</v>
      </c>
      <c r="G244" s="0" t="n">
        <v>12.6</v>
      </c>
      <c r="H244" s="0" t="n">
        <v>0.6</v>
      </c>
      <c r="I244" s="10" t="n">
        <v>0.432</v>
      </c>
      <c r="J244" s="0" t="n">
        <v>0.97</v>
      </c>
      <c r="K244" s="13" t="n">
        <f aca="false">IF(H244&lt;&gt;"",H244,IFERROR(G244/INDEX(Players!$M$2:$M$137,MATCH(B244,Players!$A$2:$A$137,0)),""))</f>
        <v>0.6</v>
      </c>
    </row>
    <row r="245" customFormat="false" ht="15" hidden="false" customHeight="false" outlineLevel="0" collapsed="false">
      <c r="A245" s="0" t="s">
        <v>2261</v>
      </c>
      <c r="B245" s="0" t="s">
        <v>1738</v>
      </c>
      <c r="C245" s="0" t="s">
        <v>1482</v>
      </c>
      <c r="D245" s="0" t="s">
        <v>1139</v>
      </c>
      <c r="E245" s="0" t="s">
        <v>145</v>
      </c>
      <c r="F245" s="0" t="n">
        <v>6</v>
      </c>
      <c r="G245" s="0" t="n">
        <v>14.2</v>
      </c>
      <c r="H245" s="0" t="n">
        <v>0.65</v>
      </c>
      <c r="I245" s="10" t="n">
        <v>0.412</v>
      </c>
      <c r="J245" s="0" t="n">
        <v>1.27</v>
      </c>
      <c r="K245" s="13" t="n">
        <f aca="false">IF(H245&lt;&gt;"",H245,IFERROR(G245/INDEX(Players!$M$2:$M$137,MATCH(B245,Players!$A$2:$A$137,0)),""))</f>
        <v>0.65</v>
      </c>
    </row>
    <row r="246" customFormat="false" ht="15" hidden="false" customHeight="false" outlineLevel="0" collapsed="false">
      <c r="A246" s="0" t="s">
        <v>2262</v>
      </c>
      <c r="B246" s="0" t="s">
        <v>1738</v>
      </c>
      <c r="C246" s="0" t="s">
        <v>1482</v>
      </c>
      <c r="D246" s="0" t="s">
        <v>1139</v>
      </c>
      <c r="E246" s="0" t="s">
        <v>108</v>
      </c>
      <c r="F246" s="0" t="n">
        <v>4</v>
      </c>
      <c r="G246" s="0" t="n">
        <v>18</v>
      </c>
      <c r="H246" s="0" t="n">
        <v>0.78</v>
      </c>
      <c r="I246" s="10" t="n">
        <v>0.389</v>
      </c>
      <c r="J246" s="0" t="n">
        <v>1.44</v>
      </c>
      <c r="K246" s="13" t="n">
        <f aca="false">IF(H246&lt;&gt;"",H246,IFERROR(G246/INDEX(Players!$M$2:$M$137,MATCH(B246,Players!$A$2:$A$137,0)),""))</f>
        <v>0.78</v>
      </c>
    </row>
    <row r="247" customFormat="false" ht="15" hidden="false" customHeight="false" outlineLevel="0" collapsed="false">
      <c r="A247" s="0" t="s">
        <v>2263</v>
      </c>
      <c r="B247" s="0" t="s">
        <v>1738</v>
      </c>
      <c r="C247" s="0" t="s">
        <v>1482</v>
      </c>
      <c r="D247" s="0" t="s">
        <v>1139</v>
      </c>
      <c r="E247" s="0" t="s">
        <v>139</v>
      </c>
      <c r="F247" s="0" t="n">
        <v>3</v>
      </c>
      <c r="G247" s="0" t="n">
        <v>12.3</v>
      </c>
      <c r="H247" s="0" t="n">
        <v>0.65</v>
      </c>
      <c r="I247" s="10" t="n">
        <v>0.378</v>
      </c>
      <c r="J247" s="0" t="n">
        <v>1.23</v>
      </c>
      <c r="K247" s="13" t="n">
        <f aca="false">IF(H247&lt;&gt;"",H247,IFERROR(G247/INDEX(Players!$M$2:$M$137,MATCH(B247,Players!$A$2:$A$137,0)),""))</f>
        <v>0.65</v>
      </c>
    </row>
    <row r="248" customFormat="false" ht="15" hidden="false" customHeight="false" outlineLevel="0" collapsed="false">
      <c r="A248" s="0" t="s">
        <v>2264</v>
      </c>
      <c r="B248" s="0" t="s">
        <v>1779</v>
      </c>
      <c r="C248" s="0" t="s">
        <v>1570</v>
      </c>
      <c r="D248" s="0" t="s">
        <v>1139</v>
      </c>
      <c r="E248" s="0" t="s">
        <v>139</v>
      </c>
      <c r="F248" s="0" t="n">
        <v>7</v>
      </c>
      <c r="G248" s="0" t="n">
        <v>13.4</v>
      </c>
      <c r="H248" s="0" t="n">
        <v>0.69</v>
      </c>
      <c r="I248" s="10" t="n">
        <v>0.521</v>
      </c>
      <c r="J248" s="0" t="n">
        <v>0.99</v>
      </c>
      <c r="K248" s="13" t="n">
        <f aca="false">IF(H248&lt;&gt;"",H248,IFERROR(G248/INDEX(Players!$M$2:$M$137,MATCH(B248,Players!$A$2:$A$137,0)),""))</f>
        <v>0.69</v>
      </c>
    </row>
    <row r="249" customFormat="false" ht="15" hidden="false" customHeight="false" outlineLevel="0" collapsed="false">
      <c r="A249" s="0" t="s">
        <v>2265</v>
      </c>
      <c r="B249" s="0" t="s">
        <v>1779</v>
      </c>
      <c r="C249" s="0" t="s">
        <v>1570</v>
      </c>
      <c r="D249" s="0" t="s">
        <v>1139</v>
      </c>
      <c r="E249" s="0" t="s">
        <v>108</v>
      </c>
      <c r="F249" s="0" t="n">
        <v>7</v>
      </c>
      <c r="G249" s="0" t="n">
        <v>12.3</v>
      </c>
      <c r="H249" s="0" t="n">
        <v>0.59</v>
      </c>
      <c r="I249" s="10" t="n">
        <v>0.395</v>
      </c>
      <c r="J249" s="0" t="n">
        <v>0.78</v>
      </c>
      <c r="K249" s="13" t="n">
        <f aca="false">IF(H249&lt;&gt;"",H249,IFERROR(G249/INDEX(Players!$M$2:$M$137,MATCH(B249,Players!$A$2:$A$137,0)),""))</f>
        <v>0.59</v>
      </c>
    </row>
    <row r="250" customFormat="false" ht="15" hidden="false" customHeight="false" outlineLevel="0" collapsed="false">
      <c r="A250" s="0" t="s">
        <v>2266</v>
      </c>
      <c r="B250" s="0" t="s">
        <v>1779</v>
      </c>
      <c r="C250" s="0" t="s">
        <v>1570</v>
      </c>
      <c r="D250" s="0" t="s">
        <v>1139</v>
      </c>
      <c r="E250" s="0" t="s">
        <v>145</v>
      </c>
      <c r="F250" s="0" t="n">
        <v>6</v>
      </c>
      <c r="G250" s="0" t="n">
        <v>13.7</v>
      </c>
      <c r="H250" s="0" t="n">
        <v>0.65</v>
      </c>
      <c r="I250" s="10" t="n">
        <v>0.5</v>
      </c>
      <c r="J250" s="0" t="n">
        <v>1.04</v>
      </c>
      <c r="K250" s="13" t="n">
        <f aca="false">IF(H250&lt;&gt;"",H250,IFERROR(G250/INDEX(Players!$M$2:$M$137,MATCH(B250,Players!$A$2:$A$137,0)),""))</f>
        <v>0.65</v>
      </c>
    </row>
    <row r="251" customFormat="false" ht="15" hidden="false" customHeight="false" outlineLevel="0" collapsed="false">
      <c r="A251" s="0" t="s">
        <v>2267</v>
      </c>
      <c r="B251" s="0" t="s">
        <v>1779</v>
      </c>
      <c r="C251" s="0" t="s">
        <v>1570</v>
      </c>
      <c r="D251" s="0" t="s">
        <v>1139</v>
      </c>
      <c r="E251" s="0" t="s">
        <v>129</v>
      </c>
      <c r="F251" s="0" t="n">
        <v>5</v>
      </c>
      <c r="G251" s="0" t="n">
        <v>13</v>
      </c>
      <c r="H251" s="0" t="n">
        <v>0.65</v>
      </c>
      <c r="I251" s="10" t="n">
        <v>0.415</v>
      </c>
      <c r="J251" s="0" t="n">
        <v>1</v>
      </c>
      <c r="K251" s="13" t="n">
        <f aca="false">IF(H251&lt;&gt;"",H251,IFERROR(G251/INDEX(Players!$M$2:$M$137,MATCH(B251,Players!$A$2:$A$137,0)),""))</f>
        <v>0.65</v>
      </c>
    </row>
    <row r="252" customFormat="false" ht="15" hidden="false" customHeight="false" outlineLevel="0" collapsed="false">
      <c r="A252" s="0" t="s">
        <v>2268</v>
      </c>
      <c r="B252" s="0" t="s">
        <v>1779</v>
      </c>
      <c r="C252" s="0" t="s">
        <v>1570</v>
      </c>
      <c r="D252" s="0" t="s">
        <v>1139</v>
      </c>
      <c r="E252" s="0" t="s">
        <v>95</v>
      </c>
      <c r="F252" s="0" t="n">
        <v>5</v>
      </c>
      <c r="G252" s="0" t="n">
        <v>15.4</v>
      </c>
      <c r="H252" s="0" t="n">
        <v>0.61</v>
      </c>
      <c r="I252" s="10" t="n">
        <v>0.481</v>
      </c>
      <c r="J252" s="0" t="n">
        <v>0.88</v>
      </c>
      <c r="K252" s="13" t="n">
        <f aca="false">IF(H252&lt;&gt;"",H252,IFERROR(G252/INDEX(Players!$M$2:$M$137,MATCH(B252,Players!$A$2:$A$137,0)),""))</f>
        <v>0.61</v>
      </c>
    </row>
    <row r="253" customFormat="false" ht="15" hidden="false" customHeight="false" outlineLevel="0" collapsed="false">
      <c r="A253" s="0" t="s">
        <v>2269</v>
      </c>
      <c r="B253" s="0" t="s">
        <v>1779</v>
      </c>
      <c r="C253" s="0" t="s">
        <v>1570</v>
      </c>
      <c r="D253" s="0" t="s">
        <v>1139</v>
      </c>
      <c r="E253" s="0" t="s">
        <v>121</v>
      </c>
      <c r="F253" s="0" t="n">
        <v>4</v>
      </c>
      <c r="G253" s="0" t="n">
        <v>15</v>
      </c>
      <c r="H253" s="0" t="n">
        <v>0.71</v>
      </c>
      <c r="I253" s="10" t="n">
        <v>0.433</v>
      </c>
      <c r="J253" s="0" t="n">
        <v>1.11</v>
      </c>
      <c r="K253" s="13" t="n">
        <f aca="false">IF(H253&lt;&gt;"",H253,IFERROR(G253/INDEX(Players!$M$2:$M$137,MATCH(B253,Players!$A$2:$A$137,0)),""))</f>
        <v>0.71</v>
      </c>
    </row>
    <row r="254" customFormat="false" ht="15" hidden="false" customHeight="false" outlineLevel="0" collapsed="false">
      <c r="A254" s="0" t="s">
        <v>2270</v>
      </c>
      <c r="B254" s="0" t="s">
        <v>1779</v>
      </c>
      <c r="C254" s="0" t="s">
        <v>1570</v>
      </c>
      <c r="D254" s="0" t="s">
        <v>1139</v>
      </c>
      <c r="E254" s="0" t="s">
        <v>81</v>
      </c>
      <c r="F254" s="0" t="n">
        <v>2</v>
      </c>
      <c r="G254" s="0" t="n">
        <v>14</v>
      </c>
      <c r="H254" s="0" t="n">
        <v>0.67</v>
      </c>
      <c r="I254" s="10" t="n">
        <v>0.286</v>
      </c>
      <c r="J254" s="0" t="n">
        <v>1</v>
      </c>
      <c r="K254" s="13" t="n">
        <f aca="false">IF(H254&lt;&gt;"",H254,IFERROR(G254/INDEX(Players!$M$2:$M$137,MATCH(B254,Players!$A$2:$A$137,0)),""))</f>
        <v>0.67</v>
      </c>
    </row>
    <row r="255" customFormat="false" ht="15" hidden="false" customHeight="false" outlineLevel="0" collapsed="false">
      <c r="A255" s="0" t="s">
        <v>2271</v>
      </c>
      <c r="B255" s="0" t="s">
        <v>1733</v>
      </c>
      <c r="C255" s="0" t="s">
        <v>1472</v>
      </c>
      <c r="D255" s="0" t="s">
        <v>1139</v>
      </c>
      <c r="E255" s="0" t="s">
        <v>81</v>
      </c>
      <c r="F255" s="0" t="n">
        <v>9</v>
      </c>
      <c r="G255" s="0" t="n">
        <v>14.8</v>
      </c>
      <c r="H255" s="0" t="n">
        <v>0.67</v>
      </c>
      <c r="I255" s="10" t="n">
        <v>0.346</v>
      </c>
      <c r="J255" s="0" t="n">
        <v>1.13</v>
      </c>
      <c r="K255" s="13" t="n">
        <f aca="false">IF(H255&lt;&gt;"",H255,IFERROR(G255/INDEX(Players!$M$2:$M$137,MATCH(B255,Players!$A$2:$A$137,0)),""))</f>
        <v>0.67</v>
      </c>
    </row>
    <row r="256" customFormat="false" ht="15" hidden="false" customHeight="false" outlineLevel="0" collapsed="false">
      <c r="A256" s="0" t="s">
        <v>2272</v>
      </c>
      <c r="B256" s="0" t="s">
        <v>1733</v>
      </c>
      <c r="C256" s="0" t="s">
        <v>1472</v>
      </c>
      <c r="D256" s="0" t="s">
        <v>1139</v>
      </c>
      <c r="E256" s="0" t="s">
        <v>145</v>
      </c>
      <c r="F256" s="0" t="n">
        <v>8</v>
      </c>
      <c r="G256" s="0" t="n">
        <v>17.1</v>
      </c>
      <c r="H256" s="0" t="n">
        <v>0.75</v>
      </c>
      <c r="I256" s="10" t="n">
        <v>0.409</v>
      </c>
      <c r="J256" s="0" t="n">
        <v>1.34</v>
      </c>
      <c r="K256" s="13" t="n">
        <f aca="false">IF(H256&lt;&gt;"",H256,IFERROR(G256/INDEX(Players!$M$2:$M$137,MATCH(B256,Players!$A$2:$A$137,0)),""))</f>
        <v>0.75</v>
      </c>
    </row>
    <row r="257" customFormat="false" ht="15" hidden="false" customHeight="false" outlineLevel="0" collapsed="false">
      <c r="A257" s="0" t="s">
        <v>2273</v>
      </c>
      <c r="B257" s="0" t="s">
        <v>1733</v>
      </c>
      <c r="C257" s="0" t="s">
        <v>1472</v>
      </c>
      <c r="D257" s="0" t="s">
        <v>1139</v>
      </c>
      <c r="E257" s="0" t="s">
        <v>95</v>
      </c>
      <c r="F257" s="0" t="n">
        <v>7</v>
      </c>
      <c r="G257" s="0" t="n">
        <v>15.1</v>
      </c>
      <c r="H257" s="0" t="n">
        <v>0.61</v>
      </c>
      <c r="I257" s="10" t="n">
        <v>0.415</v>
      </c>
      <c r="J257" s="0" t="n">
        <v>1.01</v>
      </c>
      <c r="K257" s="13" t="n">
        <f aca="false">IF(H257&lt;&gt;"",H257,IFERROR(G257/INDEX(Players!$M$2:$M$137,MATCH(B257,Players!$A$2:$A$137,0)),""))</f>
        <v>0.61</v>
      </c>
    </row>
    <row r="258" customFormat="false" ht="15" hidden="false" customHeight="false" outlineLevel="0" collapsed="false">
      <c r="A258" s="0" t="s">
        <v>2274</v>
      </c>
      <c r="B258" s="0" t="s">
        <v>1733</v>
      </c>
      <c r="C258" s="0" t="s">
        <v>1472</v>
      </c>
      <c r="D258" s="0" t="s">
        <v>1139</v>
      </c>
      <c r="E258" s="0" t="s">
        <v>108</v>
      </c>
      <c r="F258" s="0" t="n">
        <v>6</v>
      </c>
      <c r="G258" s="0" t="n">
        <v>11.7</v>
      </c>
      <c r="H258" s="0" t="n">
        <v>0.53</v>
      </c>
      <c r="I258" s="10" t="n">
        <v>0.4</v>
      </c>
      <c r="J258" s="0" t="n">
        <v>0.89</v>
      </c>
      <c r="K258" s="13" t="n">
        <f aca="false">IF(H258&lt;&gt;"",H258,IFERROR(G258/INDEX(Players!$M$2:$M$137,MATCH(B258,Players!$A$2:$A$137,0)),""))</f>
        <v>0.53</v>
      </c>
    </row>
    <row r="259" customFormat="false" ht="15" hidden="false" customHeight="false" outlineLevel="0" collapsed="false">
      <c r="A259" s="0" t="s">
        <v>2275</v>
      </c>
      <c r="B259" s="0" t="s">
        <v>1733</v>
      </c>
      <c r="C259" s="0" t="s">
        <v>1472</v>
      </c>
      <c r="D259" s="0" t="s">
        <v>1139</v>
      </c>
      <c r="E259" s="0" t="s">
        <v>121</v>
      </c>
      <c r="F259" s="0" t="n">
        <v>4</v>
      </c>
      <c r="G259" s="0" t="n">
        <v>19</v>
      </c>
      <c r="H259" s="0" t="n">
        <v>0.84</v>
      </c>
      <c r="I259" s="10" t="n">
        <v>0.289</v>
      </c>
      <c r="J259" s="0" t="n">
        <v>1.43</v>
      </c>
      <c r="K259" s="13" t="n">
        <f aca="false">IF(H259&lt;&gt;"",H259,IFERROR(G259/INDEX(Players!$M$2:$M$137,MATCH(B259,Players!$A$2:$A$137,0)),""))</f>
        <v>0.84</v>
      </c>
    </row>
    <row r="260" customFormat="false" ht="15" hidden="false" customHeight="false" outlineLevel="0" collapsed="false">
      <c r="A260" s="0" t="s">
        <v>2276</v>
      </c>
      <c r="B260" s="0" t="s">
        <v>1733</v>
      </c>
      <c r="C260" s="0" t="s">
        <v>1472</v>
      </c>
      <c r="D260" s="0" t="s">
        <v>1139</v>
      </c>
      <c r="E260" s="0" t="s">
        <v>129</v>
      </c>
      <c r="F260" s="0" t="n">
        <v>4</v>
      </c>
      <c r="G260" s="0" t="n">
        <v>22.3</v>
      </c>
      <c r="H260" s="0" t="n">
        <v>0.82</v>
      </c>
      <c r="I260" s="10" t="n">
        <v>0.315</v>
      </c>
      <c r="J260" s="0" t="n">
        <v>1.41</v>
      </c>
      <c r="K260" s="13" t="n">
        <f aca="false">IF(H260&lt;&gt;"",H260,IFERROR(G260/INDEX(Players!$M$2:$M$137,MATCH(B260,Players!$A$2:$A$137,0)),""))</f>
        <v>0.82</v>
      </c>
    </row>
    <row r="261" customFormat="false" ht="15" hidden="false" customHeight="false" outlineLevel="0" collapsed="false">
      <c r="A261" s="0" t="s">
        <v>2277</v>
      </c>
      <c r="B261" s="0" t="s">
        <v>1734</v>
      </c>
      <c r="C261" s="0" t="s">
        <v>1474</v>
      </c>
      <c r="D261" s="0" t="s">
        <v>1139</v>
      </c>
      <c r="E261" s="0" t="s">
        <v>81</v>
      </c>
      <c r="F261" s="0" t="n">
        <v>9</v>
      </c>
      <c r="G261" s="0" t="n">
        <v>11.7</v>
      </c>
      <c r="H261" s="0" t="n">
        <v>0.53</v>
      </c>
      <c r="I261" s="10" t="n">
        <v>0.686</v>
      </c>
      <c r="J261" s="0" t="n">
        <v>0.7</v>
      </c>
      <c r="K261" s="13" t="n">
        <f aca="false">IF(H261&lt;&gt;"",H261,IFERROR(G261/INDEX(Players!$M$2:$M$137,MATCH(B261,Players!$A$2:$A$137,0)),""))</f>
        <v>0.53</v>
      </c>
    </row>
    <row r="262" customFormat="false" ht="15" hidden="false" customHeight="false" outlineLevel="0" collapsed="false">
      <c r="A262" s="0" t="s">
        <v>2278</v>
      </c>
      <c r="B262" s="0" t="s">
        <v>1734</v>
      </c>
      <c r="C262" s="0" t="s">
        <v>1474</v>
      </c>
      <c r="D262" s="0" t="s">
        <v>1139</v>
      </c>
      <c r="E262" s="0" t="s">
        <v>145</v>
      </c>
      <c r="F262" s="0" t="n">
        <v>8</v>
      </c>
      <c r="G262" s="0" t="n">
        <v>14.3</v>
      </c>
      <c r="H262" s="0" t="n">
        <v>0.63</v>
      </c>
      <c r="I262" s="10" t="n">
        <v>0.649</v>
      </c>
      <c r="J262" s="0" t="n">
        <v>0.97</v>
      </c>
      <c r="K262" s="13" t="n">
        <f aca="false">IF(H262&lt;&gt;"",H262,IFERROR(G262/INDEX(Players!$M$2:$M$137,MATCH(B262,Players!$A$2:$A$137,0)),""))</f>
        <v>0.63</v>
      </c>
    </row>
    <row r="263" customFormat="false" ht="15" hidden="false" customHeight="false" outlineLevel="0" collapsed="false">
      <c r="A263" s="0" t="s">
        <v>2279</v>
      </c>
      <c r="B263" s="0" t="s">
        <v>1734</v>
      </c>
      <c r="C263" s="0" t="s">
        <v>1474</v>
      </c>
      <c r="D263" s="0" t="s">
        <v>1139</v>
      </c>
      <c r="E263" s="0" t="s">
        <v>95</v>
      </c>
      <c r="F263" s="0" t="n">
        <v>7</v>
      </c>
      <c r="G263" s="0" t="n">
        <v>14.6</v>
      </c>
      <c r="H263" s="0" t="n">
        <v>0.58</v>
      </c>
      <c r="I263" s="10" t="n">
        <v>0.657</v>
      </c>
      <c r="J263" s="0" t="n">
        <v>0.91</v>
      </c>
      <c r="K263" s="13" t="n">
        <f aca="false">IF(H263&lt;&gt;"",H263,IFERROR(G263/INDEX(Players!$M$2:$M$137,MATCH(B263,Players!$A$2:$A$137,0)),""))</f>
        <v>0.58</v>
      </c>
    </row>
    <row r="264" customFormat="false" ht="15" hidden="false" customHeight="false" outlineLevel="0" collapsed="false">
      <c r="A264" s="0" t="s">
        <v>2280</v>
      </c>
      <c r="B264" s="0" t="s">
        <v>1734</v>
      </c>
      <c r="C264" s="0" t="s">
        <v>1474</v>
      </c>
      <c r="D264" s="0" t="s">
        <v>1139</v>
      </c>
      <c r="E264" s="0" t="s">
        <v>108</v>
      </c>
      <c r="F264" s="0" t="n">
        <v>6</v>
      </c>
      <c r="G264" s="0" t="n">
        <v>20.5</v>
      </c>
      <c r="H264" s="0" t="n">
        <v>0.92</v>
      </c>
      <c r="I264" s="10" t="n">
        <v>0.732</v>
      </c>
      <c r="J264" s="0" t="n">
        <v>1.4</v>
      </c>
      <c r="K264" s="13" t="n">
        <f aca="false">IF(H264&lt;&gt;"",H264,IFERROR(G264/INDEX(Players!$M$2:$M$137,MATCH(B264,Players!$A$2:$A$137,0)),""))</f>
        <v>0.92</v>
      </c>
    </row>
    <row r="265" customFormat="false" ht="15" hidden="false" customHeight="false" outlineLevel="0" collapsed="false">
      <c r="A265" s="0" t="s">
        <v>2281</v>
      </c>
      <c r="B265" s="0" t="s">
        <v>1734</v>
      </c>
      <c r="C265" s="0" t="s">
        <v>1474</v>
      </c>
      <c r="D265" s="0" t="s">
        <v>1139</v>
      </c>
      <c r="E265" s="0" t="s">
        <v>121</v>
      </c>
      <c r="F265" s="0" t="n">
        <v>4</v>
      </c>
      <c r="G265" s="0" t="n">
        <v>17.8</v>
      </c>
      <c r="H265" s="0" t="n">
        <v>0.78</v>
      </c>
      <c r="I265" s="10" t="n">
        <v>0.662</v>
      </c>
      <c r="J265" s="0" t="n">
        <v>1.22</v>
      </c>
      <c r="K265" s="13" t="n">
        <f aca="false">IF(H265&lt;&gt;"",H265,IFERROR(G265/INDEX(Players!$M$2:$M$137,MATCH(B265,Players!$A$2:$A$137,0)),""))</f>
        <v>0.78</v>
      </c>
    </row>
    <row r="266" customFormat="false" ht="15" hidden="false" customHeight="false" outlineLevel="0" collapsed="false">
      <c r="A266" s="0" t="s">
        <v>2282</v>
      </c>
      <c r="B266" s="0" t="s">
        <v>1734</v>
      </c>
      <c r="C266" s="0" t="s">
        <v>1474</v>
      </c>
      <c r="D266" s="0" t="s">
        <v>1139</v>
      </c>
      <c r="E266" s="0" t="s">
        <v>129</v>
      </c>
      <c r="F266" s="0" t="n">
        <v>4</v>
      </c>
      <c r="G266" s="0" t="n">
        <v>16.5</v>
      </c>
      <c r="H266" s="0" t="n">
        <v>0.61</v>
      </c>
      <c r="I266" s="10" t="n">
        <v>0.53</v>
      </c>
      <c r="J266" s="0" t="n">
        <v>0.93</v>
      </c>
      <c r="K266" s="13" t="n">
        <f aca="false">IF(H266&lt;&gt;"",H266,IFERROR(G266/INDEX(Players!$M$2:$M$137,MATCH(B266,Players!$A$2:$A$137,0)),""))</f>
        <v>0.61</v>
      </c>
    </row>
    <row r="267" customFormat="false" ht="15" hidden="false" customHeight="false" outlineLevel="0" collapsed="false">
      <c r="A267" s="0" t="s">
        <v>2283</v>
      </c>
      <c r="B267" s="0" t="s">
        <v>1715</v>
      </c>
      <c r="C267" s="0" t="s">
        <v>1429</v>
      </c>
      <c r="D267" s="0" t="s">
        <v>1139</v>
      </c>
      <c r="E267" s="0" t="s">
        <v>129</v>
      </c>
      <c r="F267" s="0" t="n">
        <v>12</v>
      </c>
      <c r="G267" s="0" t="n">
        <v>15</v>
      </c>
      <c r="H267" s="0" t="n">
        <v>0.7</v>
      </c>
      <c r="I267" s="10" t="n">
        <v>0.517</v>
      </c>
      <c r="J267" s="0" t="n">
        <v>1.03</v>
      </c>
      <c r="K267" s="13" t="n">
        <f aca="false">IF(H267&lt;&gt;"",H267,IFERROR(G267/INDEX(Players!$M$2:$M$137,MATCH(B267,Players!$A$2:$A$137,0)),""))</f>
        <v>0.7</v>
      </c>
    </row>
    <row r="268" customFormat="false" ht="15" hidden="false" customHeight="false" outlineLevel="0" collapsed="false">
      <c r="A268" s="0" t="s">
        <v>2284</v>
      </c>
      <c r="B268" s="0" t="s">
        <v>1715</v>
      </c>
      <c r="C268" s="0" t="s">
        <v>1429</v>
      </c>
      <c r="D268" s="0" t="s">
        <v>1139</v>
      </c>
      <c r="E268" s="0" t="s">
        <v>108</v>
      </c>
      <c r="F268" s="0" t="n">
        <v>10</v>
      </c>
      <c r="G268" s="0" t="n">
        <v>14.4</v>
      </c>
      <c r="H268" s="0" t="n">
        <v>0.68</v>
      </c>
      <c r="I268" s="10" t="n">
        <v>0.486</v>
      </c>
      <c r="J268" s="0" t="n">
        <v>0.98</v>
      </c>
      <c r="K268" s="13" t="n">
        <f aca="false">IF(H268&lt;&gt;"",H268,IFERROR(G268/INDEX(Players!$M$2:$M$137,MATCH(B268,Players!$A$2:$A$137,0)),""))</f>
        <v>0.68</v>
      </c>
    </row>
    <row r="269" customFormat="false" ht="15" hidden="false" customHeight="false" outlineLevel="0" collapsed="false">
      <c r="A269" s="0" t="s">
        <v>2285</v>
      </c>
      <c r="B269" s="0" t="s">
        <v>1715</v>
      </c>
      <c r="C269" s="0" t="s">
        <v>1429</v>
      </c>
      <c r="D269" s="0" t="s">
        <v>1139</v>
      </c>
      <c r="E269" s="0" t="s">
        <v>81</v>
      </c>
      <c r="F269" s="0" t="n">
        <v>6</v>
      </c>
      <c r="G269" s="0" t="n">
        <v>9.5</v>
      </c>
      <c r="H269" s="0" t="n">
        <v>0.42</v>
      </c>
      <c r="I269" s="10" t="n">
        <v>0.632</v>
      </c>
      <c r="J269" s="0" t="n">
        <v>0.54</v>
      </c>
      <c r="K269" s="13" t="n">
        <f aca="false">IF(H269&lt;&gt;"",H269,IFERROR(G269/INDEX(Players!$M$2:$M$137,MATCH(B269,Players!$A$2:$A$137,0)),""))</f>
        <v>0.42</v>
      </c>
    </row>
    <row r="270" customFormat="false" ht="15" hidden="false" customHeight="false" outlineLevel="0" collapsed="false">
      <c r="A270" s="0" t="s">
        <v>2286</v>
      </c>
      <c r="B270" s="0" t="s">
        <v>1715</v>
      </c>
      <c r="C270" s="0" t="s">
        <v>1429</v>
      </c>
      <c r="D270" s="0" t="s">
        <v>1139</v>
      </c>
      <c r="E270" s="0" t="s">
        <v>139</v>
      </c>
      <c r="F270" s="0" t="n">
        <v>5</v>
      </c>
      <c r="G270" s="0" t="n">
        <v>15</v>
      </c>
      <c r="H270" s="0" t="n">
        <v>0.68</v>
      </c>
      <c r="I270" s="10" t="n">
        <v>0.533</v>
      </c>
      <c r="J270" s="0" t="n">
        <v>0.96</v>
      </c>
      <c r="K270" s="13" t="n">
        <f aca="false">IF(H270&lt;&gt;"",H270,IFERROR(G270/INDEX(Players!$M$2:$M$137,MATCH(B270,Players!$A$2:$A$137,0)),""))</f>
        <v>0.68</v>
      </c>
    </row>
    <row r="271" customFormat="false" ht="15" hidden="false" customHeight="false" outlineLevel="0" collapsed="false">
      <c r="A271" s="0" t="s">
        <v>2287</v>
      </c>
      <c r="B271" s="0" t="s">
        <v>1715</v>
      </c>
      <c r="C271" s="0" t="s">
        <v>1429</v>
      </c>
      <c r="D271" s="0" t="s">
        <v>1139</v>
      </c>
      <c r="E271" s="0" t="s">
        <v>95</v>
      </c>
      <c r="F271" s="0" t="n">
        <v>3</v>
      </c>
      <c r="G271" s="0" t="n">
        <v>11.3</v>
      </c>
      <c r="H271" s="0" t="n">
        <v>0.55</v>
      </c>
      <c r="I271" s="10" t="n">
        <v>0.647</v>
      </c>
      <c r="J271" s="0" t="n">
        <v>0.87</v>
      </c>
      <c r="K271" s="13" t="n">
        <f aca="false">IF(H271&lt;&gt;"",H271,IFERROR(G271/INDEX(Players!$M$2:$M$137,MATCH(B271,Players!$A$2:$A$137,0)),""))</f>
        <v>0.55</v>
      </c>
    </row>
    <row r="272" customFormat="false" ht="15" hidden="false" customHeight="false" outlineLevel="0" collapsed="false">
      <c r="A272" s="0" t="s">
        <v>2288</v>
      </c>
      <c r="B272" s="0" t="s">
        <v>1715</v>
      </c>
      <c r="C272" s="0" t="s">
        <v>1429</v>
      </c>
      <c r="D272" s="0" t="s">
        <v>1139</v>
      </c>
      <c r="E272" s="0" t="s">
        <v>145</v>
      </c>
      <c r="F272" s="0" t="n">
        <v>2</v>
      </c>
      <c r="G272" s="0" t="n">
        <v>11</v>
      </c>
      <c r="H272" s="0" t="n">
        <v>0.48</v>
      </c>
      <c r="I272" s="10" t="n">
        <v>0.545</v>
      </c>
      <c r="J272" s="0" t="n">
        <v>0.67</v>
      </c>
      <c r="K272" s="13" t="n">
        <f aca="false">IF(H272&lt;&gt;"",H272,IFERROR(G272/INDEX(Players!$M$2:$M$137,MATCH(B272,Players!$A$2:$A$137,0)),""))</f>
        <v>0.48</v>
      </c>
    </row>
    <row r="273" customFormat="false" ht="15" hidden="false" customHeight="false" outlineLevel="0" collapsed="false">
      <c r="A273" s="0" t="s">
        <v>2289</v>
      </c>
      <c r="B273" s="0" t="s">
        <v>1764</v>
      </c>
      <c r="C273" s="0" t="s">
        <v>1540</v>
      </c>
      <c r="D273" s="0" t="s">
        <v>1139</v>
      </c>
      <c r="E273" s="0" t="s">
        <v>129</v>
      </c>
      <c r="F273" s="0" t="n">
        <v>8</v>
      </c>
      <c r="G273" s="0" t="n">
        <v>12.4</v>
      </c>
      <c r="H273" s="0" t="n">
        <v>0.61</v>
      </c>
      <c r="I273" s="10" t="n">
        <v>0.495</v>
      </c>
      <c r="J273" s="0" t="n">
        <v>0.87</v>
      </c>
      <c r="K273" s="13" t="n">
        <f aca="false">IF(H273&lt;&gt;"",H273,IFERROR(G273/INDEX(Players!$M$2:$M$137,MATCH(B273,Players!$A$2:$A$137,0)),""))</f>
        <v>0.61</v>
      </c>
    </row>
    <row r="274" customFormat="false" ht="15" hidden="false" customHeight="false" outlineLevel="0" collapsed="false">
      <c r="A274" s="0" t="s">
        <v>2290</v>
      </c>
      <c r="B274" s="0" t="s">
        <v>1764</v>
      </c>
      <c r="C274" s="0" t="s">
        <v>1540</v>
      </c>
      <c r="D274" s="0" t="s">
        <v>1139</v>
      </c>
      <c r="E274" s="0" t="s">
        <v>108</v>
      </c>
      <c r="F274" s="0" t="n">
        <v>7</v>
      </c>
      <c r="G274" s="0" t="n">
        <v>14.3</v>
      </c>
      <c r="H274" s="0" t="n">
        <v>0.58</v>
      </c>
      <c r="I274" s="10" t="n">
        <v>0.47</v>
      </c>
      <c r="J274" s="0" t="n">
        <v>0.79</v>
      </c>
      <c r="K274" s="13" t="n">
        <f aca="false">IF(H274&lt;&gt;"",H274,IFERROR(G274/INDEX(Players!$M$2:$M$137,MATCH(B274,Players!$A$2:$A$137,0)),""))</f>
        <v>0.58</v>
      </c>
    </row>
    <row r="275" customFormat="false" ht="15" hidden="false" customHeight="false" outlineLevel="0" collapsed="false">
      <c r="A275" s="0" t="s">
        <v>2291</v>
      </c>
      <c r="B275" s="0" t="s">
        <v>1764</v>
      </c>
      <c r="C275" s="0" t="s">
        <v>1540</v>
      </c>
      <c r="D275" s="0" t="s">
        <v>1139</v>
      </c>
      <c r="E275" s="0" t="s">
        <v>145</v>
      </c>
      <c r="F275" s="0" t="n">
        <v>6</v>
      </c>
      <c r="G275" s="0" t="n">
        <v>17</v>
      </c>
      <c r="H275" s="0" t="n">
        <v>0.74</v>
      </c>
      <c r="I275" s="10" t="n">
        <v>0.539</v>
      </c>
      <c r="J275" s="0" t="n">
        <v>1.15</v>
      </c>
      <c r="K275" s="13" t="n">
        <f aca="false">IF(H275&lt;&gt;"",H275,IFERROR(G275/INDEX(Players!$M$2:$M$137,MATCH(B275,Players!$A$2:$A$137,0)),""))</f>
        <v>0.74</v>
      </c>
    </row>
    <row r="276" customFormat="false" ht="15" hidden="false" customHeight="false" outlineLevel="0" collapsed="false">
      <c r="A276" s="0" t="s">
        <v>2292</v>
      </c>
      <c r="B276" s="0" t="s">
        <v>1764</v>
      </c>
      <c r="C276" s="0" t="s">
        <v>1540</v>
      </c>
      <c r="D276" s="0" t="s">
        <v>1139</v>
      </c>
      <c r="E276" s="0" t="s">
        <v>139</v>
      </c>
      <c r="F276" s="0" t="n">
        <v>6</v>
      </c>
      <c r="G276" s="0" t="n">
        <v>10.5</v>
      </c>
      <c r="H276" s="0" t="n">
        <v>0.58</v>
      </c>
      <c r="I276" s="10" t="n">
        <v>0.444</v>
      </c>
      <c r="J276" s="0" t="n">
        <v>0.9</v>
      </c>
      <c r="K276" s="13" t="n">
        <f aca="false">IF(H276&lt;&gt;"",H276,IFERROR(G276/INDEX(Players!$M$2:$M$137,MATCH(B276,Players!$A$2:$A$137,0)),""))</f>
        <v>0.58</v>
      </c>
    </row>
    <row r="277" customFormat="false" ht="15" hidden="false" customHeight="false" outlineLevel="0" collapsed="false">
      <c r="A277" s="0" t="s">
        <v>2293</v>
      </c>
      <c r="B277" s="0" t="s">
        <v>1764</v>
      </c>
      <c r="C277" s="0" t="s">
        <v>1540</v>
      </c>
      <c r="D277" s="0" t="s">
        <v>1139</v>
      </c>
      <c r="E277" s="0" t="s">
        <v>95</v>
      </c>
      <c r="F277" s="0" t="n">
        <v>5</v>
      </c>
      <c r="G277" s="0" t="n">
        <v>11.2</v>
      </c>
      <c r="H277" s="0" t="n">
        <v>0.51</v>
      </c>
      <c r="I277" s="10" t="n">
        <v>0.393</v>
      </c>
      <c r="J277" s="0" t="n">
        <v>0.76</v>
      </c>
      <c r="K277" s="13" t="n">
        <f aca="false">IF(H277&lt;&gt;"",H277,IFERROR(G277/INDEX(Players!$M$2:$M$137,MATCH(B277,Players!$A$2:$A$137,0)),""))</f>
        <v>0.51</v>
      </c>
    </row>
    <row r="278" customFormat="false" ht="15" hidden="false" customHeight="false" outlineLevel="0" collapsed="false">
      <c r="A278" s="0" t="s">
        <v>2294</v>
      </c>
      <c r="B278" s="0" t="s">
        <v>1764</v>
      </c>
      <c r="C278" s="0" t="s">
        <v>1540</v>
      </c>
      <c r="D278" s="0" t="s">
        <v>1139</v>
      </c>
      <c r="E278" s="0" t="s">
        <v>81</v>
      </c>
      <c r="F278" s="0" t="n">
        <v>3</v>
      </c>
      <c r="G278" s="0" t="n">
        <v>16.7</v>
      </c>
      <c r="H278" s="0" t="n">
        <v>0.78</v>
      </c>
      <c r="I278" s="10" t="n">
        <v>0.62</v>
      </c>
      <c r="J278" s="0" t="n">
        <v>1.06</v>
      </c>
      <c r="K278" s="13" t="n">
        <f aca="false">IF(H278&lt;&gt;"",H278,IFERROR(G278/INDEX(Players!$M$2:$M$137,MATCH(B278,Players!$A$2:$A$137,0)),""))</f>
        <v>0.78</v>
      </c>
    </row>
    <row r="279" customFormat="false" ht="15" hidden="false" customHeight="false" outlineLevel="0" collapsed="false">
      <c r="A279" s="0" t="s">
        <v>2295</v>
      </c>
      <c r="B279" s="0" t="s">
        <v>1752</v>
      </c>
      <c r="C279" s="0" t="s">
        <v>1513</v>
      </c>
      <c r="D279" s="0" t="s">
        <v>1139</v>
      </c>
      <c r="E279" s="0" t="s">
        <v>121</v>
      </c>
      <c r="F279" s="0" t="n">
        <v>7</v>
      </c>
      <c r="G279" s="0" t="n">
        <v>16.3</v>
      </c>
      <c r="H279" s="0" t="n">
        <v>0.8</v>
      </c>
      <c r="I279" s="10" t="n">
        <v>0.535</v>
      </c>
      <c r="J279" s="0" t="n">
        <v>1.39</v>
      </c>
      <c r="K279" s="13" t="n">
        <f aca="false">IF(H279&lt;&gt;"",H279,IFERROR(G279/INDEX(Players!$M$2:$M$137,MATCH(B279,Players!$A$2:$A$137,0)),""))</f>
        <v>0.8</v>
      </c>
    </row>
    <row r="280" customFormat="false" ht="15" hidden="false" customHeight="false" outlineLevel="0" collapsed="false">
      <c r="A280" s="0" t="s">
        <v>2296</v>
      </c>
      <c r="B280" s="0" t="s">
        <v>1752</v>
      </c>
      <c r="C280" s="0" t="s">
        <v>1513</v>
      </c>
      <c r="D280" s="0" t="s">
        <v>1139</v>
      </c>
      <c r="E280" s="0" t="s">
        <v>95</v>
      </c>
      <c r="F280" s="0" t="n">
        <v>7</v>
      </c>
      <c r="G280" s="0" t="n">
        <v>16.7</v>
      </c>
      <c r="H280" s="0" t="n">
        <v>0.71</v>
      </c>
      <c r="I280" s="10" t="n">
        <v>0.607</v>
      </c>
      <c r="J280" s="0" t="n">
        <v>1.16</v>
      </c>
      <c r="K280" s="13" t="n">
        <f aca="false">IF(H280&lt;&gt;"",H280,IFERROR(G280/INDEX(Players!$M$2:$M$137,MATCH(B280,Players!$A$2:$A$137,0)),""))</f>
        <v>0.71</v>
      </c>
    </row>
    <row r="281" customFormat="false" ht="15" hidden="false" customHeight="false" outlineLevel="0" collapsed="false">
      <c r="A281" s="0" t="s">
        <v>2297</v>
      </c>
      <c r="B281" s="0" t="s">
        <v>1752</v>
      </c>
      <c r="C281" s="0" t="s">
        <v>1513</v>
      </c>
      <c r="D281" s="0" t="s">
        <v>1139</v>
      </c>
      <c r="E281" s="0" t="s">
        <v>139</v>
      </c>
      <c r="F281" s="0" t="n">
        <v>6</v>
      </c>
      <c r="G281" s="0" t="n">
        <v>18.2</v>
      </c>
      <c r="H281" s="0" t="n">
        <v>0.75</v>
      </c>
      <c r="I281" s="10" t="n">
        <v>0.541</v>
      </c>
      <c r="J281" s="0" t="n">
        <v>1.28</v>
      </c>
      <c r="K281" s="13" t="n">
        <f aca="false">IF(H281&lt;&gt;"",H281,IFERROR(G281/INDEX(Players!$M$2:$M$137,MATCH(B281,Players!$A$2:$A$137,0)),""))</f>
        <v>0.75</v>
      </c>
    </row>
    <row r="282" customFormat="false" ht="15" hidden="false" customHeight="false" outlineLevel="0" collapsed="false">
      <c r="A282" s="0" t="s">
        <v>2298</v>
      </c>
      <c r="B282" s="0" t="s">
        <v>1752</v>
      </c>
      <c r="C282" s="0" t="s">
        <v>1513</v>
      </c>
      <c r="D282" s="0" t="s">
        <v>1139</v>
      </c>
      <c r="E282" s="0" t="s">
        <v>108</v>
      </c>
      <c r="F282" s="0" t="n">
        <v>6</v>
      </c>
      <c r="G282" s="0" t="n">
        <v>13.7</v>
      </c>
      <c r="H282" s="0" t="n">
        <v>0.64</v>
      </c>
      <c r="I282" s="10" t="n">
        <v>0.537</v>
      </c>
      <c r="J282" s="0" t="n">
        <v>1.04</v>
      </c>
      <c r="K282" s="13" t="n">
        <f aca="false">IF(H282&lt;&gt;"",H282,IFERROR(G282/INDEX(Players!$M$2:$M$137,MATCH(B282,Players!$A$2:$A$137,0)),""))</f>
        <v>0.64</v>
      </c>
    </row>
    <row r="283" customFormat="false" ht="15" hidden="false" customHeight="false" outlineLevel="0" collapsed="false">
      <c r="A283" s="0" t="s">
        <v>2299</v>
      </c>
      <c r="B283" s="0" t="s">
        <v>1752</v>
      </c>
      <c r="C283" s="0" t="s">
        <v>1513</v>
      </c>
      <c r="D283" s="0" t="s">
        <v>1139</v>
      </c>
      <c r="E283" s="0" t="s">
        <v>129</v>
      </c>
      <c r="F283" s="0" t="n">
        <v>5</v>
      </c>
      <c r="G283" s="0" t="n">
        <v>14.6</v>
      </c>
      <c r="H283" s="0" t="n">
        <v>0.65</v>
      </c>
      <c r="I283" s="10" t="n">
        <v>0.507</v>
      </c>
      <c r="J283" s="0" t="n">
        <v>1.16</v>
      </c>
      <c r="K283" s="13" t="n">
        <f aca="false">IF(H283&lt;&gt;"",H283,IFERROR(G283/INDEX(Players!$M$2:$M$137,MATCH(B283,Players!$A$2:$A$137,0)),""))</f>
        <v>0.65</v>
      </c>
    </row>
    <row r="284" customFormat="false" ht="15" hidden="false" customHeight="false" outlineLevel="0" collapsed="false">
      <c r="A284" s="0" t="s">
        <v>2300</v>
      </c>
      <c r="B284" s="0" t="s">
        <v>1752</v>
      </c>
      <c r="C284" s="0" t="s">
        <v>1513</v>
      </c>
      <c r="D284" s="0" t="s">
        <v>1139</v>
      </c>
      <c r="E284" s="0" t="s">
        <v>145</v>
      </c>
      <c r="F284" s="0" t="n">
        <v>5</v>
      </c>
      <c r="G284" s="0" t="n">
        <v>12.6</v>
      </c>
      <c r="H284" s="0" t="n">
        <v>0.68</v>
      </c>
      <c r="I284" s="10" t="n">
        <v>0.587</v>
      </c>
      <c r="J284" s="0" t="n">
        <v>0.97</v>
      </c>
      <c r="K284" s="13" t="n">
        <f aca="false">IF(H284&lt;&gt;"",H284,IFERROR(G284/INDEX(Players!$M$2:$M$137,MATCH(B284,Players!$A$2:$A$137,0)),""))</f>
        <v>0.68</v>
      </c>
    </row>
    <row r="285" customFormat="false" ht="15" hidden="false" customHeight="false" outlineLevel="0" collapsed="false">
      <c r="A285" s="0" t="s">
        <v>2301</v>
      </c>
      <c r="B285" s="0" t="s">
        <v>1783</v>
      </c>
      <c r="C285" s="0" t="s">
        <v>1581</v>
      </c>
      <c r="D285" s="0" t="s">
        <v>1139</v>
      </c>
      <c r="E285" s="0" t="s">
        <v>95</v>
      </c>
      <c r="F285" s="0" t="n">
        <v>8</v>
      </c>
      <c r="G285" s="0" t="n">
        <v>13.1</v>
      </c>
      <c r="H285" s="0" t="n">
        <v>0.65</v>
      </c>
      <c r="I285" s="10" t="n">
        <v>0.629</v>
      </c>
      <c r="J285" s="0" t="n">
        <v>1.07</v>
      </c>
      <c r="K285" s="13" t="n">
        <f aca="false">IF(H285&lt;&gt;"",H285,IFERROR(G285/INDEX(Players!$M$2:$M$137,MATCH(B285,Players!$A$2:$A$137,0)),""))</f>
        <v>0.65</v>
      </c>
    </row>
    <row r="286" customFormat="false" ht="15" hidden="false" customHeight="false" outlineLevel="0" collapsed="false">
      <c r="A286" s="0" t="s">
        <v>2302</v>
      </c>
      <c r="B286" s="0" t="s">
        <v>1783</v>
      </c>
      <c r="C286" s="0" t="s">
        <v>1581</v>
      </c>
      <c r="D286" s="0" t="s">
        <v>1139</v>
      </c>
      <c r="E286" s="0" t="s">
        <v>108</v>
      </c>
      <c r="F286" s="0" t="n">
        <v>6</v>
      </c>
      <c r="G286" s="0" t="n">
        <v>13.8</v>
      </c>
      <c r="H286" s="0" t="n">
        <v>0.66</v>
      </c>
      <c r="I286" s="10" t="n">
        <v>0.53</v>
      </c>
      <c r="J286" s="0" t="n">
        <v>0.95</v>
      </c>
      <c r="K286" s="13" t="n">
        <f aca="false">IF(H286&lt;&gt;"",H286,IFERROR(G286/INDEX(Players!$M$2:$M$137,MATCH(B286,Players!$A$2:$A$137,0)),""))</f>
        <v>0.66</v>
      </c>
    </row>
    <row r="287" customFormat="false" ht="15" hidden="false" customHeight="false" outlineLevel="0" collapsed="false">
      <c r="A287" s="0" t="s">
        <v>2303</v>
      </c>
      <c r="B287" s="0" t="s">
        <v>1783</v>
      </c>
      <c r="C287" s="0" t="s">
        <v>1581</v>
      </c>
      <c r="D287" s="0" t="s">
        <v>1139</v>
      </c>
      <c r="E287" s="0" t="s">
        <v>145</v>
      </c>
      <c r="F287" s="0" t="n">
        <v>5</v>
      </c>
      <c r="G287" s="0" t="n">
        <v>12</v>
      </c>
      <c r="H287" s="0" t="n">
        <v>0.56</v>
      </c>
      <c r="I287" s="10" t="n">
        <v>0.567</v>
      </c>
      <c r="J287" s="0" t="n">
        <v>0.83</v>
      </c>
      <c r="K287" s="13" t="n">
        <f aca="false">IF(H287&lt;&gt;"",H287,IFERROR(G287/INDEX(Players!$M$2:$M$137,MATCH(B287,Players!$A$2:$A$137,0)),""))</f>
        <v>0.56</v>
      </c>
    </row>
    <row r="288" customFormat="false" ht="15" hidden="false" customHeight="false" outlineLevel="0" collapsed="false">
      <c r="A288" s="0" t="s">
        <v>2304</v>
      </c>
      <c r="B288" s="0" t="s">
        <v>1783</v>
      </c>
      <c r="C288" s="0" t="s">
        <v>1581</v>
      </c>
      <c r="D288" s="0" t="s">
        <v>1139</v>
      </c>
      <c r="E288" s="0" t="s">
        <v>129</v>
      </c>
      <c r="F288" s="0" t="n">
        <v>4</v>
      </c>
      <c r="G288" s="0" t="n">
        <v>13.5</v>
      </c>
      <c r="H288" s="0" t="n">
        <v>0.59</v>
      </c>
      <c r="I288" s="10" t="n">
        <v>0.556</v>
      </c>
      <c r="J288" s="0" t="n">
        <v>1</v>
      </c>
      <c r="K288" s="13" t="n">
        <f aca="false">IF(H288&lt;&gt;"",H288,IFERROR(G288/INDEX(Players!$M$2:$M$137,MATCH(B288,Players!$A$2:$A$137,0)),""))</f>
        <v>0.59</v>
      </c>
    </row>
    <row r="289" customFormat="false" ht="15" hidden="false" customHeight="false" outlineLevel="0" collapsed="false">
      <c r="A289" s="0" t="s">
        <v>2305</v>
      </c>
      <c r="B289" s="0" t="s">
        <v>1783</v>
      </c>
      <c r="C289" s="0" t="s">
        <v>1581</v>
      </c>
      <c r="D289" s="0" t="s">
        <v>1139</v>
      </c>
      <c r="E289" s="0" t="s">
        <v>1818</v>
      </c>
      <c r="F289" s="0" t="n">
        <v>3</v>
      </c>
      <c r="G289" s="0" t="n">
        <v>16</v>
      </c>
      <c r="H289" s="0" t="n">
        <v>0.84</v>
      </c>
      <c r="I289" s="10" t="n">
        <v>0.521</v>
      </c>
      <c r="J289" s="0" t="n">
        <v>1.41</v>
      </c>
      <c r="K289" s="13" t="n">
        <f aca="false">IF(H289&lt;&gt;"",H289,IFERROR(G289/INDEX(Players!$M$2:$M$137,MATCH(B289,Players!$A$2:$A$137,0)),""))</f>
        <v>0.84</v>
      </c>
    </row>
    <row r="290" customFormat="false" ht="15" hidden="false" customHeight="false" outlineLevel="0" collapsed="false">
      <c r="A290" s="0" t="s">
        <v>2306</v>
      </c>
      <c r="B290" s="0" t="s">
        <v>1783</v>
      </c>
      <c r="C290" s="0" t="s">
        <v>1581</v>
      </c>
      <c r="D290" s="0" t="s">
        <v>1139</v>
      </c>
      <c r="E290" s="0" t="s">
        <v>139</v>
      </c>
      <c r="F290" s="0" t="n">
        <v>3</v>
      </c>
      <c r="G290" s="0" t="n">
        <v>11.7</v>
      </c>
      <c r="H290" s="0" t="n">
        <v>0.6</v>
      </c>
      <c r="I290" s="10" t="n">
        <v>0.571</v>
      </c>
      <c r="J290" s="0" t="n">
        <v>1.25</v>
      </c>
      <c r="K290" s="13" t="n">
        <f aca="false">IF(H290&lt;&gt;"",H290,IFERROR(G290/INDEX(Players!$M$2:$M$137,MATCH(B290,Players!$A$2:$A$137,0)),""))</f>
        <v>0.6</v>
      </c>
    </row>
    <row r="291" customFormat="false" ht="15" hidden="false" customHeight="false" outlineLevel="0" collapsed="false">
      <c r="A291" s="0" t="s">
        <v>2307</v>
      </c>
      <c r="B291" s="0" t="s">
        <v>1783</v>
      </c>
      <c r="C291" s="0" t="s">
        <v>1581</v>
      </c>
      <c r="D291" s="0" t="s">
        <v>1139</v>
      </c>
      <c r="E291" s="0" t="s">
        <v>121</v>
      </c>
      <c r="F291" s="0" t="n">
        <v>3</v>
      </c>
      <c r="G291" s="0" t="n">
        <v>15</v>
      </c>
      <c r="H291" s="0" t="n">
        <v>0.7</v>
      </c>
      <c r="I291" s="10" t="n">
        <v>0.467</v>
      </c>
      <c r="J291" s="0" t="n">
        <v>1.05</v>
      </c>
      <c r="K291" s="13" t="n">
        <f aca="false">IF(H291&lt;&gt;"",H291,IFERROR(G291/INDEX(Players!$M$2:$M$137,MATCH(B291,Players!$A$2:$A$137,0)),""))</f>
        <v>0.7</v>
      </c>
    </row>
    <row r="292" customFormat="false" ht="15" hidden="false" customHeight="false" outlineLevel="0" collapsed="false">
      <c r="A292" s="0" t="s">
        <v>2308</v>
      </c>
      <c r="B292" s="0" t="s">
        <v>1783</v>
      </c>
      <c r="C292" s="0" t="s">
        <v>1581</v>
      </c>
      <c r="D292" s="0" t="s">
        <v>1139</v>
      </c>
      <c r="E292" s="0" t="s">
        <v>81</v>
      </c>
      <c r="F292" s="0" t="n">
        <v>2</v>
      </c>
      <c r="G292" s="0" t="n">
        <v>20</v>
      </c>
      <c r="H292" s="0" t="n">
        <v>0.71</v>
      </c>
      <c r="I292" s="10" t="n">
        <v>0.45</v>
      </c>
      <c r="J292" s="0" t="n">
        <v>1.18</v>
      </c>
      <c r="K292" s="13" t="n">
        <f aca="false">IF(H292&lt;&gt;"",H292,IFERROR(G292/INDEX(Players!$M$2:$M$137,MATCH(B292,Players!$A$2:$A$137,0)),""))</f>
        <v>0.71</v>
      </c>
    </row>
    <row r="293" customFormat="false" ht="15" hidden="false" customHeight="false" outlineLevel="0" collapsed="false">
      <c r="A293" s="0" t="s">
        <v>2309</v>
      </c>
      <c r="B293" s="0" t="s">
        <v>1717</v>
      </c>
      <c r="C293" s="0" t="s">
        <v>1433</v>
      </c>
      <c r="D293" s="0" t="s">
        <v>1139</v>
      </c>
      <c r="E293" s="0" t="s">
        <v>81</v>
      </c>
      <c r="F293" s="0" t="n">
        <v>9</v>
      </c>
      <c r="G293" s="0" t="n">
        <v>21</v>
      </c>
      <c r="H293" s="0" t="n">
        <v>0.82</v>
      </c>
      <c r="I293" s="10" t="n">
        <v>0.519</v>
      </c>
      <c r="J293" s="0" t="n">
        <v>1.38</v>
      </c>
      <c r="K293" s="13" t="n">
        <f aca="false">IF(H293&lt;&gt;"",H293,IFERROR(G293/INDEX(Players!$M$2:$M$137,MATCH(B293,Players!$A$2:$A$137,0)),""))</f>
        <v>0.82</v>
      </c>
    </row>
    <row r="294" customFormat="false" ht="15" hidden="false" customHeight="false" outlineLevel="0" collapsed="false">
      <c r="A294" s="0" t="s">
        <v>2310</v>
      </c>
      <c r="B294" s="0" t="s">
        <v>1717</v>
      </c>
      <c r="C294" s="0" t="s">
        <v>1433</v>
      </c>
      <c r="D294" s="0" t="s">
        <v>1139</v>
      </c>
      <c r="E294" s="0" t="s">
        <v>129</v>
      </c>
      <c r="F294" s="0" t="n">
        <v>9</v>
      </c>
      <c r="G294" s="0" t="n">
        <v>18.4</v>
      </c>
      <c r="H294" s="0" t="n">
        <v>0.76</v>
      </c>
      <c r="I294" s="10" t="n">
        <v>0.56</v>
      </c>
      <c r="J294" s="0" t="n">
        <v>1.08</v>
      </c>
      <c r="K294" s="13" t="n">
        <f aca="false">IF(H294&lt;&gt;"",H294,IFERROR(G294/INDEX(Players!$M$2:$M$137,MATCH(B294,Players!$A$2:$A$137,0)),""))</f>
        <v>0.76</v>
      </c>
    </row>
    <row r="295" customFormat="false" ht="15" hidden="false" customHeight="false" outlineLevel="0" collapsed="false">
      <c r="A295" s="0" t="s">
        <v>2311</v>
      </c>
      <c r="B295" s="0" t="s">
        <v>1717</v>
      </c>
      <c r="C295" s="0" t="s">
        <v>1433</v>
      </c>
      <c r="D295" s="0" t="s">
        <v>1139</v>
      </c>
      <c r="E295" s="0" t="s">
        <v>108</v>
      </c>
      <c r="F295" s="0" t="n">
        <v>7</v>
      </c>
      <c r="G295" s="0" t="n">
        <v>17.9</v>
      </c>
      <c r="H295" s="0" t="n">
        <v>0.8</v>
      </c>
      <c r="I295" s="10" t="n">
        <v>0.632</v>
      </c>
      <c r="J295" s="0" t="n">
        <v>1.16</v>
      </c>
      <c r="K295" s="13" t="n">
        <f aca="false">IF(H295&lt;&gt;"",H295,IFERROR(G295/INDEX(Players!$M$2:$M$137,MATCH(B295,Players!$A$2:$A$137,0)),""))</f>
        <v>0.8</v>
      </c>
    </row>
    <row r="296" customFormat="false" ht="15" hidden="false" customHeight="false" outlineLevel="0" collapsed="false">
      <c r="A296" s="0" t="s">
        <v>2312</v>
      </c>
      <c r="B296" s="0" t="s">
        <v>1717</v>
      </c>
      <c r="C296" s="0" t="s">
        <v>1433</v>
      </c>
      <c r="D296" s="0" t="s">
        <v>1139</v>
      </c>
      <c r="E296" s="0" t="s">
        <v>95</v>
      </c>
      <c r="F296" s="0" t="n">
        <v>7</v>
      </c>
      <c r="G296" s="0" t="n">
        <v>20.4</v>
      </c>
      <c r="H296" s="0" t="n">
        <v>0.77</v>
      </c>
      <c r="I296" s="10" t="n">
        <v>0.615</v>
      </c>
      <c r="J296" s="0" t="n">
        <v>1.1</v>
      </c>
      <c r="K296" s="13" t="n">
        <f aca="false">IF(H296&lt;&gt;"",H296,IFERROR(G296/INDEX(Players!$M$2:$M$137,MATCH(B296,Players!$A$2:$A$137,0)),""))</f>
        <v>0.77</v>
      </c>
    </row>
    <row r="297" customFormat="false" ht="15" hidden="false" customHeight="false" outlineLevel="0" collapsed="false">
      <c r="A297" s="0" t="s">
        <v>2313</v>
      </c>
      <c r="B297" s="0" t="s">
        <v>1717</v>
      </c>
      <c r="C297" s="0" t="s">
        <v>1433</v>
      </c>
      <c r="D297" s="0" t="s">
        <v>1139</v>
      </c>
      <c r="E297" s="0" t="s">
        <v>121</v>
      </c>
      <c r="F297" s="0" t="n">
        <v>5</v>
      </c>
      <c r="G297" s="0" t="n">
        <v>15.2</v>
      </c>
      <c r="H297" s="0" t="n">
        <v>0.75</v>
      </c>
      <c r="I297" s="10" t="n">
        <v>0.592</v>
      </c>
      <c r="J297" s="0" t="n">
        <v>1.12</v>
      </c>
      <c r="K297" s="13" t="n">
        <f aca="false">IF(H297&lt;&gt;"",H297,IFERROR(G297/INDEX(Players!$M$2:$M$137,MATCH(B297,Players!$A$2:$A$137,0)),""))</f>
        <v>0.75</v>
      </c>
    </row>
    <row r="298" customFormat="false" ht="15" hidden="false" customHeight="false" outlineLevel="0" collapsed="false">
      <c r="A298" s="0" t="s">
        <v>2314</v>
      </c>
      <c r="B298" s="0" t="s">
        <v>1717</v>
      </c>
      <c r="C298" s="0" t="s">
        <v>1433</v>
      </c>
      <c r="D298" s="0" t="s">
        <v>1139</v>
      </c>
      <c r="E298" s="0" t="s">
        <v>139</v>
      </c>
      <c r="F298" s="0" t="n">
        <v>2</v>
      </c>
      <c r="G298" s="0" t="n">
        <v>17.5</v>
      </c>
      <c r="H298" s="0" t="n">
        <v>0.8</v>
      </c>
      <c r="I298" s="10" t="n">
        <v>0.6</v>
      </c>
      <c r="J298" s="0" t="n">
        <v>1.09</v>
      </c>
      <c r="K298" s="13" t="n">
        <f aca="false">IF(H298&lt;&gt;"",H298,IFERROR(G298/INDEX(Players!$M$2:$M$137,MATCH(B298,Players!$A$2:$A$137,0)),""))</f>
        <v>0.8</v>
      </c>
    </row>
    <row r="299" customFormat="false" ht="15" hidden="false" customHeight="false" outlineLevel="0" collapsed="false">
      <c r="A299" s="0" t="s">
        <v>2315</v>
      </c>
      <c r="B299" s="0" t="s">
        <v>1685</v>
      </c>
      <c r="C299" s="0" t="s">
        <v>1352</v>
      </c>
      <c r="D299" s="0" t="s">
        <v>1139</v>
      </c>
      <c r="E299" s="0" t="s">
        <v>95</v>
      </c>
      <c r="F299" s="0" t="n">
        <v>9</v>
      </c>
      <c r="G299" s="0" t="n">
        <v>12.9</v>
      </c>
      <c r="H299" s="0" t="n">
        <v>0.57</v>
      </c>
      <c r="I299" s="10" t="n">
        <v>0.552</v>
      </c>
      <c r="J299" s="0" t="n">
        <v>0.83</v>
      </c>
      <c r="K299" s="13" t="n">
        <f aca="false">IF(H299&lt;&gt;"",H299,IFERROR(G299/INDEX(Players!$M$2:$M$137,MATCH(B299,Players!$A$2:$A$137,0)),""))</f>
        <v>0.57</v>
      </c>
    </row>
    <row r="300" customFormat="false" ht="15" hidden="false" customHeight="false" outlineLevel="0" collapsed="false">
      <c r="A300" s="0" t="s">
        <v>2316</v>
      </c>
      <c r="B300" s="0" t="s">
        <v>1685</v>
      </c>
      <c r="C300" s="0" t="s">
        <v>1352</v>
      </c>
      <c r="D300" s="0" t="s">
        <v>1139</v>
      </c>
      <c r="E300" s="0" t="s">
        <v>121</v>
      </c>
      <c r="F300" s="0" t="n">
        <v>8</v>
      </c>
      <c r="G300" s="0" t="n">
        <v>11.5</v>
      </c>
      <c r="H300" s="0" t="n">
        <v>0.6</v>
      </c>
      <c r="I300" s="10" t="n">
        <v>0.62</v>
      </c>
      <c r="J300" s="0" t="n">
        <v>0.81</v>
      </c>
      <c r="K300" s="13" t="n">
        <f aca="false">IF(H300&lt;&gt;"",H300,IFERROR(G300/INDEX(Players!$M$2:$M$137,MATCH(B300,Players!$A$2:$A$137,0)),""))</f>
        <v>0.6</v>
      </c>
    </row>
    <row r="301" customFormat="false" ht="15" hidden="false" customHeight="false" outlineLevel="0" collapsed="false">
      <c r="A301" s="0" t="s">
        <v>2317</v>
      </c>
      <c r="B301" s="0" t="s">
        <v>1685</v>
      </c>
      <c r="C301" s="0" t="s">
        <v>1352</v>
      </c>
      <c r="D301" s="0" t="s">
        <v>1139</v>
      </c>
      <c r="E301" s="0" t="s">
        <v>129</v>
      </c>
      <c r="F301" s="0" t="n">
        <v>7</v>
      </c>
      <c r="G301" s="0" t="n">
        <v>14.1</v>
      </c>
      <c r="H301" s="0" t="n">
        <v>0.64</v>
      </c>
      <c r="I301" s="10" t="n">
        <v>0.576</v>
      </c>
      <c r="J301" s="0" t="n">
        <v>0.98</v>
      </c>
      <c r="K301" s="13" t="n">
        <f aca="false">IF(H301&lt;&gt;"",H301,IFERROR(G301/INDEX(Players!$M$2:$M$137,MATCH(B301,Players!$A$2:$A$137,0)),""))</f>
        <v>0.64</v>
      </c>
    </row>
    <row r="302" customFormat="false" ht="15" hidden="false" customHeight="false" outlineLevel="0" collapsed="false">
      <c r="A302" s="0" t="s">
        <v>2318</v>
      </c>
      <c r="B302" s="0" t="s">
        <v>1685</v>
      </c>
      <c r="C302" s="0" t="s">
        <v>1352</v>
      </c>
      <c r="D302" s="0" t="s">
        <v>1139</v>
      </c>
      <c r="E302" s="0" t="s">
        <v>81</v>
      </c>
      <c r="F302" s="0" t="n">
        <v>6</v>
      </c>
      <c r="G302" s="0" t="n">
        <v>10.5</v>
      </c>
      <c r="H302" s="0" t="n">
        <v>0.46</v>
      </c>
      <c r="I302" s="10" t="n">
        <v>0.444</v>
      </c>
      <c r="J302" s="0" t="n">
        <v>0.67</v>
      </c>
      <c r="K302" s="13" t="n">
        <f aca="false">IF(H302&lt;&gt;"",H302,IFERROR(G302/INDEX(Players!$M$2:$M$137,MATCH(B302,Players!$A$2:$A$137,0)),""))</f>
        <v>0.46</v>
      </c>
    </row>
    <row r="303" customFormat="false" ht="15" hidden="false" customHeight="false" outlineLevel="0" collapsed="false">
      <c r="A303" s="0" t="s">
        <v>2319</v>
      </c>
      <c r="B303" s="0" t="s">
        <v>1685</v>
      </c>
      <c r="C303" s="0" t="s">
        <v>1352</v>
      </c>
      <c r="D303" s="0" t="s">
        <v>1139</v>
      </c>
      <c r="E303" s="0" t="s">
        <v>108</v>
      </c>
      <c r="F303" s="0" t="n">
        <v>4</v>
      </c>
      <c r="G303" s="0" t="n">
        <v>15.3</v>
      </c>
      <c r="H303" s="0" t="n">
        <v>0.74</v>
      </c>
      <c r="I303" s="10" t="n">
        <v>0.508</v>
      </c>
      <c r="J303" s="0" t="n">
        <v>1.27</v>
      </c>
      <c r="K303" s="13" t="n">
        <f aca="false">IF(H303&lt;&gt;"",H303,IFERROR(G303/INDEX(Players!$M$2:$M$137,MATCH(B303,Players!$A$2:$A$137,0)),""))</f>
        <v>0.74</v>
      </c>
    </row>
    <row r="304" customFormat="false" ht="15" hidden="false" customHeight="false" outlineLevel="0" collapsed="false">
      <c r="A304" s="0" t="s">
        <v>2320</v>
      </c>
      <c r="B304" s="0" t="s">
        <v>1685</v>
      </c>
      <c r="C304" s="0" t="s">
        <v>1352</v>
      </c>
      <c r="D304" s="0" t="s">
        <v>1139</v>
      </c>
      <c r="E304" s="0" t="s">
        <v>145</v>
      </c>
      <c r="F304" s="0" t="n">
        <v>3</v>
      </c>
      <c r="G304" s="0" t="n">
        <v>10.3</v>
      </c>
      <c r="H304" s="0" t="n">
        <v>0.61</v>
      </c>
      <c r="I304" s="10" t="n">
        <v>0.516</v>
      </c>
      <c r="J304" s="0" t="n">
        <v>0.89</v>
      </c>
      <c r="K304" s="13" t="n">
        <f aca="false">IF(H304&lt;&gt;"",H304,IFERROR(G304/INDEX(Players!$M$2:$M$137,MATCH(B304,Players!$A$2:$A$137,0)),""))</f>
        <v>0.61</v>
      </c>
    </row>
    <row r="305" customFormat="false" ht="15" hidden="false" customHeight="false" outlineLevel="0" collapsed="false">
      <c r="A305" s="0" t="s">
        <v>2321</v>
      </c>
      <c r="B305" s="0" t="s">
        <v>1727</v>
      </c>
      <c r="C305" s="0" t="s">
        <v>1458</v>
      </c>
      <c r="D305" s="0" t="s">
        <v>1139</v>
      </c>
      <c r="E305" s="0" t="s">
        <v>95</v>
      </c>
      <c r="F305" s="0" t="n">
        <v>7</v>
      </c>
      <c r="G305" s="0" t="n">
        <v>18.3</v>
      </c>
      <c r="H305" s="0" t="n">
        <v>0.78</v>
      </c>
      <c r="I305" s="10" t="n">
        <v>0.633</v>
      </c>
      <c r="J305" s="0" t="n">
        <v>1.12</v>
      </c>
      <c r="K305" s="13" t="n">
        <f aca="false">IF(H305&lt;&gt;"",H305,IFERROR(G305/INDEX(Players!$M$2:$M$137,MATCH(B305,Players!$A$2:$A$137,0)),""))</f>
        <v>0.78</v>
      </c>
    </row>
    <row r="306" customFormat="false" ht="15" hidden="false" customHeight="false" outlineLevel="0" collapsed="false">
      <c r="A306" s="0" t="s">
        <v>2322</v>
      </c>
      <c r="B306" s="0" t="s">
        <v>1727</v>
      </c>
      <c r="C306" s="0" t="s">
        <v>1458</v>
      </c>
      <c r="D306" s="0" t="s">
        <v>1139</v>
      </c>
      <c r="E306" s="0" t="s">
        <v>108</v>
      </c>
      <c r="F306" s="0" t="n">
        <v>7</v>
      </c>
      <c r="G306" s="0" t="n">
        <v>19.7</v>
      </c>
      <c r="H306" s="0" t="n">
        <v>0.73</v>
      </c>
      <c r="I306" s="10" t="n">
        <v>0.587</v>
      </c>
      <c r="J306" s="0" t="n">
        <v>0.99</v>
      </c>
      <c r="K306" s="13" t="n">
        <f aca="false">IF(H306&lt;&gt;"",H306,IFERROR(G306/INDEX(Players!$M$2:$M$137,MATCH(B306,Players!$A$2:$A$137,0)),""))</f>
        <v>0.73</v>
      </c>
    </row>
    <row r="307" customFormat="false" ht="15" hidden="false" customHeight="false" outlineLevel="0" collapsed="false">
      <c r="A307" s="0" t="s">
        <v>2323</v>
      </c>
      <c r="B307" s="0" t="s">
        <v>1727</v>
      </c>
      <c r="C307" s="0" t="s">
        <v>1458</v>
      </c>
      <c r="D307" s="0" t="s">
        <v>1139</v>
      </c>
      <c r="E307" s="0" t="s">
        <v>129</v>
      </c>
      <c r="F307" s="0" t="n">
        <v>7</v>
      </c>
      <c r="G307" s="0" t="n">
        <v>14.4</v>
      </c>
      <c r="H307" s="0" t="n">
        <v>0.72</v>
      </c>
      <c r="I307" s="10" t="n">
        <v>0.584</v>
      </c>
      <c r="J307" s="0" t="n">
        <v>0.96</v>
      </c>
      <c r="K307" s="13" t="n">
        <f aca="false">IF(H307&lt;&gt;"",H307,IFERROR(G307/INDEX(Players!$M$2:$M$137,MATCH(B307,Players!$A$2:$A$137,0)),""))</f>
        <v>0.72</v>
      </c>
    </row>
    <row r="308" customFormat="false" ht="15" hidden="false" customHeight="false" outlineLevel="0" collapsed="false">
      <c r="A308" s="0" t="s">
        <v>2324</v>
      </c>
      <c r="B308" s="0" t="s">
        <v>1727</v>
      </c>
      <c r="C308" s="0" t="s">
        <v>1458</v>
      </c>
      <c r="D308" s="0" t="s">
        <v>1139</v>
      </c>
      <c r="E308" s="0" t="s">
        <v>81</v>
      </c>
      <c r="F308" s="0" t="n">
        <v>6</v>
      </c>
      <c r="G308" s="0" t="n">
        <v>17.8</v>
      </c>
      <c r="H308" s="0" t="n">
        <v>0.68</v>
      </c>
      <c r="I308" s="10" t="n">
        <v>0.551</v>
      </c>
      <c r="J308" s="0" t="n">
        <v>0.89</v>
      </c>
      <c r="K308" s="13" t="n">
        <f aca="false">IF(H308&lt;&gt;"",H308,IFERROR(G308/INDEX(Players!$M$2:$M$137,MATCH(B308,Players!$A$2:$A$137,0)),""))</f>
        <v>0.68</v>
      </c>
    </row>
    <row r="309" customFormat="false" ht="15" hidden="false" customHeight="false" outlineLevel="0" collapsed="false">
      <c r="A309" s="0" t="s">
        <v>2325</v>
      </c>
      <c r="B309" s="0" t="s">
        <v>1727</v>
      </c>
      <c r="C309" s="0" t="s">
        <v>1458</v>
      </c>
      <c r="D309" s="0" t="s">
        <v>1139</v>
      </c>
      <c r="E309" s="0" t="s">
        <v>145</v>
      </c>
      <c r="F309" s="0" t="n">
        <v>4</v>
      </c>
      <c r="G309" s="0" t="n">
        <v>14.5</v>
      </c>
      <c r="H309" s="0" t="n">
        <v>0.71</v>
      </c>
      <c r="I309" s="10" t="n">
        <v>0.69</v>
      </c>
      <c r="J309" s="0" t="n">
        <v>1.07</v>
      </c>
      <c r="K309" s="13" t="n">
        <f aca="false">IF(H309&lt;&gt;"",H309,IFERROR(G309/INDEX(Players!$M$2:$M$137,MATCH(B309,Players!$A$2:$A$137,0)),""))</f>
        <v>0.71</v>
      </c>
    </row>
    <row r="310" customFormat="false" ht="15" hidden="false" customHeight="false" outlineLevel="0" collapsed="false">
      <c r="A310" s="0" t="s">
        <v>2326</v>
      </c>
      <c r="B310" s="0" t="s">
        <v>1727</v>
      </c>
      <c r="C310" s="0" t="s">
        <v>1458</v>
      </c>
      <c r="D310" s="0" t="s">
        <v>1139</v>
      </c>
      <c r="E310" s="0" t="s">
        <v>121</v>
      </c>
      <c r="F310" s="0" t="n">
        <v>4</v>
      </c>
      <c r="G310" s="0" t="n">
        <v>12.3</v>
      </c>
      <c r="H310" s="0" t="n">
        <v>0.66</v>
      </c>
      <c r="I310" s="10" t="n">
        <v>0.735</v>
      </c>
      <c r="J310" s="0" t="n">
        <v>0.92</v>
      </c>
      <c r="K310" s="13" t="n">
        <f aca="false">IF(H310&lt;&gt;"",H310,IFERROR(G310/INDEX(Players!$M$2:$M$137,MATCH(B310,Players!$A$2:$A$137,0)),""))</f>
        <v>0.66</v>
      </c>
    </row>
    <row r="311" customFormat="false" ht="15" hidden="false" customHeight="false" outlineLevel="0" collapsed="false">
      <c r="A311" s="0" t="s">
        <v>2327</v>
      </c>
      <c r="B311" s="0" t="s">
        <v>1680</v>
      </c>
      <c r="C311" s="0" t="s">
        <v>1342</v>
      </c>
      <c r="D311" s="0" t="s">
        <v>1139</v>
      </c>
      <c r="E311" s="0" t="s">
        <v>108</v>
      </c>
      <c r="F311" s="0" t="n">
        <v>9</v>
      </c>
      <c r="G311" s="0" t="n">
        <v>14.4</v>
      </c>
      <c r="H311" s="0" t="n">
        <v>0.71</v>
      </c>
      <c r="I311" s="10" t="n">
        <v>0.608</v>
      </c>
      <c r="J311" s="0" t="n">
        <v>1.02</v>
      </c>
      <c r="K311" s="13" t="n">
        <f aca="false">IF(H311&lt;&gt;"",H311,IFERROR(G311/INDEX(Players!$M$2:$M$137,MATCH(B311,Players!$A$2:$A$137,0)),""))</f>
        <v>0.71</v>
      </c>
    </row>
    <row r="312" customFormat="false" ht="15" hidden="false" customHeight="false" outlineLevel="0" collapsed="false">
      <c r="A312" s="0" t="s">
        <v>2328</v>
      </c>
      <c r="B312" s="0" t="s">
        <v>1680</v>
      </c>
      <c r="C312" s="0" t="s">
        <v>1342</v>
      </c>
      <c r="D312" s="0" t="s">
        <v>1139</v>
      </c>
      <c r="E312" s="0" t="s">
        <v>81</v>
      </c>
      <c r="F312" s="0" t="n">
        <v>6</v>
      </c>
      <c r="G312" s="0" t="n">
        <v>18.5</v>
      </c>
      <c r="H312" s="0" t="n">
        <v>0.8</v>
      </c>
      <c r="I312" s="10" t="n">
        <v>0.622</v>
      </c>
      <c r="J312" s="0" t="n">
        <v>1.21</v>
      </c>
      <c r="K312" s="13" t="n">
        <f aca="false">IF(H312&lt;&gt;"",H312,IFERROR(G312/INDEX(Players!$M$2:$M$137,MATCH(B312,Players!$A$2:$A$137,0)),""))</f>
        <v>0.8</v>
      </c>
    </row>
    <row r="313" customFormat="false" ht="15" hidden="false" customHeight="false" outlineLevel="0" collapsed="false">
      <c r="A313" s="0" t="s">
        <v>2329</v>
      </c>
      <c r="B313" s="0" t="s">
        <v>1680</v>
      </c>
      <c r="C313" s="0" t="s">
        <v>1342</v>
      </c>
      <c r="D313" s="0" t="s">
        <v>1139</v>
      </c>
      <c r="E313" s="0" t="s">
        <v>95</v>
      </c>
      <c r="F313" s="0" t="n">
        <v>6</v>
      </c>
      <c r="G313" s="0" t="n">
        <v>13.7</v>
      </c>
      <c r="H313" s="0" t="n">
        <v>0.65</v>
      </c>
      <c r="I313" s="10" t="n">
        <v>0.61</v>
      </c>
      <c r="J313" s="0" t="n">
        <v>1.02</v>
      </c>
      <c r="K313" s="13" t="n">
        <f aca="false">IF(H313&lt;&gt;"",H313,IFERROR(G313/INDEX(Players!$M$2:$M$137,MATCH(B313,Players!$A$2:$A$137,0)),""))</f>
        <v>0.65</v>
      </c>
    </row>
    <row r="314" customFormat="false" ht="15" hidden="false" customHeight="false" outlineLevel="0" collapsed="false">
      <c r="A314" s="0" t="s">
        <v>2330</v>
      </c>
      <c r="B314" s="0" t="s">
        <v>1680</v>
      </c>
      <c r="C314" s="0" t="s">
        <v>1342</v>
      </c>
      <c r="D314" s="0" t="s">
        <v>1139</v>
      </c>
      <c r="E314" s="0" t="s">
        <v>139</v>
      </c>
      <c r="F314" s="0" t="n">
        <v>4</v>
      </c>
      <c r="G314" s="0" t="n">
        <v>15.8</v>
      </c>
      <c r="H314" s="0" t="n">
        <v>0.63</v>
      </c>
      <c r="I314" s="10" t="n">
        <v>0.571</v>
      </c>
      <c r="J314" s="0" t="n">
        <v>0.98</v>
      </c>
      <c r="K314" s="13" t="n">
        <f aca="false">IF(H314&lt;&gt;"",H314,IFERROR(G314/INDEX(Players!$M$2:$M$137,MATCH(B314,Players!$A$2:$A$137,0)),""))</f>
        <v>0.63</v>
      </c>
    </row>
    <row r="315" customFormat="false" ht="15" hidden="false" customHeight="false" outlineLevel="0" collapsed="false">
      <c r="A315" s="0" t="s">
        <v>2331</v>
      </c>
      <c r="B315" s="0" t="s">
        <v>1680</v>
      </c>
      <c r="C315" s="0" t="s">
        <v>1342</v>
      </c>
      <c r="D315" s="0" t="s">
        <v>1139</v>
      </c>
      <c r="E315" s="0" t="s">
        <v>129</v>
      </c>
      <c r="F315" s="0" t="n">
        <v>3</v>
      </c>
      <c r="G315" s="0" t="n">
        <v>19</v>
      </c>
      <c r="H315" s="0" t="n">
        <v>0.86</v>
      </c>
      <c r="I315" s="10" t="n">
        <v>0.632</v>
      </c>
      <c r="J315" s="0" t="n">
        <v>1.33</v>
      </c>
      <c r="K315" s="13" t="n">
        <f aca="false">IF(H315&lt;&gt;"",H315,IFERROR(G315/INDEX(Players!$M$2:$M$137,MATCH(B315,Players!$A$2:$A$137,0)),""))</f>
        <v>0.86</v>
      </c>
    </row>
    <row r="316" customFormat="false" ht="15" hidden="false" customHeight="false" outlineLevel="0" collapsed="false">
      <c r="A316" s="0" t="s">
        <v>2332</v>
      </c>
      <c r="B316" s="0" t="s">
        <v>1680</v>
      </c>
      <c r="C316" s="0" t="s">
        <v>1342</v>
      </c>
      <c r="D316" s="0" t="s">
        <v>1139</v>
      </c>
      <c r="E316" s="0" t="s">
        <v>145</v>
      </c>
      <c r="F316" s="0" t="n">
        <v>2</v>
      </c>
      <c r="G316" s="0" t="n">
        <v>7</v>
      </c>
      <c r="H316" s="0" t="n">
        <v>0.4</v>
      </c>
      <c r="I316" s="10" t="n">
        <v>0.357</v>
      </c>
      <c r="J316" s="0" t="n">
        <v>0.5</v>
      </c>
      <c r="K316" s="13" t="n">
        <f aca="false">IF(H316&lt;&gt;"",H316,IFERROR(G316/INDEX(Players!$M$2:$M$137,MATCH(B316,Players!$A$2:$A$137,0)),""))</f>
        <v>0.4</v>
      </c>
    </row>
    <row r="317" customFormat="false" ht="15" hidden="false" customHeight="false" outlineLevel="0" collapsed="false">
      <c r="A317" s="0" t="s">
        <v>2333</v>
      </c>
      <c r="B317" s="0" t="s">
        <v>1728</v>
      </c>
      <c r="C317" s="0" t="s">
        <v>1460</v>
      </c>
      <c r="D317" s="0" t="s">
        <v>1139</v>
      </c>
      <c r="E317" s="0" t="s">
        <v>95</v>
      </c>
      <c r="F317" s="0" t="n">
        <v>7</v>
      </c>
      <c r="G317" s="0" t="n">
        <v>17.4</v>
      </c>
      <c r="H317" s="0" t="n">
        <v>0.74</v>
      </c>
      <c r="I317" s="10" t="n">
        <v>0.352</v>
      </c>
      <c r="J317" s="0" t="n">
        <v>1.26</v>
      </c>
      <c r="K317" s="13" t="n">
        <f aca="false">IF(H317&lt;&gt;"",H317,IFERROR(G317/INDEX(Players!$M$2:$M$137,MATCH(B317,Players!$A$2:$A$137,0)),""))</f>
        <v>0.74</v>
      </c>
    </row>
    <row r="318" customFormat="false" ht="15" hidden="false" customHeight="false" outlineLevel="0" collapsed="false">
      <c r="A318" s="0" t="s">
        <v>2334</v>
      </c>
      <c r="B318" s="0" t="s">
        <v>1728</v>
      </c>
      <c r="C318" s="0" t="s">
        <v>1460</v>
      </c>
      <c r="D318" s="0" t="s">
        <v>1139</v>
      </c>
      <c r="E318" s="0" t="s">
        <v>129</v>
      </c>
      <c r="F318" s="0" t="n">
        <v>7</v>
      </c>
      <c r="G318" s="0" t="n">
        <v>14.3</v>
      </c>
      <c r="H318" s="0" t="n">
        <v>0.71</v>
      </c>
      <c r="I318" s="10" t="n">
        <v>0.34</v>
      </c>
      <c r="J318" s="0" t="n">
        <v>1.19</v>
      </c>
      <c r="K318" s="13" t="n">
        <f aca="false">IF(H318&lt;&gt;"",H318,IFERROR(G318/INDEX(Players!$M$2:$M$137,MATCH(B318,Players!$A$2:$A$137,0)),""))</f>
        <v>0.71</v>
      </c>
    </row>
    <row r="319" customFormat="false" ht="15" hidden="false" customHeight="false" outlineLevel="0" collapsed="false">
      <c r="A319" s="0" t="s">
        <v>2335</v>
      </c>
      <c r="B319" s="0" t="s">
        <v>1728</v>
      </c>
      <c r="C319" s="0" t="s">
        <v>1460</v>
      </c>
      <c r="D319" s="0" t="s">
        <v>1139</v>
      </c>
      <c r="E319" s="0" t="s">
        <v>108</v>
      </c>
      <c r="F319" s="0" t="n">
        <v>7</v>
      </c>
      <c r="G319" s="0" t="n">
        <v>17.3</v>
      </c>
      <c r="H319" s="0" t="n">
        <v>0.64</v>
      </c>
      <c r="I319" s="10" t="n">
        <v>0.215</v>
      </c>
      <c r="J319" s="0" t="n">
        <v>1</v>
      </c>
      <c r="K319" s="13" t="n">
        <f aca="false">IF(H319&lt;&gt;"",H319,IFERROR(G319/INDEX(Players!$M$2:$M$137,MATCH(B319,Players!$A$2:$A$137,0)),""))</f>
        <v>0.64</v>
      </c>
    </row>
    <row r="320" customFormat="false" ht="15" hidden="false" customHeight="false" outlineLevel="0" collapsed="false">
      <c r="A320" s="0" t="s">
        <v>2336</v>
      </c>
      <c r="B320" s="0" t="s">
        <v>1728</v>
      </c>
      <c r="C320" s="0" t="s">
        <v>1460</v>
      </c>
      <c r="D320" s="0" t="s">
        <v>1139</v>
      </c>
      <c r="E320" s="0" t="s">
        <v>81</v>
      </c>
      <c r="F320" s="0" t="n">
        <v>6</v>
      </c>
      <c r="G320" s="0" t="n">
        <v>16.2</v>
      </c>
      <c r="H320" s="0" t="n">
        <v>0.61</v>
      </c>
      <c r="I320" s="10" t="n">
        <v>0.381</v>
      </c>
      <c r="J320" s="0" t="n">
        <v>1.02</v>
      </c>
      <c r="K320" s="13" t="n">
        <f aca="false">IF(H320&lt;&gt;"",H320,IFERROR(G320/INDEX(Players!$M$2:$M$137,MATCH(B320,Players!$A$2:$A$137,0)),""))</f>
        <v>0.61</v>
      </c>
    </row>
    <row r="321" customFormat="false" ht="15" hidden="false" customHeight="false" outlineLevel="0" collapsed="false">
      <c r="A321" s="0" t="s">
        <v>2337</v>
      </c>
      <c r="B321" s="0" t="s">
        <v>1728</v>
      </c>
      <c r="C321" s="0" t="s">
        <v>1460</v>
      </c>
      <c r="D321" s="0" t="s">
        <v>1139</v>
      </c>
      <c r="E321" s="0" t="s">
        <v>121</v>
      </c>
      <c r="F321" s="0" t="n">
        <v>4</v>
      </c>
      <c r="G321" s="0" t="n">
        <v>15.8</v>
      </c>
      <c r="H321" s="0" t="n">
        <v>0.85</v>
      </c>
      <c r="I321" s="10" t="n">
        <v>0.365</v>
      </c>
      <c r="J321" s="0" t="n">
        <v>1.37</v>
      </c>
      <c r="K321" s="13" t="n">
        <f aca="false">IF(H321&lt;&gt;"",H321,IFERROR(G321/INDEX(Players!$M$2:$M$137,MATCH(B321,Players!$A$2:$A$137,0)),""))</f>
        <v>0.85</v>
      </c>
    </row>
    <row r="322" customFormat="false" ht="15" hidden="false" customHeight="false" outlineLevel="0" collapsed="false">
      <c r="A322" s="0" t="s">
        <v>2338</v>
      </c>
      <c r="B322" s="0" t="s">
        <v>1728</v>
      </c>
      <c r="C322" s="0" t="s">
        <v>1460</v>
      </c>
      <c r="D322" s="0" t="s">
        <v>1139</v>
      </c>
      <c r="E322" s="0" t="s">
        <v>145</v>
      </c>
      <c r="F322" s="0" t="n">
        <v>4</v>
      </c>
      <c r="G322" s="0" t="n">
        <v>11.8</v>
      </c>
      <c r="H322" s="0" t="n">
        <v>0.57</v>
      </c>
      <c r="I322" s="10" t="n">
        <v>0.34</v>
      </c>
      <c r="J322" s="0" t="n">
        <v>0.92</v>
      </c>
      <c r="K322" s="13" t="n">
        <f aca="false">IF(H322&lt;&gt;"",H322,IFERROR(G322/INDEX(Players!$M$2:$M$137,MATCH(B322,Players!$A$2:$A$137,0)),""))</f>
        <v>0.57</v>
      </c>
    </row>
    <row r="323" customFormat="false" ht="15" hidden="false" customHeight="false" outlineLevel="0" collapsed="false">
      <c r="A323" s="0" t="s">
        <v>2339</v>
      </c>
      <c r="B323" s="0" t="s">
        <v>1709</v>
      </c>
      <c r="C323" s="0" t="s">
        <v>1417</v>
      </c>
      <c r="D323" s="0" t="s">
        <v>1139</v>
      </c>
      <c r="E323" s="0" t="s">
        <v>139</v>
      </c>
      <c r="F323" s="0" t="n">
        <v>7</v>
      </c>
      <c r="G323" s="0" t="n">
        <v>20.1</v>
      </c>
      <c r="H323" s="0" t="n">
        <v>0.98</v>
      </c>
      <c r="I323" s="10" t="n">
        <v>0.447</v>
      </c>
      <c r="J323" s="0" t="n">
        <v>1.66</v>
      </c>
      <c r="K323" s="13" t="n">
        <f aca="false">IF(H323&lt;&gt;"",H323,IFERROR(G323/INDEX(Players!$M$2:$M$137,MATCH(B323,Players!$A$2:$A$137,0)),""))</f>
        <v>0.98</v>
      </c>
    </row>
    <row r="324" customFormat="false" ht="15" hidden="false" customHeight="false" outlineLevel="0" collapsed="false">
      <c r="A324" s="0" t="s">
        <v>2340</v>
      </c>
      <c r="B324" s="0" t="s">
        <v>1709</v>
      </c>
      <c r="C324" s="0" t="s">
        <v>1417</v>
      </c>
      <c r="D324" s="0" t="s">
        <v>1139</v>
      </c>
      <c r="E324" s="0" t="s">
        <v>108</v>
      </c>
      <c r="F324" s="0" t="n">
        <v>7</v>
      </c>
      <c r="G324" s="0" t="n">
        <v>15.3</v>
      </c>
      <c r="H324" s="0" t="n">
        <v>0.63</v>
      </c>
      <c r="I324" s="10" t="n">
        <v>0.514</v>
      </c>
      <c r="J324" s="0" t="n">
        <v>1.09</v>
      </c>
      <c r="K324" s="13" t="n">
        <f aca="false">IF(H324&lt;&gt;"",H324,IFERROR(G324/INDEX(Players!$M$2:$M$137,MATCH(B324,Players!$A$2:$A$137,0)),""))</f>
        <v>0.63</v>
      </c>
    </row>
    <row r="325" customFormat="false" ht="15" hidden="false" customHeight="false" outlineLevel="0" collapsed="false">
      <c r="A325" s="0" t="s">
        <v>2341</v>
      </c>
      <c r="B325" s="0" t="s">
        <v>1709</v>
      </c>
      <c r="C325" s="0" t="s">
        <v>1417</v>
      </c>
      <c r="D325" s="0" t="s">
        <v>1139</v>
      </c>
      <c r="E325" s="0" t="s">
        <v>81</v>
      </c>
      <c r="F325" s="0" t="n">
        <v>6</v>
      </c>
      <c r="G325" s="0" t="n">
        <v>17</v>
      </c>
      <c r="H325" s="0" t="n">
        <v>0.76</v>
      </c>
      <c r="I325" s="10" t="n">
        <v>0.549</v>
      </c>
      <c r="J325" s="0" t="n">
        <v>1.1</v>
      </c>
      <c r="K325" s="13" t="n">
        <f aca="false">IF(H325&lt;&gt;"",H325,IFERROR(G325/INDEX(Players!$M$2:$M$137,MATCH(B325,Players!$A$2:$A$137,0)),""))</f>
        <v>0.76</v>
      </c>
    </row>
    <row r="326" customFormat="false" ht="15" hidden="false" customHeight="false" outlineLevel="0" collapsed="false">
      <c r="A326" s="0" t="s">
        <v>2342</v>
      </c>
      <c r="B326" s="0" t="s">
        <v>1709</v>
      </c>
      <c r="C326" s="0" t="s">
        <v>1417</v>
      </c>
      <c r="D326" s="0" t="s">
        <v>1139</v>
      </c>
      <c r="E326" s="0" t="s">
        <v>145</v>
      </c>
      <c r="F326" s="0" t="n">
        <v>6</v>
      </c>
      <c r="G326" s="0" t="n">
        <v>12.5</v>
      </c>
      <c r="H326" s="0" t="n">
        <v>0.58</v>
      </c>
      <c r="I326" s="10" t="n">
        <v>0.52</v>
      </c>
      <c r="J326" s="0" t="n">
        <v>0.82</v>
      </c>
      <c r="K326" s="13" t="n">
        <f aca="false">IF(H326&lt;&gt;"",H326,IFERROR(G326/INDEX(Players!$M$2:$M$137,MATCH(B326,Players!$A$2:$A$137,0)),""))</f>
        <v>0.58</v>
      </c>
    </row>
    <row r="327" customFormat="false" ht="15" hidden="false" customHeight="false" outlineLevel="0" collapsed="false">
      <c r="A327" s="0" t="s">
        <v>2343</v>
      </c>
      <c r="B327" s="0" t="s">
        <v>1709</v>
      </c>
      <c r="C327" s="0" t="s">
        <v>1417</v>
      </c>
      <c r="D327" s="0" t="s">
        <v>1139</v>
      </c>
      <c r="E327" s="0" t="s">
        <v>129</v>
      </c>
      <c r="F327" s="0" t="n">
        <v>6</v>
      </c>
      <c r="G327" s="0" t="n">
        <v>12.3</v>
      </c>
      <c r="H327" s="0" t="n">
        <v>0.54</v>
      </c>
      <c r="I327" s="10" t="n">
        <v>0.473</v>
      </c>
      <c r="J327" s="0" t="n">
        <v>0.8</v>
      </c>
      <c r="K327" s="13" t="n">
        <f aca="false">IF(H327&lt;&gt;"",H327,IFERROR(G327/INDEX(Players!$M$2:$M$137,MATCH(B327,Players!$A$2:$A$137,0)),""))</f>
        <v>0.54</v>
      </c>
    </row>
    <row r="328" customFormat="false" ht="15" hidden="false" customHeight="false" outlineLevel="0" collapsed="false">
      <c r="A328" s="0" t="s">
        <v>2344</v>
      </c>
      <c r="B328" s="0" t="s">
        <v>1709</v>
      </c>
      <c r="C328" s="0" t="s">
        <v>1417</v>
      </c>
      <c r="D328" s="0" t="s">
        <v>1139</v>
      </c>
      <c r="E328" s="0" t="s">
        <v>121</v>
      </c>
      <c r="F328" s="0" t="n">
        <v>3</v>
      </c>
      <c r="G328" s="0" t="n">
        <v>17.7</v>
      </c>
      <c r="H328" s="0" t="n">
        <v>0.79</v>
      </c>
      <c r="I328" s="10" t="n">
        <v>0.547</v>
      </c>
      <c r="J328" s="0" t="n">
        <v>1.29</v>
      </c>
      <c r="K328" s="13" t="n">
        <f aca="false">IF(H328&lt;&gt;"",H328,IFERROR(G328/INDEX(Players!$M$2:$M$137,MATCH(B328,Players!$A$2:$A$137,0)),""))</f>
        <v>0.79</v>
      </c>
    </row>
    <row r="329" customFormat="false" ht="15" hidden="false" customHeight="false" outlineLevel="0" collapsed="false">
      <c r="A329" s="0" t="s">
        <v>2345</v>
      </c>
      <c r="B329" s="0" t="s">
        <v>1724</v>
      </c>
      <c r="C329" s="0" t="s">
        <v>1450</v>
      </c>
      <c r="D329" s="0" t="s">
        <v>1139</v>
      </c>
      <c r="E329" s="0" t="s">
        <v>81</v>
      </c>
      <c r="F329" s="0" t="n">
        <v>10</v>
      </c>
      <c r="G329" s="0" t="n">
        <v>16.1</v>
      </c>
      <c r="H329" s="0" t="n">
        <v>0.76</v>
      </c>
      <c r="I329" s="10" t="n">
        <v>0.54</v>
      </c>
      <c r="J329" s="0" t="n">
        <v>1.06</v>
      </c>
      <c r="K329" s="13" t="n">
        <f aca="false">IF(H329&lt;&gt;"",H329,IFERROR(G329/INDEX(Players!$M$2:$M$137,MATCH(B329,Players!$A$2:$A$137,0)),""))</f>
        <v>0.76</v>
      </c>
    </row>
    <row r="330" customFormat="false" ht="15" hidden="false" customHeight="false" outlineLevel="0" collapsed="false">
      <c r="A330" s="0" t="s">
        <v>2346</v>
      </c>
      <c r="B330" s="0" t="s">
        <v>1724</v>
      </c>
      <c r="C330" s="0" t="s">
        <v>1450</v>
      </c>
      <c r="D330" s="0" t="s">
        <v>1139</v>
      </c>
      <c r="E330" s="0" t="s">
        <v>95</v>
      </c>
      <c r="F330" s="0" t="n">
        <v>9</v>
      </c>
      <c r="G330" s="0" t="n">
        <v>16.2</v>
      </c>
      <c r="H330" s="0" t="n">
        <v>0.69</v>
      </c>
      <c r="I330" s="10" t="n">
        <v>0.575</v>
      </c>
      <c r="J330" s="0" t="n">
        <v>0.97</v>
      </c>
      <c r="K330" s="13" t="n">
        <f aca="false">IF(H330&lt;&gt;"",H330,IFERROR(G330/INDEX(Players!$M$2:$M$137,MATCH(B330,Players!$A$2:$A$137,0)),""))</f>
        <v>0.69</v>
      </c>
    </row>
    <row r="331" customFormat="false" ht="15" hidden="false" customHeight="false" outlineLevel="0" collapsed="false">
      <c r="A331" s="0" t="s">
        <v>2347</v>
      </c>
      <c r="B331" s="0" t="s">
        <v>1724</v>
      </c>
      <c r="C331" s="0" t="s">
        <v>1450</v>
      </c>
      <c r="D331" s="0" t="s">
        <v>1139</v>
      </c>
      <c r="E331" s="0" t="s">
        <v>108</v>
      </c>
      <c r="F331" s="0" t="n">
        <v>6</v>
      </c>
      <c r="G331" s="0" t="n">
        <v>16.2</v>
      </c>
      <c r="H331" s="0" t="n">
        <v>0.73</v>
      </c>
      <c r="I331" s="10" t="n">
        <v>0.474</v>
      </c>
      <c r="J331" s="0" t="n">
        <v>0.99</v>
      </c>
      <c r="K331" s="13" t="n">
        <f aca="false">IF(H331&lt;&gt;"",H331,IFERROR(G331/INDEX(Players!$M$2:$M$137,MATCH(B331,Players!$A$2:$A$137,0)),""))</f>
        <v>0.73</v>
      </c>
    </row>
    <row r="332" customFormat="false" ht="15" hidden="false" customHeight="false" outlineLevel="0" collapsed="false">
      <c r="A332" s="0" t="s">
        <v>2348</v>
      </c>
      <c r="B332" s="0" t="s">
        <v>1724</v>
      </c>
      <c r="C332" s="0" t="s">
        <v>1450</v>
      </c>
      <c r="D332" s="0" t="s">
        <v>1139</v>
      </c>
      <c r="E332" s="0" t="s">
        <v>121</v>
      </c>
      <c r="F332" s="0" t="n">
        <v>5</v>
      </c>
      <c r="G332" s="0" t="n">
        <v>16</v>
      </c>
      <c r="H332" s="0" t="n">
        <v>0.74</v>
      </c>
      <c r="I332" s="10" t="n">
        <v>0.6</v>
      </c>
      <c r="J332" s="0" t="n">
        <v>1.01</v>
      </c>
      <c r="K332" s="13" t="n">
        <f aca="false">IF(H332&lt;&gt;"",H332,IFERROR(G332/INDEX(Players!$M$2:$M$137,MATCH(B332,Players!$A$2:$A$137,0)),""))</f>
        <v>0.74</v>
      </c>
    </row>
    <row r="333" customFormat="false" ht="15" hidden="false" customHeight="false" outlineLevel="0" collapsed="false">
      <c r="A333" s="0" t="s">
        <v>2349</v>
      </c>
      <c r="B333" s="0" t="s">
        <v>1724</v>
      </c>
      <c r="C333" s="0" t="s">
        <v>1450</v>
      </c>
      <c r="D333" s="0" t="s">
        <v>1139</v>
      </c>
      <c r="E333" s="0" t="s">
        <v>145</v>
      </c>
      <c r="F333" s="0" t="n">
        <v>5</v>
      </c>
      <c r="G333" s="0" t="n">
        <v>12.8</v>
      </c>
      <c r="H333" s="0" t="n">
        <v>0.6</v>
      </c>
      <c r="I333" s="10" t="n">
        <v>0.531</v>
      </c>
      <c r="J333" s="0" t="n">
        <v>0.79</v>
      </c>
      <c r="K333" s="13" t="n">
        <f aca="false">IF(H333&lt;&gt;"",H333,IFERROR(G333/INDEX(Players!$M$2:$M$137,MATCH(B333,Players!$A$2:$A$137,0)),""))</f>
        <v>0.6</v>
      </c>
    </row>
    <row r="334" customFormat="false" ht="15" hidden="false" customHeight="false" outlineLevel="0" collapsed="false">
      <c r="A334" s="0" t="s">
        <v>2350</v>
      </c>
      <c r="B334" s="0" t="s">
        <v>1724</v>
      </c>
      <c r="C334" s="0" t="s">
        <v>1450</v>
      </c>
      <c r="D334" s="0" t="s">
        <v>1139</v>
      </c>
      <c r="E334" s="0" t="s">
        <v>129</v>
      </c>
      <c r="F334" s="0" t="n">
        <v>2</v>
      </c>
      <c r="G334" s="0" t="n">
        <v>14.5</v>
      </c>
      <c r="H334" s="0" t="n">
        <v>0.71</v>
      </c>
      <c r="I334" s="10" t="n">
        <v>0.724</v>
      </c>
      <c r="J334" s="0" t="n">
        <v>1.04</v>
      </c>
      <c r="K334" s="13" t="n">
        <f aca="false">IF(H334&lt;&gt;"",H334,IFERROR(G334/INDEX(Players!$M$2:$M$137,MATCH(B334,Players!$A$2:$A$137,0)),""))</f>
        <v>0.71</v>
      </c>
    </row>
    <row r="335" customFormat="false" ht="15" hidden="false" customHeight="false" outlineLevel="0" collapsed="false">
      <c r="A335" s="0" t="s">
        <v>2351</v>
      </c>
      <c r="B335" s="0" t="s">
        <v>1703</v>
      </c>
      <c r="C335" s="0" t="s">
        <v>1404</v>
      </c>
      <c r="D335" s="0" t="s">
        <v>1139</v>
      </c>
      <c r="E335" s="0" t="s">
        <v>108</v>
      </c>
      <c r="F335" s="0" t="n">
        <v>9</v>
      </c>
      <c r="G335" s="0" t="n">
        <v>14.3</v>
      </c>
      <c r="H335" s="0" t="n">
        <v>0.7</v>
      </c>
      <c r="I335" s="10" t="n">
        <v>0.496</v>
      </c>
      <c r="J335" s="0" t="n">
        <v>1.28</v>
      </c>
      <c r="K335" s="13" t="n">
        <f aca="false">IF(H335&lt;&gt;"",H335,IFERROR(G335/INDEX(Players!$M$2:$M$137,MATCH(B335,Players!$A$2:$A$137,0)),""))</f>
        <v>0.7</v>
      </c>
    </row>
    <row r="336" customFormat="false" ht="15" hidden="false" customHeight="false" outlineLevel="0" collapsed="false">
      <c r="A336" s="0" t="s">
        <v>2352</v>
      </c>
      <c r="B336" s="0" t="s">
        <v>1703</v>
      </c>
      <c r="C336" s="0" t="s">
        <v>1404</v>
      </c>
      <c r="D336" s="0" t="s">
        <v>1139</v>
      </c>
      <c r="E336" s="0" t="s">
        <v>139</v>
      </c>
      <c r="F336" s="0" t="n">
        <v>8</v>
      </c>
      <c r="G336" s="0" t="n">
        <v>14</v>
      </c>
      <c r="H336" s="0" t="n">
        <v>0.7</v>
      </c>
      <c r="I336" s="10" t="n">
        <v>0.509</v>
      </c>
      <c r="J336" s="0" t="n">
        <v>1.47</v>
      </c>
      <c r="K336" s="13" t="n">
        <f aca="false">IF(H336&lt;&gt;"",H336,IFERROR(G336/INDEX(Players!$M$2:$M$137,MATCH(B336,Players!$A$2:$A$137,0)),""))</f>
        <v>0.7</v>
      </c>
    </row>
    <row r="337" customFormat="false" ht="15" hidden="false" customHeight="false" outlineLevel="0" collapsed="false">
      <c r="A337" s="0" t="s">
        <v>2353</v>
      </c>
      <c r="B337" s="0" t="s">
        <v>1703</v>
      </c>
      <c r="C337" s="0" t="s">
        <v>1404</v>
      </c>
      <c r="D337" s="0" t="s">
        <v>1139</v>
      </c>
      <c r="E337" s="0" t="s">
        <v>81</v>
      </c>
      <c r="F337" s="0" t="n">
        <v>6</v>
      </c>
      <c r="G337" s="0" t="n">
        <v>14.8</v>
      </c>
      <c r="H337" s="0" t="n">
        <v>0.62</v>
      </c>
      <c r="I337" s="10" t="n">
        <v>0.416</v>
      </c>
      <c r="J337" s="0" t="n">
        <v>1.06</v>
      </c>
      <c r="K337" s="13" t="n">
        <f aca="false">IF(H337&lt;&gt;"",H337,IFERROR(G337/INDEX(Players!$M$2:$M$137,MATCH(B337,Players!$A$2:$A$137,0)),""))</f>
        <v>0.62</v>
      </c>
    </row>
    <row r="338" customFormat="false" ht="15" hidden="false" customHeight="false" outlineLevel="0" collapsed="false">
      <c r="A338" s="0" t="s">
        <v>2354</v>
      </c>
      <c r="B338" s="0" t="s">
        <v>1703</v>
      </c>
      <c r="C338" s="0" t="s">
        <v>1404</v>
      </c>
      <c r="D338" s="0" t="s">
        <v>1139</v>
      </c>
      <c r="E338" s="0" t="s">
        <v>145</v>
      </c>
      <c r="F338" s="0" t="n">
        <v>6</v>
      </c>
      <c r="G338" s="0" t="n">
        <v>12.8</v>
      </c>
      <c r="H338" s="0" t="n">
        <v>0.58</v>
      </c>
      <c r="I338" s="10" t="n">
        <v>0.519</v>
      </c>
      <c r="J338" s="0" t="n">
        <v>0.97</v>
      </c>
      <c r="K338" s="13" t="n">
        <f aca="false">IF(H338&lt;&gt;"",H338,IFERROR(G338/INDEX(Players!$M$2:$M$137,MATCH(B338,Players!$A$2:$A$137,0)),""))</f>
        <v>0.58</v>
      </c>
    </row>
    <row r="339" customFormat="false" ht="15" hidden="false" customHeight="false" outlineLevel="0" collapsed="false">
      <c r="A339" s="0" t="s">
        <v>2355</v>
      </c>
      <c r="B339" s="0" t="s">
        <v>1703</v>
      </c>
      <c r="C339" s="0" t="s">
        <v>1404</v>
      </c>
      <c r="D339" s="0" t="s">
        <v>1139</v>
      </c>
      <c r="E339" s="0" t="s">
        <v>95</v>
      </c>
      <c r="F339" s="0" t="n">
        <v>4</v>
      </c>
      <c r="G339" s="0" t="n">
        <v>18.3</v>
      </c>
      <c r="H339" s="0" t="n">
        <v>0.92</v>
      </c>
      <c r="I339" s="10" t="n">
        <v>0.534</v>
      </c>
      <c r="J339" s="0" t="n">
        <v>1.92</v>
      </c>
      <c r="K339" s="13" t="n">
        <f aca="false">IF(H339&lt;&gt;"",H339,IFERROR(G339/INDEX(Players!$M$2:$M$137,MATCH(B339,Players!$A$2:$A$137,0)),""))</f>
        <v>0.92</v>
      </c>
    </row>
    <row r="340" customFormat="false" ht="15" hidden="false" customHeight="false" outlineLevel="0" collapsed="false">
      <c r="A340" s="0" t="s">
        <v>2356</v>
      </c>
      <c r="B340" s="0" t="s">
        <v>1703</v>
      </c>
      <c r="C340" s="0" t="s">
        <v>1404</v>
      </c>
      <c r="D340" s="0" t="s">
        <v>1139</v>
      </c>
      <c r="E340" s="0" t="s">
        <v>129</v>
      </c>
      <c r="F340" s="0" t="n">
        <v>4</v>
      </c>
      <c r="G340" s="0" t="n">
        <v>14</v>
      </c>
      <c r="H340" s="0" t="n">
        <v>0.63</v>
      </c>
      <c r="I340" s="10" t="n">
        <v>0.5</v>
      </c>
      <c r="J340" s="0" t="n">
        <v>1.04</v>
      </c>
      <c r="K340" s="13" t="n">
        <f aca="false">IF(H340&lt;&gt;"",H340,IFERROR(G340/INDEX(Players!$M$2:$M$137,MATCH(B340,Players!$A$2:$A$137,0)),""))</f>
        <v>0.63</v>
      </c>
    </row>
    <row r="341" customFormat="false" ht="15" hidden="false" customHeight="false" outlineLevel="0" collapsed="false">
      <c r="A341" s="0" t="s">
        <v>2357</v>
      </c>
      <c r="B341" s="0" t="s">
        <v>1718</v>
      </c>
      <c r="C341" s="0" t="s">
        <v>1437</v>
      </c>
      <c r="D341" s="0" t="s">
        <v>1139</v>
      </c>
      <c r="E341" s="0" t="s">
        <v>129</v>
      </c>
      <c r="F341" s="0" t="n">
        <v>9</v>
      </c>
      <c r="G341" s="0" t="n">
        <v>19</v>
      </c>
      <c r="H341" s="0" t="n">
        <v>0.78</v>
      </c>
      <c r="I341" s="10" t="n">
        <v>0.526</v>
      </c>
      <c r="J341" s="0" t="n">
        <v>1.18</v>
      </c>
      <c r="K341" s="13" t="n">
        <f aca="false">IF(H341&lt;&gt;"",H341,IFERROR(G341/INDEX(Players!$M$2:$M$137,MATCH(B341,Players!$A$2:$A$137,0)),""))</f>
        <v>0.78</v>
      </c>
    </row>
    <row r="342" customFormat="false" ht="15" hidden="false" customHeight="false" outlineLevel="0" collapsed="false">
      <c r="A342" s="0" t="s">
        <v>2358</v>
      </c>
      <c r="B342" s="0" t="s">
        <v>1718</v>
      </c>
      <c r="C342" s="0" t="s">
        <v>1437</v>
      </c>
      <c r="D342" s="0" t="s">
        <v>1139</v>
      </c>
      <c r="E342" s="0" t="s">
        <v>81</v>
      </c>
      <c r="F342" s="0" t="n">
        <v>9</v>
      </c>
      <c r="G342" s="0" t="n">
        <v>17.8</v>
      </c>
      <c r="H342" s="0" t="n">
        <v>0.7</v>
      </c>
      <c r="I342" s="10" t="n">
        <v>0.594</v>
      </c>
      <c r="J342" s="0" t="n">
        <v>1.02</v>
      </c>
      <c r="K342" s="13" t="n">
        <f aca="false">IF(H342&lt;&gt;"",H342,IFERROR(G342/INDEX(Players!$M$2:$M$137,MATCH(B342,Players!$A$2:$A$137,0)),""))</f>
        <v>0.7</v>
      </c>
    </row>
    <row r="343" customFormat="false" ht="15" hidden="false" customHeight="false" outlineLevel="0" collapsed="false">
      <c r="A343" s="0" t="s">
        <v>2359</v>
      </c>
      <c r="B343" s="0" t="s">
        <v>1718</v>
      </c>
      <c r="C343" s="0" t="s">
        <v>1437</v>
      </c>
      <c r="D343" s="0" t="s">
        <v>1139</v>
      </c>
      <c r="E343" s="0" t="s">
        <v>95</v>
      </c>
      <c r="F343" s="0" t="n">
        <v>7</v>
      </c>
      <c r="G343" s="0" t="n">
        <v>18.1</v>
      </c>
      <c r="H343" s="0" t="n">
        <v>0.69</v>
      </c>
      <c r="I343" s="10" t="n">
        <v>0.614</v>
      </c>
      <c r="J343" s="0" t="n">
        <v>0.95</v>
      </c>
      <c r="K343" s="13" t="n">
        <f aca="false">IF(H343&lt;&gt;"",H343,IFERROR(G343/INDEX(Players!$M$2:$M$137,MATCH(B343,Players!$A$2:$A$137,0)),""))</f>
        <v>0.69</v>
      </c>
    </row>
    <row r="344" customFormat="false" ht="15" hidden="false" customHeight="false" outlineLevel="0" collapsed="false">
      <c r="A344" s="0" t="s">
        <v>2360</v>
      </c>
      <c r="B344" s="0" t="s">
        <v>1718</v>
      </c>
      <c r="C344" s="0" t="s">
        <v>1437</v>
      </c>
      <c r="D344" s="0" t="s">
        <v>1139</v>
      </c>
      <c r="E344" s="0" t="s">
        <v>108</v>
      </c>
      <c r="F344" s="0" t="n">
        <v>7</v>
      </c>
      <c r="G344" s="0" t="n">
        <v>13.3</v>
      </c>
      <c r="H344" s="0" t="n">
        <v>0.59</v>
      </c>
      <c r="I344" s="10" t="n">
        <v>0.559</v>
      </c>
      <c r="J344" s="0" t="n">
        <v>0.84</v>
      </c>
      <c r="K344" s="13" t="n">
        <f aca="false">IF(H344&lt;&gt;"",H344,IFERROR(G344/INDEX(Players!$M$2:$M$137,MATCH(B344,Players!$A$2:$A$137,0)),""))</f>
        <v>0.59</v>
      </c>
    </row>
    <row r="345" customFormat="false" ht="15" hidden="false" customHeight="false" outlineLevel="0" collapsed="false">
      <c r="A345" s="0" t="s">
        <v>2361</v>
      </c>
      <c r="B345" s="0" t="s">
        <v>1718</v>
      </c>
      <c r="C345" s="0" t="s">
        <v>1437</v>
      </c>
      <c r="D345" s="0" t="s">
        <v>1139</v>
      </c>
      <c r="E345" s="0" t="s">
        <v>121</v>
      </c>
      <c r="F345" s="0" t="n">
        <v>5</v>
      </c>
      <c r="G345" s="0" t="n">
        <v>14</v>
      </c>
      <c r="H345" s="0" t="n">
        <v>0.69</v>
      </c>
      <c r="I345" s="10" t="n">
        <v>0.557</v>
      </c>
      <c r="J345" s="0" t="n">
        <v>1.11</v>
      </c>
      <c r="K345" s="13" t="n">
        <f aca="false">IF(H345&lt;&gt;"",H345,IFERROR(G345/INDEX(Players!$M$2:$M$137,MATCH(B345,Players!$A$2:$A$137,0)),""))</f>
        <v>0.69</v>
      </c>
    </row>
    <row r="346" customFormat="false" ht="15" hidden="false" customHeight="false" outlineLevel="0" collapsed="false">
      <c r="A346" s="0" t="s">
        <v>2362</v>
      </c>
      <c r="B346" s="0" t="s">
        <v>1718</v>
      </c>
      <c r="C346" s="0" t="s">
        <v>1437</v>
      </c>
      <c r="D346" s="0" t="s">
        <v>1139</v>
      </c>
      <c r="E346" s="0" t="s">
        <v>139</v>
      </c>
      <c r="F346" s="0" t="n">
        <v>2</v>
      </c>
      <c r="G346" s="0" t="n">
        <v>17</v>
      </c>
      <c r="H346" s="0" t="n">
        <v>0.77</v>
      </c>
      <c r="I346" s="10" t="n">
        <v>0.618</v>
      </c>
      <c r="J346" s="0" t="n">
        <v>1.17</v>
      </c>
      <c r="K346" s="13" t="n">
        <f aca="false">IF(H346&lt;&gt;"",H346,IFERROR(G346/INDEX(Players!$M$2:$M$137,MATCH(B346,Players!$A$2:$A$137,0)),""))</f>
        <v>0.77</v>
      </c>
    </row>
    <row r="347" customFormat="false" ht="15" hidden="false" customHeight="false" outlineLevel="0" collapsed="false">
      <c r="A347" s="0" t="s">
        <v>2363</v>
      </c>
      <c r="B347" s="0" t="s">
        <v>1753</v>
      </c>
      <c r="C347" s="0" t="s">
        <v>1515</v>
      </c>
      <c r="D347" s="0" t="s">
        <v>1139</v>
      </c>
      <c r="E347" s="0" t="s">
        <v>121</v>
      </c>
      <c r="F347" s="0" t="n">
        <v>7</v>
      </c>
      <c r="G347" s="0" t="n">
        <v>12.1</v>
      </c>
      <c r="H347" s="0" t="n">
        <v>0.59</v>
      </c>
      <c r="I347" s="10" t="n">
        <v>0.659</v>
      </c>
      <c r="J347" s="0" t="n">
        <v>0.92</v>
      </c>
      <c r="K347" s="13" t="n">
        <f aca="false">IF(H347&lt;&gt;"",H347,IFERROR(G347/INDEX(Players!$M$2:$M$137,MATCH(B347,Players!$A$2:$A$137,0)),""))</f>
        <v>0.59</v>
      </c>
    </row>
    <row r="348" customFormat="false" ht="15" hidden="false" customHeight="false" outlineLevel="0" collapsed="false">
      <c r="A348" s="0" t="s">
        <v>2364</v>
      </c>
      <c r="B348" s="0" t="s">
        <v>1753</v>
      </c>
      <c r="C348" s="0" t="s">
        <v>1515</v>
      </c>
      <c r="D348" s="0" t="s">
        <v>1139</v>
      </c>
      <c r="E348" s="0" t="s">
        <v>95</v>
      </c>
      <c r="F348" s="0" t="n">
        <v>7</v>
      </c>
      <c r="G348" s="0" t="n">
        <v>11.3</v>
      </c>
      <c r="H348" s="0" t="n">
        <v>0.48</v>
      </c>
      <c r="I348" s="10" t="n">
        <v>0.582</v>
      </c>
      <c r="J348" s="0" t="n">
        <v>0.68</v>
      </c>
      <c r="K348" s="13" t="n">
        <f aca="false">IF(H348&lt;&gt;"",H348,IFERROR(G348/INDEX(Players!$M$2:$M$137,MATCH(B348,Players!$A$2:$A$137,0)),""))</f>
        <v>0.48</v>
      </c>
    </row>
    <row r="349" customFormat="false" ht="15" hidden="false" customHeight="false" outlineLevel="0" collapsed="false">
      <c r="A349" s="0" t="s">
        <v>2365</v>
      </c>
      <c r="B349" s="0" t="s">
        <v>1753</v>
      </c>
      <c r="C349" s="0" t="s">
        <v>1515</v>
      </c>
      <c r="D349" s="0" t="s">
        <v>1139</v>
      </c>
      <c r="E349" s="0" t="s">
        <v>108</v>
      </c>
      <c r="F349" s="0" t="n">
        <v>6</v>
      </c>
      <c r="G349" s="0" t="n">
        <v>11.5</v>
      </c>
      <c r="H349" s="0" t="n">
        <v>0.53</v>
      </c>
      <c r="I349" s="10" t="n">
        <v>0.594</v>
      </c>
      <c r="J349" s="0" t="n">
        <v>0.83</v>
      </c>
      <c r="K349" s="13" t="n">
        <f aca="false">IF(H349&lt;&gt;"",H349,IFERROR(G349/INDEX(Players!$M$2:$M$137,MATCH(B349,Players!$A$2:$A$137,0)),""))</f>
        <v>0.53</v>
      </c>
    </row>
    <row r="350" customFormat="false" ht="15" hidden="false" customHeight="false" outlineLevel="0" collapsed="false">
      <c r="A350" s="0" t="s">
        <v>2366</v>
      </c>
      <c r="B350" s="0" t="s">
        <v>1753</v>
      </c>
      <c r="C350" s="0" t="s">
        <v>1515</v>
      </c>
      <c r="D350" s="0" t="s">
        <v>1139</v>
      </c>
      <c r="E350" s="0" t="s">
        <v>139</v>
      </c>
      <c r="F350" s="0" t="n">
        <v>6</v>
      </c>
      <c r="G350" s="0" t="n">
        <v>12</v>
      </c>
      <c r="H350" s="0" t="n">
        <v>0.49</v>
      </c>
      <c r="I350" s="10" t="n">
        <v>0.583</v>
      </c>
      <c r="J350" s="0" t="n">
        <v>0.81</v>
      </c>
      <c r="K350" s="13" t="n">
        <f aca="false">IF(H350&lt;&gt;"",H350,IFERROR(G350/INDEX(Players!$M$2:$M$137,MATCH(B350,Players!$A$2:$A$137,0)),""))</f>
        <v>0.49</v>
      </c>
    </row>
    <row r="351" customFormat="false" ht="15" hidden="false" customHeight="false" outlineLevel="0" collapsed="false">
      <c r="A351" s="0" t="s">
        <v>2367</v>
      </c>
      <c r="B351" s="0" t="s">
        <v>1753</v>
      </c>
      <c r="C351" s="0" t="s">
        <v>1515</v>
      </c>
      <c r="D351" s="0" t="s">
        <v>1139</v>
      </c>
      <c r="E351" s="0" t="s">
        <v>129</v>
      </c>
      <c r="F351" s="0" t="n">
        <v>5</v>
      </c>
      <c r="G351" s="0" t="n">
        <v>13</v>
      </c>
      <c r="H351" s="0" t="n">
        <v>0.58</v>
      </c>
      <c r="I351" s="10" t="n">
        <v>0.585</v>
      </c>
      <c r="J351" s="0" t="n">
        <v>0.96</v>
      </c>
      <c r="K351" s="13" t="n">
        <f aca="false">IF(H351&lt;&gt;"",H351,IFERROR(G351/INDEX(Players!$M$2:$M$137,MATCH(B351,Players!$A$2:$A$137,0)),""))</f>
        <v>0.58</v>
      </c>
    </row>
    <row r="352" customFormat="false" ht="15" hidden="false" customHeight="false" outlineLevel="0" collapsed="false">
      <c r="A352" s="0" t="s">
        <v>2368</v>
      </c>
      <c r="B352" s="0" t="s">
        <v>1753</v>
      </c>
      <c r="C352" s="0" t="s">
        <v>1515</v>
      </c>
      <c r="D352" s="0" t="s">
        <v>1139</v>
      </c>
      <c r="E352" s="0" t="s">
        <v>145</v>
      </c>
      <c r="F352" s="0" t="n">
        <v>5</v>
      </c>
      <c r="G352" s="0" t="n">
        <v>7.2</v>
      </c>
      <c r="H352" s="0" t="n">
        <v>0.39</v>
      </c>
      <c r="I352" s="10" t="n">
        <v>0.5</v>
      </c>
      <c r="J352" s="0" t="n">
        <v>0.47</v>
      </c>
      <c r="K352" s="13" t="n">
        <f aca="false">IF(H352&lt;&gt;"",H352,IFERROR(G352/INDEX(Players!$M$2:$M$137,MATCH(B352,Players!$A$2:$A$137,0)),""))</f>
        <v>0.39</v>
      </c>
    </row>
    <row r="353" customFormat="false" ht="15" hidden="false" customHeight="false" outlineLevel="0" collapsed="false">
      <c r="A353" s="0" t="s">
        <v>2369</v>
      </c>
      <c r="B353" s="0" t="s">
        <v>1746</v>
      </c>
      <c r="C353" s="0" t="s">
        <v>1499</v>
      </c>
      <c r="D353" s="0" t="s">
        <v>1139</v>
      </c>
      <c r="E353" s="0" t="s">
        <v>139</v>
      </c>
      <c r="F353" s="0" t="n">
        <v>9</v>
      </c>
      <c r="G353" s="0" t="n">
        <v>13.6</v>
      </c>
      <c r="H353" s="0" t="n">
        <v>0.68</v>
      </c>
      <c r="I353" s="10" t="n">
        <v>0.475</v>
      </c>
      <c r="J353" s="0" t="n">
        <v>1</v>
      </c>
      <c r="K353" s="13" t="n">
        <f aca="false">IF(H353&lt;&gt;"",H353,IFERROR(G353/INDEX(Players!$M$2:$M$137,MATCH(B353,Players!$A$2:$A$137,0)),""))</f>
        <v>0.68</v>
      </c>
    </row>
    <row r="354" customFormat="false" ht="15" hidden="false" customHeight="false" outlineLevel="0" collapsed="false">
      <c r="A354" s="0" t="s">
        <v>2370</v>
      </c>
      <c r="B354" s="0" t="s">
        <v>1746</v>
      </c>
      <c r="C354" s="0" t="s">
        <v>1499</v>
      </c>
      <c r="D354" s="0" t="s">
        <v>1139</v>
      </c>
      <c r="E354" s="0" t="s">
        <v>95</v>
      </c>
      <c r="F354" s="0" t="n">
        <v>8</v>
      </c>
      <c r="G354" s="0" t="n">
        <v>16.9</v>
      </c>
      <c r="H354" s="0" t="n">
        <v>0.84</v>
      </c>
      <c r="I354" s="10" t="n">
        <v>0.511</v>
      </c>
      <c r="J354" s="0" t="n">
        <v>1.35</v>
      </c>
      <c r="K354" s="13" t="n">
        <f aca="false">IF(H354&lt;&gt;"",H354,IFERROR(G354/INDEX(Players!$M$2:$M$137,MATCH(B354,Players!$A$2:$A$137,0)),""))</f>
        <v>0.84</v>
      </c>
    </row>
    <row r="355" customFormat="false" ht="15" hidden="false" customHeight="false" outlineLevel="0" collapsed="false">
      <c r="A355" s="0" t="s">
        <v>2371</v>
      </c>
      <c r="B355" s="0" t="s">
        <v>1746</v>
      </c>
      <c r="C355" s="0" t="s">
        <v>1499</v>
      </c>
      <c r="D355" s="0" t="s">
        <v>1139</v>
      </c>
      <c r="E355" s="0" t="s">
        <v>81</v>
      </c>
      <c r="F355" s="0" t="n">
        <v>8</v>
      </c>
      <c r="G355" s="0" t="n">
        <v>13.1</v>
      </c>
      <c r="H355" s="0" t="n">
        <v>0.66</v>
      </c>
      <c r="I355" s="10" t="n">
        <v>0.448</v>
      </c>
      <c r="J355" s="0" t="n">
        <v>1</v>
      </c>
      <c r="K355" s="13" t="n">
        <f aca="false">IF(H355&lt;&gt;"",H355,IFERROR(G355/INDEX(Players!$M$2:$M$137,MATCH(B355,Players!$A$2:$A$137,0)),""))</f>
        <v>0.66</v>
      </c>
    </row>
    <row r="356" customFormat="false" ht="15" hidden="false" customHeight="false" outlineLevel="0" collapsed="false">
      <c r="A356" s="0" t="s">
        <v>2372</v>
      </c>
      <c r="B356" s="0" t="s">
        <v>1746</v>
      </c>
      <c r="C356" s="0" t="s">
        <v>1499</v>
      </c>
      <c r="D356" s="0" t="s">
        <v>1139</v>
      </c>
      <c r="E356" s="0" t="s">
        <v>121</v>
      </c>
      <c r="F356" s="0" t="n">
        <v>4</v>
      </c>
      <c r="G356" s="0" t="n">
        <v>14.8</v>
      </c>
      <c r="H356" s="0" t="n">
        <v>0.75</v>
      </c>
      <c r="I356" s="10" t="n">
        <v>0.339</v>
      </c>
      <c r="J356" s="0" t="n">
        <v>1.09</v>
      </c>
      <c r="K356" s="13" t="n">
        <f aca="false">IF(H356&lt;&gt;"",H356,IFERROR(G356/INDEX(Players!$M$2:$M$137,MATCH(B356,Players!$A$2:$A$137,0)),""))</f>
        <v>0.75</v>
      </c>
    </row>
    <row r="357" customFormat="false" ht="15" hidden="false" customHeight="false" outlineLevel="0" collapsed="false">
      <c r="A357" s="0" t="s">
        <v>2373</v>
      </c>
      <c r="B357" s="0" t="s">
        <v>1746</v>
      </c>
      <c r="C357" s="0" t="s">
        <v>1499</v>
      </c>
      <c r="D357" s="0" t="s">
        <v>1139</v>
      </c>
      <c r="E357" s="0" t="s">
        <v>145</v>
      </c>
      <c r="F357" s="0" t="n">
        <v>3</v>
      </c>
      <c r="G357" s="0" t="n">
        <v>15.7</v>
      </c>
      <c r="H357" s="0" t="n">
        <v>0.84</v>
      </c>
      <c r="I357" s="10" t="n">
        <v>0.468</v>
      </c>
      <c r="J357" s="0" t="n">
        <v>1.38</v>
      </c>
      <c r="K357" s="13" t="n">
        <f aca="false">IF(H357&lt;&gt;"",H357,IFERROR(G357/INDEX(Players!$M$2:$M$137,MATCH(B357,Players!$A$2:$A$137,0)),""))</f>
        <v>0.84</v>
      </c>
    </row>
    <row r="358" customFormat="false" ht="15" hidden="false" customHeight="false" outlineLevel="0" collapsed="false">
      <c r="A358" s="0" t="s">
        <v>2374</v>
      </c>
      <c r="B358" s="0" t="s">
        <v>1746</v>
      </c>
      <c r="C358" s="0" t="s">
        <v>1499</v>
      </c>
      <c r="D358" s="0" t="s">
        <v>1139</v>
      </c>
      <c r="E358" s="0" t="s">
        <v>108</v>
      </c>
      <c r="F358" s="0" t="n">
        <v>2</v>
      </c>
      <c r="G358" s="0" t="n">
        <v>17.5</v>
      </c>
      <c r="H358" s="0" t="n">
        <v>0.8</v>
      </c>
      <c r="I358" s="10" t="n">
        <v>0.429</v>
      </c>
      <c r="J358" s="0" t="n">
        <v>1.4</v>
      </c>
      <c r="K358" s="13" t="n">
        <f aca="false">IF(H358&lt;&gt;"",H358,IFERROR(G358/INDEX(Players!$M$2:$M$137,MATCH(B358,Players!$A$2:$A$137,0)),""))</f>
        <v>0.8</v>
      </c>
    </row>
    <row r="359" customFormat="false" ht="15" hidden="false" customHeight="false" outlineLevel="0" collapsed="false">
      <c r="A359" s="0" t="s">
        <v>2375</v>
      </c>
      <c r="B359" s="0" t="s">
        <v>1699</v>
      </c>
      <c r="C359" s="0" t="s">
        <v>1394</v>
      </c>
      <c r="D359" s="0" t="s">
        <v>1139</v>
      </c>
      <c r="E359" s="0" t="s">
        <v>108</v>
      </c>
      <c r="F359" s="0" t="n">
        <v>12</v>
      </c>
      <c r="G359" s="0" t="n">
        <v>18.6</v>
      </c>
      <c r="H359" s="0" t="n">
        <v>0.85</v>
      </c>
      <c r="I359" s="10" t="n">
        <v>0.502</v>
      </c>
      <c r="J359" s="0" t="n">
        <v>1.23</v>
      </c>
      <c r="K359" s="13" t="n">
        <f aca="false">IF(H359&lt;&gt;"",H359,IFERROR(G359/INDEX(Players!$M$2:$M$137,MATCH(B359,Players!$A$2:$A$137,0)),""))</f>
        <v>0.85</v>
      </c>
    </row>
    <row r="360" customFormat="false" ht="15" hidden="false" customHeight="false" outlineLevel="0" collapsed="false">
      <c r="A360" s="0" t="s">
        <v>2376</v>
      </c>
      <c r="B360" s="0" t="s">
        <v>1699</v>
      </c>
      <c r="C360" s="0" t="s">
        <v>1394</v>
      </c>
      <c r="D360" s="0" t="s">
        <v>1139</v>
      </c>
      <c r="E360" s="0" t="s">
        <v>121</v>
      </c>
      <c r="F360" s="0" t="n">
        <v>9</v>
      </c>
      <c r="G360" s="0" t="n">
        <v>14.3</v>
      </c>
      <c r="H360" s="0" t="n">
        <v>0.65</v>
      </c>
      <c r="I360" s="10" t="n">
        <v>0.473</v>
      </c>
      <c r="J360" s="0" t="n">
        <v>0.91</v>
      </c>
      <c r="K360" s="13" t="n">
        <f aca="false">IF(H360&lt;&gt;"",H360,IFERROR(G360/INDEX(Players!$M$2:$M$137,MATCH(B360,Players!$A$2:$A$137,0)),""))</f>
        <v>0.65</v>
      </c>
    </row>
    <row r="361" customFormat="false" ht="15" hidden="false" customHeight="false" outlineLevel="0" collapsed="false">
      <c r="A361" s="0" t="s">
        <v>2377</v>
      </c>
      <c r="B361" s="0" t="s">
        <v>1699</v>
      </c>
      <c r="C361" s="0" t="s">
        <v>1394</v>
      </c>
      <c r="D361" s="0" t="s">
        <v>1139</v>
      </c>
      <c r="E361" s="0" t="s">
        <v>81</v>
      </c>
      <c r="F361" s="0" t="n">
        <v>6</v>
      </c>
      <c r="G361" s="0" t="n">
        <v>16.5</v>
      </c>
      <c r="H361" s="0" t="n">
        <v>0.67</v>
      </c>
      <c r="I361" s="10" t="n">
        <v>0.606</v>
      </c>
      <c r="J361" s="0" t="n">
        <v>0.96</v>
      </c>
      <c r="K361" s="13" t="n">
        <f aca="false">IF(H361&lt;&gt;"",H361,IFERROR(G361/INDEX(Players!$M$2:$M$137,MATCH(B361,Players!$A$2:$A$137,0)),""))</f>
        <v>0.67</v>
      </c>
    </row>
    <row r="362" customFormat="false" ht="15" hidden="false" customHeight="false" outlineLevel="0" collapsed="false">
      <c r="A362" s="0" t="s">
        <v>2378</v>
      </c>
      <c r="B362" s="0" t="s">
        <v>1699</v>
      </c>
      <c r="C362" s="0" t="s">
        <v>1394</v>
      </c>
      <c r="D362" s="0" t="s">
        <v>1139</v>
      </c>
      <c r="E362" s="0" t="s">
        <v>95</v>
      </c>
      <c r="F362" s="0" t="n">
        <v>5</v>
      </c>
      <c r="G362" s="0" t="n">
        <v>13.2</v>
      </c>
      <c r="H362" s="0" t="n">
        <v>0.56</v>
      </c>
      <c r="I362" s="10" t="n">
        <v>0.53</v>
      </c>
      <c r="J362" s="0" t="n">
        <v>0.8</v>
      </c>
      <c r="K362" s="13" t="n">
        <f aca="false">IF(H362&lt;&gt;"",H362,IFERROR(G362/INDEX(Players!$M$2:$M$137,MATCH(B362,Players!$A$2:$A$137,0)),""))</f>
        <v>0.56</v>
      </c>
    </row>
    <row r="363" customFormat="false" ht="15" hidden="false" customHeight="false" outlineLevel="0" collapsed="false">
      <c r="A363" s="0" t="s">
        <v>2379</v>
      </c>
      <c r="B363" s="0" t="s">
        <v>1699</v>
      </c>
      <c r="C363" s="0" t="s">
        <v>1394</v>
      </c>
      <c r="D363" s="0" t="s">
        <v>1139</v>
      </c>
      <c r="E363" s="0" t="s">
        <v>145</v>
      </c>
      <c r="F363" s="0" t="n">
        <v>4</v>
      </c>
      <c r="G363" s="0" t="n">
        <v>21.8</v>
      </c>
      <c r="H363" s="0" t="n">
        <v>0.94</v>
      </c>
      <c r="I363" s="10" t="n">
        <v>0.586</v>
      </c>
      <c r="J363" s="0" t="n">
        <v>1.61</v>
      </c>
      <c r="K363" s="13" t="n">
        <f aca="false">IF(H363&lt;&gt;"",H363,IFERROR(G363/INDEX(Players!$M$2:$M$137,MATCH(B363,Players!$A$2:$A$137,0)),""))</f>
        <v>0.94</v>
      </c>
    </row>
    <row r="364" customFormat="false" ht="15" hidden="false" customHeight="false" outlineLevel="0" collapsed="false">
      <c r="A364" s="0" t="s">
        <v>2380</v>
      </c>
      <c r="B364" s="0" t="s">
        <v>1699</v>
      </c>
      <c r="C364" s="0" t="s">
        <v>1394</v>
      </c>
      <c r="D364" s="0" t="s">
        <v>1139</v>
      </c>
      <c r="E364" s="0" t="s">
        <v>129</v>
      </c>
      <c r="F364" s="0" t="n">
        <v>3</v>
      </c>
      <c r="G364" s="0" t="n">
        <v>20.3</v>
      </c>
      <c r="H364" s="0" t="n">
        <v>0.77</v>
      </c>
      <c r="I364" s="10" t="n">
        <v>0.541</v>
      </c>
      <c r="J364" s="0" t="n">
        <v>1.07</v>
      </c>
      <c r="K364" s="13" t="n">
        <f aca="false">IF(H364&lt;&gt;"",H364,IFERROR(G364/INDEX(Players!$M$2:$M$137,MATCH(B364,Players!$A$2:$A$137,0)),""))</f>
        <v>0.77</v>
      </c>
    </row>
    <row r="365" customFormat="false" ht="15" hidden="false" customHeight="false" outlineLevel="0" collapsed="false">
      <c r="A365" s="0" t="s">
        <v>2381</v>
      </c>
      <c r="B365" s="0" t="s">
        <v>1780</v>
      </c>
      <c r="C365" s="0" t="s">
        <v>1572</v>
      </c>
      <c r="D365" s="0" t="s">
        <v>1139</v>
      </c>
      <c r="E365" s="0" t="s">
        <v>108</v>
      </c>
      <c r="F365" s="0" t="n">
        <v>7</v>
      </c>
      <c r="G365" s="0" t="n">
        <v>13.4</v>
      </c>
      <c r="H365" s="0" t="n">
        <v>0.64</v>
      </c>
      <c r="I365" s="10" t="n">
        <v>0.521</v>
      </c>
      <c r="J365" s="0" t="n">
        <v>0.86</v>
      </c>
      <c r="K365" s="13" t="n">
        <f aca="false">IF(H365&lt;&gt;"",H365,IFERROR(G365/INDEX(Players!$M$2:$M$137,MATCH(B365,Players!$A$2:$A$137,0)),""))</f>
        <v>0.64</v>
      </c>
    </row>
    <row r="366" customFormat="false" ht="15" hidden="false" customHeight="false" outlineLevel="0" collapsed="false">
      <c r="A366" s="0" t="s">
        <v>2382</v>
      </c>
      <c r="B366" s="0" t="s">
        <v>1780</v>
      </c>
      <c r="C366" s="0" t="s">
        <v>1572</v>
      </c>
      <c r="D366" s="0" t="s">
        <v>1139</v>
      </c>
      <c r="E366" s="0" t="s">
        <v>139</v>
      </c>
      <c r="F366" s="0" t="n">
        <v>7</v>
      </c>
      <c r="G366" s="0" t="n">
        <v>8.9</v>
      </c>
      <c r="H366" s="0" t="n">
        <v>0.45</v>
      </c>
      <c r="I366" s="10" t="n">
        <v>0.5</v>
      </c>
      <c r="J366" s="0" t="n">
        <v>0.56</v>
      </c>
      <c r="K366" s="13" t="n">
        <f aca="false">IF(H366&lt;&gt;"",H366,IFERROR(G366/INDEX(Players!$M$2:$M$137,MATCH(B366,Players!$A$2:$A$137,0)),""))</f>
        <v>0.45</v>
      </c>
    </row>
    <row r="367" customFormat="false" ht="15" hidden="false" customHeight="false" outlineLevel="0" collapsed="false">
      <c r="A367" s="0" t="s">
        <v>2383</v>
      </c>
      <c r="B367" s="0" t="s">
        <v>1780</v>
      </c>
      <c r="C367" s="0" t="s">
        <v>1572</v>
      </c>
      <c r="D367" s="0" t="s">
        <v>1139</v>
      </c>
      <c r="E367" s="0" t="s">
        <v>145</v>
      </c>
      <c r="F367" s="0" t="n">
        <v>6</v>
      </c>
      <c r="G367" s="0" t="n">
        <v>14</v>
      </c>
      <c r="H367" s="0" t="n">
        <v>0.67</v>
      </c>
      <c r="I367" s="10" t="n">
        <v>0.476</v>
      </c>
      <c r="J367" s="0" t="n">
        <v>0.95</v>
      </c>
      <c r="K367" s="13" t="n">
        <f aca="false">IF(H367&lt;&gt;"",H367,IFERROR(G367/INDEX(Players!$M$2:$M$137,MATCH(B367,Players!$A$2:$A$137,0)),""))</f>
        <v>0.67</v>
      </c>
    </row>
    <row r="368" customFormat="false" ht="15" hidden="false" customHeight="false" outlineLevel="0" collapsed="false">
      <c r="A368" s="0" t="s">
        <v>2384</v>
      </c>
      <c r="B368" s="0" t="s">
        <v>1780</v>
      </c>
      <c r="C368" s="0" t="s">
        <v>1572</v>
      </c>
      <c r="D368" s="0" t="s">
        <v>1139</v>
      </c>
      <c r="E368" s="0" t="s">
        <v>129</v>
      </c>
      <c r="F368" s="0" t="n">
        <v>5</v>
      </c>
      <c r="G368" s="0" t="n">
        <v>17</v>
      </c>
      <c r="H368" s="0" t="n">
        <v>0.85</v>
      </c>
      <c r="I368" s="10" t="n">
        <v>0.518</v>
      </c>
      <c r="J368" s="0" t="n">
        <v>1.42</v>
      </c>
      <c r="K368" s="13" t="n">
        <f aca="false">IF(H368&lt;&gt;"",H368,IFERROR(G368/INDEX(Players!$M$2:$M$137,MATCH(B368,Players!$A$2:$A$137,0)),""))</f>
        <v>0.85</v>
      </c>
    </row>
    <row r="369" customFormat="false" ht="15" hidden="false" customHeight="false" outlineLevel="0" collapsed="false">
      <c r="A369" s="0" t="s">
        <v>2385</v>
      </c>
      <c r="B369" s="0" t="s">
        <v>1780</v>
      </c>
      <c r="C369" s="0" t="s">
        <v>1572</v>
      </c>
      <c r="D369" s="0" t="s">
        <v>1139</v>
      </c>
      <c r="E369" s="0" t="s">
        <v>95</v>
      </c>
      <c r="F369" s="0" t="n">
        <v>5</v>
      </c>
      <c r="G369" s="0" t="n">
        <v>17.4</v>
      </c>
      <c r="H369" s="0" t="n">
        <v>0.69</v>
      </c>
      <c r="I369" s="10" t="n">
        <v>0.483</v>
      </c>
      <c r="J369" s="0" t="n">
        <v>0.96</v>
      </c>
      <c r="K369" s="13" t="n">
        <f aca="false">IF(H369&lt;&gt;"",H369,IFERROR(G369/INDEX(Players!$M$2:$M$137,MATCH(B369,Players!$A$2:$A$137,0)),""))</f>
        <v>0.69</v>
      </c>
    </row>
    <row r="370" customFormat="false" ht="15" hidden="false" customHeight="false" outlineLevel="0" collapsed="false">
      <c r="A370" s="0" t="s">
        <v>2386</v>
      </c>
      <c r="B370" s="0" t="s">
        <v>1780</v>
      </c>
      <c r="C370" s="0" t="s">
        <v>1572</v>
      </c>
      <c r="D370" s="0" t="s">
        <v>1139</v>
      </c>
      <c r="E370" s="0" t="s">
        <v>121</v>
      </c>
      <c r="F370" s="0" t="n">
        <v>4</v>
      </c>
      <c r="G370" s="0" t="n">
        <v>19.3</v>
      </c>
      <c r="H370" s="0" t="n">
        <v>0.91</v>
      </c>
      <c r="I370" s="10" t="n">
        <v>0.636</v>
      </c>
      <c r="J370" s="0" t="n">
        <v>1.26</v>
      </c>
      <c r="K370" s="13" t="n">
        <f aca="false">IF(H370&lt;&gt;"",H370,IFERROR(G370/INDEX(Players!$M$2:$M$137,MATCH(B370,Players!$A$2:$A$137,0)),""))</f>
        <v>0.91</v>
      </c>
    </row>
    <row r="371" customFormat="false" ht="15" hidden="false" customHeight="false" outlineLevel="0" collapsed="false">
      <c r="A371" s="0" t="s">
        <v>2387</v>
      </c>
      <c r="B371" s="0" t="s">
        <v>1780</v>
      </c>
      <c r="C371" s="0" t="s">
        <v>1572</v>
      </c>
      <c r="D371" s="0" t="s">
        <v>1139</v>
      </c>
      <c r="E371" s="0" t="s">
        <v>81</v>
      </c>
      <c r="F371" s="0" t="n">
        <v>2</v>
      </c>
      <c r="G371" s="0" t="n">
        <v>15</v>
      </c>
      <c r="H371" s="0" t="n">
        <v>0.71</v>
      </c>
      <c r="I371" s="10" t="n">
        <v>0.5</v>
      </c>
      <c r="J371" s="0" t="n">
        <v>1.11</v>
      </c>
      <c r="K371" s="13" t="n">
        <f aca="false">IF(H371&lt;&gt;"",H371,IFERROR(G371/INDEX(Players!$M$2:$M$137,MATCH(B371,Players!$A$2:$A$137,0)),""))</f>
        <v>0.71</v>
      </c>
    </row>
    <row r="372" customFormat="false" ht="15" hidden="false" customHeight="false" outlineLevel="0" collapsed="false">
      <c r="A372" s="0" t="s">
        <v>2388</v>
      </c>
      <c r="B372" s="0" t="s">
        <v>1772</v>
      </c>
      <c r="C372" s="0" t="s">
        <v>1556</v>
      </c>
      <c r="D372" s="0" t="s">
        <v>1139</v>
      </c>
      <c r="E372" s="0" t="s">
        <v>81</v>
      </c>
      <c r="F372" s="0" t="n">
        <v>12</v>
      </c>
      <c r="G372" s="0" t="n">
        <v>14.9</v>
      </c>
      <c r="H372" s="0" t="n">
        <v>0.64</v>
      </c>
      <c r="I372" s="10" t="n">
        <v>0.564</v>
      </c>
      <c r="J372" s="0" t="n">
        <v>1.03</v>
      </c>
      <c r="K372" s="13" t="n">
        <f aca="false">IF(H372&lt;&gt;"",H372,IFERROR(G372/INDEX(Players!$M$2:$M$137,MATCH(B372,Players!$A$2:$A$137,0)),""))</f>
        <v>0.64</v>
      </c>
    </row>
    <row r="373" customFormat="false" ht="15" hidden="false" customHeight="false" outlineLevel="0" collapsed="false">
      <c r="A373" s="0" t="s">
        <v>2389</v>
      </c>
      <c r="B373" s="0" t="s">
        <v>1772</v>
      </c>
      <c r="C373" s="0" t="s">
        <v>1556</v>
      </c>
      <c r="D373" s="0" t="s">
        <v>1139</v>
      </c>
      <c r="E373" s="0" t="s">
        <v>121</v>
      </c>
      <c r="F373" s="0" t="n">
        <v>9</v>
      </c>
      <c r="G373" s="0" t="n">
        <v>12.3</v>
      </c>
      <c r="H373" s="0" t="n">
        <v>0.6</v>
      </c>
      <c r="I373" s="10" t="n">
        <v>0.459</v>
      </c>
      <c r="J373" s="0" t="n">
        <v>0.91</v>
      </c>
      <c r="K373" s="13" t="n">
        <f aca="false">IF(H373&lt;&gt;"",H373,IFERROR(G373/INDEX(Players!$M$2:$M$137,MATCH(B373,Players!$A$2:$A$137,0)),""))</f>
        <v>0.6</v>
      </c>
    </row>
    <row r="374" customFormat="false" ht="15" hidden="false" customHeight="false" outlineLevel="0" collapsed="false">
      <c r="A374" s="0" t="s">
        <v>2390</v>
      </c>
      <c r="B374" s="0" t="s">
        <v>1772</v>
      </c>
      <c r="C374" s="0" t="s">
        <v>1556</v>
      </c>
      <c r="D374" s="0" t="s">
        <v>1139</v>
      </c>
      <c r="E374" s="0" t="s">
        <v>95</v>
      </c>
      <c r="F374" s="0" t="n">
        <v>8</v>
      </c>
      <c r="G374" s="0" t="n">
        <v>11.4</v>
      </c>
      <c r="H374" s="0" t="n">
        <v>0.58</v>
      </c>
      <c r="I374" s="10" t="n">
        <v>0.593</v>
      </c>
      <c r="J374" s="0" t="n">
        <v>0.75</v>
      </c>
      <c r="K374" s="13" t="n">
        <f aca="false">IF(H374&lt;&gt;"",H374,IFERROR(G374/INDEX(Players!$M$2:$M$137,MATCH(B374,Players!$A$2:$A$137,0)),""))</f>
        <v>0.58</v>
      </c>
    </row>
    <row r="375" customFormat="false" ht="15" hidden="false" customHeight="false" outlineLevel="0" collapsed="false">
      <c r="A375" s="0" t="s">
        <v>2391</v>
      </c>
      <c r="B375" s="0" t="s">
        <v>1772</v>
      </c>
      <c r="C375" s="0" t="s">
        <v>1556</v>
      </c>
      <c r="D375" s="0" t="s">
        <v>1139</v>
      </c>
      <c r="E375" s="0" t="s">
        <v>108</v>
      </c>
      <c r="F375" s="0" t="n">
        <v>2</v>
      </c>
      <c r="G375" s="0" t="n">
        <v>11.5</v>
      </c>
      <c r="H375" s="0" t="n">
        <v>0.7</v>
      </c>
      <c r="I375" s="10" t="n">
        <v>0.261</v>
      </c>
      <c r="J375" s="0" t="n">
        <v>1.21</v>
      </c>
      <c r="K375" s="13" t="n">
        <f aca="false">IF(H375&lt;&gt;"",H375,IFERROR(G375/INDEX(Players!$M$2:$M$137,MATCH(B375,Players!$A$2:$A$137,0)),""))</f>
        <v>0.7</v>
      </c>
    </row>
    <row r="376" customFormat="false" ht="15" hidden="false" customHeight="false" outlineLevel="0" collapsed="false">
      <c r="A376" s="0" t="s">
        <v>2392</v>
      </c>
      <c r="B376" s="0" t="s">
        <v>1772</v>
      </c>
      <c r="C376" s="0" t="s">
        <v>1556</v>
      </c>
      <c r="D376" s="0" t="s">
        <v>1139</v>
      </c>
      <c r="E376" s="0" t="s">
        <v>145</v>
      </c>
      <c r="F376" s="0" t="n">
        <v>2</v>
      </c>
      <c r="G376" s="0" t="n">
        <v>17</v>
      </c>
      <c r="H376" s="0" t="n">
        <v>0.74</v>
      </c>
      <c r="I376" s="10" t="n">
        <v>0.647</v>
      </c>
      <c r="J376" s="0" t="n">
        <v>1.03</v>
      </c>
      <c r="K376" s="13" t="n">
        <f aca="false">IF(H376&lt;&gt;"",H376,IFERROR(G376/INDEX(Players!$M$2:$M$137,MATCH(B376,Players!$A$2:$A$137,0)),""))</f>
        <v>0.74</v>
      </c>
    </row>
    <row r="377" customFormat="false" ht="15" hidden="false" customHeight="false" outlineLevel="0" collapsed="false">
      <c r="A377" s="0" t="s">
        <v>2393</v>
      </c>
      <c r="B377" s="0" t="s">
        <v>1772</v>
      </c>
      <c r="C377" s="0" t="s">
        <v>1556</v>
      </c>
      <c r="D377" s="0" t="s">
        <v>1139</v>
      </c>
      <c r="E377" s="0" t="s">
        <v>129</v>
      </c>
      <c r="F377" s="0" t="n">
        <v>2</v>
      </c>
      <c r="G377" s="0" t="n">
        <v>17</v>
      </c>
      <c r="H377" s="0" t="n">
        <v>0.65</v>
      </c>
      <c r="I377" s="10" t="n">
        <v>0.5</v>
      </c>
      <c r="J377" s="0" t="n">
        <v>0.94</v>
      </c>
      <c r="K377" s="13" t="n">
        <f aca="false">IF(H377&lt;&gt;"",H377,IFERROR(G377/INDEX(Players!$M$2:$M$137,MATCH(B377,Players!$A$2:$A$137,0)),""))</f>
        <v>0.65</v>
      </c>
    </row>
    <row r="378" customFormat="false" ht="15" hidden="false" customHeight="false" outlineLevel="0" collapsed="false">
      <c r="A378" s="0" t="s">
        <v>2394</v>
      </c>
      <c r="B378" s="0" t="s">
        <v>1772</v>
      </c>
      <c r="C378" s="0" t="s">
        <v>1556</v>
      </c>
      <c r="D378" s="0" t="s">
        <v>1139</v>
      </c>
      <c r="E378" s="0" t="s">
        <v>139</v>
      </c>
      <c r="F378" s="0" t="n">
        <v>1</v>
      </c>
      <c r="G378" s="0" t="n">
        <v>12</v>
      </c>
      <c r="H378" s="0" t="n">
        <v>0.63</v>
      </c>
      <c r="I378" s="10" t="n">
        <v>0.5</v>
      </c>
      <c r="J378" s="0" t="n">
        <v>1.09</v>
      </c>
      <c r="K378" s="13" t="n">
        <f aca="false">IF(H378&lt;&gt;"",H378,IFERROR(G378/INDEX(Players!$M$2:$M$137,MATCH(B378,Players!$A$2:$A$137,0)),""))</f>
        <v>0.63</v>
      </c>
    </row>
    <row r="379" customFormat="false" ht="15" hidden="false" customHeight="false" outlineLevel="0" collapsed="false">
      <c r="A379" s="0" t="s">
        <v>2395</v>
      </c>
      <c r="B379" s="0" t="s">
        <v>1747</v>
      </c>
      <c r="C379" s="0" t="s">
        <v>1503</v>
      </c>
      <c r="D379" s="0" t="s">
        <v>1139</v>
      </c>
      <c r="E379" s="0" t="s">
        <v>139</v>
      </c>
      <c r="F379" s="0" t="n">
        <v>9</v>
      </c>
      <c r="G379" s="0" t="n">
        <v>15</v>
      </c>
      <c r="H379" s="0" t="n">
        <v>0.75</v>
      </c>
      <c r="I379" s="10" t="n">
        <v>0.681</v>
      </c>
      <c r="J379" s="0" t="n">
        <v>1.09</v>
      </c>
      <c r="K379" s="13" t="n">
        <f aca="false">IF(H379&lt;&gt;"",H379,IFERROR(G379/INDEX(Players!$M$2:$M$137,MATCH(B379,Players!$A$2:$A$137,0)),""))</f>
        <v>0.75</v>
      </c>
    </row>
    <row r="380" customFormat="false" ht="15" hidden="false" customHeight="false" outlineLevel="0" collapsed="false">
      <c r="A380" s="0" t="s">
        <v>2396</v>
      </c>
      <c r="B380" s="0" t="s">
        <v>1747</v>
      </c>
      <c r="C380" s="0" t="s">
        <v>1503</v>
      </c>
      <c r="D380" s="0" t="s">
        <v>1139</v>
      </c>
      <c r="E380" s="0" t="s">
        <v>95</v>
      </c>
      <c r="F380" s="0" t="n">
        <v>8</v>
      </c>
      <c r="G380" s="0" t="n">
        <v>13.5</v>
      </c>
      <c r="H380" s="0" t="n">
        <v>0.68</v>
      </c>
      <c r="I380" s="10" t="n">
        <v>0.657</v>
      </c>
      <c r="J380" s="0" t="n">
        <v>0.99</v>
      </c>
      <c r="K380" s="13" t="n">
        <f aca="false">IF(H380&lt;&gt;"",H380,IFERROR(G380/INDEX(Players!$M$2:$M$137,MATCH(B380,Players!$A$2:$A$137,0)),""))</f>
        <v>0.68</v>
      </c>
    </row>
    <row r="381" customFormat="false" ht="15" hidden="false" customHeight="false" outlineLevel="0" collapsed="false">
      <c r="A381" s="0" t="s">
        <v>2397</v>
      </c>
      <c r="B381" s="0" t="s">
        <v>1747</v>
      </c>
      <c r="C381" s="0" t="s">
        <v>1503</v>
      </c>
      <c r="D381" s="0" t="s">
        <v>1139</v>
      </c>
      <c r="E381" s="0" t="s">
        <v>81</v>
      </c>
      <c r="F381" s="0" t="n">
        <v>8</v>
      </c>
      <c r="G381" s="0" t="n">
        <v>13.9</v>
      </c>
      <c r="H381" s="0" t="n">
        <v>0.7</v>
      </c>
      <c r="I381" s="10" t="n">
        <v>0.523</v>
      </c>
      <c r="J381" s="0" t="n">
        <v>0.97</v>
      </c>
      <c r="K381" s="13" t="n">
        <f aca="false">IF(H381&lt;&gt;"",H381,IFERROR(G381/INDEX(Players!$M$2:$M$137,MATCH(B381,Players!$A$2:$A$137,0)),""))</f>
        <v>0.7</v>
      </c>
    </row>
    <row r="382" customFormat="false" ht="15" hidden="false" customHeight="false" outlineLevel="0" collapsed="false">
      <c r="A382" s="0" t="s">
        <v>2398</v>
      </c>
      <c r="B382" s="0" t="s">
        <v>1747</v>
      </c>
      <c r="C382" s="0" t="s">
        <v>1503</v>
      </c>
      <c r="D382" s="0" t="s">
        <v>1139</v>
      </c>
      <c r="E382" s="0" t="s">
        <v>121</v>
      </c>
      <c r="F382" s="0" t="n">
        <v>4</v>
      </c>
      <c r="G382" s="0" t="n">
        <v>14.5</v>
      </c>
      <c r="H382" s="0" t="n">
        <v>0.73</v>
      </c>
      <c r="I382" s="10" t="n">
        <v>0.638</v>
      </c>
      <c r="J382" s="0" t="n">
        <v>1.32</v>
      </c>
      <c r="K382" s="13" t="n">
        <f aca="false">IF(H382&lt;&gt;"",H382,IFERROR(G382/INDEX(Players!$M$2:$M$137,MATCH(B382,Players!$A$2:$A$137,0)),""))</f>
        <v>0.73</v>
      </c>
    </row>
    <row r="383" customFormat="false" ht="15" hidden="false" customHeight="false" outlineLevel="0" collapsed="false">
      <c r="A383" s="0" t="s">
        <v>2399</v>
      </c>
      <c r="B383" s="0" t="s">
        <v>1747</v>
      </c>
      <c r="C383" s="0" t="s">
        <v>1503</v>
      </c>
      <c r="D383" s="0" t="s">
        <v>1139</v>
      </c>
      <c r="E383" s="0" t="s">
        <v>145</v>
      </c>
      <c r="F383" s="0" t="n">
        <v>3</v>
      </c>
      <c r="G383" s="0" t="n">
        <v>11</v>
      </c>
      <c r="H383" s="0" t="n">
        <v>0.59</v>
      </c>
      <c r="I383" s="10" t="n">
        <v>0.455</v>
      </c>
      <c r="J383" s="0" t="n">
        <v>0.89</v>
      </c>
      <c r="K383" s="13" t="n">
        <f aca="false">IF(H383&lt;&gt;"",H383,IFERROR(G383/INDEX(Players!$M$2:$M$137,MATCH(B383,Players!$A$2:$A$137,0)),""))</f>
        <v>0.59</v>
      </c>
    </row>
    <row r="384" customFormat="false" ht="15" hidden="false" customHeight="false" outlineLevel="0" collapsed="false">
      <c r="A384" s="0" t="s">
        <v>2400</v>
      </c>
      <c r="B384" s="0" t="s">
        <v>1747</v>
      </c>
      <c r="C384" s="0" t="s">
        <v>1503</v>
      </c>
      <c r="D384" s="0" t="s">
        <v>1139</v>
      </c>
      <c r="E384" s="0" t="s">
        <v>108</v>
      </c>
      <c r="F384" s="0" t="n">
        <v>2</v>
      </c>
      <c r="G384" s="0" t="n">
        <v>21.5</v>
      </c>
      <c r="H384" s="0" t="n">
        <v>0.98</v>
      </c>
      <c r="I384" s="10" t="n">
        <v>0.465</v>
      </c>
      <c r="J384" s="0" t="n">
        <v>1.54</v>
      </c>
      <c r="K384" s="13" t="n">
        <f aca="false">IF(H384&lt;&gt;"",H384,IFERROR(G384/INDEX(Players!$M$2:$M$137,MATCH(B384,Players!$A$2:$A$137,0)),""))</f>
        <v>0.98</v>
      </c>
    </row>
    <row r="385" customFormat="false" ht="15" hidden="false" customHeight="false" outlineLevel="0" collapsed="false">
      <c r="A385" s="0" t="s">
        <v>2401</v>
      </c>
      <c r="B385" s="0" t="s">
        <v>1710</v>
      </c>
      <c r="C385" s="0" t="s">
        <v>1419</v>
      </c>
      <c r="D385" s="0" t="s">
        <v>1139</v>
      </c>
      <c r="E385" s="0" t="s">
        <v>108</v>
      </c>
      <c r="F385" s="0" t="n">
        <v>7</v>
      </c>
      <c r="G385" s="0" t="n">
        <v>16.3</v>
      </c>
      <c r="H385" s="0" t="n">
        <v>0.67</v>
      </c>
      <c r="I385" s="10" t="n">
        <v>0.272</v>
      </c>
      <c r="J385" s="0" t="n">
        <v>1.23</v>
      </c>
      <c r="K385" s="13" t="n">
        <f aca="false">IF(H385&lt;&gt;"",H385,IFERROR(G385/INDEX(Players!$M$2:$M$137,MATCH(B385,Players!$A$2:$A$137,0)),""))</f>
        <v>0.67</v>
      </c>
    </row>
    <row r="386" customFormat="false" ht="15" hidden="false" customHeight="false" outlineLevel="0" collapsed="false">
      <c r="A386" s="0" t="s">
        <v>2402</v>
      </c>
      <c r="B386" s="0" t="s">
        <v>1710</v>
      </c>
      <c r="C386" s="0" t="s">
        <v>1419</v>
      </c>
      <c r="D386" s="0" t="s">
        <v>1139</v>
      </c>
      <c r="E386" s="0" t="s">
        <v>139</v>
      </c>
      <c r="F386" s="0" t="n">
        <v>7</v>
      </c>
      <c r="G386" s="0" t="n">
        <v>13.4</v>
      </c>
      <c r="H386" s="0" t="n">
        <v>0.65</v>
      </c>
      <c r="I386" s="10" t="n">
        <v>0.309</v>
      </c>
      <c r="J386" s="0" t="n">
        <v>1.09</v>
      </c>
      <c r="K386" s="13" t="n">
        <f aca="false">IF(H386&lt;&gt;"",H386,IFERROR(G386/INDEX(Players!$M$2:$M$137,MATCH(B386,Players!$A$2:$A$137,0)),""))</f>
        <v>0.65</v>
      </c>
    </row>
    <row r="387" customFormat="false" ht="15" hidden="false" customHeight="false" outlineLevel="0" collapsed="false">
      <c r="A387" s="0" t="s">
        <v>2403</v>
      </c>
      <c r="B387" s="0" t="s">
        <v>1710</v>
      </c>
      <c r="C387" s="0" t="s">
        <v>1419</v>
      </c>
      <c r="D387" s="0" t="s">
        <v>1139</v>
      </c>
      <c r="E387" s="0" t="s">
        <v>81</v>
      </c>
      <c r="F387" s="0" t="n">
        <v>6</v>
      </c>
      <c r="G387" s="0" t="n">
        <v>17.5</v>
      </c>
      <c r="H387" s="0" t="n">
        <v>0.78</v>
      </c>
      <c r="I387" s="10" t="n">
        <v>0.229</v>
      </c>
      <c r="J387" s="0" t="n">
        <v>1.42</v>
      </c>
      <c r="K387" s="13" t="n">
        <f aca="false">IF(H387&lt;&gt;"",H387,IFERROR(G387/INDEX(Players!$M$2:$M$137,MATCH(B387,Players!$A$2:$A$137,0)),""))</f>
        <v>0.78</v>
      </c>
    </row>
    <row r="388" customFormat="false" ht="15" hidden="false" customHeight="false" outlineLevel="0" collapsed="false">
      <c r="A388" s="0" t="s">
        <v>2404</v>
      </c>
      <c r="B388" s="0" t="s">
        <v>1710</v>
      </c>
      <c r="C388" s="0" t="s">
        <v>1419</v>
      </c>
      <c r="D388" s="0" t="s">
        <v>1139</v>
      </c>
      <c r="E388" s="0" t="s">
        <v>145</v>
      </c>
      <c r="F388" s="0" t="n">
        <v>6</v>
      </c>
      <c r="G388" s="0" t="n">
        <v>12</v>
      </c>
      <c r="H388" s="0" t="n">
        <v>0.55</v>
      </c>
      <c r="I388" s="10" t="n">
        <v>0.417</v>
      </c>
      <c r="J388" s="0" t="n">
        <v>0.92</v>
      </c>
      <c r="K388" s="13" t="n">
        <f aca="false">IF(H388&lt;&gt;"",H388,IFERROR(G388/INDEX(Players!$M$2:$M$137,MATCH(B388,Players!$A$2:$A$137,0)),""))</f>
        <v>0.55</v>
      </c>
    </row>
    <row r="389" customFormat="false" ht="15" hidden="false" customHeight="false" outlineLevel="0" collapsed="false">
      <c r="A389" s="0" t="s">
        <v>2405</v>
      </c>
      <c r="B389" s="0" t="s">
        <v>1710</v>
      </c>
      <c r="C389" s="0" t="s">
        <v>1419</v>
      </c>
      <c r="D389" s="0" t="s">
        <v>1139</v>
      </c>
      <c r="E389" s="0" t="s">
        <v>129</v>
      </c>
      <c r="F389" s="0" t="n">
        <v>6</v>
      </c>
      <c r="G389" s="0" t="n">
        <v>12.7</v>
      </c>
      <c r="H389" s="0" t="n">
        <v>0.56</v>
      </c>
      <c r="I389" s="10" t="n">
        <v>0.224</v>
      </c>
      <c r="J389" s="0" t="n">
        <v>0.92</v>
      </c>
      <c r="K389" s="13" t="n">
        <f aca="false">IF(H389&lt;&gt;"",H389,IFERROR(G389/INDEX(Players!$M$2:$M$137,MATCH(B389,Players!$A$2:$A$137,0)),""))</f>
        <v>0.56</v>
      </c>
    </row>
    <row r="390" customFormat="false" ht="15" hidden="false" customHeight="false" outlineLevel="0" collapsed="false">
      <c r="A390" s="0" t="s">
        <v>2406</v>
      </c>
      <c r="B390" s="0" t="s">
        <v>1710</v>
      </c>
      <c r="C390" s="0" t="s">
        <v>1419</v>
      </c>
      <c r="D390" s="0" t="s">
        <v>1139</v>
      </c>
      <c r="E390" s="0" t="s">
        <v>121</v>
      </c>
      <c r="F390" s="0" t="n">
        <v>3</v>
      </c>
      <c r="G390" s="0" t="n">
        <v>13</v>
      </c>
      <c r="H390" s="0" t="n">
        <v>0.58</v>
      </c>
      <c r="I390" s="10" t="n">
        <v>0.41</v>
      </c>
      <c r="J390" s="0" t="n">
        <v>0.93</v>
      </c>
      <c r="K390" s="13" t="n">
        <f aca="false">IF(H390&lt;&gt;"",H390,IFERROR(G390/INDEX(Players!$M$2:$M$137,MATCH(B390,Players!$A$2:$A$137,0)),""))</f>
        <v>0.58</v>
      </c>
    </row>
    <row r="391" customFormat="false" ht="15" hidden="false" customHeight="false" outlineLevel="0" collapsed="false">
      <c r="A391" s="0" t="s">
        <v>2407</v>
      </c>
      <c r="B391" s="0" t="s">
        <v>1784</v>
      </c>
      <c r="C391" s="0" t="s">
        <v>1583</v>
      </c>
      <c r="D391" s="0" t="s">
        <v>1139</v>
      </c>
      <c r="E391" s="0" t="s">
        <v>108</v>
      </c>
      <c r="F391" s="0" t="n">
        <v>8</v>
      </c>
      <c r="G391" s="0" t="n">
        <v>15</v>
      </c>
      <c r="H391" s="0" t="n">
        <v>0.75</v>
      </c>
      <c r="I391" s="10" t="n">
        <v>0.608</v>
      </c>
      <c r="J391" s="0" t="n">
        <v>1.41</v>
      </c>
      <c r="K391" s="13" t="n">
        <f aca="false">IF(H391&lt;&gt;"",H391,IFERROR(G391/INDEX(Players!$M$2:$M$137,MATCH(B391,Players!$A$2:$A$137,0)),""))</f>
        <v>0.75</v>
      </c>
    </row>
    <row r="392" customFormat="false" ht="15" hidden="false" customHeight="false" outlineLevel="0" collapsed="false">
      <c r="A392" s="0" t="s">
        <v>2408</v>
      </c>
      <c r="B392" s="0" t="s">
        <v>1784</v>
      </c>
      <c r="C392" s="0" t="s">
        <v>1583</v>
      </c>
      <c r="D392" s="0" t="s">
        <v>1139</v>
      </c>
      <c r="E392" s="0" t="s">
        <v>95</v>
      </c>
      <c r="F392" s="0" t="n">
        <v>8</v>
      </c>
      <c r="G392" s="0" t="n">
        <v>12.1</v>
      </c>
      <c r="H392" s="0" t="n">
        <v>0.58</v>
      </c>
      <c r="I392" s="10" t="n">
        <v>0.649</v>
      </c>
      <c r="J392" s="0" t="n">
        <v>0.94</v>
      </c>
      <c r="K392" s="13" t="n">
        <f aca="false">IF(H392&lt;&gt;"",H392,IFERROR(G392/INDEX(Players!$M$2:$M$137,MATCH(B392,Players!$A$2:$A$137,0)),""))</f>
        <v>0.58</v>
      </c>
    </row>
    <row r="393" customFormat="false" ht="15" hidden="false" customHeight="false" outlineLevel="0" collapsed="false">
      <c r="A393" s="0" t="s">
        <v>2409</v>
      </c>
      <c r="B393" s="0" t="s">
        <v>1784</v>
      </c>
      <c r="C393" s="0" t="s">
        <v>1583</v>
      </c>
      <c r="D393" s="0" t="s">
        <v>1139</v>
      </c>
      <c r="E393" s="0" t="s">
        <v>121</v>
      </c>
      <c r="F393" s="0" t="n">
        <v>7</v>
      </c>
      <c r="G393" s="0" t="n">
        <v>12.4</v>
      </c>
      <c r="H393" s="0" t="n">
        <v>0.62</v>
      </c>
      <c r="I393" s="10" t="n">
        <v>0.563</v>
      </c>
      <c r="J393" s="0" t="n">
        <v>0.94</v>
      </c>
      <c r="K393" s="13" t="n">
        <f aca="false">IF(H393&lt;&gt;"",H393,IFERROR(G393/INDEX(Players!$M$2:$M$137,MATCH(B393,Players!$A$2:$A$137,0)),""))</f>
        <v>0.62</v>
      </c>
    </row>
    <row r="394" customFormat="false" ht="15" hidden="false" customHeight="false" outlineLevel="0" collapsed="false">
      <c r="A394" s="0" t="s">
        <v>2410</v>
      </c>
      <c r="B394" s="0" t="s">
        <v>1784</v>
      </c>
      <c r="C394" s="0" t="s">
        <v>1583</v>
      </c>
      <c r="D394" s="0" t="s">
        <v>1139</v>
      </c>
      <c r="E394" s="0" t="s">
        <v>129</v>
      </c>
      <c r="F394" s="0" t="n">
        <v>7</v>
      </c>
      <c r="G394" s="0" t="n">
        <v>9</v>
      </c>
      <c r="H394" s="0" t="n">
        <v>0.46</v>
      </c>
      <c r="I394" s="10" t="n">
        <v>0.556</v>
      </c>
      <c r="J394" s="0" t="n">
        <v>0.83</v>
      </c>
      <c r="K394" s="13" t="n">
        <f aca="false">IF(H394&lt;&gt;"",H394,IFERROR(G394/INDEX(Players!$M$2:$M$137,MATCH(B394,Players!$A$2:$A$137,0)),""))</f>
        <v>0.46</v>
      </c>
    </row>
    <row r="395" customFormat="false" ht="15" hidden="false" customHeight="false" outlineLevel="0" collapsed="false">
      <c r="A395" s="0" t="s">
        <v>2411</v>
      </c>
      <c r="B395" s="0" t="s">
        <v>1784</v>
      </c>
      <c r="C395" s="0" t="s">
        <v>1583</v>
      </c>
      <c r="D395" s="0" t="s">
        <v>1139</v>
      </c>
      <c r="E395" s="0" t="s">
        <v>139</v>
      </c>
      <c r="F395" s="0" t="n">
        <v>6</v>
      </c>
      <c r="G395" s="0" t="n">
        <v>14.3</v>
      </c>
      <c r="H395" s="0" t="n">
        <v>0.74</v>
      </c>
      <c r="I395" s="10" t="n">
        <v>0.523</v>
      </c>
      <c r="J395" s="0" t="n">
        <v>1.48</v>
      </c>
      <c r="K395" s="13" t="n">
        <f aca="false">IF(H395&lt;&gt;"",H395,IFERROR(G395/INDEX(Players!$M$2:$M$137,MATCH(B395,Players!$A$2:$A$137,0)),""))</f>
        <v>0.74</v>
      </c>
    </row>
    <row r="396" customFormat="false" ht="15" hidden="false" customHeight="false" outlineLevel="0" collapsed="false">
      <c r="A396" s="0" t="s">
        <v>2412</v>
      </c>
      <c r="B396" s="0" t="s">
        <v>1784</v>
      </c>
      <c r="C396" s="0" t="s">
        <v>1583</v>
      </c>
      <c r="D396" s="0" t="s">
        <v>1139</v>
      </c>
      <c r="E396" s="0" t="s">
        <v>145</v>
      </c>
      <c r="F396" s="0" t="n">
        <v>2</v>
      </c>
      <c r="G396" s="0" t="n">
        <v>9.5</v>
      </c>
      <c r="H396" s="0" t="n">
        <v>0.49</v>
      </c>
      <c r="I396" s="10" t="n">
        <v>0.474</v>
      </c>
      <c r="J396" s="0" t="n">
        <v>0.68</v>
      </c>
      <c r="K396" s="13" t="n">
        <f aca="false">IF(H396&lt;&gt;"",H396,IFERROR(G396/INDEX(Players!$M$2:$M$137,MATCH(B396,Players!$A$2:$A$137,0)),""))</f>
        <v>0.49</v>
      </c>
    </row>
    <row r="397" customFormat="false" ht="15" hidden="false" customHeight="false" outlineLevel="0" collapsed="false">
      <c r="A397" s="0" t="s">
        <v>2413</v>
      </c>
      <c r="B397" s="0" t="s">
        <v>1719</v>
      </c>
      <c r="C397" s="0" t="s">
        <v>1440</v>
      </c>
      <c r="D397" s="0" t="s">
        <v>1139</v>
      </c>
      <c r="E397" s="0" t="s">
        <v>129</v>
      </c>
      <c r="F397" s="0" t="n">
        <v>9</v>
      </c>
      <c r="G397" s="0" t="n">
        <v>15.4</v>
      </c>
      <c r="H397" s="0" t="n">
        <v>0.64</v>
      </c>
      <c r="I397" s="10" t="n">
        <v>0.496</v>
      </c>
      <c r="J397" s="0" t="n">
        <v>1.01</v>
      </c>
      <c r="K397" s="13" t="n">
        <f aca="false">IF(H397&lt;&gt;"",H397,IFERROR(G397/INDEX(Players!$M$2:$M$137,MATCH(B397,Players!$A$2:$A$137,0)),""))</f>
        <v>0.64</v>
      </c>
    </row>
    <row r="398" customFormat="false" ht="15" hidden="false" customHeight="false" outlineLevel="0" collapsed="false">
      <c r="A398" s="0" t="s">
        <v>2414</v>
      </c>
      <c r="B398" s="0" t="s">
        <v>1719</v>
      </c>
      <c r="C398" s="0" t="s">
        <v>1440</v>
      </c>
      <c r="D398" s="0" t="s">
        <v>1139</v>
      </c>
      <c r="E398" s="0" t="s">
        <v>81</v>
      </c>
      <c r="F398" s="0" t="n">
        <v>9</v>
      </c>
      <c r="G398" s="0" t="n">
        <v>17</v>
      </c>
      <c r="H398" s="0" t="n">
        <v>0.67</v>
      </c>
      <c r="I398" s="10" t="n">
        <v>0.503</v>
      </c>
      <c r="J398" s="0" t="n">
        <v>0.97</v>
      </c>
      <c r="K398" s="13" t="n">
        <f aca="false">IF(H398&lt;&gt;"",H398,IFERROR(G398/INDEX(Players!$M$2:$M$137,MATCH(B398,Players!$A$2:$A$137,0)),""))</f>
        <v>0.67</v>
      </c>
    </row>
    <row r="399" customFormat="false" ht="15" hidden="false" customHeight="false" outlineLevel="0" collapsed="false">
      <c r="A399" s="0" t="s">
        <v>2415</v>
      </c>
      <c r="B399" s="0" t="s">
        <v>1719</v>
      </c>
      <c r="C399" s="0" t="s">
        <v>1440</v>
      </c>
      <c r="D399" s="0" t="s">
        <v>1139</v>
      </c>
      <c r="E399" s="0" t="s">
        <v>95</v>
      </c>
      <c r="F399" s="0" t="n">
        <v>7</v>
      </c>
      <c r="G399" s="0" t="n">
        <v>15.1</v>
      </c>
      <c r="H399" s="0" t="n">
        <v>0.57</v>
      </c>
      <c r="I399" s="10" t="n">
        <v>0.547</v>
      </c>
      <c r="J399" s="0" t="n">
        <v>0.83</v>
      </c>
      <c r="K399" s="13" t="n">
        <f aca="false">IF(H399&lt;&gt;"",H399,IFERROR(G399/INDEX(Players!$M$2:$M$137,MATCH(B399,Players!$A$2:$A$137,0)),""))</f>
        <v>0.57</v>
      </c>
    </row>
    <row r="400" customFormat="false" ht="15" hidden="false" customHeight="false" outlineLevel="0" collapsed="false">
      <c r="A400" s="0" t="s">
        <v>2416</v>
      </c>
      <c r="B400" s="0" t="s">
        <v>1719</v>
      </c>
      <c r="C400" s="0" t="s">
        <v>1440</v>
      </c>
      <c r="D400" s="0" t="s">
        <v>1139</v>
      </c>
      <c r="E400" s="0" t="s">
        <v>108</v>
      </c>
      <c r="F400" s="0" t="n">
        <v>7</v>
      </c>
      <c r="G400" s="0" t="n">
        <v>13.1</v>
      </c>
      <c r="H400" s="0" t="n">
        <v>0.59</v>
      </c>
      <c r="I400" s="10" t="n">
        <v>0.587</v>
      </c>
      <c r="J400" s="0" t="n">
        <v>0.83</v>
      </c>
      <c r="K400" s="13" t="n">
        <f aca="false">IF(H400&lt;&gt;"",H400,IFERROR(G400/INDEX(Players!$M$2:$M$137,MATCH(B400,Players!$A$2:$A$137,0)),""))</f>
        <v>0.59</v>
      </c>
    </row>
    <row r="401" customFormat="false" ht="15" hidden="false" customHeight="false" outlineLevel="0" collapsed="false">
      <c r="A401" s="0" t="s">
        <v>2417</v>
      </c>
      <c r="B401" s="0" t="s">
        <v>1719</v>
      </c>
      <c r="C401" s="0" t="s">
        <v>1440</v>
      </c>
      <c r="D401" s="0" t="s">
        <v>1139</v>
      </c>
      <c r="E401" s="0" t="s">
        <v>121</v>
      </c>
      <c r="F401" s="0" t="n">
        <v>5</v>
      </c>
      <c r="G401" s="0" t="n">
        <v>13.6</v>
      </c>
      <c r="H401" s="0" t="n">
        <v>0.67</v>
      </c>
      <c r="I401" s="10" t="n">
        <v>0.515</v>
      </c>
      <c r="J401" s="0" t="n">
        <v>0.96</v>
      </c>
      <c r="K401" s="13" t="n">
        <f aca="false">IF(H401&lt;&gt;"",H401,IFERROR(G401/INDEX(Players!$M$2:$M$137,MATCH(B401,Players!$A$2:$A$137,0)),""))</f>
        <v>0.67</v>
      </c>
    </row>
    <row r="402" customFormat="false" ht="15" hidden="false" customHeight="false" outlineLevel="0" collapsed="false">
      <c r="A402" s="0" t="s">
        <v>2418</v>
      </c>
      <c r="B402" s="0" t="s">
        <v>1719</v>
      </c>
      <c r="C402" s="0" t="s">
        <v>1440</v>
      </c>
      <c r="D402" s="0" t="s">
        <v>1139</v>
      </c>
      <c r="E402" s="0" t="s">
        <v>139</v>
      </c>
      <c r="F402" s="0" t="n">
        <v>2</v>
      </c>
      <c r="G402" s="0" t="n">
        <v>9.5</v>
      </c>
      <c r="H402" s="0" t="n">
        <v>0.43</v>
      </c>
      <c r="I402" s="10" t="n">
        <v>0.526</v>
      </c>
      <c r="J402" s="0" t="n">
        <v>0.61</v>
      </c>
      <c r="K402" s="13" t="n">
        <f aca="false">IF(H402&lt;&gt;"",H402,IFERROR(G402/INDEX(Players!$M$2:$M$137,MATCH(B402,Players!$A$2:$A$137,0)),""))</f>
        <v>0.43</v>
      </c>
    </row>
    <row r="403" customFormat="false" ht="15" hidden="false" customHeight="false" outlineLevel="0" collapsed="false">
      <c r="A403" s="0" t="s">
        <v>2419</v>
      </c>
      <c r="B403" s="0" t="s">
        <v>1686</v>
      </c>
      <c r="C403" s="0" t="s">
        <v>1354</v>
      </c>
      <c r="D403" s="0" t="s">
        <v>1139</v>
      </c>
      <c r="E403" s="0" t="s">
        <v>95</v>
      </c>
      <c r="F403" s="0" t="n">
        <v>9</v>
      </c>
      <c r="G403" s="0" t="n">
        <v>14.8</v>
      </c>
      <c r="H403" s="0" t="n">
        <v>0.65</v>
      </c>
      <c r="I403" s="10" t="n">
        <v>0.489</v>
      </c>
      <c r="J403" s="0" t="n">
        <v>0.92</v>
      </c>
      <c r="K403" s="13" t="n">
        <f aca="false">IF(H403&lt;&gt;"",H403,IFERROR(G403/INDEX(Players!$M$2:$M$137,MATCH(B403,Players!$A$2:$A$137,0)),""))</f>
        <v>0.65</v>
      </c>
    </row>
    <row r="404" customFormat="false" ht="15" hidden="false" customHeight="false" outlineLevel="0" collapsed="false">
      <c r="A404" s="0" t="s">
        <v>2420</v>
      </c>
      <c r="B404" s="0" t="s">
        <v>1686</v>
      </c>
      <c r="C404" s="0" t="s">
        <v>1354</v>
      </c>
      <c r="D404" s="0" t="s">
        <v>1139</v>
      </c>
      <c r="E404" s="0" t="s">
        <v>121</v>
      </c>
      <c r="F404" s="0" t="n">
        <v>8</v>
      </c>
      <c r="G404" s="0" t="n">
        <v>12.8</v>
      </c>
      <c r="H404" s="0" t="n">
        <v>0.66</v>
      </c>
      <c r="I404" s="10" t="n">
        <v>0.569</v>
      </c>
      <c r="J404" s="0" t="n">
        <v>0.97</v>
      </c>
      <c r="K404" s="13" t="n">
        <f aca="false">IF(H404&lt;&gt;"",H404,IFERROR(G404/INDEX(Players!$M$2:$M$137,MATCH(B404,Players!$A$2:$A$137,0)),""))</f>
        <v>0.66</v>
      </c>
    </row>
    <row r="405" customFormat="false" ht="15" hidden="false" customHeight="false" outlineLevel="0" collapsed="false">
      <c r="A405" s="0" t="s">
        <v>2421</v>
      </c>
      <c r="B405" s="0" t="s">
        <v>1686</v>
      </c>
      <c r="C405" s="0" t="s">
        <v>1354</v>
      </c>
      <c r="D405" s="0" t="s">
        <v>1139</v>
      </c>
      <c r="E405" s="0" t="s">
        <v>129</v>
      </c>
      <c r="F405" s="0" t="n">
        <v>7</v>
      </c>
      <c r="G405" s="0" t="n">
        <v>16.4</v>
      </c>
      <c r="H405" s="0" t="n">
        <v>0.74</v>
      </c>
      <c r="I405" s="10" t="n">
        <v>0.522</v>
      </c>
      <c r="J405" s="0" t="n">
        <v>1.21</v>
      </c>
      <c r="K405" s="13" t="n">
        <f aca="false">IF(H405&lt;&gt;"",H405,IFERROR(G405/INDEX(Players!$M$2:$M$137,MATCH(B405,Players!$A$2:$A$137,0)),""))</f>
        <v>0.74</v>
      </c>
    </row>
    <row r="406" customFormat="false" ht="15" hidden="false" customHeight="false" outlineLevel="0" collapsed="false">
      <c r="A406" s="0" t="s">
        <v>2422</v>
      </c>
      <c r="B406" s="0" t="s">
        <v>1686</v>
      </c>
      <c r="C406" s="0" t="s">
        <v>1354</v>
      </c>
      <c r="D406" s="0" t="s">
        <v>1139</v>
      </c>
      <c r="E406" s="0" t="s">
        <v>81</v>
      </c>
      <c r="F406" s="0" t="n">
        <v>6</v>
      </c>
      <c r="G406" s="0" t="n">
        <v>15.7</v>
      </c>
      <c r="H406" s="0" t="n">
        <v>0.68</v>
      </c>
      <c r="I406" s="10" t="n">
        <v>0.394</v>
      </c>
      <c r="J406" s="0" t="n">
        <v>0.97</v>
      </c>
      <c r="K406" s="13" t="n">
        <f aca="false">IF(H406&lt;&gt;"",H406,IFERROR(G406/INDEX(Players!$M$2:$M$137,MATCH(B406,Players!$A$2:$A$137,0)),""))</f>
        <v>0.68</v>
      </c>
    </row>
    <row r="407" customFormat="false" ht="15" hidden="false" customHeight="false" outlineLevel="0" collapsed="false">
      <c r="A407" s="0" t="s">
        <v>2423</v>
      </c>
      <c r="B407" s="0" t="s">
        <v>1686</v>
      </c>
      <c r="C407" s="0" t="s">
        <v>1354</v>
      </c>
      <c r="D407" s="0" t="s">
        <v>1139</v>
      </c>
      <c r="E407" s="0" t="s">
        <v>108</v>
      </c>
      <c r="F407" s="0" t="n">
        <v>4</v>
      </c>
      <c r="G407" s="0" t="n">
        <v>17.3</v>
      </c>
      <c r="H407" s="0" t="n">
        <v>0.84</v>
      </c>
      <c r="I407" s="10" t="n">
        <v>0.507</v>
      </c>
      <c r="J407" s="0" t="n">
        <v>1.6</v>
      </c>
      <c r="K407" s="13" t="n">
        <f aca="false">IF(H407&lt;&gt;"",H407,IFERROR(G407/INDEX(Players!$M$2:$M$137,MATCH(B407,Players!$A$2:$A$137,0)),""))</f>
        <v>0.84</v>
      </c>
    </row>
    <row r="408" customFormat="false" ht="15" hidden="false" customHeight="false" outlineLevel="0" collapsed="false">
      <c r="A408" s="0" t="s">
        <v>2424</v>
      </c>
      <c r="B408" s="0" t="s">
        <v>1686</v>
      </c>
      <c r="C408" s="0" t="s">
        <v>1354</v>
      </c>
      <c r="D408" s="0" t="s">
        <v>1139</v>
      </c>
      <c r="E408" s="0" t="s">
        <v>145</v>
      </c>
      <c r="F408" s="0" t="n">
        <v>3</v>
      </c>
      <c r="G408" s="0" t="n">
        <v>10.3</v>
      </c>
      <c r="H408" s="0" t="n">
        <v>0.61</v>
      </c>
      <c r="I408" s="10" t="n">
        <v>0.548</v>
      </c>
      <c r="J408" s="0" t="n">
        <v>0.82</v>
      </c>
      <c r="K408" s="13" t="n">
        <f aca="false">IF(H408&lt;&gt;"",H408,IFERROR(G408/INDEX(Players!$M$2:$M$137,MATCH(B408,Players!$A$2:$A$137,0)),""))</f>
        <v>0.61</v>
      </c>
    </row>
    <row r="409" customFormat="false" ht="15" hidden="false" customHeight="false" outlineLevel="0" collapsed="false">
      <c r="A409" s="0" t="s">
        <v>2425</v>
      </c>
      <c r="B409" s="0" t="s">
        <v>1704</v>
      </c>
      <c r="C409" s="0" t="s">
        <v>1406</v>
      </c>
      <c r="D409" s="0" t="s">
        <v>1139</v>
      </c>
      <c r="E409" s="0" t="s">
        <v>108</v>
      </c>
      <c r="F409" s="0" t="n">
        <v>9</v>
      </c>
      <c r="G409" s="0" t="n">
        <v>16.2</v>
      </c>
      <c r="H409" s="0" t="n">
        <v>0.79</v>
      </c>
      <c r="I409" s="10" t="n">
        <v>0.342</v>
      </c>
      <c r="J409" s="0" t="n">
        <v>1.47</v>
      </c>
      <c r="K409" s="13" t="n">
        <f aca="false">IF(H409&lt;&gt;"",H409,IFERROR(G409/INDEX(Players!$M$2:$M$137,MATCH(B409,Players!$A$2:$A$137,0)),""))</f>
        <v>0.79</v>
      </c>
    </row>
    <row r="410" customFormat="false" ht="15" hidden="false" customHeight="false" outlineLevel="0" collapsed="false">
      <c r="A410" s="0" t="s">
        <v>2426</v>
      </c>
      <c r="B410" s="0" t="s">
        <v>1704</v>
      </c>
      <c r="C410" s="0" t="s">
        <v>1406</v>
      </c>
      <c r="D410" s="0" t="s">
        <v>1139</v>
      </c>
      <c r="E410" s="0" t="s">
        <v>139</v>
      </c>
      <c r="F410" s="0" t="n">
        <v>8</v>
      </c>
      <c r="G410" s="0" t="n">
        <v>14.1</v>
      </c>
      <c r="H410" s="0" t="n">
        <v>0.71</v>
      </c>
      <c r="I410" s="10" t="n">
        <v>0.425</v>
      </c>
      <c r="J410" s="0" t="n">
        <v>1.35</v>
      </c>
      <c r="K410" s="13" t="n">
        <f aca="false">IF(H410&lt;&gt;"",H410,IFERROR(G410/INDEX(Players!$M$2:$M$137,MATCH(B410,Players!$A$2:$A$137,0)),""))</f>
        <v>0.71</v>
      </c>
    </row>
    <row r="411" customFormat="false" ht="15" hidden="false" customHeight="false" outlineLevel="0" collapsed="false">
      <c r="A411" s="0" t="s">
        <v>2427</v>
      </c>
      <c r="B411" s="0" t="s">
        <v>1704</v>
      </c>
      <c r="C411" s="0" t="s">
        <v>1406</v>
      </c>
      <c r="D411" s="0" t="s">
        <v>1139</v>
      </c>
      <c r="E411" s="0" t="s">
        <v>81</v>
      </c>
      <c r="F411" s="0" t="n">
        <v>6</v>
      </c>
      <c r="G411" s="0" t="n">
        <v>17.5</v>
      </c>
      <c r="H411" s="0" t="n">
        <v>0.73</v>
      </c>
      <c r="I411" s="10" t="n">
        <v>0.314</v>
      </c>
      <c r="J411" s="0" t="n">
        <v>1.27</v>
      </c>
      <c r="K411" s="13" t="n">
        <f aca="false">IF(H411&lt;&gt;"",H411,IFERROR(G411/INDEX(Players!$M$2:$M$137,MATCH(B411,Players!$A$2:$A$137,0)),""))</f>
        <v>0.73</v>
      </c>
    </row>
    <row r="412" customFormat="false" ht="15" hidden="false" customHeight="false" outlineLevel="0" collapsed="false">
      <c r="A412" s="0" t="s">
        <v>2428</v>
      </c>
      <c r="B412" s="0" t="s">
        <v>1704</v>
      </c>
      <c r="C412" s="0" t="s">
        <v>1406</v>
      </c>
      <c r="D412" s="0" t="s">
        <v>1139</v>
      </c>
      <c r="E412" s="0" t="s">
        <v>145</v>
      </c>
      <c r="F412" s="0" t="n">
        <v>6</v>
      </c>
      <c r="G412" s="0" t="n">
        <v>16.2</v>
      </c>
      <c r="H412" s="0" t="n">
        <v>0.73</v>
      </c>
      <c r="I412" s="10" t="n">
        <v>0.423</v>
      </c>
      <c r="J412" s="0" t="n">
        <v>1.15</v>
      </c>
      <c r="K412" s="13" t="n">
        <f aca="false">IF(H412&lt;&gt;"",H412,IFERROR(G412/INDEX(Players!$M$2:$M$137,MATCH(B412,Players!$A$2:$A$137,0)),""))</f>
        <v>0.73</v>
      </c>
    </row>
    <row r="413" customFormat="false" ht="15" hidden="false" customHeight="false" outlineLevel="0" collapsed="false">
      <c r="A413" s="0" t="s">
        <v>2429</v>
      </c>
      <c r="B413" s="0" t="s">
        <v>1704</v>
      </c>
      <c r="C413" s="0" t="s">
        <v>1406</v>
      </c>
      <c r="D413" s="0" t="s">
        <v>1139</v>
      </c>
      <c r="E413" s="0" t="s">
        <v>95</v>
      </c>
      <c r="F413" s="0" t="n">
        <v>4</v>
      </c>
      <c r="G413" s="0" t="n">
        <v>13.3</v>
      </c>
      <c r="H413" s="0" t="n">
        <v>0.67</v>
      </c>
      <c r="I413" s="10" t="n">
        <v>0.358</v>
      </c>
      <c r="J413" s="0" t="n">
        <v>1.18</v>
      </c>
      <c r="K413" s="13" t="n">
        <f aca="false">IF(H413&lt;&gt;"",H413,IFERROR(G413/INDEX(Players!$M$2:$M$137,MATCH(B413,Players!$A$2:$A$137,0)),""))</f>
        <v>0.67</v>
      </c>
    </row>
    <row r="414" customFormat="false" ht="15" hidden="false" customHeight="false" outlineLevel="0" collapsed="false">
      <c r="A414" s="0" t="s">
        <v>2430</v>
      </c>
      <c r="B414" s="0" t="s">
        <v>1704</v>
      </c>
      <c r="C414" s="0" t="s">
        <v>1406</v>
      </c>
      <c r="D414" s="0" t="s">
        <v>1139</v>
      </c>
      <c r="E414" s="0" t="s">
        <v>129</v>
      </c>
      <c r="F414" s="0" t="n">
        <v>4</v>
      </c>
      <c r="G414" s="0" t="n">
        <v>17.3</v>
      </c>
      <c r="H414" s="0" t="n">
        <v>0.78</v>
      </c>
      <c r="I414" s="10" t="n">
        <v>0.333</v>
      </c>
      <c r="J414" s="0" t="n">
        <v>1.15</v>
      </c>
      <c r="K414" s="13" t="n">
        <f aca="false">IF(H414&lt;&gt;"",H414,IFERROR(G414/INDEX(Players!$M$2:$M$137,MATCH(B414,Players!$A$2:$A$137,0)),""))</f>
        <v>0.78</v>
      </c>
    </row>
    <row r="415" customFormat="false" ht="15" hidden="false" customHeight="false" outlineLevel="0" collapsed="false">
      <c r="A415" s="0" t="s">
        <v>2431</v>
      </c>
      <c r="B415" s="0" t="s">
        <v>1667</v>
      </c>
      <c r="C415" s="0" t="s">
        <v>1310</v>
      </c>
      <c r="D415" s="0" t="s">
        <v>1139</v>
      </c>
      <c r="E415" s="0" t="s">
        <v>145</v>
      </c>
      <c r="F415" s="0" t="n">
        <v>8</v>
      </c>
      <c r="G415" s="0" t="n">
        <v>17</v>
      </c>
      <c r="H415" s="0" t="n">
        <v>0.74</v>
      </c>
      <c r="I415" s="10" t="n">
        <v>0.64</v>
      </c>
      <c r="J415" s="0" t="n">
        <v>1.04</v>
      </c>
      <c r="K415" s="13" t="n">
        <f aca="false">IF(H415&lt;&gt;"",H415,IFERROR(G415/INDEX(Players!$M$2:$M$137,MATCH(B415,Players!$A$2:$A$137,0)),""))</f>
        <v>0.74</v>
      </c>
    </row>
    <row r="416" customFormat="false" ht="15" hidden="false" customHeight="false" outlineLevel="0" collapsed="false">
      <c r="A416" s="0" t="s">
        <v>2432</v>
      </c>
      <c r="B416" s="0" t="s">
        <v>1667</v>
      </c>
      <c r="C416" s="0" t="s">
        <v>1310</v>
      </c>
      <c r="D416" s="0" t="s">
        <v>1139</v>
      </c>
      <c r="E416" s="0" t="s">
        <v>108</v>
      </c>
      <c r="F416" s="0" t="n">
        <v>8</v>
      </c>
      <c r="G416" s="0" t="n">
        <v>12</v>
      </c>
      <c r="H416" s="0" t="n">
        <v>0.54</v>
      </c>
      <c r="I416" s="10" t="n">
        <v>0.521</v>
      </c>
      <c r="J416" s="0" t="n">
        <v>0.74</v>
      </c>
      <c r="K416" s="13" t="n">
        <f aca="false">IF(H416&lt;&gt;"",H416,IFERROR(G416/INDEX(Players!$M$2:$M$137,MATCH(B416,Players!$A$2:$A$137,0)),""))</f>
        <v>0.54</v>
      </c>
    </row>
    <row r="417" customFormat="false" ht="15" hidden="false" customHeight="false" outlineLevel="0" collapsed="false">
      <c r="A417" s="0" t="s">
        <v>2433</v>
      </c>
      <c r="B417" s="0" t="s">
        <v>1667</v>
      </c>
      <c r="C417" s="0" t="s">
        <v>1310</v>
      </c>
      <c r="D417" s="0" t="s">
        <v>1139</v>
      </c>
      <c r="E417" s="0" t="s">
        <v>139</v>
      </c>
      <c r="F417" s="0" t="n">
        <v>6</v>
      </c>
      <c r="G417" s="0" t="n">
        <v>12.3</v>
      </c>
      <c r="H417" s="0" t="n">
        <v>0.61</v>
      </c>
      <c r="I417" s="10" t="n">
        <v>0.541</v>
      </c>
      <c r="J417" s="0" t="n">
        <v>0.94</v>
      </c>
      <c r="K417" s="13" t="n">
        <f aca="false">IF(H417&lt;&gt;"",H417,IFERROR(G417/INDEX(Players!$M$2:$M$137,MATCH(B417,Players!$A$2:$A$137,0)),""))</f>
        <v>0.61</v>
      </c>
    </row>
    <row r="418" customFormat="false" ht="15" hidden="false" customHeight="false" outlineLevel="0" collapsed="false">
      <c r="A418" s="0" t="s">
        <v>2434</v>
      </c>
      <c r="B418" s="0" t="s">
        <v>1667</v>
      </c>
      <c r="C418" s="0" t="s">
        <v>1310</v>
      </c>
      <c r="D418" s="0" t="s">
        <v>1139</v>
      </c>
      <c r="E418" s="0" t="s">
        <v>129</v>
      </c>
      <c r="F418" s="0" t="n">
        <v>4</v>
      </c>
      <c r="G418" s="0" t="n">
        <v>18</v>
      </c>
      <c r="H418" s="0" t="n">
        <v>0.86</v>
      </c>
      <c r="I418" s="10" t="n">
        <v>0.444</v>
      </c>
      <c r="J418" s="0" t="n">
        <v>1.24</v>
      </c>
      <c r="K418" s="13" t="n">
        <f aca="false">IF(H418&lt;&gt;"",H418,IFERROR(G418/INDEX(Players!$M$2:$M$137,MATCH(B418,Players!$A$2:$A$137,0)),""))</f>
        <v>0.86</v>
      </c>
    </row>
    <row r="419" customFormat="false" ht="15" hidden="false" customHeight="false" outlineLevel="0" collapsed="false">
      <c r="A419" s="0" t="s">
        <v>2435</v>
      </c>
      <c r="B419" s="0" t="s">
        <v>1667</v>
      </c>
      <c r="C419" s="0" t="s">
        <v>1310</v>
      </c>
      <c r="D419" s="0" t="s">
        <v>1139</v>
      </c>
      <c r="E419" s="0" t="s">
        <v>81</v>
      </c>
      <c r="F419" s="0" t="n">
        <v>4</v>
      </c>
      <c r="G419" s="0" t="n">
        <v>14.3</v>
      </c>
      <c r="H419" s="0" t="n">
        <v>0.79</v>
      </c>
      <c r="I419" s="10" t="n">
        <v>0.614</v>
      </c>
      <c r="J419" s="0" t="n">
        <v>1.14</v>
      </c>
      <c r="K419" s="13" t="n">
        <f aca="false">IF(H419&lt;&gt;"",H419,IFERROR(G419/INDEX(Players!$M$2:$M$137,MATCH(B419,Players!$A$2:$A$137,0)),""))</f>
        <v>0.79</v>
      </c>
    </row>
    <row r="420" customFormat="false" ht="15" hidden="false" customHeight="false" outlineLevel="0" collapsed="false">
      <c r="A420" s="0" t="s">
        <v>2436</v>
      </c>
      <c r="B420" s="0" t="s">
        <v>1667</v>
      </c>
      <c r="C420" s="0" t="s">
        <v>1310</v>
      </c>
      <c r="D420" s="0" t="s">
        <v>1139</v>
      </c>
      <c r="E420" s="0" t="s">
        <v>121</v>
      </c>
      <c r="F420" s="0" t="n">
        <v>2</v>
      </c>
      <c r="G420" s="0" t="n">
        <v>20</v>
      </c>
      <c r="H420" s="0" t="n">
        <v>0.93</v>
      </c>
      <c r="I420" s="10" t="n">
        <v>0.575</v>
      </c>
      <c r="J420" s="0" t="n">
        <v>1.29</v>
      </c>
      <c r="K420" s="13" t="n">
        <f aca="false">IF(H420&lt;&gt;"",H420,IFERROR(G420/INDEX(Players!$M$2:$M$137,MATCH(B420,Players!$A$2:$A$137,0)),""))</f>
        <v>0.93</v>
      </c>
    </row>
    <row r="421" customFormat="false" ht="15" hidden="false" customHeight="false" outlineLevel="0" collapsed="false">
      <c r="A421" s="0" t="s">
        <v>2437</v>
      </c>
      <c r="B421" s="0" t="s">
        <v>1687</v>
      </c>
      <c r="C421" s="0" t="s">
        <v>1356</v>
      </c>
      <c r="D421" s="0" t="s">
        <v>1139</v>
      </c>
      <c r="E421" s="0" t="s">
        <v>95</v>
      </c>
      <c r="F421" s="0" t="n">
        <v>9</v>
      </c>
      <c r="G421" s="0" t="n">
        <v>15.9</v>
      </c>
      <c r="H421" s="0" t="n">
        <v>0.7</v>
      </c>
      <c r="I421" s="10" t="n">
        <v>0.531</v>
      </c>
      <c r="J421" s="0" t="n">
        <v>0.99</v>
      </c>
      <c r="K421" s="13" t="n">
        <f aca="false">IF(H421&lt;&gt;"",H421,IFERROR(G421/INDEX(Players!$M$2:$M$137,MATCH(B421,Players!$A$2:$A$137,0)),""))</f>
        <v>0.7</v>
      </c>
    </row>
    <row r="422" customFormat="false" ht="15" hidden="false" customHeight="false" outlineLevel="0" collapsed="false">
      <c r="A422" s="0" t="s">
        <v>2438</v>
      </c>
      <c r="B422" s="0" t="s">
        <v>1687</v>
      </c>
      <c r="C422" s="0" t="s">
        <v>1356</v>
      </c>
      <c r="D422" s="0" t="s">
        <v>1139</v>
      </c>
      <c r="E422" s="0" t="s">
        <v>121</v>
      </c>
      <c r="F422" s="0" t="n">
        <v>8</v>
      </c>
      <c r="G422" s="0" t="n">
        <v>11.4</v>
      </c>
      <c r="H422" s="0" t="n">
        <v>0.59</v>
      </c>
      <c r="I422" s="10" t="n">
        <v>0.648</v>
      </c>
      <c r="J422" s="0" t="n">
        <v>0.84</v>
      </c>
      <c r="K422" s="13" t="n">
        <f aca="false">IF(H422&lt;&gt;"",H422,IFERROR(G422/INDEX(Players!$M$2:$M$137,MATCH(B422,Players!$A$2:$A$137,0)),""))</f>
        <v>0.59</v>
      </c>
    </row>
    <row r="423" customFormat="false" ht="15" hidden="false" customHeight="false" outlineLevel="0" collapsed="false">
      <c r="A423" s="0" t="s">
        <v>2439</v>
      </c>
      <c r="B423" s="0" t="s">
        <v>1687</v>
      </c>
      <c r="C423" s="0" t="s">
        <v>1356</v>
      </c>
      <c r="D423" s="0" t="s">
        <v>1139</v>
      </c>
      <c r="E423" s="0" t="s">
        <v>129</v>
      </c>
      <c r="F423" s="0" t="n">
        <v>7</v>
      </c>
      <c r="G423" s="0" t="n">
        <v>15.9</v>
      </c>
      <c r="H423" s="0" t="n">
        <v>0.72</v>
      </c>
      <c r="I423" s="10" t="n">
        <v>0.559</v>
      </c>
      <c r="J423" s="0" t="n">
        <v>1.17</v>
      </c>
      <c r="K423" s="13" t="n">
        <f aca="false">IF(H423&lt;&gt;"",H423,IFERROR(G423/INDEX(Players!$M$2:$M$137,MATCH(B423,Players!$A$2:$A$137,0)),""))</f>
        <v>0.72</v>
      </c>
    </row>
    <row r="424" customFormat="false" ht="15" hidden="false" customHeight="false" outlineLevel="0" collapsed="false">
      <c r="A424" s="0" t="s">
        <v>2440</v>
      </c>
      <c r="B424" s="0" t="s">
        <v>1687</v>
      </c>
      <c r="C424" s="0" t="s">
        <v>1356</v>
      </c>
      <c r="D424" s="0" t="s">
        <v>1139</v>
      </c>
      <c r="E424" s="0" t="s">
        <v>81</v>
      </c>
      <c r="F424" s="0" t="n">
        <v>6</v>
      </c>
      <c r="G424" s="0" t="n">
        <v>17.5</v>
      </c>
      <c r="H424" s="0" t="n">
        <v>0.76</v>
      </c>
      <c r="I424" s="10" t="n">
        <v>0.619</v>
      </c>
      <c r="J424" s="0" t="n">
        <v>1.19</v>
      </c>
      <c r="K424" s="13" t="n">
        <f aca="false">IF(H424&lt;&gt;"",H424,IFERROR(G424/INDEX(Players!$M$2:$M$137,MATCH(B424,Players!$A$2:$A$137,0)),""))</f>
        <v>0.76</v>
      </c>
    </row>
    <row r="425" customFormat="false" ht="15" hidden="false" customHeight="false" outlineLevel="0" collapsed="false">
      <c r="A425" s="0" t="s">
        <v>2441</v>
      </c>
      <c r="B425" s="0" t="s">
        <v>1687</v>
      </c>
      <c r="C425" s="0" t="s">
        <v>1356</v>
      </c>
      <c r="D425" s="0" t="s">
        <v>1139</v>
      </c>
      <c r="E425" s="0" t="s">
        <v>108</v>
      </c>
      <c r="F425" s="0" t="n">
        <v>4</v>
      </c>
      <c r="G425" s="0" t="n">
        <v>13.5</v>
      </c>
      <c r="H425" s="0" t="n">
        <v>0.66</v>
      </c>
      <c r="I425" s="10" t="n">
        <v>0.481</v>
      </c>
      <c r="J425" s="0" t="n">
        <v>1.08</v>
      </c>
      <c r="K425" s="13" t="n">
        <f aca="false">IF(H425&lt;&gt;"",H425,IFERROR(G425/INDEX(Players!$M$2:$M$137,MATCH(B425,Players!$A$2:$A$137,0)),""))</f>
        <v>0.66</v>
      </c>
    </row>
    <row r="426" customFormat="false" ht="15" hidden="false" customHeight="false" outlineLevel="0" collapsed="false">
      <c r="A426" s="0" t="s">
        <v>2442</v>
      </c>
      <c r="B426" s="0" t="s">
        <v>1687</v>
      </c>
      <c r="C426" s="0" t="s">
        <v>1356</v>
      </c>
      <c r="D426" s="0" t="s">
        <v>1139</v>
      </c>
      <c r="E426" s="0" t="s">
        <v>145</v>
      </c>
      <c r="F426" s="0" t="n">
        <v>3</v>
      </c>
      <c r="G426" s="0" t="n">
        <v>13</v>
      </c>
      <c r="H426" s="0" t="n">
        <v>0.76</v>
      </c>
      <c r="I426" s="10" t="n">
        <v>0.538</v>
      </c>
      <c r="J426" s="0" t="n">
        <v>1.15</v>
      </c>
      <c r="K426" s="13" t="n">
        <f aca="false">IF(H426&lt;&gt;"",H426,IFERROR(G426/INDEX(Players!$M$2:$M$137,MATCH(B426,Players!$A$2:$A$137,0)),""))</f>
        <v>0.76</v>
      </c>
    </row>
    <row r="427" customFormat="false" ht="15" hidden="false" customHeight="false" outlineLevel="0" collapsed="false">
      <c r="A427" s="0" t="s">
        <v>2443</v>
      </c>
      <c r="B427" s="0" t="s">
        <v>1773</v>
      </c>
      <c r="C427" s="0" t="s">
        <v>1558</v>
      </c>
      <c r="D427" s="0" t="s">
        <v>1139</v>
      </c>
      <c r="E427" s="0" t="s">
        <v>81</v>
      </c>
      <c r="F427" s="0" t="n">
        <v>13</v>
      </c>
      <c r="G427" s="0" t="n">
        <v>17</v>
      </c>
      <c r="H427" s="0" t="n">
        <v>0.74</v>
      </c>
      <c r="I427" s="10" t="n">
        <v>0.606</v>
      </c>
      <c r="J427" s="0" t="n">
        <v>1.05</v>
      </c>
      <c r="K427" s="13" t="n">
        <f aca="false">IF(H427&lt;&gt;"",H427,IFERROR(G427/INDEX(Players!$M$2:$M$137,MATCH(B427,Players!$A$2:$A$137,0)),""))</f>
        <v>0.74</v>
      </c>
    </row>
    <row r="428" customFormat="false" ht="15" hidden="false" customHeight="false" outlineLevel="0" collapsed="false">
      <c r="A428" s="0" t="s">
        <v>2444</v>
      </c>
      <c r="B428" s="0" t="s">
        <v>1773</v>
      </c>
      <c r="C428" s="0" t="s">
        <v>1558</v>
      </c>
      <c r="D428" s="0" t="s">
        <v>1139</v>
      </c>
      <c r="E428" s="0" t="s">
        <v>121</v>
      </c>
      <c r="F428" s="0" t="n">
        <v>7</v>
      </c>
      <c r="G428" s="0" t="n">
        <v>13.6</v>
      </c>
      <c r="H428" s="0" t="n">
        <v>0.67</v>
      </c>
      <c r="I428" s="10" t="n">
        <v>0.621</v>
      </c>
      <c r="J428" s="0" t="n">
        <v>0.91</v>
      </c>
      <c r="K428" s="13" t="n">
        <f aca="false">IF(H428&lt;&gt;"",H428,IFERROR(G428/INDEX(Players!$M$2:$M$137,MATCH(B428,Players!$A$2:$A$137,0)),""))</f>
        <v>0.67</v>
      </c>
    </row>
    <row r="429" customFormat="false" ht="15" hidden="false" customHeight="false" outlineLevel="0" collapsed="false">
      <c r="A429" s="0" t="s">
        <v>2445</v>
      </c>
      <c r="B429" s="0" t="s">
        <v>1773</v>
      </c>
      <c r="C429" s="0" t="s">
        <v>1558</v>
      </c>
      <c r="D429" s="0" t="s">
        <v>1139</v>
      </c>
      <c r="E429" s="0" t="s">
        <v>95</v>
      </c>
      <c r="F429" s="0" t="n">
        <v>6</v>
      </c>
      <c r="G429" s="0" t="n">
        <v>11.8</v>
      </c>
      <c r="H429" s="0" t="n">
        <v>0.62</v>
      </c>
      <c r="I429" s="10" t="n">
        <v>0.577</v>
      </c>
      <c r="J429" s="0" t="n">
        <v>0.88</v>
      </c>
      <c r="K429" s="13" t="n">
        <f aca="false">IF(H429&lt;&gt;"",H429,IFERROR(G429/INDEX(Players!$M$2:$M$137,MATCH(B429,Players!$A$2:$A$137,0)),""))</f>
        <v>0.62</v>
      </c>
    </row>
    <row r="430" customFormat="false" ht="15" hidden="false" customHeight="false" outlineLevel="0" collapsed="false">
      <c r="A430" s="0" t="s">
        <v>2446</v>
      </c>
      <c r="B430" s="0" t="s">
        <v>1773</v>
      </c>
      <c r="C430" s="0" t="s">
        <v>1558</v>
      </c>
      <c r="D430" s="0" t="s">
        <v>1139</v>
      </c>
      <c r="E430" s="0" t="s">
        <v>145</v>
      </c>
      <c r="F430" s="0" t="n">
        <v>3</v>
      </c>
      <c r="G430" s="0" t="n">
        <v>15.7</v>
      </c>
      <c r="H430" s="0" t="n">
        <v>0.67</v>
      </c>
      <c r="I430" s="10" t="n">
        <v>0.681</v>
      </c>
      <c r="J430" s="0" t="n">
        <v>1.04</v>
      </c>
      <c r="K430" s="13" t="n">
        <f aca="false">IF(H430&lt;&gt;"",H430,IFERROR(G430/INDEX(Players!$M$2:$M$137,MATCH(B430,Players!$A$2:$A$137,0)),""))</f>
        <v>0.67</v>
      </c>
    </row>
    <row r="431" customFormat="false" ht="15" hidden="false" customHeight="false" outlineLevel="0" collapsed="false">
      <c r="A431" s="0" t="s">
        <v>2447</v>
      </c>
      <c r="B431" s="0" t="s">
        <v>1773</v>
      </c>
      <c r="C431" s="0" t="s">
        <v>1558</v>
      </c>
      <c r="D431" s="0" t="s">
        <v>1139</v>
      </c>
      <c r="E431" s="0" t="s">
        <v>108</v>
      </c>
      <c r="F431" s="0" t="n">
        <v>3</v>
      </c>
      <c r="G431" s="0" t="n">
        <v>9</v>
      </c>
      <c r="H431" s="0" t="n">
        <v>0.49</v>
      </c>
      <c r="I431" s="10" t="n">
        <v>0.556</v>
      </c>
      <c r="J431" s="0" t="n">
        <v>0.77</v>
      </c>
      <c r="K431" s="13" t="n">
        <f aca="false">IF(H431&lt;&gt;"",H431,IFERROR(G431/INDEX(Players!$M$2:$M$137,MATCH(B431,Players!$A$2:$A$137,0)),""))</f>
        <v>0.49</v>
      </c>
    </row>
    <row r="432" customFormat="false" ht="15" hidden="false" customHeight="false" outlineLevel="0" collapsed="false">
      <c r="A432" s="0" t="s">
        <v>2448</v>
      </c>
      <c r="B432" s="0" t="s">
        <v>1773</v>
      </c>
      <c r="C432" s="0" t="s">
        <v>1558</v>
      </c>
      <c r="D432" s="0" t="s">
        <v>1139</v>
      </c>
      <c r="E432" s="0" t="s">
        <v>129</v>
      </c>
      <c r="F432" s="0" t="n">
        <v>2</v>
      </c>
      <c r="G432" s="0" t="n">
        <v>18.5</v>
      </c>
      <c r="H432" s="0" t="n">
        <v>0.71</v>
      </c>
      <c r="I432" s="10" t="n">
        <v>0.649</v>
      </c>
      <c r="J432" s="0" t="n">
        <v>1.06</v>
      </c>
      <c r="K432" s="13" t="n">
        <f aca="false">IF(H432&lt;&gt;"",H432,IFERROR(G432/INDEX(Players!$M$2:$M$137,MATCH(B432,Players!$A$2:$A$137,0)),""))</f>
        <v>0.71</v>
      </c>
    </row>
    <row r="433" customFormat="false" ht="15" hidden="false" customHeight="false" outlineLevel="0" collapsed="false">
      <c r="A433" s="0" t="s">
        <v>2449</v>
      </c>
      <c r="B433" s="0" t="s">
        <v>1773</v>
      </c>
      <c r="C433" s="0" t="s">
        <v>1558</v>
      </c>
      <c r="D433" s="0" t="s">
        <v>1139</v>
      </c>
      <c r="E433" s="0" t="s">
        <v>139</v>
      </c>
      <c r="F433" s="0" t="n">
        <v>1</v>
      </c>
      <c r="G433" s="0" t="n">
        <v>13</v>
      </c>
      <c r="H433" s="0" t="n">
        <v>0.68</v>
      </c>
      <c r="I433" s="10" t="n">
        <v>0.538</v>
      </c>
      <c r="J433" s="0" t="n">
        <v>1.3</v>
      </c>
      <c r="K433" s="13" t="n">
        <f aca="false">IF(H433&lt;&gt;"",H433,IFERROR(G433/INDEX(Players!$M$2:$M$137,MATCH(B433,Players!$A$2:$A$137,0)),""))</f>
        <v>0.68</v>
      </c>
    </row>
    <row r="434" customFormat="false" ht="15" hidden="false" customHeight="false" outlineLevel="0" collapsed="false">
      <c r="A434" s="0" t="s">
        <v>2450</v>
      </c>
      <c r="B434" s="0" t="s">
        <v>1735</v>
      </c>
      <c r="C434" s="0" t="s">
        <v>1476</v>
      </c>
      <c r="D434" s="0" t="s">
        <v>1139</v>
      </c>
      <c r="E434" s="0" t="s">
        <v>81</v>
      </c>
      <c r="F434" s="0" t="n">
        <v>9</v>
      </c>
      <c r="G434" s="0" t="n">
        <v>12</v>
      </c>
      <c r="H434" s="0" t="n">
        <v>0.55</v>
      </c>
      <c r="I434" s="10" t="n">
        <v>0.481</v>
      </c>
      <c r="J434" s="0" t="n">
        <v>0.84</v>
      </c>
      <c r="K434" s="13" t="n">
        <f aca="false">IF(H434&lt;&gt;"",H434,IFERROR(G434/INDEX(Players!$M$2:$M$137,MATCH(B434,Players!$A$2:$A$137,0)),""))</f>
        <v>0.55</v>
      </c>
    </row>
    <row r="435" customFormat="false" ht="15" hidden="false" customHeight="false" outlineLevel="0" collapsed="false">
      <c r="A435" s="0" t="s">
        <v>2451</v>
      </c>
      <c r="B435" s="0" t="s">
        <v>1735</v>
      </c>
      <c r="C435" s="0" t="s">
        <v>1476</v>
      </c>
      <c r="D435" s="0" t="s">
        <v>1139</v>
      </c>
      <c r="E435" s="0" t="s">
        <v>145</v>
      </c>
      <c r="F435" s="0" t="n">
        <v>8</v>
      </c>
      <c r="G435" s="0" t="n">
        <v>14.3</v>
      </c>
      <c r="H435" s="0" t="n">
        <v>0.63</v>
      </c>
      <c r="I435" s="10" t="n">
        <v>0.605</v>
      </c>
      <c r="J435" s="0" t="n">
        <v>1.01</v>
      </c>
      <c r="K435" s="13" t="n">
        <f aca="false">IF(H435&lt;&gt;"",H435,IFERROR(G435/INDEX(Players!$M$2:$M$137,MATCH(B435,Players!$A$2:$A$137,0)),""))</f>
        <v>0.63</v>
      </c>
    </row>
    <row r="436" customFormat="false" ht="15" hidden="false" customHeight="false" outlineLevel="0" collapsed="false">
      <c r="A436" s="0" t="s">
        <v>2452</v>
      </c>
      <c r="B436" s="0" t="s">
        <v>1735</v>
      </c>
      <c r="C436" s="0" t="s">
        <v>1476</v>
      </c>
      <c r="D436" s="0" t="s">
        <v>1139</v>
      </c>
      <c r="E436" s="0" t="s">
        <v>95</v>
      </c>
      <c r="F436" s="0" t="n">
        <v>7</v>
      </c>
      <c r="G436" s="0" t="n">
        <v>15.4</v>
      </c>
      <c r="H436" s="0" t="n">
        <v>0.62</v>
      </c>
      <c r="I436" s="10" t="n">
        <v>0.537</v>
      </c>
      <c r="J436" s="0" t="n">
        <v>0.97</v>
      </c>
      <c r="K436" s="13" t="n">
        <f aca="false">IF(H436&lt;&gt;"",H436,IFERROR(G436/INDEX(Players!$M$2:$M$137,MATCH(B436,Players!$A$2:$A$137,0)),""))</f>
        <v>0.62</v>
      </c>
    </row>
    <row r="437" customFormat="false" ht="15" hidden="false" customHeight="false" outlineLevel="0" collapsed="false">
      <c r="A437" s="0" t="s">
        <v>2453</v>
      </c>
      <c r="B437" s="0" t="s">
        <v>1735</v>
      </c>
      <c r="C437" s="0" t="s">
        <v>1476</v>
      </c>
      <c r="D437" s="0" t="s">
        <v>1139</v>
      </c>
      <c r="E437" s="0" t="s">
        <v>108</v>
      </c>
      <c r="F437" s="0" t="n">
        <v>6</v>
      </c>
      <c r="G437" s="0" t="n">
        <v>13</v>
      </c>
      <c r="H437" s="0" t="n">
        <v>0.59</v>
      </c>
      <c r="I437" s="10" t="n">
        <v>0.551</v>
      </c>
      <c r="J437" s="0" t="n">
        <v>0.97</v>
      </c>
      <c r="K437" s="13" t="n">
        <f aca="false">IF(H437&lt;&gt;"",H437,IFERROR(G437/INDEX(Players!$M$2:$M$137,MATCH(B437,Players!$A$2:$A$137,0)),""))</f>
        <v>0.59</v>
      </c>
    </row>
    <row r="438" customFormat="false" ht="15" hidden="false" customHeight="false" outlineLevel="0" collapsed="false">
      <c r="A438" s="0" t="s">
        <v>2454</v>
      </c>
      <c r="B438" s="0" t="s">
        <v>1735</v>
      </c>
      <c r="C438" s="0" t="s">
        <v>1476</v>
      </c>
      <c r="D438" s="0" t="s">
        <v>1139</v>
      </c>
      <c r="E438" s="0" t="s">
        <v>121</v>
      </c>
      <c r="F438" s="0" t="n">
        <v>4</v>
      </c>
      <c r="G438" s="0" t="n">
        <v>13.5</v>
      </c>
      <c r="H438" s="0" t="n">
        <v>0.59</v>
      </c>
      <c r="I438" s="10" t="n">
        <v>0.444</v>
      </c>
      <c r="J438" s="0" t="n">
        <v>0.92</v>
      </c>
      <c r="K438" s="13" t="n">
        <f aca="false">IF(H438&lt;&gt;"",H438,IFERROR(G438/INDEX(Players!$M$2:$M$137,MATCH(B438,Players!$A$2:$A$137,0)),""))</f>
        <v>0.59</v>
      </c>
    </row>
    <row r="439" customFormat="false" ht="15" hidden="false" customHeight="false" outlineLevel="0" collapsed="false">
      <c r="A439" s="0" t="s">
        <v>2455</v>
      </c>
      <c r="B439" s="0" t="s">
        <v>1735</v>
      </c>
      <c r="C439" s="0" t="s">
        <v>1476</v>
      </c>
      <c r="D439" s="0" t="s">
        <v>1139</v>
      </c>
      <c r="E439" s="0" t="s">
        <v>129</v>
      </c>
      <c r="F439" s="0" t="n">
        <v>4</v>
      </c>
      <c r="G439" s="0" t="n">
        <v>16.5</v>
      </c>
      <c r="H439" s="0" t="n">
        <v>0.61</v>
      </c>
      <c r="I439" s="10" t="n">
        <v>0.485</v>
      </c>
      <c r="J439" s="0" t="n">
        <v>0.85</v>
      </c>
      <c r="K439" s="13" t="n">
        <f aca="false">IF(H439&lt;&gt;"",H439,IFERROR(G439/INDEX(Players!$M$2:$M$137,MATCH(B439,Players!$A$2:$A$137,0)),""))</f>
        <v>0.61</v>
      </c>
    </row>
    <row r="440" customFormat="false" ht="15" hidden="false" customHeight="false" outlineLevel="0" collapsed="false">
      <c r="A440" s="0" t="s">
        <v>2456</v>
      </c>
      <c r="B440" s="0" t="s">
        <v>1748</v>
      </c>
      <c r="C440" s="0" t="s">
        <v>1505</v>
      </c>
      <c r="D440" s="0" t="s">
        <v>1139</v>
      </c>
      <c r="E440" s="0" t="s">
        <v>139</v>
      </c>
      <c r="F440" s="0" t="n">
        <v>9</v>
      </c>
      <c r="G440" s="0" t="n">
        <v>12</v>
      </c>
      <c r="H440" s="0" t="n">
        <v>0.6</v>
      </c>
      <c r="I440" s="10" t="n">
        <v>0.593</v>
      </c>
      <c r="J440" s="0" t="n">
        <v>0.98</v>
      </c>
      <c r="K440" s="13" t="n">
        <f aca="false">IF(H440&lt;&gt;"",H440,IFERROR(G440/INDEX(Players!$M$2:$M$137,MATCH(B440,Players!$A$2:$A$137,0)),""))</f>
        <v>0.6</v>
      </c>
    </row>
    <row r="441" customFormat="false" ht="15" hidden="false" customHeight="false" outlineLevel="0" collapsed="false">
      <c r="A441" s="0" t="s">
        <v>2457</v>
      </c>
      <c r="B441" s="0" t="s">
        <v>1748</v>
      </c>
      <c r="C441" s="0" t="s">
        <v>1505</v>
      </c>
      <c r="D441" s="0" t="s">
        <v>1139</v>
      </c>
      <c r="E441" s="0" t="s">
        <v>95</v>
      </c>
      <c r="F441" s="0" t="n">
        <v>8</v>
      </c>
      <c r="G441" s="0" t="n">
        <v>14.3</v>
      </c>
      <c r="H441" s="0" t="n">
        <v>0.71</v>
      </c>
      <c r="I441" s="10" t="n">
        <v>0.693</v>
      </c>
      <c r="J441" s="0" t="n">
        <v>1.18</v>
      </c>
      <c r="K441" s="13" t="n">
        <f aca="false">IF(H441&lt;&gt;"",H441,IFERROR(G441/INDEX(Players!$M$2:$M$137,MATCH(B441,Players!$A$2:$A$137,0)),""))</f>
        <v>0.71</v>
      </c>
    </row>
    <row r="442" customFormat="false" ht="15" hidden="false" customHeight="false" outlineLevel="0" collapsed="false">
      <c r="A442" s="0" t="s">
        <v>2458</v>
      </c>
      <c r="B442" s="0" t="s">
        <v>1748</v>
      </c>
      <c r="C442" s="0" t="s">
        <v>1505</v>
      </c>
      <c r="D442" s="0" t="s">
        <v>1139</v>
      </c>
      <c r="E442" s="0" t="s">
        <v>81</v>
      </c>
      <c r="F442" s="0" t="n">
        <v>8</v>
      </c>
      <c r="G442" s="0" t="n">
        <v>10.9</v>
      </c>
      <c r="H442" s="0" t="n">
        <v>0.55</v>
      </c>
      <c r="I442" s="10" t="n">
        <v>0.598</v>
      </c>
      <c r="J442" s="0" t="n">
        <v>0.8</v>
      </c>
      <c r="K442" s="13" t="n">
        <f aca="false">IF(H442&lt;&gt;"",H442,IFERROR(G442/INDEX(Players!$M$2:$M$137,MATCH(B442,Players!$A$2:$A$137,0)),""))</f>
        <v>0.55</v>
      </c>
    </row>
    <row r="443" customFormat="false" ht="15" hidden="false" customHeight="false" outlineLevel="0" collapsed="false">
      <c r="A443" s="0" t="s">
        <v>2459</v>
      </c>
      <c r="B443" s="0" t="s">
        <v>1748</v>
      </c>
      <c r="C443" s="0" t="s">
        <v>1505</v>
      </c>
      <c r="D443" s="0" t="s">
        <v>1139</v>
      </c>
      <c r="E443" s="0" t="s">
        <v>121</v>
      </c>
      <c r="F443" s="0" t="n">
        <v>4</v>
      </c>
      <c r="G443" s="0" t="n">
        <v>15.3</v>
      </c>
      <c r="H443" s="0" t="n">
        <v>0.77</v>
      </c>
      <c r="I443" s="10" t="n">
        <v>0.557</v>
      </c>
      <c r="J443" s="0" t="n">
        <v>1.36</v>
      </c>
      <c r="K443" s="13" t="n">
        <f aca="false">IF(H443&lt;&gt;"",H443,IFERROR(G443/INDEX(Players!$M$2:$M$137,MATCH(B443,Players!$A$2:$A$137,0)),""))</f>
        <v>0.77</v>
      </c>
    </row>
    <row r="444" customFormat="false" ht="15" hidden="false" customHeight="false" outlineLevel="0" collapsed="false">
      <c r="A444" s="0" t="s">
        <v>2460</v>
      </c>
      <c r="B444" s="0" t="s">
        <v>1748</v>
      </c>
      <c r="C444" s="0" t="s">
        <v>1505</v>
      </c>
      <c r="D444" s="0" t="s">
        <v>1139</v>
      </c>
      <c r="E444" s="0" t="s">
        <v>145</v>
      </c>
      <c r="F444" s="0" t="n">
        <v>3</v>
      </c>
      <c r="G444" s="0" t="n">
        <v>15.7</v>
      </c>
      <c r="H444" s="0" t="n">
        <v>0.84</v>
      </c>
      <c r="I444" s="10" t="n">
        <v>0.66</v>
      </c>
      <c r="J444" s="0" t="n">
        <v>1.34</v>
      </c>
      <c r="K444" s="13" t="n">
        <f aca="false">IF(H444&lt;&gt;"",H444,IFERROR(G444/INDEX(Players!$M$2:$M$137,MATCH(B444,Players!$A$2:$A$137,0)),""))</f>
        <v>0.84</v>
      </c>
    </row>
    <row r="445" customFormat="false" ht="15" hidden="false" customHeight="false" outlineLevel="0" collapsed="false">
      <c r="A445" s="0" t="s">
        <v>2461</v>
      </c>
      <c r="B445" s="0" t="s">
        <v>1748</v>
      </c>
      <c r="C445" s="0" t="s">
        <v>1505</v>
      </c>
      <c r="D445" s="0" t="s">
        <v>1139</v>
      </c>
      <c r="E445" s="0" t="s">
        <v>108</v>
      </c>
      <c r="F445" s="0" t="n">
        <v>2</v>
      </c>
      <c r="G445" s="0" t="n">
        <v>12</v>
      </c>
      <c r="H445" s="0" t="n">
        <v>0.55</v>
      </c>
      <c r="I445" s="10" t="n">
        <v>0.625</v>
      </c>
      <c r="J445" s="0" t="n">
        <v>0.73</v>
      </c>
      <c r="K445" s="13" t="n">
        <f aca="false">IF(H445&lt;&gt;"",H445,IFERROR(G445/INDEX(Players!$M$2:$M$137,MATCH(B445,Players!$A$2:$A$137,0)),""))</f>
        <v>0.55</v>
      </c>
    </row>
    <row r="446" customFormat="false" ht="15" hidden="false" customHeight="false" outlineLevel="0" collapsed="false">
      <c r="A446" s="0" t="s">
        <v>2462</v>
      </c>
      <c r="B446" s="0" t="s">
        <v>1765</v>
      </c>
      <c r="C446" s="0" t="s">
        <v>1542</v>
      </c>
      <c r="D446" s="0" t="s">
        <v>1139</v>
      </c>
      <c r="E446" s="0" t="s">
        <v>129</v>
      </c>
      <c r="F446" s="0" t="n">
        <v>8</v>
      </c>
      <c r="G446" s="0" t="n">
        <v>12.3</v>
      </c>
      <c r="H446" s="0" t="n">
        <v>0.6</v>
      </c>
      <c r="I446" s="10" t="n">
        <v>0.592</v>
      </c>
      <c r="J446" s="0" t="n">
        <v>0.84</v>
      </c>
      <c r="K446" s="13" t="n">
        <f aca="false">IF(H446&lt;&gt;"",H446,IFERROR(G446/INDEX(Players!$M$2:$M$137,MATCH(B446,Players!$A$2:$A$137,0)),""))</f>
        <v>0.6</v>
      </c>
    </row>
    <row r="447" customFormat="false" ht="15" hidden="false" customHeight="false" outlineLevel="0" collapsed="false">
      <c r="A447" s="0" t="s">
        <v>2463</v>
      </c>
      <c r="B447" s="0" t="s">
        <v>1765</v>
      </c>
      <c r="C447" s="0" t="s">
        <v>1542</v>
      </c>
      <c r="D447" s="0" t="s">
        <v>1139</v>
      </c>
      <c r="E447" s="0" t="s">
        <v>108</v>
      </c>
      <c r="F447" s="0" t="n">
        <v>7</v>
      </c>
      <c r="G447" s="0" t="n">
        <v>13.3</v>
      </c>
      <c r="H447" s="0" t="n">
        <v>0.54</v>
      </c>
      <c r="I447" s="10" t="n">
        <v>0.613</v>
      </c>
      <c r="J447" s="0" t="n">
        <v>0.77</v>
      </c>
      <c r="K447" s="13" t="n">
        <f aca="false">IF(H447&lt;&gt;"",H447,IFERROR(G447/INDEX(Players!$M$2:$M$137,MATCH(B447,Players!$A$2:$A$137,0)),""))</f>
        <v>0.54</v>
      </c>
    </row>
    <row r="448" customFormat="false" ht="15" hidden="false" customHeight="false" outlineLevel="0" collapsed="false">
      <c r="A448" s="0" t="s">
        <v>2464</v>
      </c>
      <c r="B448" s="0" t="s">
        <v>1765</v>
      </c>
      <c r="C448" s="0" t="s">
        <v>1542</v>
      </c>
      <c r="D448" s="0" t="s">
        <v>1139</v>
      </c>
      <c r="E448" s="0" t="s">
        <v>145</v>
      </c>
      <c r="F448" s="0" t="n">
        <v>6</v>
      </c>
      <c r="G448" s="0" t="n">
        <v>16</v>
      </c>
      <c r="H448" s="0" t="n">
        <v>0.7</v>
      </c>
      <c r="I448" s="10" t="n">
        <v>0.604</v>
      </c>
      <c r="J448" s="0" t="n">
        <v>1.17</v>
      </c>
      <c r="K448" s="13" t="n">
        <f aca="false">IF(H448&lt;&gt;"",H448,IFERROR(G448/INDEX(Players!$M$2:$M$137,MATCH(B448,Players!$A$2:$A$137,0)),""))</f>
        <v>0.7</v>
      </c>
    </row>
    <row r="449" customFormat="false" ht="15" hidden="false" customHeight="false" outlineLevel="0" collapsed="false">
      <c r="A449" s="0" t="s">
        <v>2465</v>
      </c>
      <c r="B449" s="0" t="s">
        <v>1765</v>
      </c>
      <c r="C449" s="0" t="s">
        <v>1542</v>
      </c>
      <c r="D449" s="0" t="s">
        <v>1139</v>
      </c>
      <c r="E449" s="0" t="s">
        <v>139</v>
      </c>
      <c r="F449" s="0" t="n">
        <v>6</v>
      </c>
      <c r="G449" s="0" t="n">
        <v>10.2</v>
      </c>
      <c r="H449" s="0" t="n">
        <v>0.56</v>
      </c>
      <c r="I449" s="10" t="n">
        <v>0.639</v>
      </c>
      <c r="J449" s="0" t="n">
        <v>0.82</v>
      </c>
      <c r="K449" s="13" t="n">
        <f aca="false">IF(H449&lt;&gt;"",H449,IFERROR(G449/INDEX(Players!$M$2:$M$137,MATCH(B449,Players!$A$2:$A$137,0)),""))</f>
        <v>0.56</v>
      </c>
    </row>
    <row r="450" customFormat="false" ht="15" hidden="false" customHeight="false" outlineLevel="0" collapsed="false">
      <c r="A450" s="0" t="s">
        <v>2466</v>
      </c>
      <c r="B450" s="0" t="s">
        <v>1765</v>
      </c>
      <c r="C450" s="0" t="s">
        <v>1542</v>
      </c>
      <c r="D450" s="0" t="s">
        <v>1139</v>
      </c>
      <c r="E450" s="0" t="s">
        <v>95</v>
      </c>
      <c r="F450" s="0" t="n">
        <v>5</v>
      </c>
      <c r="G450" s="0" t="n">
        <v>15.4</v>
      </c>
      <c r="H450" s="0" t="n">
        <v>0.7</v>
      </c>
      <c r="I450" s="10" t="n">
        <v>0.597</v>
      </c>
      <c r="J450" s="0" t="n">
        <v>1.04</v>
      </c>
      <c r="K450" s="13" t="n">
        <f aca="false">IF(H450&lt;&gt;"",H450,IFERROR(G450/INDEX(Players!$M$2:$M$137,MATCH(B450,Players!$A$2:$A$137,0)),""))</f>
        <v>0.7</v>
      </c>
    </row>
    <row r="451" customFormat="false" ht="15" hidden="false" customHeight="false" outlineLevel="0" collapsed="false">
      <c r="A451" s="0" t="s">
        <v>2467</v>
      </c>
      <c r="B451" s="0" t="s">
        <v>1765</v>
      </c>
      <c r="C451" s="0" t="s">
        <v>1542</v>
      </c>
      <c r="D451" s="0" t="s">
        <v>1139</v>
      </c>
      <c r="E451" s="0" t="s">
        <v>81</v>
      </c>
      <c r="F451" s="0" t="n">
        <v>3</v>
      </c>
      <c r="G451" s="0" t="n">
        <v>11.3</v>
      </c>
      <c r="H451" s="0" t="n">
        <v>0.53</v>
      </c>
      <c r="I451" s="10" t="n">
        <v>0.441</v>
      </c>
      <c r="J451" s="0" t="n">
        <v>0.79</v>
      </c>
      <c r="K451" s="13" t="n">
        <f aca="false">IF(H451&lt;&gt;"",H451,IFERROR(G451/INDEX(Players!$M$2:$M$137,MATCH(B451,Players!$A$2:$A$137,0)),""))</f>
        <v>0.53</v>
      </c>
    </row>
    <row r="452" customFormat="false" ht="15" hidden="false" customHeight="false" outlineLevel="0" collapsed="false">
      <c r="A452" s="0" t="s">
        <v>2468</v>
      </c>
      <c r="B452" s="0" t="s">
        <v>1681</v>
      </c>
      <c r="C452" s="0" t="s">
        <v>1344</v>
      </c>
      <c r="D452" s="0" t="s">
        <v>1139</v>
      </c>
      <c r="E452" s="0" t="s">
        <v>108</v>
      </c>
      <c r="F452" s="0" t="n">
        <v>9</v>
      </c>
      <c r="G452" s="0" t="n">
        <v>15.6</v>
      </c>
      <c r="H452" s="0" t="n">
        <v>0.76</v>
      </c>
      <c r="I452" s="10" t="n">
        <v>0.55</v>
      </c>
      <c r="J452" s="0" t="n">
        <v>1.17</v>
      </c>
      <c r="K452" s="13" t="n">
        <f aca="false">IF(H452&lt;&gt;"",H452,IFERROR(G452/INDEX(Players!$M$2:$M$137,MATCH(B452,Players!$A$2:$A$137,0)),""))</f>
        <v>0.76</v>
      </c>
    </row>
    <row r="453" customFormat="false" ht="15" hidden="false" customHeight="false" outlineLevel="0" collapsed="false">
      <c r="A453" s="0" t="s">
        <v>2469</v>
      </c>
      <c r="B453" s="0" t="s">
        <v>1681</v>
      </c>
      <c r="C453" s="0" t="s">
        <v>1344</v>
      </c>
      <c r="D453" s="0" t="s">
        <v>1139</v>
      </c>
      <c r="E453" s="0" t="s">
        <v>95</v>
      </c>
      <c r="F453" s="0" t="n">
        <v>6</v>
      </c>
      <c r="G453" s="0" t="n">
        <v>16.7</v>
      </c>
      <c r="H453" s="0" t="n">
        <v>0.79</v>
      </c>
      <c r="I453" s="10" t="n">
        <v>0.57</v>
      </c>
      <c r="J453" s="0" t="n">
        <v>1.28</v>
      </c>
      <c r="K453" s="13" t="n">
        <f aca="false">IF(H453&lt;&gt;"",H453,IFERROR(G453/INDEX(Players!$M$2:$M$137,MATCH(B453,Players!$A$2:$A$137,0)),""))</f>
        <v>0.79</v>
      </c>
    </row>
    <row r="454" customFormat="false" ht="15" hidden="false" customHeight="false" outlineLevel="0" collapsed="false">
      <c r="A454" s="0" t="s">
        <v>2470</v>
      </c>
      <c r="B454" s="0" t="s">
        <v>1681</v>
      </c>
      <c r="C454" s="0" t="s">
        <v>1344</v>
      </c>
      <c r="D454" s="0" t="s">
        <v>1139</v>
      </c>
      <c r="E454" s="0" t="s">
        <v>81</v>
      </c>
      <c r="F454" s="0" t="n">
        <v>6</v>
      </c>
      <c r="G454" s="0" t="n">
        <v>17.3</v>
      </c>
      <c r="H454" s="0" t="n">
        <v>0.75</v>
      </c>
      <c r="I454" s="10" t="n">
        <v>0.663</v>
      </c>
      <c r="J454" s="0" t="n">
        <v>1.09</v>
      </c>
      <c r="K454" s="13" t="n">
        <f aca="false">IF(H454&lt;&gt;"",H454,IFERROR(G454/INDEX(Players!$M$2:$M$137,MATCH(B454,Players!$A$2:$A$137,0)),""))</f>
        <v>0.75</v>
      </c>
    </row>
    <row r="455" customFormat="false" ht="15" hidden="false" customHeight="false" outlineLevel="0" collapsed="false">
      <c r="A455" s="0" t="s">
        <v>2471</v>
      </c>
      <c r="B455" s="0" t="s">
        <v>1681</v>
      </c>
      <c r="C455" s="0" t="s">
        <v>1344</v>
      </c>
      <c r="D455" s="0" t="s">
        <v>1139</v>
      </c>
      <c r="E455" s="0" t="s">
        <v>139</v>
      </c>
      <c r="F455" s="0" t="n">
        <v>4</v>
      </c>
      <c r="G455" s="0" t="n">
        <v>18.3</v>
      </c>
      <c r="H455" s="0" t="n">
        <v>0.73</v>
      </c>
      <c r="I455" s="10" t="n">
        <v>0.589</v>
      </c>
      <c r="J455" s="0" t="n">
        <v>1.11</v>
      </c>
      <c r="K455" s="13" t="n">
        <f aca="false">IF(H455&lt;&gt;"",H455,IFERROR(G455/INDEX(Players!$M$2:$M$137,MATCH(B455,Players!$A$2:$A$137,0)),""))</f>
        <v>0.73</v>
      </c>
    </row>
    <row r="456" customFormat="false" ht="15" hidden="false" customHeight="false" outlineLevel="0" collapsed="false">
      <c r="A456" s="0" t="s">
        <v>2472</v>
      </c>
      <c r="B456" s="0" t="s">
        <v>1681</v>
      </c>
      <c r="C456" s="0" t="s">
        <v>1344</v>
      </c>
      <c r="D456" s="0" t="s">
        <v>1139</v>
      </c>
      <c r="E456" s="0" t="s">
        <v>129</v>
      </c>
      <c r="F456" s="0" t="n">
        <v>3</v>
      </c>
      <c r="G456" s="0" t="n">
        <v>13.7</v>
      </c>
      <c r="H456" s="0" t="n">
        <v>0.62</v>
      </c>
      <c r="I456" s="10" t="n">
        <v>0.512</v>
      </c>
      <c r="J456" s="0" t="n">
        <v>0.82</v>
      </c>
      <c r="K456" s="13" t="n">
        <f aca="false">IF(H456&lt;&gt;"",H456,IFERROR(G456/INDEX(Players!$M$2:$M$137,MATCH(B456,Players!$A$2:$A$137,0)),""))</f>
        <v>0.62</v>
      </c>
    </row>
    <row r="457" customFormat="false" ht="15" hidden="false" customHeight="false" outlineLevel="0" collapsed="false">
      <c r="A457" s="0" t="s">
        <v>2473</v>
      </c>
      <c r="B457" s="0" t="s">
        <v>1681</v>
      </c>
      <c r="C457" s="0" t="s">
        <v>1344</v>
      </c>
      <c r="D457" s="0" t="s">
        <v>1139</v>
      </c>
      <c r="E457" s="0" t="s">
        <v>145</v>
      </c>
      <c r="F457" s="0" t="n">
        <v>2</v>
      </c>
      <c r="G457" s="0" t="n">
        <v>9.5</v>
      </c>
      <c r="H457" s="0" t="n">
        <v>0.54</v>
      </c>
      <c r="I457" s="10" t="n">
        <v>0.579</v>
      </c>
      <c r="J457" s="0" t="n">
        <v>0.68</v>
      </c>
      <c r="K457" s="13" t="n">
        <f aca="false">IF(H457&lt;&gt;"",H457,IFERROR(G457/INDEX(Players!$M$2:$M$137,MATCH(B457,Players!$A$2:$A$137,0)),""))</f>
        <v>0.54</v>
      </c>
    </row>
    <row r="458" customFormat="false" ht="15" hidden="false" customHeight="false" outlineLevel="0" collapsed="false">
      <c r="A458" s="0" t="s">
        <v>2474</v>
      </c>
      <c r="B458" s="0" t="s">
        <v>1676</v>
      </c>
      <c r="C458" s="0" t="s">
        <v>1331</v>
      </c>
      <c r="D458" s="0" t="s">
        <v>1139</v>
      </c>
      <c r="E458" s="0" t="s">
        <v>145</v>
      </c>
      <c r="F458" s="0" t="n">
        <v>6</v>
      </c>
      <c r="G458" s="0" t="n">
        <v>10.8</v>
      </c>
      <c r="H458" s="0" t="n">
        <v>0.54</v>
      </c>
      <c r="I458" s="10" t="n">
        <v>0.538</v>
      </c>
      <c r="J458" s="0" t="n">
        <v>0.82</v>
      </c>
      <c r="K458" s="13" t="n">
        <f aca="false">IF(H458&lt;&gt;"",H458,IFERROR(G458/INDEX(Players!$M$2:$M$137,MATCH(B458,Players!$A$2:$A$137,0)),""))</f>
        <v>0.54</v>
      </c>
    </row>
    <row r="459" customFormat="false" ht="15" hidden="false" customHeight="false" outlineLevel="0" collapsed="false">
      <c r="A459" s="0" t="s">
        <v>2475</v>
      </c>
      <c r="B459" s="0" t="s">
        <v>1676</v>
      </c>
      <c r="C459" s="0" t="s">
        <v>1331</v>
      </c>
      <c r="D459" s="0" t="s">
        <v>1139</v>
      </c>
      <c r="E459" s="0" t="s">
        <v>95</v>
      </c>
      <c r="F459" s="0" t="n">
        <v>6</v>
      </c>
      <c r="G459" s="0" t="n">
        <v>12</v>
      </c>
      <c r="H459" s="0" t="n">
        <v>0.52</v>
      </c>
      <c r="I459" s="10" t="n">
        <v>0.472</v>
      </c>
      <c r="J459" s="0" t="n">
        <v>0.81</v>
      </c>
      <c r="K459" s="13" t="n">
        <f aca="false">IF(H459&lt;&gt;"",H459,IFERROR(G459/INDEX(Players!$M$2:$M$137,MATCH(B459,Players!$A$2:$A$137,0)),""))</f>
        <v>0.52</v>
      </c>
    </row>
    <row r="460" customFormat="false" ht="15" hidden="false" customHeight="false" outlineLevel="0" collapsed="false">
      <c r="A460" s="0" t="s">
        <v>2476</v>
      </c>
      <c r="B460" s="0" t="s">
        <v>1676</v>
      </c>
      <c r="C460" s="0" t="s">
        <v>1331</v>
      </c>
      <c r="D460" s="0" t="s">
        <v>1139</v>
      </c>
      <c r="E460" s="0" t="s">
        <v>108</v>
      </c>
      <c r="F460" s="0" t="n">
        <v>5</v>
      </c>
      <c r="G460" s="0" t="n">
        <v>12</v>
      </c>
      <c r="H460" s="0" t="n">
        <v>0.62</v>
      </c>
      <c r="I460" s="10" t="n">
        <v>0.6</v>
      </c>
      <c r="J460" s="0" t="n">
        <v>0.98</v>
      </c>
      <c r="K460" s="13" t="n">
        <f aca="false">IF(H460&lt;&gt;"",H460,IFERROR(G460/INDEX(Players!$M$2:$M$137,MATCH(B460,Players!$A$2:$A$137,0)),""))</f>
        <v>0.62</v>
      </c>
    </row>
    <row r="461" customFormat="false" ht="15" hidden="false" customHeight="false" outlineLevel="0" collapsed="false">
      <c r="A461" s="0" t="s">
        <v>2477</v>
      </c>
      <c r="B461" s="0" t="s">
        <v>1676</v>
      </c>
      <c r="C461" s="0" t="s">
        <v>1331</v>
      </c>
      <c r="D461" s="0" t="s">
        <v>1139</v>
      </c>
      <c r="E461" s="0" t="s">
        <v>129</v>
      </c>
      <c r="F461" s="0" t="n">
        <v>4</v>
      </c>
      <c r="G461" s="0" t="n">
        <v>11.8</v>
      </c>
      <c r="H461" s="0" t="n">
        <v>0.59</v>
      </c>
      <c r="I461" s="10" t="n">
        <v>0.553</v>
      </c>
      <c r="J461" s="0" t="n">
        <v>0.84</v>
      </c>
      <c r="K461" s="13" t="n">
        <f aca="false">IF(H461&lt;&gt;"",H461,IFERROR(G461/INDEX(Players!$M$2:$M$137,MATCH(B461,Players!$A$2:$A$137,0)),""))</f>
        <v>0.59</v>
      </c>
    </row>
    <row r="462" customFormat="false" ht="15" hidden="false" customHeight="false" outlineLevel="0" collapsed="false">
      <c r="A462" s="0" t="s">
        <v>2478</v>
      </c>
      <c r="B462" s="0" t="s">
        <v>1676</v>
      </c>
      <c r="C462" s="0" t="s">
        <v>1331</v>
      </c>
      <c r="D462" s="0" t="s">
        <v>1139</v>
      </c>
      <c r="E462" s="0" t="s">
        <v>121</v>
      </c>
      <c r="F462" s="0" t="n">
        <v>3</v>
      </c>
      <c r="G462" s="0" t="n">
        <v>17</v>
      </c>
      <c r="H462" s="0" t="n">
        <v>0.75</v>
      </c>
      <c r="I462" s="10" t="n">
        <v>0.451</v>
      </c>
      <c r="J462" s="0" t="n">
        <v>1.06</v>
      </c>
      <c r="K462" s="13" t="n">
        <f aca="false">IF(H462&lt;&gt;"",H462,IFERROR(G462/INDEX(Players!$M$2:$M$137,MATCH(B462,Players!$A$2:$A$137,0)),""))</f>
        <v>0.75</v>
      </c>
    </row>
    <row r="463" customFormat="false" ht="15" hidden="false" customHeight="false" outlineLevel="0" collapsed="false">
      <c r="A463" s="0" t="s">
        <v>2479</v>
      </c>
      <c r="B463" s="0" t="s">
        <v>1676</v>
      </c>
      <c r="C463" s="0" t="s">
        <v>1331</v>
      </c>
      <c r="D463" s="0" t="s">
        <v>1139</v>
      </c>
      <c r="E463" s="0" t="s">
        <v>81</v>
      </c>
      <c r="F463" s="0" t="n">
        <v>3</v>
      </c>
      <c r="G463" s="0" t="n">
        <v>10</v>
      </c>
      <c r="H463" s="0" t="n">
        <v>0.53</v>
      </c>
      <c r="I463" s="10" t="n">
        <v>0.567</v>
      </c>
      <c r="J463" s="0" t="n">
        <v>0.77</v>
      </c>
      <c r="K463" s="13" t="n">
        <f aca="false">IF(H463&lt;&gt;"",H463,IFERROR(G463/INDEX(Players!$M$2:$M$137,MATCH(B463,Players!$A$2:$A$137,0)),""))</f>
        <v>0.53</v>
      </c>
    </row>
    <row r="464" customFormat="false" ht="15" hidden="false" customHeight="false" outlineLevel="0" collapsed="false">
      <c r="A464" s="0" t="s">
        <v>2480</v>
      </c>
      <c r="B464" s="0" t="s">
        <v>1691</v>
      </c>
      <c r="C464" s="0" t="s">
        <v>1371</v>
      </c>
      <c r="D464" s="0" t="s">
        <v>1139</v>
      </c>
      <c r="E464" s="0" t="s">
        <v>81</v>
      </c>
      <c r="F464" s="0" t="n">
        <v>12</v>
      </c>
      <c r="G464" s="0" t="n">
        <v>18.3</v>
      </c>
      <c r="H464" s="0" t="n">
        <v>0.77</v>
      </c>
      <c r="I464" s="10" t="n">
        <v>0.659</v>
      </c>
      <c r="J464" s="0" t="n">
        <v>1.03</v>
      </c>
      <c r="K464" s="13" t="n">
        <f aca="false">IF(H464&lt;&gt;"",H464,IFERROR(G464/INDEX(Players!$M$2:$M$137,MATCH(B464,Players!$A$2:$A$137,0)),""))</f>
        <v>0.77</v>
      </c>
    </row>
    <row r="465" customFormat="false" ht="15" hidden="false" customHeight="false" outlineLevel="0" collapsed="false">
      <c r="A465" s="0" t="s">
        <v>2481</v>
      </c>
      <c r="B465" s="0" t="s">
        <v>1691</v>
      </c>
      <c r="C465" s="0" t="s">
        <v>1371</v>
      </c>
      <c r="D465" s="0" t="s">
        <v>1139</v>
      </c>
      <c r="E465" s="0" t="s">
        <v>121</v>
      </c>
      <c r="F465" s="0" t="n">
        <v>7</v>
      </c>
      <c r="G465" s="0" t="n">
        <v>16</v>
      </c>
      <c r="H465" s="0" t="n">
        <v>0.77</v>
      </c>
      <c r="I465" s="10" t="n">
        <v>0.679</v>
      </c>
      <c r="J465" s="0" t="n">
        <v>1.15</v>
      </c>
      <c r="K465" s="13" t="n">
        <f aca="false">IF(H465&lt;&gt;"",H465,IFERROR(G465/INDEX(Players!$M$2:$M$137,MATCH(B465,Players!$A$2:$A$137,0)),""))</f>
        <v>0.77</v>
      </c>
    </row>
    <row r="466" customFormat="false" ht="15" hidden="false" customHeight="false" outlineLevel="0" collapsed="false">
      <c r="A466" s="0" t="s">
        <v>2482</v>
      </c>
      <c r="B466" s="0" t="s">
        <v>1691</v>
      </c>
      <c r="C466" s="0" t="s">
        <v>1371</v>
      </c>
      <c r="D466" s="0" t="s">
        <v>1139</v>
      </c>
      <c r="E466" s="0" t="s">
        <v>95</v>
      </c>
      <c r="F466" s="0" t="n">
        <v>5</v>
      </c>
      <c r="G466" s="0" t="n">
        <v>17.6</v>
      </c>
      <c r="H466" s="0" t="n">
        <v>0.79</v>
      </c>
      <c r="I466" s="10" t="n">
        <v>0.716</v>
      </c>
      <c r="J466" s="0" t="n">
        <v>1.1</v>
      </c>
      <c r="K466" s="13" t="n">
        <f aca="false">IF(H466&lt;&gt;"",H466,IFERROR(G466/INDEX(Players!$M$2:$M$137,MATCH(B466,Players!$A$2:$A$137,0)),""))</f>
        <v>0.79</v>
      </c>
    </row>
    <row r="467" customFormat="false" ht="15" hidden="false" customHeight="false" outlineLevel="0" collapsed="false">
      <c r="A467" s="0" t="s">
        <v>2483</v>
      </c>
      <c r="B467" s="0" t="s">
        <v>1691</v>
      </c>
      <c r="C467" s="0" t="s">
        <v>1371</v>
      </c>
      <c r="D467" s="0" t="s">
        <v>1139</v>
      </c>
      <c r="E467" s="0" t="s">
        <v>139</v>
      </c>
      <c r="F467" s="0" t="n">
        <v>4</v>
      </c>
      <c r="G467" s="0" t="n">
        <v>13.3</v>
      </c>
      <c r="H467" s="0" t="n">
        <v>0.7</v>
      </c>
      <c r="I467" s="10" t="n">
        <v>0.585</v>
      </c>
      <c r="J467" s="0" t="n">
        <v>1.23</v>
      </c>
      <c r="K467" s="13" t="n">
        <f aca="false">IF(H467&lt;&gt;"",H467,IFERROR(G467/INDEX(Players!$M$2:$M$137,MATCH(B467,Players!$A$2:$A$137,0)),""))</f>
        <v>0.7</v>
      </c>
    </row>
    <row r="468" customFormat="false" ht="15" hidden="false" customHeight="false" outlineLevel="0" collapsed="false">
      <c r="A468" s="0" t="s">
        <v>2484</v>
      </c>
      <c r="B468" s="0" t="s">
        <v>1691</v>
      </c>
      <c r="C468" s="0" t="s">
        <v>1371</v>
      </c>
      <c r="D468" s="0" t="s">
        <v>1139</v>
      </c>
      <c r="E468" s="0" t="s">
        <v>108</v>
      </c>
      <c r="F468" s="0" t="n">
        <v>4</v>
      </c>
      <c r="G468" s="0" t="n">
        <v>15.3</v>
      </c>
      <c r="H468" s="0" t="n">
        <v>0.66</v>
      </c>
      <c r="I468" s="10" t="n">
        <v>0.607</v>
      </c>
      <c r="J468" s="0" t="n">
        <v>0.88</v>
      </c>
      <c r="K468" s="13" t="n">
        <f aca="false">IF(H468&lt;&gt;"",H468,IFERROR(G468/INDEX(Players!$M$2:$M$137,MATCH(B468,Players!$A$2:$A$137,0)),""))</f>
        <v>0.66</v>
      </c>
    </row>
    <row r="469" customFormat="false" ht="15" hidden="false" customHeight="false" outlineLevel="0" collapsed="false">
      <c r="A469" s="0" t="s">
        <v>2485</v>
      </c>
      <c r="B469" s="0" t="s">
        <v>1691</v>
      </c>
      <c r="C469" s="0" t="s">
        <v>1371</v>
      </c>
      <c r="D469" s="0" t="s">
        <v>1139</v>
      </c>
      <c r="E469" s="0" t="s">
        <v>145</v>
      </c>
      <c r="F469" s="0" t="n">
        <v>3</v>
      </c>
      <c r="G469" s="0" t="n">
        <v>18.3</v>
      </c>
      <c r="H469" s="0" t="n">
        <v>1.02</v>
      </c>
      <c r="I469" s="10" t="n">
        <v>0.618</v>
      </c>
      <c r="J469" s="0" t="n">
        <v>1.53</v>
      </c>
      <c r="K469" s="13" t="n">
        <f aca="false">IF(H469&lt;&gt;"",H469,IFERROR(G469/INDEX(Players!$M$2:$M$137,MATCH(B469,Players!$A$2:$A$137,0)),""))</f>
        <v>1.02</v>
      </c>
    </row>
    <row r="470" customFormat="false" ht="15" hidden="false" customHeight="false" outlineLevel="0" collapsed="false">
      <c r="A470" s="0" t="s">
        <v>2486</v>
      </c>
      <c r="B470" s="0" t="s">
        <v>1691</v>
      </c>
      <c r="C470" s="0" t="s">
        <v>1371</v>
      </c>
      <c r="D470" s="0" t="s">
        <v>1139</v>
      </c>
      <c r="E470" s="0" t="s">
        <v>129</v>
      </c>
      <c r="F470" s="0" t="n">
        <v>2</v>
      </c>
      <c r="G470" s="0" t="n">
        <v>21.5</v>
      </c>
      <c r="H470" s="0" t="n">
        <v>1</v>
      </c>
      <c r="I470" s="10" t="n">
        <v>0.674</v>
      </c>
      <c r="J470" s="0" t="n">
        <v>1.39</v>
      </c>
      <c r="K470" s="13" t="n">
        <f aca="false">IF(H470&lt;&gt;"",H470,IFERROR(G470/INDEX(Players!$M$2:$M$137,MATCH(B470,Players!$A$2:$A$137,0)),""))</f>
        <v>1</v>
      </c>
    </row>
    <row r="471" customFormat="false" ht="15" hidden="false" customHeight="false" outlineLevel="0" collapsed="false">
      <c r="A471" s="0" t="s">
        <v>2487</v>
      </c>
      <c r="B471" s="0" t="s">
        <v>1749</v>
      </c>
      <c r="C471" s="0" t="s">
        <v>1507</v>
      </c>
      <c r="D471" s="0" t="s">
        <v>1139</v>
      </c>
      <c r="E471" s="0" t="s">
        <v>139</v>
      </c>
      <c r="F471" s="0" t="n">
        <v>9</v>
      </c>
      <c r="G471" s="0" t="n">
        <v>12.7</v>
      </c>
      <c r="H471" s="0" t="n">
        <v>0.64</v>
      </c>
      <c r="I471" s="10" t="n">
        <v>0.456</v>
      </c>
      <c r="J471" s="0" t="n">
        <v>0.93</v>
      </c>
      <c r="K471" s="13" t="n">
        <f aca="false">IF(H471&lt;&gt;"",H471,IFERROR(G471/INDEX(Players!$M$2:$M$137,MATCH(B471,Players!$A$2:$A$137,0)),""))</f>
        <v>0.64</v>
      </c>
    </row>
    <row r="472" customFormat="false" ht="15" hidden="false" customHeight="false" outlineLevel="0" collapsed="false">
      <c r="A472" s="0" t="s">
        <v>2488</v>
      </c>
      <c r="B472" s="0" t="s">
        <v>1749</v>
      </c>
      <c r="C472" s="0" t="s">
        <v>1507</v>
      </c>
      <c r="D472" s="0" t="s">
        <v>1139</v>
      </c>
      <c r="E472" s="0" t="s">
        <v>95</v>
      </c>
      <c r="F472" s="0" t="n">
        <v>8</v>
      </c>
      <c r="G472" s="0" t="n">
        <v>15.1</v>
      </c>
      <c r="H472" s="0" t="n">
        <v>0.76</v>
      </c>
      <c r="I472" s="10" t="n">
        <v>0.603</v>
      </c>
      <c r="J472" s="0" t="n">
        <v>1.19</v>
      </c>
      <c r="K472" s="13" t="n">
        <f aca="false">IF(H472&lt;&gt;"",H472,IFERROR(G472/INDEX(Players!$M$2:$M$137,MATCH(B472,Players!$A$2:$A$137,0)),""))</f>
        <v>0.76</v>
      </c>
    </row>
    <row r="473" customFormat="false" ht="15" hidden="false" customHeight="false" outlineLevel="0" collapsed="false">
      <c r="A473" s="0" t="s">
        <v>2489</v>
      </c>
      <c r="B473" s="0" t="s">
        <v>1749</v>
      </c>
      <c r="C473" s="0" t="s">
        <v>1507</v>
      </c>
      <c r="D473" s="0" t="s">
        <v>1139</v>
      </c>
      <c r="E473" s="0" t="s">
        <v>81</v>
      </c>
      <c r="F473" s="0" t="n">
        <v>8</v>
      </c>
      <c r="G473" s="0" t="n">
        <v>11.1</v>
      </c>
      <c r="H473" s="0" t="n">
        <v>0.56</v>
      </c>
      <c r="I473" s="10" t="n">
        <v>0.551</v>
      </c>
      <c r="J473" s="0" t="n">
        <v>0.75</v>
      </c>
      <c r="K473" s="13" t="n">
        <f aca="false">IF(H473&lt;&gt;"",H473,IFERROR(G473/INDEX(Players!$M$2:$M$137,MATCH(B473,Players!$A$2:$A$137,0)),""))</f>
        <v>0.56</v>
      </c>
    </row>
    <row r="474" customFormat="false" ht="15" hidden="false" customHeight="false" outlineLevel="0" collapsed="false">
      <c r="A474" s="0" t="s">
        <v>2490</v>
      </c>
      <c r="B474" s="0" t="s">
        <v>1749</v>
      </c>
      <c r="C474" s="0" t="s">
        <v>1507</v>
      </c>
      <c r="D474" s="0" t="s">
        <v>1139</v>
      </c>
      <c r="E474" s="0" t="s">
        <v>121</v>
      </c>
      <c r="F474" s="0" t="n">
        <v>4</v>
      </c>
      <c r="G474" s="0" t="n">
        <v>16</v>
      </c>
      <c r="H474" s="0" t="n">
        <v>0.81</v>
      </c>
      <c r="I474" s="10" t="n">
        <v>0.484</v>
      </c>
      <c r="J474" s="0" t="n">
        <v>1.45</v>
      </c>
      <c r="K474" s="13" t="n">
        <f aca="false">IF(H474&lt;&gt;"",H474,IFERROR(G474/INDEX(Players!$M$2:$M$137,MATCH(B474,Players!$A$2:$A$137,0)),""))</f>
        <v>0.81</v>
      </c>
    </row>
    <row r="475" customFormat="false" ht="15" hidden="false" customHeight="false" outlineLevel="0" collapsed="false">
      <c r="A475" s="0" t="s">
        <v>2491</v>
      </c>
      <c r="B475" s="0" t="s">
        <v>1749</v>
      </c>
      <c r="C475" s="0" t="s">
        <v>1507</v>
      </c>
      <c r="D475" s="0" t="s">
        <v>1139</v>
      </c>
      <c r="E475" s="0" t="s">
        <v>145</v>
      </c>
      <c r="F475" s="0" t="n">
        <v>3</v>
      </c>
      <c r="G475" s="0" t="n">
        <v>12.7</v>
      </c>
      <c r="H475" s="0" t="n">
        <v>0.68</v>
      </c>
      <c r="I475" s="10" t="n">
        <v>0.421</v>
      </c>
      <c r="J475" s="0" t="n">
        <v>1.06</v>
      </c>
      <c r="K475" s="13" t="n">
        <f aca="false">IF(H475&lt;&gt;"",H475,IFERROR(G475/INDEX(Players!$M$2:$M$137,MATCH(B475,Players!$A$2:$A$137,0)),""))</f>
        <v>0.68</v>
      </c>
    </row>
    <row r="476" customFormat="false" ht="15" hidden="false" customHeight="false" outlineLevel="0" collapsed="false">
      <c r="A476" s="0" t="s">
        <v>2492</v>
      </c>
      <c r="B476" s="0" t="s">
        <v>1749</v>
      </c>
      <c r="C476" s="0" t="s">
        <v>1507</v>
      </c>
      <c r="D476" s="0" t="s">
        <v>1139</v>
      </c>
      <c r="E476" s="0" t="s">
        <v>108</v>
      </c>
      <c r="F476" s="0" t="n">
        <v>2</v>
      </c>
      <c r="G476" s="0" t="n">
        <v>14.5</v>
      </c>
      <c r="H476" s="0" t="n">
        <v>0.66</v>
      </c>
      <c r="I476" s="10" t="n">
        <v>0.483</v>
      </c>
      <c r="J476" s="0" t="n">
        <v>1.16</v>
      </c>
      <c r="K476" s="13" t="n">
        <f aca="false">IF(H476&lt;&gt;"",H476,IFERROR(G476/INDEX(Players!$M$2:$M$137,MATCH(B476,Players!$A$2:$A$137,0)),""))</f>
        <v>0.66</v>
      </c>
    </row>
    <row r="477" customFormat="false" ht="15" hidden="false" customHeight="false" outlineLevel="0" collapsed="false">
      <c r="A477" s="0" t="s">
        <v>2493</v>
      </c>
      <c r="B477" s="0" t="s">
        <v>1693</v>
      </c>
      <c r="C477" s="0" t="s">
        <v>1379</v>
      </c>
      <c r="D477" s="0" t="s">
        <v>1139</v>
      </c>
      <c r="E477" s="0" t="s">
        <v>145</v>
      </c>
      <c r="F477" s="0" t="n">
        <v>8</v>
      </c>
      <c r="G477" s="0" t="n">
        <v>15.6</v>
      </c>
      <c r="H477" s="0" t="n">
        <v>0.73</v>
      </c>
      <c r="I477" s="10" t="n">
        <v>0.664</v>
      </c>
      <c r="J477" s="0" t="n">
        <v>1.08</v>
      </c>
      <c r="K477" s="13" t="n">
        <f aca="false">IF(H477&lt;&gt;"",H477,IFERROR(G477/INDEX(Players!$M$2:$M$137,MATCH(B477,Players!$A$2:$A$137,0)),""))</f>
        <v>0.73</v>
      </c>
    </row>
    <row r="478" customFormat="false" ht="15" hidden="false" customHeight="false" outlineLevel="0" collapsed="false">
      <c r="A478" s="0" t="s">
        <v>2494</v>
      </c>
      <c r="B478" s="0" t="s">
        <v>1693</v>
      </c>
      <c r="C478" s="0" t="s">
        <v>1379</v>
      </c>
      <c r="D478" s="0" t="s">
        <v>1139</v>
      </c>
      <c r="E478" s="0" t="s">
        <v>81</v>
      </c>
      <c r="F478" s="0" t="n">
        <v>7</v>
      </c>
      <c r="G478" s="0" t="n">
        <v>21</v>
      </c>
      <c r="H478" s="0" t="n">
        <v>0.79</v>
      </c>
      <c r="I478" s="10" t="n">
        <v>0.503</v>
      </c>
      <c r="J478" s="0" t="n">
        <v>1.12</v>
      </c>
      <c r="K478" s="13" t="n">
        <f aca="false">IF(H478&lt;&gt;"",H478,IFERROR(G478/INDEX(Players!$M$2:$M$137,MATCH(B478,Players!$A$2:$A$137,0)),""))</f>
        <v>0.79</v>
      </c>
    </row>
    <row r="479" customFormat="false" ht="15" hidden="false" customHeight="false" outlineLevel="0" collapsed="false">
      <c r="A479" s="0" t="s">
        <v>2495</v>
      </c>
      <c r="B479" s="0" t="s">
        <v>1693</v>
      </c>
      <c r="C479" s="0" t="s">
        <v>1379</v>
      </c>
      <c r="D479" s="0" t="s">
        <v>1139</v>
      </c>
      <c r="E479" s="0" t="s">
        <v>108</v>
      </c>
      <c r="F479" s="0" t="n">
        <v>7</v>
      </c>
      <c r="G479" s="0" t="n">
        <v>14.1</v>
      </c>
      <c r="H479" s="0" t="n">
        <v>0.65</v>
      </c>
      <c r="I479" s="10" t="n">
        <v>0.636</v>
      </c>
      <c r="J479" s="0" t="n">
        <v>0.91</v>
      </c>
      <c r="K479" s="13" t="n">
        <f aca="false">IF(H479&lt;&gt;"",H479,IFERROR(G479/INDEX(Players!$M$2:$M$137,MATCH(B479,Players!$A$2:$A$137,0)),""))</f>
        <v>0.65</v>
      </c>
    </row>
    <row r="480" customFormat="false" ht="15" hidden="false" customHeight="false" outlineLevel="0" collapsed="false">
      <c r="A480" s="0" t="s">
        <v>2496</v>
      </c>
      <c r="B480" s="0" t="s">
        <v>1693</v>
      </c>
      <c r="C480" s="0" t="s">
        <v>1379</v>
      </c>
      <c r="D480" s="0" t="s">
        <v>1139</v>
      </c>
      <c r="E480" s="0" t="s">
        <v>129</v>
      </c>
      <c r="F480" s="0" t="n">
        <v>5</v>
      </c>
      <c r="G480" s="0" t="n">
        <v>14.2</v>
      </c>
      <c r="H480" s="0" t="n">
        <v>0.63</v>
      </c>
      <c r="I480" s="10" t="n">
        <v>0.563</v>
      </c>
      <c r="J480" s="0" t="n">
        <v>0.91</v>
      </c>
      <c r="K480" s="13" t="n">
        <f aca="false">IF(H480&lt;&gt;"",H480,IFERROR(G480/INDEX(Players!$M$2:$M$137,MATCH(B480,Players!$A$2:$A$137,0)),""))</f>
        <v>0.63</v>
      </c>
    </row>
    <row r="481" customFormat="false" ht="15" hidden="false" customHeight="false" outlineLevel="0" collapsed="false">
      <c r="A481" s="0" t="s">
        <v>2497</v>
      </c>
      <c r="B481" s="0" t="s">
        <v>1693</v>
      </c>
      <c r="C481" s="0" t="s">
        <v>1379</v>
      </c>
      <c r="D481" s="0" t="s">
        <v>1139</v>
      </c>
      <c r="E481" s="0" t="s">
        <v>95</v>
      </c>
      <c r="F481" s="0" t="n">
        <v>4</v>
      </c>
      <c r="G481" s="0" t="n">
        <v>12.5</v>
      </c>
      <c r="H481" s="0" t="n">
        <v>0.7</v>
      </c>
      <c r="I481" s="10" t="n">
        <v>0.62</v>
      </c>
      <c r="J481" s="0" t="n">
        <v>1.35</v>
      </c>
      <c r="K481" s="13" t="n">
        <f aca="false">IF(H481&lt;&gt;"",H481,IFERROR(G481/INDEX(Players!$M$2:$M$137,MATCH(B481,Players!$A$2:$A$137,0)),""))</f>
        <v>0.7</v>
      </c>
    </row>
    <row r="482" customFormat="false" ht="15" hidden="false" customHeight="false" outlineLevel="0" collapsed="false">
      <c r="A482" s="0" t="s">
        <v>2498</v>
      </c>
      <c r="B482" s="0" t="s">
        <v>1693</v>
      </c>
      <c r="C482" s="0" t="s">
        <v>1379</v>
      </c>
      <c r="D482" s="0" t="s">
        <v>1139</v>
      </c>
      <c r="E482" s="0" t="s">
        <v>121</v>
      </c>
      <c r="F482" s="0" t="n">
        <v>3</v>
      </c>
      <c r="G482" s="0" t="n">
        <v>14.3</v>
      </c>
      <c r="H482" s="0" t="n">
        <v>0.69</v>
      </c>
      <c r="I482" s="10" t="n">
        <v>0.581</v>
      </c>
      <c r="J482" s="0" t="n">
        <v>0.98</v>
      </c>
      <c r="K482" s="13" t="n">
        <f aca="false">IF(H482&lt;&gt;"",H482,IFERROR(G482/INDEX(Players!$M$2:$M$137,MATCH(B482,Players!$A$2:$A$137,0)),""))</f>
        <v>0.69</v>
      </c>
    </row>
    <row r="483" customFormat="false" ht="15" hidden="false" customHeight="false" outlineLevel="0" collapsed="false">
      <c r="A483" s="0" t="s">
        <v>2499</v>
      </c>
      <c r="B483" s="0" t="s">
        <v>1774</v>
      </c>
      <c r="C483" s="0" t="s">
        <v>1560</v>
      </c>
      <c r="D483" s="0" t="s">
        <v>1139</v>
      </c>
      <c r="E483" s="0" t="s">
        <v>145</v>
      </c>
      <c r="F483" s="0" t="n">
        <v>10</v>
      </c>
      <c r="G483" s="0" t="n">
        <v>13.8</v>
      </c>
      <c r="H483" s="0" t="n">
        <v>0.59</v>
      </c>
      <c r="I483" s="10" t="n">
        <v>0.478</v>
      </c>
      <c r="J483" s="0" t="n">
        <v>0.83</v>
      </c>
      <c r="K483" s="13" t="n">
        <f aca="false">IF(H483&lt;&gt;"",H483,IFERROR(G483/INDEX(Players!$M$2:$M$137,MATCH(B483,Players!$A$2:$A$137,0)),""))</f>
        <v>0.59</v>
      </c>
    </row>
    <row r="484" customFormat="false" ht="15" hidden="false" customHeight="false" outlineLevel="0" collapsed="false">
      <c r="A484" s="0" t="s">
        <v>2500</v>
      </c>
      <c r="B484" s="0" t="s">
        <v>1774</v>
      </c>
      <c r="C484" s="0" t="s">
        <v>1560</v>
      </c>
      <c r="D484" s="0" t="s">
        <v>1139</v>
      </c>
      <c r="E484" s="0" t="s">
        <v>81</v>
      </c>
      <c r="F484" s="0" t="n">
        <v>9</v>
      </c>
      <c r="G484" s="0" t="n">
        <v>13.2</v>
      </c>
      <c r="H484" s="0" t="n">
        <v>0.64</v>
      </c>
      <c r="I484" s="10" t="n">
        <v>0.529</v>
      </c>
      <c r="J484" s="0" t="n">
        <v>0.9</v>
      </c>
      <c r="K484" s="13" t="n">
        <f aca="false">IF(H484&lt;&gt;"",H484,IFERROR(G484/INDEX(Players!$M$2:$M$137,MATCH(B484,Players!$A$2:$A$137,0)),""))</f>
        <v>0.64</v>
      </c>
    </row>
    <row r="485" customFormat="false" ht="15" hidden="false" customHeight="false" outlineLevel="0" collapsed="false">
      <c r="A485" s="0" t="s">
        <v>2501</v>
      </c>
      <c r="B485" s="0" t="s">
        <v>1774</v>
      </c>
      <c r="C485" s="0" t="s">
        <v>1560</v>
      </c>
      <c r="D485" s="0" t="s">
        <v>1139</v>
      </c>
      <c r="E485" s="0" t="s">
        <v>108</v>
      </c>
      <c r="F485" s="0" t="n">
        <v>8</v>
      </c>
      <c r="G485" s="0" t="n">
        <v>13.8</v>
      </c>
      <c r="H485" s="0" t="n">
        <v>0.62</v>
      </c>
      <c r="I485" s="10" t="n">
        <v>0.482</v>
      </c>
      <c r="J485" s="0" t="n">
        <v>0.9</v>
      </c>
      <c r="K485" s="13" t="n">
        <f aca="false">IF(H485&lt;&gt;"",H485,IFERROR(G485/INDEX(Players!$M$2:$M$137,MATCH(B485,Players!$A$2:$A$137,0)),""))</f>
        <v>0.62</v>
      </c>
    </row>
    <row r="486" customFormat="false" ht="15" hidden="false" customHeight="false" outlineLevel="0" collapsed="false">
      <c r="A486" s="0" t="s">
        <v>2502</v>
      </c>
      <c r="B486" s="0" t="s">
        <v>1774</v>
      </c>
      <c r="C486" s="0" t="s">
        <v>1560</v>
      </c>
      <c r="D486" s="0" t="s">
        <v>1139</v>
      </c>
      <c r="E486" s="0" t="s">
        <v>95</v>
      </c>
      <c r="F486" s="0" t="n">
        <v>8</v>
      </c>
      <c r="G486" s="0" t="n">
        <v>12.3</v>
      </c>
      <c r="H486" s="0" t="n">
        <v>0.61</v>
      </c>
      <c r="I486" s="10" t="n">
        <v>0.551</v>
      </c>
      <c r="J486" s="0" t="n">
        <v>0.82</v>
      </c>
      <c r="K486" s="13" t="n">
        <f aca="false">IF(H486&lt;&gt;"",H486,IFERROR(G486/INDEX(Players!$M$2:$M$137,MATCH(B486,Players!$A$2:$A$137,0)),""))</f>
        <v>0.61</v>
      </c>
    </row>
    <row r="487" customFormat="false" ht="15" hidden="false" customHeight="false" outlineLevel="0" collapsed="false">
      <c r="A487" s="0" t="s">
        <v>2503</v>
      </c>
      <c r="B487" s="0" t="s">
        <v>1774</v>
      </c>
      <c r="C487" s="0" t="s">
        <v>1560</v>
      </c>
      <c r="D487" s="0" t="s">
        <v>1139</v>
      </c>
      <c r="E487" s="0" t="s">
        <v>121</v>
      </c>
      <c r="F487" s="0" t="n">
        <v>3</v>
      </c>
      <c r="G487" s="0" t="n">
        <v>18.3</v>
      </c>
      <c r="H487" s="0" t="n">
        <v>0.83</v>
      </c>
      <c r="I487" s="10" t="n">
        <v>0.509</v>
      </c>
      <c r="J487" s="0" t="n">
        <v>1.25</v>
      </c>
      <c r="K487" s="13" t="n">
        <f aca="false">IF(H487&lt;&gt;"",H487,IFERROR(G487/INDEX(Players!$M$2:$M$137,MATCH(B487,Players!$A$2:$A$137,0)),""))</f>
        <v>0.83</v>
      </c>
    </row>
    <row r="488" customFormat="false" ht="15" hidden="false" customHeight="false" outlineLevel="0" collapsed="false">
      <c r="A488" s="0" t="s">
        <v>2504</v>
      </c>
      <c r="B488" s="0" t="s">
        <v>1774</v>
      </c>
      <c r="C488" s="0" t="s">
        <v>1560</v>
      </c>
      <c r="D488" s="0" t="s">
        <v>1139</v>
      </c>
      <c r="E488" s="0" t="s">
        <v>129</v>
      </c>
      <c r="F488" s="0" t="n">
        <v>1</v>
      </c>
      <c r="G488" s="0" t="n">
        <v>21</v>
      </c>
      <c r="H488" s="0" t="n">
        <v>0.7</v>
      </c>
      <c r="I488" s="10" t="n">
        <v>0.762</v>
      </c>
      <c r="J488" s="0" t="n">
        <v>0.95</v>
      </c>
      <c r="K488" s="13" t="n">
        <f aca="false">IF(H488&lt;&gt;"",H488,IFERROR(G488/INDEX(Players!$M$2:$M$137,MATCH(B488,Players!$A$2:$A$137,0)),""))</f>
        <v>0.7</v>
      </c>
    </row>
    <row r="489" customFormat="false" ht="15" hidden="false" customHeight="false" outlineLevel="0" collapsed="false">
      <c r="A489" s="0" t="s">
        <v>2505</v>
      </c>
      <c r="B489" s="0" t="s">
        <v>1669</v>
      </c>
      <c r="C489" s="0" t="s">
        <v>1314</v>
      </c>
      <c r="D489" s="0" t="s">
        <v>1139</v>
      </c>
      <c r="E489" s="0" t="s">
        <v>129</v>
      </c>
      <c r="F489" s="0" t="n">
        <v>11</v>
      </c>
      <c r="G489" s="0" t="n">
        <v>14.5</v>
      </c>
      <c r="H489" s="0" t="n">
        <v>0.7</v>
      </c>
      <c r="I489" s="10" t="n">
        <v>0.238</v>
      </c>
      <c r="J489" s="0" t="n">
        <v>1.3</v>
      </c>
      <c r="K489" s="13" t="n">
        <f aca="false">IF(H489&lt;&gt;"",H489,IFERROR(G489/INDEX(Players!$M$2:$M$137,MATCH(B489,Players!$A$2:$A$137,0)),""))</f>
        <v>0.7</v>
      </c>
    </row>
    <row r="490" customFormat="false" ht="15" hidden="false" customHeight="false" outlineLevel="0" collapsed="false">
      <c r="A490" s="0" t="s">
        <v>2506</v>
      </c>
      <c r="B490" s="0" t="s">
        <v>1669</v>
      </c>
      <c r="C490" s="0" t="s">
        <v>1314</v>
      </c>
      <c r="D490" s="0" t="s">
        <v>1139</v>
      </c>
      <c r="E490" s="0" t="s">
        <v>81</v>
      </c>
      <c r="F490" s="0" t="n">
        <v>10</v>
      </c>
      <c r="G490" s="0" t="n">
        <v>13.6</v>
      </c>
      <c r="H490" s="0" t="n">
        <v>0.63</v>
      </c>
      <c r="I490" s="10" t="n">
        <v>0.294</v>
      </c>
      <c r="J490" s="0" t="n">
        <v>1.12</v>
      </c>
      <c r="K490" s="13" t="n">
        <f aca="false">IF(H490&lt;&gt;"",H490,IFERROR(G490/INDEX(Players!$M$2:$M$137,MATCH(B490,Players!$A$2:$A$137,0)),""))</f>
        <v>0.63</v>
      </c>
    </row>
    <row r="491" customFormat="false" ht="15" hidden="false" customHeight="false" outlineLevel="0" collapsed="false">
      <c r="A491" s="0" t="s">
        <v>2507</v>
      </c>
      <c r="B491" s="0" t="s">
        <v>1669</v>
      </c>
      <c r="C491" s="0" t="s">
        <v>1314</v>
      </c>
      <c r="D491" s="0" t="s">
        <v>1139</v>
      </c>
      <c r="E491" s="0" t="s">
        <v>145</v>
      </c>
      <c r="F491" s="0" t="n">
        <v>8</v>
      </c>
      <c r="G491" s="0" t="n">
        <v>18.8</v>
      </c>
      <c r="H491" s="0" t="n">
        <v>0.75</v>
      </c>
      <c r="I491" s="10" t="n">
        <v>0.28</v>
      </c>
      <c r="J491" s="0" t="n">
        <v>1.26</v>
      </c>
      <c r="K491" s="13" t="n">
        <f aca="false">IF(H491&lt;&gt;"",H491,IFERROR(G491/INDEX(Players!$M$2:$M$137,MATCH(B491,Players!$A$2:$A$137,0)),""))</f>
        <v>0.75</v>
      </c>
    </row>
    <row r="492" customFormat="false" ht="15" hidden="false" customHeight="false" outlineLevel="0" collapsed="false">
      <c r="A492" s="0" t="s">
        <v>2508</v>
      </c>
      <c r="B492" s="0" t="s">
        <v>1669</v>
      </c>
      <c r="C492" s="0" t="s">
        <v>1314</v>
      </c>
      <c r="D492" s="0" t="s">
        <v>1139</v>
      </c>
      <c r="E492" s="0" t="s">
        <v>108</v>
      </c>
      <c r="F492" s="0" t="n">
        <v>5</v>
      </c>
      <c r="G492" s="0" t="n">
        <v>14</v>
      </c>
      <c r="H492" s="0" t="n">
        <v>0.69</v>
      </c>
      <c r="I492" s="10" t="n">
        <v>0.257</v>
      </c>
      <c r="J492" s="0" t="n">
        <v>1.13</v>
      </c>
      <c r="K492" s="13" t="n">
        <f aca="false">IF(H492&lt;&gt;"",H492,IFERROR(G492/INDEX(Players!$M$2:$M$137,MATCH(B492,Players!$A$2:$A$137,0)),""))</f>
        <v>0.69</v>
      </c>
    </row>
    <row r="493" customFormat="false" ht="15" hidden="false" customHeight="false" outlineLevel="0" collapsed="false">
      <c r="A493" s="0" t="s">
        <v>2509</v>
      </c>
      <c r="B493" s="0" t="s">
        <v>1669</v>
      </c>
      <c r="C493" s="0" t="s">
        <v>1314</v>
      </c>
      <c r="D493" s="0" t="s">
        <v>1139</v>
      </c>
      <c r="E493" s="0" t="s">
        <v>139</v>
      </c>
      <c r="F493" s="0" t="n">
        <v>4</v>
      </c>
      <c r="G493" s="0" t="n">
        <v>16.3</v>
      </c>
      <c r="H493" s="0" t="n">
        <v>0.66</v>
      </c>
      <c r="I493" s="10" t="n">
        <v>0.323</v>
      </c>
      <c r="J493" s="0" t="n">
        <v>1.12</v>
      </c>
      <c r="K493" s="13" t="n">
        <f aca="false">IF(H493&lt;&gt;"",H493,IFERROR(G493/INDEX(Players!$M$2:$M$137,MATCH(B493,Players!$A$2:$A$137,0)),""))</f>
        <v>0.66</v>
      </c>
    </row>
    <row r="494" customFormat="false" ht="15" hidden="false" customHeight="false" outlineLevel="0" collapsed="false">
      <c r="A494" s="0" t="s">
        <v>2510</v>
      </c>
      <c r="B494" s="0" t="s">
        <v>1669</v>
      </c>
      <c r="C494" s="0" t="s">
        <v>1314</v>
      </c>
      <c r="D494" s="0" t="s">
        <v>1139</v>
      </c>
      <c r="E494" s="0" t="s">
        <v>95</v>
      </c>
      <c r="F494" s="0" t="n">
        <v>3</v>
      </c>
      <c r="G494" s="0" t="n">
        <v>19.3</v>
      </c>
      <c r="H494" s="0" t="n">
        <v>1</v>
      </c>
      <c r="I494" s="10" t="n">
        <v>0.379</v>
      </c>
      <c r="J494" s="0" t="n">
        <v>1.93</v>
      </c>
      <c r="K494" s="13" t="n">
        <f aca="false">IF(H494&lt;&gt;"",H494,IFERROR(G494/INDEX(Players!$M$2:$M$137,MATCH(B494,Players!$A$2:$A$137,0)),""))</f>
        <v>1</v>
      </c>
    </row>
    <row r="495" customFormat="false" ht="15" hidden="false" customHeight="false" outlineLevel="0" collapsed="false">
      <c r="A495" s="0" t="s">
        <v>2511</v>
      </c>
      <c r="B495" s="0" t="s">
        <v>1669</v>
      </c>
      <c r="C495" s="0" t="s">
        <v>1314</v>
      </c>
      <c r="D495" s="0" t="s">
        <v>1139</v>
      </c>
      <c r="E495" s="0" t="s">
        <v>121</v>
      </c>
      <c r="F495" s="0" t="n">
        <v>1</v>
      </c>
      <c r="G495" s="0" t="n">
        <v>18</v>
      </c>
      <c r="H495" s="0" t="n">
        <v>0.9</v>
      </c>
      <c r="I495" s="10" t="n">
        <v>0.167</v>
      </c>
      <c r="J495" s="0" t="n">
        <v>1.64</v>
      </c>
      <c r="K495" s="13" t="n">
        <f aca="false">IF(H495&lt;&gt;"",H495,IFERROR(G495/INDEX(Players!$M$2:$M$137,MATCH(B495,Players!$A$2:$A$137,0)),""))</f>
        <v>0.9</v>
      </c>
    </row>
    <row r="496" customFormat="false" ht="15" hidden="false" customHeight="false" outlineLevel="0" collapsed="false">
      <c r="A496" s="0" t="s">
        <v>2512</v>
      </c>
      <c r="B496" s="0" t="s">
        <v>1744</v>
      </c>
      <c r="C496" s="0" t="s">
        <v>1495</v>
      </c>
      <c r="D496" s="0" t="s">
        <v>1139</v>
      </c>
      <c r="E496" s="0" t="s">
        <v>81</v>
      </c>
      <c r="F496" s="0" t="n">
        <v>12</v>
      </c>
      <c r="G496" s="0" t="n">
        <v>12.1</v>
      </c>
      <c r="H496" s="0" t="n">
        <v>0.52</v>
      </c>
      <c r="I496" s="10" t="n">
        <v>0.559</v>
      </c>
      <c r="J496" s="0" t="n">
        <v>0.86</v>
      </c>
      <c r="K496" s="13" t="n">
        <f aca="false">IF(H496&lt;&gt;"",H496,IFERROR(G496/INDEX(Players!$M$2:$M$137,MATCH(B496,Players!$A$2:$A$137,0)),""))</f>
        <v>0.52</v>
      </c>
    </row>
    <row r="497" customFormat="false" ht="15" hidden="false" customHeight="false" outlineLevel="0" collapsed="false">
      <c r="A497" s="0" t="s">
        <v>2513</v>
      </c>
      <c r="B497" s="0" t="s">
        <v>1744</v>
      </c>
      <c r="C497" s="0" t="s">
        <v>1495</v>
      </c>
      <c r="D497" s="0" t="s">
        <v>1139</v>
      </c>
      <c r="E497" s="0" t="s">
        <v>95</v>
      </c>
      <c r="F497" s="0" t="n">
        <v>7</v>
      </c>
      <c r="G497" s="0" t="n">
        <v>12.6</v>
      </c>
      <c r="H497" s="0" t="n">
        <v>0.53</v>
      </c>
      <c r="I497" s="10" t="n">
        <v>0.42</v>
      </c>
      <c r="J497" s="0" t="n">
        <v>0.78</v>
      </c>
      <c r="K497" s="13" t="n">
        <f aca="false">IF(H497&lt;&gt;"",H497,IFERROR(G497/INDEX(Players!$M$2:$M$137,MATCH(B497,Players!$A$2:$A$137,0)),""))</f>
        <v>0.53</v>
      </c>
    </row>
    <row r="498" customFormat="false" ht="15" hidden="false" customHeight="false" outlineLevel="0" collapsed="false">
      <c r="A498" s="0" t="s">
        <v>2514</v>
      </c>
      <c r="B498" s="0" t="s">
        <v>1744</v>
      </c>
      <c r="C498" s="0" t="s">
        <v>1495</v>
      </c>
      <c r="D498" s="0" t="s">
        <v>1139</v>
      </c>
      <c r="E498" s="0" t="s">
        <v>139</v>
      </c>
      <c r="F498" s="0" t="n">
        <v>7</v>
      </c>
      <c r="G498" s="0" t="n">
        <v>12.1</v>
      </c>
      <c r="H498" s="0" t="n">
        <v>0.55</v>
      </c>
      <c r="I498" s="10" t="n">
        <v>0.482</v>
      </c>
      <c r="J498" s="0" t="n">
        <v>0.77</v>
      </c>
      <c r="K498" s="13" t="n">
        <f aca="false">IF(H498&lt;&gt;"",H498,IFERROR(G498/INDEX(Players!$M$2:$M$137,MATCH(B498,Players!$A$2:$A$137,0)),""))</f>
        <v>0.55</v>
      </c>
    </row>
    <row r="499" customFormat="false" ht="15" hidden="false" customHeight="false" outlineLevel="0" collapsed="false">
      <c r="A499" s="0" t="s">
        <v>2515</v>
      </c>
      <c r="B499" s="0" t="s">
        <v>1744</v>
      </c>
      <c r="C499" s="0" t="s">
        <v>1495</v>
      </c>
      <c r="D499" s="0" t="s">
        <v>1139</v>
      </c>
      <c r="E499" s="0" t="s">
        <v>121</v>
      </c>
      <c r="F499" s="0" t="n">
        <v>4</v>
      </c>
      <c r="G499" s="0" t="n">
        <v>11.8</v>
      </c>
      <c r="H499" s="0" t="n">
        <v>0.61</v>
      </c>
      <c r="I499" s="10" t="n">
        <v>0.596</v>
      </c>
      <c r="J499" s="0" t="n">
        <v>0.96</v>
      </c>
      <c r="K499" s="13" t="n">
        <f aca="false">IF(H499&lt;&gt;"",H499,IFERROR(G499/INDEX(Players!$M$2:$M$137,MATCH(B499,Players!$A$2:$A$137,0)),""))</f>
        <v>0.61</v>
      </c>
    </row>
    <row r="500" customFormat="false" ht="15" hidden="false" customHeight="false" outlineLevel="0" collapsed="false">
      <c r="A500" s="0" t="s">
        <v>2516</v>
      </c>
      <c r="B500" s="0" t="s">
        <v>1744</v>
      </c>
      <c r="C500" s="0" t="s">
        <v>1495</v>
      </c>
      <c r="D500" s="0" t="s">
        <v>1139</v>
      </c>
      <c r="E500" s="0" t="s">
        <v>145</v>
      </c>
      <c r="F500" s="0" t="n">
        <v>4</v>
      </c>
      <c r="G500" s="0" t="n">
        <v>12</v>
      </c>
      <c r="H500" s="0" t="n">
        <v>0.54</v>
      </c>
      <c r="I500" s="10" t="n">
        <v>0.5</v>
      </c>
      <c r="J500" s="0" t="n">
        <v>0.92</v>
      </c>
      <c r="K500" s="13" t="n">
        <f aca="false">IF(H500&lt;&gt;"",H500,IFERROR(G500/INDEX(Players!$M$2:$M$137,MATCH(B500,Players!$A$2:$A$137,0)),""))</f>
        <v>0.54</v>
      </c>
    </row>
    <row r="501" customFormat="false" ht="15" hidden="false" customHeight="false" outlineLevel="0" collapsed="false">
      <c r="A501" s="0" t="s">
        <v>2517</v>
      </c>
      <c r="B501" s="0" t="s">
        <v>1744</v>
      </c>
      <c r="C501" s="0" t="s">
        <v>1495</v>
      </c>
      <c r="D501" s="0" t="s">
        <v>1139</v>
      </c>
      <c r="E501" s="0" t="s">
        <v>129</v>
      </c>
      <c r="F501" s="0" t="n">
        <v>3</v>
      </c>
      <c r="G501" s="0" t="n">
        <v>11.7</v>
      </c>
      <c r="H501" s="0" t="n">
        <v>0.56</v>
      </c>
      <c r="I501" s="10" t="n">
        <v>0.343</v>
      </c>
      <c r="J501" s="0" t="n">
        <v>0.83</v>
      </c>
      <c r="K501" s="13" t="n">
        <f aca="false">IF(H501&lt;&gt;"",H501,IFERROR(G501/INDEX(Players!$M$2:$M$137,MATCH(B501,Players!$A$2:$A$137,0)),""))</f>
        <v>0.56</v>
      </c>
    </row>
    <row r="502" customFormat="false" ht="15" hidden="false" customHeight="false" outlineLevel="0" collapsed="false">
      <c r="A502" s="0" t="s">
        <v>2518</v>
      </c>
      <c r="B502" s="0" t="s">
        <v>1661</v>
      </c>
      <c r="C502" s="0" t="s">
        <v>1294</v>
      </c>
      <c r="D502" s="0" t="s">
        <v>1139</v>
      </c>
      <c r="E502" s="0" t="s">
        <v>95</v>
      </c>
      <c r="F502" s="0" t="n">
        <v>7</v>
      </c>
      <c r="G502" s="0" t="n">
        <v>16.6</v>
      </c>
      <c r="H502" s="0" t="n">
        <v>0.88</v>
      </c>
      <c r="I502" s="10" t="n">
        <v>0.56</v>
      </c>
      <c r="J502" s="0" t="n">
        <v>1.71</v>
      </c>
      <c r="K502" s="13" t="n">
        <f aca="false">IF(H502&lt;&gt;"",H502,IFERROR(G502/INDEX(Players!$M$2:$M$137,MATCH(B502,Players!$A$2:$A$137,0)),""))</f>
        <v>0.88</v>
      </c>
    </row>
    <row r="503" customFormat="false" ht="15" hidden="false" customHeight="false" outlineLevel="0" collapsed="false">
      <c r="A503" s="0" t="s">
        <v>2519</v>
      </c>
      <c r="B503" s="0" t="s">
        <v>1661</v>
      </c>
      <c r="C503" s="0" t="s">
        <v>1294</v>
      </c>
      <c r="D503" s="0" t="s">
        <v>1139</v>
      </c>
      <c r="E503" s="0" t="s">
        <v>81</v>
      </c>
      <c r="F503" s="0" t="n">
        <v>6</v>
      </c>
      <c r="G503" s="0" t="n">
        <v>16.2</v>
      </c>
      <c r="H503" s="0" t="n">
        <v>0.79</v>
      </c>
      <c r="I503" s="10" t="n">
        <v>0.505</v>
      </c>
      <c r="J503" s="0" t="n">
        <v>1.28</v>
      </c>
      <c r="K503" s="13" t="n">
        <f aca="false">IF(H503&lt;&gt;"",H503,IFERROR(G503/INDEX(Players!$M$2:$M$137,MATCH(B503,Players!$A$2:$A$137,0)),""))</f>
        <v>0.79</v>
      </c>
    </row>
    <row r="504" customFormat="false" ht="15" hidden="false" customHeight="false" outlineLevel="0" collapsed="false">
      <c r="A504" s="0" t="s">
        <v>2520</v>
      </c>
      <c r="B504" s="0" t="s">
        <v>1661</v>
      </c>
      <c r="C504" s="0" t="s">
        <v>1294</v>
      </c>
      <c r="D504" s="0" t="s">
        <v>1139</v>
      </c>
      <c r="E504" s="0" t="s">
        <v>108</v>
      </c>
      <c r="F504" s="0" t="n">
        <v>4</v>
      </c>
      <c r="G504" s="0" t="n">
        <v>17.3</v>
      </c>
      <c r="H504" s="0" t="n">
        <v>0.81</v>
      </c>
      <c r="I504" s="10" t="n">
        <v>0.536</v>
      </c>
      <c r="J504" s="0" t="n">
        <v>1.11</v>
      </c>
      <c r="K504" s="13" t="n">
        <f aca="false">IF(H504&lt;&gt;"",H504,IFERROR(G504/INDEX(Players!$M$2:$M$137,MATCH(B504,Players!$A$2:$A$137,0)),""))</f>
        <v>0.81</v>
      </c>
    </row>
    <row r="505" customFormat="false" ht="15" hidden="false" customHeight="false" outlineLevel="0" collapsed="false">
      <c r="A505" s="0" t="s">
        <v>2521</v>
      </c>
      <c r="B505" s="0" t="s">
        <v>1661</v>
      </c>
      <c r="C505" s="0" t="s">
        <v>1294</v>
      </c>
      <c r="D505" s="0" t="s">
        <v>1139</v>
      </c>
      <c r="E505" s="0" t="s">
        <v>139</v>
      </c>
      <c r="F505" s="0" t="n">
        <v>4</v>
      </c>
      <c r="G505" s="0" t="n">
        <v>9.5</v>
      </c>
      <c r="H505" s="0" t="n">
        <v>0.46</v>
      </c>
      <c r="I505" s="10" t="n">
        <v>0.684</v>
      </c>
      <c r="J505" s="0" t="n">
        <v>0.64</v>
      </c>
      <c r="K505" s="13" t="n">
        <f aca="false">IF(H505&lt;&gt;"",H505,IFERROR(G505/INDEX(Players!$M$2:$M$137,MATCH(B505,Players!$A$2:$A$137,0)),""))</f>
        <v>0.46</v>
      </c>
    </row>
    <row r="506" customFormat="false" ht="15" hidden="false" customHeight="false" outlineLevel="0" collapsed="false">
      <c r="A506" s="0" t="s">
        <v>2522</v>
      </c>
      <c r="B506" s="0" t="s">
        <v>1661</v>
      </c>
      <c r="C506" s="0" t="s">
        <v>1294</v>
      </c>
      <c r="D506" s="0" t="s">
        <v>1139</v>
      </c>
      <c r="E506" s="0" t="s">
        <v>121</v>
      </c>
      <c r="F506" s="0" t="n">
        <v>3</v>
      </c>
      <c r="G506" s="0" t="n">
        <v>16.3</v>
      </c>
      <c r="H506" s="0" t="n">
        <v>0.7</v>
      </c>
      <c r="I506" s="10" t="n">
        <v>0.571</v>
      </c>
      <c r="J506" s="0" t="n">
        <v>1.09</v>
      </c>
      <c r="K506" s="13" t="n">
        <f aca="false">IF(H506&lt;&gt;"",H506,IFERROR(G506/INDEX(Players!$M$2:$M$137,MATCH(B506,Players!$A$2:$A$137,0)),""))</f>
        <v>0.7</v>
      </c>
    </row>
    <row r="507" customFormat="false" ht="15" hidden="false" customHeight="false" outlineLevel="0" collapsed="false">
      <c r="A507" s="0" t="s">
        <v>2523</v>
      </c>
      <c r="B507" s="0" t="s">
        <v>1661</v>
      </c>
      <c r="C507" s="0" t="s">
        <v>1294</v>
      </c>
      <c r="D507" s="0" t="s">
        <v>1139</v>
      </c>
      <c r="E507" s="0" t="s">
        <v>129</v>
      </c>
      <c r="F507" s="0" t="n">
        <v>3</v>
      </c>
      <c r="G507" s="0" t="n">
        <v>15</v>
      </c>
      <c r="H507" s="0" t="n">
        <v>0.75</v>
      </c>
      <c r="I507" s="10" t="n">
        <v>0.689</v>
      </c>
      <c r="J507" s="0" t="n">
        <v>1.02</v>
      </c>
      <c r="K507" s="13" t="n">
        <f aca="false">IF(H507&lt;&gt;"",H507,IFERROR(G507/INDEX(Players!$M$2:$M$137,MATCH(B507,Players!$A$2:$A$137,0)),""))</f>
        <v>0.75</v>
      </c>
    </row>
    <row r="508" customFormat="false" ht="15" hidden="false" customHeight="false" outlineLevel="0" collapsed="false">
      <c r="A508" s="0" t="s">
        <v>2524</v>
      </c>
      <c r="B508" s="0" t="s">
        <v>1661</v>
      </c>
      <c r="C508" s="0" t="s">
        <v>1294</v>
      </c>
      <c r="D508" s="0" t="s">
        <v>1139</v>
      </c>
      <c r="E508" s="0" t="s">
        <v>145</v>
      </c>
      <c r="F508" s="0" t="n">
        <v>3</v>
      </c>
      <c r="G508" s="0" t="n">
        <v>12</v>
      </c>
      <c r="H508" s="0" t="n">
        <v>0.64</v>
      </c>
      <c r="I508" s="10" t="n">
        <v>0.556</v>
      </c>
      <c r="J508" s="0" t="n">
        <v>0.95</v>
      </c>
      <c r="K508" s="13" t="n">
        <f aca="false">IF(H508&lt;&gt;"",H508,IFERROR(G508/INDEX(Players!$M$2:$M$137,MATCH(B508,Players!$A$2:$A$137,0)),""))</f>
        <v>0.64</v>
      </c>
    </row>
    <row r="509" customFormat="false" ht="15" hidden="false" customHeight="false" outlineLevel="0" collapsed="false">
      <c r="A509" s="0" t="s">
        <v>2525</v>
      </c>
      <c r="B509" s="0" t="s">
        <v>1694</v>
      </c>
      <c r="C509" s="0" t="s">
        <v>1381</v>
      </c>
      <c r="D509" s="0" t="s">
        <v>1139</v>
      </c>
      <c r="E509" s="0" t="s">
        <v>81</v>
      </c>
      <c r="F509" s="0" t="n">
        <v>8</v>
      </c>
      <c r="G509" s="0" t="n">
        <v>15</v>
      </c>
      <c r="H509" s="0" t="n">
        <v>0.58</v>
      </c>
      <c r="I509" s="10" t="n">
        <v>0.583</v>
      </c>
      <c r="J509" s="0" t="n">
        <v>0.8</v>
      </c>
      <c r="K509" s="13" t="n">
        <f aca="false">IF(H509&lt;&gt;"",H509,IFERROR(G509/INDEX(Players!$M$2:$M$137,MATCH(B509,Players!$A$2:$A$137,0)),""))</f>
        <v>0.58</v>
      </c>
    </row>
    <row r="510" customFormat="false" ht="15" hidden="false" customHeight="false" outlineLevel="0" collapsed="false">
      <c r="A510" s="0" t="s">
        <v>2526</v>
      </c>
      <c r="B510" s="0" t="s">
        <v>1694</v>
      </c>
      <c r="C510" s="0" t="s">
        <v>1381</v>
      </c>
      <c r="D510" s="0" t="s">
        <v>1139</v>
      </c>
      <c r="E510" s="0" t="s">
        <v>145</v>
      </c>
      <c r="F510" s="0" t="n">
        <v>8</v>
      </c>
      <c r="G510" s="0" t="n">
        <v>11</v>
      </c>
      <c r="H510" s="0" t="n">
        <v>0.51</v>
      </c>
      <c r="I510" s="10" t="n">
        <v>0.591</v>
      </c>
      <c r="J510" s="0" t="n">
        <v>0.74</v>
      </c>
      <c r="K510" s="13" t="n">
        <f aca="false">IF(H510&lt;&gt;"",H510,IFERROR(G510/INDEX(Players!$M$2:$M$137,MATCH(B510,Players!$A$2:$A$137,0)),""))</f>
        <v>0.51</v>
      </c>
    </row>
    <row r="511" customFormat="false" ht="15" hidden="false" customHeight="false" outlineLevel="0" collapsed="false">
      <c r="A511" s="0" t="s">
        <v>2527</v>
      </c>
      <c r="B511" s="0" t="s">
        <v>1694</v>
      </c>
      <c r="C511" s="0" t="s">
        <v>1381</v>
      </c>
      <c r="D511" s="0" t="s">
        <v>1139</v>
      </c>
      <c r="E511" s="0" t="s">
        <v>108</v>
      </c>
      <c r="F511" s="0" t="n">
        <v>7</v>
      </c>
      <c r="G511" s="0" t="n">
        <v>13.4</v>
      </c>
      <c r="H511" s="0" t="n">
        <v>0.69</v>
      </c>
      <c r="I511" s="10" t="n">
        <v>0.457</v>
      </c>
      <c r="J511" s="0" t="n">
        <v>1.16</v>
      </c>
      <c r="K511" s="13" t="n">
        <f aca="false">IF(H511&lt;&gt;"",H511,IFERROR(G511/INDEX(Players!$M$2:$M$137,MATCH(B511,Players!$A$2:$A$137,0)),""))</f>
        <v>0.69</v>
      </c>
    </row>
    <row r="512" customFormat="false" ht="15" hidden="false" customHeight="false" outlineLevel="0" collapsed="false">
      <c r="A512" s="0" t="s">
        <v>2528</v>
      </c>
      <c r="B512" s="0" t="s">
        <v>1694</v>
      </c>
      <c r="C512" s="0" t="s">
        <v>1381</v>
      </c>
      <c r="D512" s="0" t="s">
        <v>1139</v>
      </c>
      <c r="E512" s="0" t="s">
        <v>95</v>
      </c>
      <c r="F512" s="0" t="n">
        <v>4</v>
      </c>
      <c r="G512" s="0" t="n">
        <v>11.3</v>
      </c>
      <c r="H512" s="0" t="n">
        <v>0.63</v>
      </c>
      <c r="I512" s="10" t="n">
        <v>0.511</v>
      </c>
      <c r="J512" s="0" t="n">
        <v>1.05</v>
      </c>
      <c r="K512" s="13" t="n">
        <f aca="false">IF(H512&lt;&gt;"",H512,IFERROR(G512/INDEX(Players!$M$2:$M$137,MATCH(B512,Players!$A$2:$A$137,0)),""))</f>
        <v>0.63</v>
      </c>
    </row>
    <row r="513" customFormat="false" ht="15" hidden="false" customHeight="false" outlineLevel="0" collapsed="false">
      <c r="A513" s="0" t="s">
        <v>2529</v>
      </c>
      <c r="B513" s="0" t="s">
        <v>1694</v>
      </c>
      <c r="C513" s="0" t="s">
        <v>1381</v>
      </c>
      <c r="D513" s="0" t="s">
        <v>1139</v>
      </c>
      <c r="E513" s="0" t="s">
        <v>129</v>
      </c>
      <c r="F513" s="0" t="n">
        <v>4</v>
      </c>
      <c r="G513" s="0" t="n">
        <v>10</v>
      </c>
      <c r="H513" s="0" t="n">
        <v>0.49</v>
      </c>
      <c r="I513" s="10" t="n">
        <v>0.625</v>
      </c>
      <c r="J513" s="0" t="n">
        <v>0.71</v>
      </c>
      <c r="K513" s="13" t="n">
        <f aca="false">IF(H513&lt;&gt;"",H513,IFERROR(G513/INDEX(Players!$M$2:$M$137,MATCH(B513,Players!$A$2:$A$137,0)),""))</f>
        <v>0.49</v>
      </c>
    </row>
    <row r="514" customFormat="false" ht="15" hidden="false" customHeight="false" outlineLevel="0" collapsed="false">
      <c r="A514" s="0" t="s">
        <v>2530</v>
      </c>
      <c r="B514" s="0" t="s">
        <v>1694</v>
      </c>
      <c r="C514" s="0" t="s">
        <v>1381</v>
      </c>
      <c r="D514" s="0" t="s">
        <v>1139</v>
      </c>
      <c r="E514" s="0" t="s">
        <v>121</v>
      </c>
      <c r="F514" s="0" t="n">
        <v>3</v>
      </c>
      <c r="G514" s="0" t="n">
        <v>11.3</v>
      </c>
      <c r="H514" s="0" t="n">
        <v>0.55</v>
      </c>
      <c r="I514" s="10" t="n">
        <v>0.529</v>
      </c>
      <c r="J514" s="0" t="n">
        <v>0.77</v>
      </c>
      <c r="K514" s="13" t="n">
        <f aca="false">IF(H514&lt;&gt;"",H514,IFERROR(G514/INDEX(Players!$M$2:$M$137,MATCH(B514,Players!$A$2:$A$137,0)),""))</f>
        <v>0.55</v>
      </c>
    </row>
    <row r="515" customFormat="false" ht="15" hidden="false" customHeight="false" outlineLevel="0" collapsed="false">
      <c r="A515" s="0" t="s">
        <v>2531</v>
      </c>
      <c r="B515" s="0" t="s">
        <v>1757</v>
      </c>
      <c r="C515" s="0" t="s">
        <v>1526</v>
      </c>
      <c r="D515" s="0" t="s">
        <v>1139</v>
      </c>
      <c r="E515" s="0" t="s">
        <v>108</v>
      </c>
      <c r="F515" s="0" t="n">
        <v>11</v>
      </c>
      <c r="G515" s="0" t="n">
        <v>15.8</v>
      </c>
      <c r="H515" s="0" t="n">
        <v>0.68</v>
      </c>
      <c r="I515" s="10" t="n">
        <v>0.5</v>
      </c>
      <c r="J515" s="0" t="n">
        <v>1.15</v>
      </c>
      <c r="K515" s="13" t="n">
        <f aca="false">IF(H515&lt;&gt;"",H515,IFERROR(G515/INDEX(Players!$M$2:$M$137,MATCH(B515,Players!$A$2:$A$137,0)),""))</f>
        <v>0.68</v>
      </c>
    </row>
    <row r="516" customFormat="false" ht="15" hidden="false" customHeight="false" outlineLevel="0" collapsed="false">
      <c r="A516" s="0" t="s">
        <v>2532</v>
      </c>
      <c r="B516" s="0" t="s">
        <v>1757</v>
      </c>
      <c r="C516" s="0" t="s">
        <v>1526</v>
      </c>
      <c r="D516" s="0" t="s">
        <v>1139</v>
      </c>
      <c r="E516" s="0" t="s">
        <v>95</v>
      </c>
      <c r="F516" s="0" t="n">
        <v>8</v>
      </c>
      <c r="G516" s="0" t="n">
        <v>11.8</v>
      </c>
      <c r="H516" s="0" t="n">
        <v>0.54</v>
      </c>
      <c r="I516" s="10" t="n">
        <v>0.553</v>
      </c>
      <c r="J516" s="0" t="n">
        <v>0.88</v>
      </c>
      <c r="K516" s="13" t="n">
        <f aca="false">IF(H516&lt;&gt;"",H516,IFERROR(G516/INDEX(Players!$M$2:$M$137,MATCH(B516,Players!$A$2:$A$137,0)),""))</f>
        <v>0.54</v>
      </c>
    </row>
    <row r="517" customFormat="false" ht="15" hidden="false" customHeight="false" outlineLevel="0" collapsed="false">
      <c r="A517" s="0" t="s">
        <v>2533</v>
      </c>
      <c r="B517" s="0" t="s">
        <v>1757</v>
      </c>
      <c r="C517" s="0" t="s">
        <v>1526</v>
      </c>
      <c r="D517" s="0" t="s">
        <v>1139</v>
      </c>
      <c r="E517" s="0" t="s">
        <v>145</v>
      </c>
      <c r="F517" s="0" t="n">
        <v>7</v>
      </c>
      <c r="G517" s="0" t="n">
        <v>16.7</v>
      </c>
      <c r="H517" s="0" t="n">
        <v>0.83</v>
      </c>
      <c r="I517" s="10" t="n">
        <v>0.556</v>
      </c>
      <c r="J517" s="0" t="n">
        <v>1.24</v>
      </c>
      <c r="K517" s="13" t="n">
        <f aca="false">IF(H517&lt;&gt;"",H517,IFERROR(G517/INDEX(Players!$M$2:$M$137,MATCH(B517,Players!$A$2:$A$137,0)),""))</f>
        <v>0.83</v>
      </c>
    </row>
    <row r="518" customFormat="false" ht="15" hidden="false" customHeight="false" outlineLevel="0" collapsed="false">
      <c r="A518" s="0" t="s">
        <v>2534</v>
      </c>
      <c r="B518" s="0" t="s">
        <v>1757</v>
      </c>
      <c r="C518" s="0" t="s">
        <v>1526</v>
      </c>
      <c r="D518" s="0" t="s">
        <v>1139</v>
      </c>
      <c r="E518" s="0" t="s">
        <v>129</v>
      </c>
      <c r="F518" s="0" t="n">
        <v>6</v>
      </c>
      <c r="G518" s="0" t="n">
        <v>13.5</v>
      </c>
      <c r="H518" s="0" t="n">
        <v>0.63</v>
      </c>
      <c r="I518" s="10" t="n">
        <v>0.457</v>
      </c>
      <c r="J518" s="0" t="n">
        <v>1.01</v>
      </c>
      <c r="K518" s="13" t="n">
        <f aca="false">IF(H518&lt;&gt;"",H518,IFERROR(G518/INDEX(Players!$M$2:$M$137,MATCH(B518,Players!$A$2:$A$137,0)),""))</f>
        <v>0.63</v>
      </c>
    </row>
    <row r="519" customFormat="false" ht="15" hidden="false" customHeight="false" outlineLevel="0" collapsed="false">
      <c r="A519" s="0" t="s">
        <v>2535</v>
      </c>
      <c r="B519" s="0" t="s">
        <v>1757</v>
      </c>
      <c r="C519" s="0" t="s">
        <v>1526</v>
      </c>
      <c r="D519" s="0" t="s">
        <v>1139</v>
      </c>
      <c r="E519" s="0" t="s">
        <v>139</v>
      </c>
      <c r="F519" s="0" t="n">
        <v>5</v>
      </c>
      <c r="G519" s="0" t="n">
        <v>12.8</v>
      </c>
      <c r="H519" s="0" t="n">
        <v>0.59</v>
      </c>
      <c r="I519" s="10" t="n">
        <v>0.5</v>
      </c>
      <c r="J519" s="0" t="n">
        <v>1</v>
      </c>
      <c r="K519" s="13" t="n">
        <f aca="false">IF(H519&lt;&gt;"",H519,IFERROR(G519/INDEX(Players!$M$2:$M$137,MATCH(B519,Players!$A$2:$A$137,0)),""))</f>
        <v>0.59</v>
      </c>
    </row>
    <row r="520" customFormat="false" ht="15" hidden="false" customHeight="false" outlineLevel="0" collapsed="false">
      <c r="A520" s="0" t="s">
        <v>2536</v>
      </c>
      <c r="B520" s="0" t="s">
        <v>1757</v>
      </c>
      <c r="C520" s="0" t="s">
        <v>1526</v>
      </c>
      <c r="D520" s="0" t="s">
        <v>1139</v>
      </c>
      <c r="E520" s="0" t="s">
        <v>81</v>
      </c>
      <c r="F520" s="0" t="n">
        <v>2</v>
      </c>
      <c r="G520" s="0" t="n">
        <v>15</v>
      </c>
      <c r="H520" s="0" t="n">
        <v>0.67</v>
      </c>
      <c r="I520" s="10" t="n">
        <v>0.4</v>
      </c>
      <c r="J520" s="0" t="n">
        <v>0.94</v>
      </c>
      <c r="K520" s="13" t="n">
        <f aca="false">IF(H520&lt;&gt;"",H520,IFERROR(G520/INDEX(Players!$M$2:$M$137,MATCH(B520,Players!$A$2:$A$137,0)),""))</f>
        <v>0.67</v>
      </c>
    </row>
    <row r="521" customFormat="false" ht="15" hidden="false" customHeight="false" outlineLevel="0" collapsed="false">
      <c r="A521" s="0" t="s">
        <v>2537</v>
      </c>
      <c r="B521" s="0" t="s">
        <v>1769</v>
      </c>
      <c r="C521" s="0" t="s">
        <v>1550</v>
      </c>
      <c r="D521" s="0" t="s">
        <v>1139</v>
      </c>
      <c r="E521" s="0" t="s">
        <v>95</v>
      </c>
      <c r="F521" s="0" t="n">
        <v>12</v>
      </c>
      <c r="G521" s="0" t="n">
        <v>14.4</v>
      </c>
      <c r="H521" s="0" t="n">
        <v>0.71</v>
      </c>
      <c r="I521" s="10" t="n">
        <v>0.41</v>
      </c>
      <c r="J521" s="0" t="n">
        <v>1.12</v>
      </c>
      <c r="K521" s="13" t="n">
        <f aca="false">IF(H521&lt;&gt;"",H521,IFERROR(G521/INDEX(Players!$M$2:$M$137,MATCH(B521,Players!$A$2:$A$137,0)),""))</f>
        <v>0.71</v>
      </c>
    </row>
    <row r="522" customFormat="false" ht="15" hidden="false" customHeight="false" outlineLevel="0" collapsed="false">
      <c r="A522" s="0" t="s">
        <v>2538</v>
      </c>
      <c r="B522" s="0" t="s">
        <v>1769</v>
      </c>
      <c r="C522" s="0" t="s">
        <v>1550</v>
      </c>
      <c r="D522" s="0" t="s">
        <v>1139</v>
      </c>
      <c r="E522" s="0" t="s">
        <v>81</v>
      </c>
      <c r="F522" s="0" t="n">
        <v>10</v>
      </c>
      <c r="G522" s="0" t="n">
        <v>16.1</v>
      </c>
      <c r="H522" s="0" t="n">
        <v>0.73</v>
      </c>
      <c r="I522" s="10" t="n">
        <v>0.329</v>
      </c>
      <c r="J522" s="0" t="n">
        <v>1.21</v>
      </c>
      <c r="K522" s="13" t="n">
        <f aca="false">IF(H522&lt;&gt;"",H522,IFERROR(G522/INDEX(Players!$M$2:$M$137,MATCH(B522,Players!$A$2:$A$137,0)),""))</f>
        <v>0.73</v>
      </c>
    </row>
    <row r="523" customFormat="false" ht="15" hidden="false" customHeight="false" outlineLevel="0" collapsed="false">
      <c r="A523" s="0" t="s">
        <v>2539</v>
      </c>
      <c r="B523" s="0" t="s">
        <v>1769</v>
      </c>
      <c r="C523" s="0" t="s">
        <v>1550</v>
      </c>
      <c r="D523" s="0" t="s">
        <v>1139</v>
      </c>
      <c r="E523" s="0" t="s">
        <v>145</v>
      </c>
      <c r="F523" s="0" t="n">
        <v>6</v>
      </c>
      <c r="G523" s="0" t="n">
        <v>18.2</v>
      </c>
      <c r="H523" s="0" t="n">
        <v>0.81</v>
      </c>
      <c r="I523" s="10" t="n">
        <v>0.321</v>
      </c>
      <c r="J523" s="0" t="n">
        <v>1.35</v>
      </c>
      <c r="K523" s="13" t="n">
        <f aca="false">IF(H523&lt;&gt;"",H523,IFERROR(G523/INDEX(Players!$M$2:$M$137,MATCH(B523,Players!$A$2:$A$137,0)),""))</f>
        <v>0.81</v>
      </c>
    </row>
    <row r="524" customFormat="false" ht="15" hidden="false" customHeight="false" outlineLevel="0" collapsed="false">
      <c r="A524" s="0" t="s">
        <v>2540</v>
      </c>
      <c r="B524" s="0" t="s">
        <v>1769</v>
      </c>
      <c r="C524" s="0" t="s">
        <v>1550</v>
      </c>
      <c r="D524" s="0" t="s">
        <v>1139</v>
      </c>
      <c r="E524" s="0" t="s">
        <v>108</v>
      </c>
      <c r="F524" s="0" t="n">
        <v>4</v>
      </c>
      <c r="G524" s="0" t="n">
        <v>12.8</v>
      </c>
      <c r="H524" s="0" t="n">
        <v>0.65</v>
      </c>
      <c r="I524" s="10" t="n">
        <v>0.176</v>
      </c>
      <c r="J524" s="0" t="n">
        <v>1.31</v>
      </c>
      <c r="K524" s="13" t="n">
        <f aca="false">IF(H524&lt;&gt;"",H524,IFERROR(G524/INDEX(Players!$M$2:$M$137,MATCH(B524,Players!$A$2:$A$137,0)),""))</f>
        <v>0.65</v>
      </c>
    </row>
    <row r="525" customFormat="false" ht="15" hidden="false" customHeight="false" outlineLevel="0" collapsed="false">
      <c r="A525" s="0" t="s">
        <v>2541</v>
      </c>
      <c r="B525" s="0" t="s">
        <v>1769</v>
      </c>
      <c r="C525" s="0" t="s">
        <v>1550</v>
      </c>
      <c r="D525" s="0" t="s">
        <v>1139</v>
      </c>
      <c r="E525" s="0" t="s">
        <v>139</v>
      </c>
      <c r="F525" s="0" t="n">
        <v>2</v>
      </c>
      <c r="G525" s="0" t="n">
        <v>12.5</v>
      </c>
      <c r="H525" s="0" t="n">
        <v>0.68</v>
      </c>
      <c r="I525" s="10" t="n">
        <v>0.36</v>
      </c>
      <c r="J525" s="0" t="n">
        <v>0.89</v>
      </c>
      <c r="K525" s="13" t="n">
        <f aca="false">IF(H525&lt;&gt;"",H525,IFERROR(G525/INDEX(Players!$M$2:$M$137,MATCH(B525,Players!$A$2:$A$137,0)),""))</f>
        <v>0.68</v>
      </c>
    </row>
    <row r="526" customFormat="false" ht="15" hidden="false" customHeight="false" outlineLevel="0" collapsed="false">
      <c r="A526" s="0" t="s">
        <v>2542</v>
      </c>
      <c r="B526" s="0" t="s">
        <v>1769</v>
      </c>
      <c r="C526" s="0" t="s">
        <v>1550</v>
      </c>
      <c r="D526" s="0" t="s">
        <v>1139</v>
      </c>
      <c r="E526" s="0" t="s">
        <v>129</v>
      </c>
      <c r="F526" s="0" t="n">
        <v>1</v>
      </c>
      <c r="G526" s="0" t="n">
        <v>46</v>
      </c>
      <c r="H526" s="0" t="n">
        <v>0.98</v>
      </c>
      <c r="I526" s="10" t="n">
        <v>0.217</v>
      </c>
      <c r="J526" s="0" t="n">
        <v>1.59</v>
      </c>
      <c r="K526" s="13" t="n">
        <f aca="false">IF(H526&lt;&gt;"",H526,IFERROR(G526/INDEX(Players!$M$2:$M$137,MATCH(B526,Players!$A$2:$A$137,0)),""))</f>
        <v>0.98</v>
      </c>
    </row>
    <row r="527" customFormat="false" ht="15" hidden="false" customHeight="false" outlineLevel="0" collapsed="false">
      <c r="A527" s="0" t="s">
        <v>2543</v>
      </c>
      <c r="B527" s="0" t="s">
        <v>1769</v>
      </c>
      <c r="C527" s="0" t="s">
        <v>1550</v>
      </c>
      <c r="D527" s="0" t="s">
        <v>1139</v>
      </c>
      <c r="E527" s="0" t="s">
        <v>121</v>
      </c>
      <c r="F527" s="0" t="n">
        <v>1</v>
      </c>
      <c r="G527" s="0" t="n">
        <v>8</v>
      </c>
      <c r="H527" s="0" t="n">
        <v>0.36</v>
      </c>
      <c r="I527" s="10" t="n">
        <v>0.5</v>
      </c>
      <c r="J527" s="0" t="n">
        <v>0.57</v>
      </c>
      <c r="K527" s="13" t="n">
        <f aca="false">IF(H527&lt;&gt;"",H527,IFERROR(G527/INDEX(Players!$M$2:$M$137,MATCH(B527,Players!$A$2:$A$137,0)),""))</f>
        <v>0.36</v>
      </c>
    </row>
    <row r="528" customFormat="false" ht="15" hidden="false" customHeight="false" outlineLevel="0" collapsed="false">
      <c r="A528" s="0" t="s">
        <v>2544</v>
      </c>
      <c r="B528" s="0" t="s">
        <v>1770</v>
      </c>
      <c r="C528" s="0" t="s">
        <v>1552</v>
      </c>
      <c r="D528" s="0" t="s">
        <v>1139</v>
      </c>
      <c r="E528" s="0" t="s">
        <v>95</v>
      </c>
      <c r="F528" s="0" t="n">
        <v>12</v>
      </c>
      <c r="G528" s="0" t="n">
        <v>11.8</v>
      </c>
      <c r="H528" s="0" t="n">
        <v>0.58</v>
      </c>
      <c r="I528" s="10" t="n">
        <v>0.549</v>
      </c>
      <c r="J528" s="0" t="n">
        <v>0.82</v>
      </c>
      <c r="K528" s="13" t="n">
        <f aca="false">IF(H528&lt;&gt;"",H528,IFERROR(G528/INDEX(Players!$M$2:$M$137,MATCH(B528,Players!$A$2:$A$137,0)),""))</f>
        <v>0.58</v>
      </c>
    </row>
    <row r="529" customFormat="false" ht="15" hidden="false" customHeight="false" outlineLevel="0" collapsed="false">
      <c r="A529" s="0" t="s">
        <v>2545</v>
      </c>
      <c r="B529" s="0" t="s">
        <v>1770</v>
      </c>
      <c r="C529" s="0" t="s">
        <v>1552</v>
      </c>
      <c r="D529" s="0" t="s">
        <v>1139</v>
      </c>
      <c r="E529" s="0" t="s">
        <v>81</v>
      </c>
      <c r="F529" s="0" t="n">
        <v>10</v>
      </c>
      <c r="G529" s="0" t="n">
        <v>13.3</v>
      </c>
      <c r="H529" s="0" t="n">
        <v>0.6</v>
      </c>
      <c r="I529" s="10" t="n">
        <v>0.466</v>
      </c>
      <c r="J529" s="0" t="n">
        <v>0.85</v>
      </c>
      <c r="K529" s="13" t="n">
        <f aca="false">IF(H529&lt;&gt;"",H529,IFERROR(G529/INDEX(Players!$M$2:$M$137,MATCH(B529,Players!$A$2:$A$137,0)),""))</f>
        <v>0.6</v>
      </c>
    </row>
    <row r="530" customFormat="false" ht="15" hidden="false" customHeight="false" outlineLevel="0" collapsed="false">
      <c r="A530" s="0" t="s">
        <v>2546</v>
      </c>
      <c r="B530" s="0" t="s">
        <v>1770</v>
      </c>
      <c r="C530" s="0" t="s">
        <v>1552</v>
      </c>
      <c r="D530" s="0" t="s">
        <v>1139</v>
      </c>
      <c r="E530" s="0" t="s">
        <v>145</v>
      </c>
      <c r="F530" s="0" t="n">
        <v>6</v>
      </c>
      <c r="G530" s="0" t="n">
        <v>13.5</v>
      </c>
      <c r="H530" s="0" t="n">
        <v>0.6</v>
      </c>
      <c r="I530" s="10" t="n">
        <v>0.63</v>
      </c>
      <c r="J530" s="0" t="n">
        <v>0.87</v>
      </c>
      <c r="K530" s="13" t="n">
        <f aca="false">IF(H530&lt;&gt;"",H530,IFERROR(G530/INDEX(Players!$M$2:$M$137,MATCH(B530,Players!$A$2:$A$137,0)),""))</f>
        <v>0.6</v>
      </c>
    </row>
    <row r="531" customFormat="false" ht="15" hidden="false" customHeight="false" outlineLevel="0" collapsed="false">
      <c r="A531" s="0" t="s">
        <v>2547</v>
      </c>
      <c r="B531" s="0" t="s">
        <v>1770</v>
      </c>
      <c r="C531" s="0" t="s">
        <v>1552</v>
      </c>
      <c r="D531" s="0" t="s">
        <v>1139</v>
      </c>
      <c r="E531" s="0" t="s">
        <v>108</v>
      </c>
      <c r="F531" s="0" t="n">
        <v>4</v>
      </c>
      <c r="G531" s="0" t="n">
        <v>13.5</v>
      </c>
      <c r="H531" s="0" t="n">
        <v>0.68</v>
      </c>
      <c r="I531" s="10" t="n">
        <v>0.481</v>
      </c>
      <c r="J531" s="0" t="n">
        <v>1.2</v>
      </c>
      <c r="K531" s="13" t="n">
        <f aca="false">IF(H531&lt;&gt;"",H531,IFERROR(G531/INDEX(Players!$M$2:$M$137,MATCH(B531,Players!$A$2:$A$137,0)),""))</f>
        <v>0.68</v>
      </c>
    </row>
    <row r="532" customFormat="false" ht="15" hidden="false" customHeight="false" outlineLevel="0" collapsed="false">
      <c r="A532" s="0" t="s">
        <v>2548</v>
      </c>
      <c r="B532" s="0" t="s">
        <v>1770</v>
      </c>
      <c r="C532" s="0" t="s">
        <v>1552</v>
      </c>
      <c r="D532" s="0" t="s">
        <v>1139</v>
      </c>
      <c r="E532" s="0" t="s">
        <v>139</v>
      </c>
      <c r="F532" s="0" t="n">
        <v>2</v>
      </c>
      <c r="G532" s="0" t="n">
        <v>5.5</v>
      </c>
      <c r="H532" s="0" t="n">
        <v>0.3</v>
      </c>
      <c r="I532" s="10" t="n">
        <v>0.727</v>
      </c>
      <c r="J532" s="0" t="n">
        <v>0.35</v>
      </c>
      <c r="K532" s="13" t="n">
        <f aca="false">IF(H532&lt;&gt;"",H532,IFERROR(G532/INDEX(Players!$M$2:$M$137,MATCH(B532,Players!$A$2:$A$137,0)),""))</f>
        <v>0.3</v>
      </c>
    </row>
    <row r="533" customFormat="false" ht="15" hidden="false" customHeight="false" outlineLevel="0" collapsed="false">
      <c r="A533" s="0" t="s">
        <v>2549</v>
      </c>
      <c r="B533" s="0" t="s">
        <v>1770</v>
      </c>
      <c r="C533" s="0" t="s">
        <v>1552</v>
      </c>
      <c r="D533" s="0" t="s">
        <v>1139</v>
      </c>
      <c r="E533" s="0" t="s">
        <v>121</v>
      </c>
      <c r="F533" s="0" t="n">
        <v>1</v>
      </c>
      <c r="G533" s="0" t="n">
        <v>19</v>
      </c>
      <c r="H533" s="0" t="n">
        <v>0.86</v>
      </c>
      <c r="I533" s="10" t="n">
        <v>0.632</v>
      </c>
      <c r="J533" s="0" t="n">
        <v>1.19</v>
      </c>
      <c r="K533" s="13" t="n">
        <f aca="false">IF(H533&lt;&gt;"",H533,IFERROR(G533/INDEX(Players!$M$2:$M$137,MATCH(B533,Players!$A$2:$A$137,0)),""))</f>
        <v>0.86</v>
      </c>
    </row>
    <row r="534" customFormat="false" ht="15" hidden="false" customHeight="false" outlineLevel="0" collapsed="false">
      <c r="A534" s="0" t="s">
        <v>2550</v>
      </c>
      <c r="B534" s="0" t="s">
        <v>1770</v>
      </c>
      <c r="C534" s="0" t="s">
        <v>1552</v>
      </c>
      <c r="D534" s="0" t="s">
        <v>1139</v>
      </c>
      <c r="E534" s="0" t="s">
        <v>129</v>
      </c>
      <c r="F534" s="0" t="n">
        <v>1</v>
      </c>
      <c r="G534" s="0" t="n">
        <v>29</v>
      </c>
      <c r="H534" s="0" t="n">
        <v>0.62</v>
      </c>
      <c r="I534" s="10" t="n">
        <v>0.517</v>
      </c>
      <c r="J534" s="0" t="n">
        <v>0.83</v>
      </c>
      <c r="K534" s="13" t="n">
        <f aca="false">IF(H534&lt;&gt;"",H534,IFERROR(G534/INDEX(Players!$M$2:$M$137,MATCH(B534,Players!$A$2:$A$137,0)),""))</f>
        <v>0.62</v>
      </c>
    </row>
    <row r="535" customFormat="false" ht="15" hidden="false" customHeight="false" outlineLevel="0" collapsed="false">
      <c r="A535" s="0" t="s">
        <v>2551</v>
      </c>
      <c r="B535" s="0" t="s">
        <v>1662</v>
      </c>
      <c r="C535" s="0" t="s">
        <v>1296</v>
      </c>
      <c r="D535" s="0" t="s">
        <v>1139</v>
      </c>
      <c r="E535" s="0" t="s">
        <v>95</v>
      </c>
      <c r="F535" s="0" t="n">
        <v>7</v>
      </c>
      <c r="G535" s="0" t="n">
        <v>13.7</v>
      </c>
      <c r="H535" s="0" t="n">
        <v>0.73</v>
      </c>
      <c r="I535" s="10" t="n">
        <v>0.542</v>
      </c>
      <c r="J535" s="0" t="n">
        <v>1.33</v>
      </c>
      <c r="K535" s="13" t="n">
        <f aca="false">IF(H535&lt;&gt;"",H535,IFERROR(G535/INDEX(Players!$M$2:$M$137,MATCH(B535,Players!$A$2:$A$137,0)),""))</f>
        <v>0.73</v>
      </c>
    </row>
    <row r="536" customFormat="false" ht="15" hidden="false" customHeight="false" outlineLevel="0" collapsed="false">
      <c r="A536" s="0" t="s">
        <v>2552</v>
      </c>
      <c r="B536" s="0" t="s">
        <v>1662</v>
      </c>
      <c r="C536" s="0" t="s">
        <v>1296</v>
      </c>
      <c r="D536" s="0" t="s">
        <v>1139</v>
      </c>
      <c r="E536" s="0" t="s">
        <v>81</v>
      </c>
      <c r="F536" s="0" t="n">
        <v>6</v>
      </c>
      <c r="G536" s="0" t="n">
        <v>11.8</v>
      </c>
      <c r="H536" s="0" t="n">
        <v>0.58</v>
      </c>
      <c r="I536" s="10" t="n">
        <v>0.606</v>
      </c>
      <c r="J536" s="0" t="n">
        <v>0.87</v>
      </c>
      <c r="K536" s="13" t="n">
        <f aca="false">IF(H536&lt;&gt;"",H536,IFERROR(G536/INDEX(Players!$M$2:$M$137,MATCH(B536,Players!$A$2:$A$137,0)),""))</f>
        <v>0.58</v>
      </c>
    </row>
    <row r="537" customFormat="false" ht="15" hidden="false" customHeight="false" outlineLevel="0" collapsed="false">
      <c r="A537" s="0" t="s">
        <v>2553</v>
      </c>
      <c r="B537" s="0" t="s">
        <v>1662</v>
      </c>
      <c r="C537" s="0" t="s">
        <v>1296</v>
      </c>
      <c r="D537" s="0" t="s">
        <v>1139</v>
      </c>
      <c r="E537" s="0" t="s">
        <v>139</v>
      </c>
      <c r="F537" s="0" t="n">
        <v>4</v>
      </c>
      <c r="G537" s="0" t="n">
        <v>15.5</v>
      </c>
      <c r="H537" s="0" t="n">
        <v>0.75</v>
      </c>
      <c r="I537" s="10" t="n">
        <v>0.661</v>
      </c>
      <c r="J537" s="0" t="n">
        <v>1.07</v>
      </c>
      <c r="K537" s="13" t="n">
        <f aca="false">IF(H537&lt;&gt;"",H537,IFERROR(G537/INDEX(Players!$M$2:$M$137,MATCH(B537,Players!$A$2:$A$137,0)),""))</f>
        <v>0.75</v>
      </c>
    </row>
    <row r="538" customFormat="false" ht="15" hidden="false" customHeight="false" outlineLevel="0" collapsed="false">
      <c r="A538" s="0" t="s">
        <v>2554</v>
      </c>
      <c r="B538" s="0" t="s">
        <v>1662</v>
      </c>
      <c r="C538" s="0" t="s">
        <v>1296</v>
      </c>
      <c r="D538" s="0" t="s">
        <v>1139</v>
      </c>
      <c r="E538" s="0" t="s">
        <v>108</v>
      </c>
      <c r="F538" s="0" t="n">
        <v>4</v>
      </c>
      <c r="G538" s="0" t="n">
        <v>12.5</v>
      </c>
      <c r="H538" s="0" t="n">
        <v>0.59</v>
      </c>
      <c r="I538" s="10" t="n">
        <v>0.46</v>
      </c>
      <c r="J538" s="0" t="n">
        <v>0.78</v>
      </c>
      <c r="K538" s="13" t="n">
        <f aca="false">IF(H538&lt;&gt;"",H538,IFERROR(G538/INDEX(Players!$M$2:$M$137,MATCH(B538,Players!$A$2:$A$137,0)),""))</f>
        <v>0.59</v>
      </c>
    </row>
    <row r="539" customFormat="false" ht="15" hidden="false" customHeight="false" outlineLevel="0" collapsed="false">
      <c r="A539" s="0" t="s">
        <v>2555</v>
      </c>
      <c r="B539" s="0" t="s">
        <v>1662</v>
      </c>
      <c r="C539" s="0" t="s">
        <v>1296</v>
      </c>
      <c r="D539" s="0" t="s">
        <v>1139</v>
      </c>
      <c r="E539" s="0" t="s">
        <v>129</v>
      </c>
      <c r="F539" s="0" t="n">
        <v>3</v>
      </c>
      <c r="G539" s="0" t="n">
        <v>16.3</v>
      </c>
      <c r="H539" s="0" t="n">
        <v>0.82</v>
      </c>
      <c r="I539" s="10" t="n">
        <v>0.531</v>
      </c>
      <c r="J539" s="0" t="n">
        <v>1.32</v>
      </c>
      <c r="K539" s="13" t="n">
        <f aca="false">IF(H539&lt;&gt;"",H539,IFERROR(G539/INDEX(Players!$M$2:$M$137,MATCH(B539,Players!$A$2:$A$137,0)),""))</f>
        <v>0.82</v>
      </c>
    </row>
    <row r="540" customFormat="false" ht="15" hidden="false" customHeight="false" outlineLevel="0" collapsed="false">
      <c r="A540" s="0" t="s">
        <v>2556</v>
      </c>
      <c r="B540" s="0" t="s">
        <v>1662</v>
      </c>
      <c r="C540" s="0" t="s">
        <v>1296</v>
      </c>
      <c r="D540" s="0" t="s">
        <v>1139</v>
      </c>
      <c r="E540" s="0" t="s">
        <v>121</v>
      </c>
      <c r="F540" s="0" t="n">
        <v>3</v>
      </c>
      <c r="G540" s="0" t="n">
        <v>17</v>
      </c>
      <c r="H540" s="0" t="n">
        <v>0.73</v>
      </c>
      <c r="I540" s="10" t="n">
        <v>0.529</v>
      </c>
      <c r="J540" s="0" t="n">
        <v>1.09</v>
      </c>
      <c r="K540" s="13" t="n">
        <f aca="false">IF(H540&lt;&gt;"",H540,IFERROR(G540/INDEX(Players!$M$2:$M$137,MATCH(B540,Players!$A$2:$A$137,0)),""))</f>
        <v>0.73</v>
      </c>
    </row>
    <row r="541" customFormat="false" ht="15" hidden="false" customHeight="false" outlineLevel="0" collapsed="false">
      <c r="A541" s="0" t="s">
        <v>2557</v>
      </c>
      <c r="B541" s="0" t="s">
        <v>1662</v>
      </c>
      <c r="C541" s="0" t="s">
        <v>1296</v>
      </c>
      <c r="D541" s="0" t="s">
        <v>1139</v>
      </c>
      <c r="E541" s="0" t="s">
        <v>145</v>
      </c>
      <c r="F541" s="0" t="n">
        <v>3</v>
      </c>
      <c r="G541" s="0" t="n">
        <v>12.3</v>
      </c>
      <c r="H541" s="0" t="n">
        <v>0.66</v>
      </c>
      <c r="I541" s="10" t="n">
        <v>0.595</v>
      </c>
      <c r="J541" s="0" t="n">
        <v>1.06</v>
      </c>
      <c r="K541" s="13" t="n">
        <f aca="false">IF(H541&lt;&gt;"",H541,IFERROR(G541/INDEX(Players!$M$2:$M$137,MATCH(B541,Players!$A$2:$A$137,0)),""))</f>
        <v>0.66</v>
      </c>
    </row>
    <row r="542" customFormat="false" ht="15" hidden="false" customHeight="false" outlineLevel="0" collapsed="false">
      <c r="A542" s="0" t="s">
        <v>2558</v>
      </c>
      <c r="B542" s="0" t="s">
        <v>1711</v>
      </c>
      <c r="C542" s="0" t="s">
        <v>1421</v>
      </c>
      <c r="D542" s="0" t="s">
        <v>1139</v>
      </c>
      <c r="E542" s="0" t="s">
        <v>108</v>
      </c>
      <c r="F542" s="0" t="n">
        <v>7</v>
      </c>
      <c r="G542" s="0" t="n">
        <v>18</v>
      </c>
      <c r="H542" s="0" t="n">
        <v>0.75</v>
      </c>
      <c r="I542" s="10" t="n">
        <v>0.508</v>
      </c>
      <c r="J542" s="0" t="n">
        <v>1.2</v>
      </c>
      <c r="K542" s="13" t="n">
        <f aca="false">IF(H542&lt;&gt;"",H542,IFERROR(G542/INDEX(Players!$M$2:$M$137,MATCH(B542,Players!$A$2:$A$137,0)),""))</f>
        <v>0.75</v>
      </c>
    </row>
    <row r="543" customFormat="false" ht="15" hidden="false" customHeight="false" outlineLevel="0" collapsed="false">
      <c r="A543" s="0" t="s">
        <v>2559</v>
      </c>
      <c r="B543" s="0" t="s">
        <v>1711</v>
      </c>
      <c r="C543" s="0" t="s">
        <v>1421</v>
      </c>
      <c r="D543" s="0" t="s">
        <v>1139</v>
      </c>
      <c r="E543" s="0" t="s">
        <v>139</v>
      </c>
      <c r="F543" s="0" t="n">
        <v>7</v>
      </c>
      <c r="G543" s="0" t="n">
        <v>13</v>
      </c>
      <c r="H543" s="0" t="n">
        <v>0.63</v>
      </c>
      <c r="I543" s="10" t="n">
        <v>0.571</v>
      </c>
      <c r="J543" s="0" t="n">
        <v>0.98</v>
      </c>
      <c r="K543" s="13" t="n">
        <f aca="false">IF(H543&lt;&gt;"",H543,IFERROR(G543/INDEX(Players!$M$2:$M$137,MATCH(B543,Players!$A$2:$A$137,0)),""))</f>
        <v>0.63</v>
      </c>
    </row>
    <row r="544" customFormat="false" ht="15" hidden="false" customHeight="false" outlineLevel="0" collapsed="false">
      <c r="A544" s="0" t="s">
        <v>2560</v>
      </c>
      <c r="B544" s="0" t="s">
        <v>1711</v>
      </c>
      <c r="C544" s="0" t="s">
        <v>1421</v>
      </c>
      <c r="D544" s="0" t="s">
        <v>1139</v>
      </c>
      <c r="E544" s="0" t="s">
        <v>129</v>
      </c>
      <c r="F544" s="0" t="n">
        <v>6</v>
      </c>
      <c r="G544" s="0" t="n">
        <v>19.2</v>
      </c>
      <c r="H544" s="0" t="n">
        <v>0.85</v>
      </c>
      <c r="I544" s="10" t="n">
        <v>0.609</v>
      </c>
      <c r="J544" s="0" t="n">
        <v>1.25</v>
      </c>
      <c r="K544" s="13" t="n">
        <f aca="false">IF(H544&lt;&gt;"",H544,IFERROR(G544/INDEX(Players!$M$2:$M$137,MATCH(B544,Players!$A$2:$A$137,0)),""))</f>
        <v>0.85</v>
      </c>
    </row>
    <row r="545" customFormat="false" ht="15" hidden="false" customHeight="false" outlineLevel="0" collapsed="false">
      <c r="A545" s="0" t="s">
        <v>2561</v>
      </c>
      <c r="B545" s="0" t="s">
        <v>1711</v>
      </c>
      <c r="C545" s="0" t="s">
        <v>1421</v>
      </c>
      <c r="D545" s="0" t="s">
        <v>1139</v>
      </c>
      <c r="E545" s="0" t="s">
        <v>145</v>
      </c>
      <c r="F545" s="0" t="n">
        <v>6</v>
      </c>
      <c r="G545" s="0" t="n">
        <v>15.2</v>
      </c>
      <c r="H545" s="0" t="n">
        <v>0.7</v>
      </c>
      <c r="I545" s="10" t="n">
        <v>0.582</v>
      </c>
      <c r="J545" s="0" t="n">
        <v>1.01</v>
      </c>
      <c r="K545" s="13" t="n">
        <f aca="false">IF(H545&lt;&gt;"",H545,IFERROR(G545/INDEX(Players!$M$2:$M$137,MATCH(B545,Players!$A$2:$A$137,0)),""))</f>
        <v>0.7</v>
      </c>
    </row>
    <row r="546" customFormat="false" ht="15" hidden="false" customHeight="false" outlineLevel="0" collapsed="false">
      <c r="A546" s="0" t="s">
        <v>2562</v>
      </c>
      <c r="B546" s="0" t="s">
        <v>1711</v>
      </c>
      <c r="C546" s="0" t="s">
        <v>1421</v>
      </c>
      <c r="D546" s="0" t="s">
        <v>1139</v>
      </c>
      <c r="E546" s="0" t="s">
        <v>81</v>
      </c>
      <c r="F546" s="0" t="n">
        <v>6</v>
      </c>
      <c r="G546" s="0" t="n">
        <v>12.7</v>
      </c>
      <c r="H546" s="0" t="n">
        <v>0.57</v>
      </c>
      <c r="I546" s="10" t="n">
        <v>0.579</v>
      </c>
      <c r="J546" s="0" t="n">
        <v>0.81</v>
      </c>
      <c r="K546" s="13" t="n">
        <f aca="false">IF(H546&lt;&gt;"",H546,IFERROR(G546/INDEX(Players!$M$2:$M$137,MATCH(B546,Players!$A$2:$A$137,0)),""))</f>
        <v>0.57</v>
      </c>
    </row>
    <row r="547" customFormat="false" ht="15" hidden="false" customHeight="false" outlineLevel="0" collapsed="false">
      <c r="A547" s="0" t="s">
        <v>2563</v>
      </c>
      <c r="B547" s="0" t="s">
        <v>1711</v>
      </c>
      <c r="C547" s="0" t="s">
        <v>1421</v>
      </c>
      <c r="D547" s="0" t="s">
        <v>1139</v>
      </c>
      <c r="E547" s="0" t="s">
        <v>121</v>
      </c>
      <c r="F547" s="0" t="n">
        <v>3</v>
      </c>
      <c r="G547" s="0" t="n">
        <v>14.3</v>
      </c>
      <c r="H547" s="0" t="n">
        <v>0.64</v>
      </c>
      <c r="I547" s="10" t="n">
        <v>0.721</v>
      </c>
      <c r="J547" s="0" t="n">
        <v>0.86</v>
      </c>
      <c r="K547" s="13" t="n">
        <f aca="false">IF(H547&lt;&gt;"",H547,IFERROR(G547/INDEX(Players!$M$2:$M$137,MATCH(B547,Players!$A$2:$A$137,0)),""))</f>
        <v>0.64</v>
      </c>
    </row>
    <row r="548" customFormat="false" ht="15" hidden="false" customHeight="false" outlineLevel="0" collapsed="false">
      <c r="A548" s="0" t="s">
        <v>2564</v>
      </c>
      <c r="B548" s="0" t="s">
        <v>1720</v>
      </c>
      <c r="C548" s="0" t="s">
        <v>1442</v>
      </c>
      <c r="D548" s="0" t="s">
        <v>1139</v>
      </c>
      <c r="E548" s="0" t="s">
        <v>81</v>
      </c>
      <c r="F548" s="0" t="n">
        <v>9</v>
      </c>
      <c r="G548" s="0" t="n">
        <v>21.2</v>
      </c>
      <c r="H548" s="0" t="n">
        <v>0.83</v>
      </c>
      <c r="I548" s="10" t="n">
        <v>0.356</v>
      </c>
      <c r="J548" s="0" t="n">
        <v>1.49</v>
      </c>
      <c r="K548" s="13" t="n">
        <f aca="false">IF(H548&lt;&gt;"",H548,IFERROR(G548/INDEX(Players!$M$2:$M$137,MATCH(B548,Players!$A$2:$A$137,0)),""))</f>
        <v>0.83</v>
      </c>
    </row>
    <row r="549" customFormat="false" ht="15" hidden="false" customHeight="false" outlineLevel="0" collapsed="false">
      <c r="A549" s="0" t="s">
        <v>2565</v>
      </c>
      <c r="B549" s="0" t="s">
        <v>1720</v>
      </c>
      <c r="C549" s="0" t="s">
        <v>1442</v>
      </c>
      <c r="D549" s="0" t="s">
        <v>1139</v>
      </c>
      <c r="E549" s="0" t="s">
        <v>129</v>
      </c>
      <c r="F549" s="0" t="n">
        <v>9</v>
      </c>
      <c r="G549" s="0" t="n">
        <v>15</v>
      </c>
      <c r="H549" s="0" t="n">
        <v>0.62</v>
      </c>
      <c r="I549" s="10" t="n">
        <v>0.356</v>
      </c>
      <c r="J549" s="0" t="n">
        <v>1.04</v>
      </c>
      <c r="K549" s="13" t="n">
        <f aca="false">IF(H549&lt;&gt;"",H549,IFERROR(G549/INDEX(Players!$M$2:$M$137,MATCH(B549,Players!$A$2:$A$137,0)),""))</f>
        <v>0.62</v>
      </c>
    </row>
    <row r="550" customFormat="false" ht="15" hidden="false" customHeight="false" outlineLevel="0" collapsed="false">
      <c r="A550" s="0" t="s">
        <v>2566</v>
      </c>
      <c r="B550" s="0" t="s">
        <v>1720</v>
      </c>
      <c r="C550" s="0" t="s">
        <v>1442</v>
      </c>
      <c r="D550" s="0" t="s">
        <v>1139</v>
      </c>
      <c r="E550" s="0" t="s">
        <v>95</v>
      </c>
      <c r="F550" s="0" t="n">
        <v>7</v>
      </c>
      <c r="G550" s="0" t="n">
        <v>18.3</v>
      </c>
      <c r="H550" s="0" t="n">
        <v>0.69</v>
      </c>
      <c r="I550" s="10" t="n">
        <v>0.375</v>
      </c>
      <c r="J550" s="0" t="n">
        <v>1.23</v>
      </c>
      <c r="K550" s="13" t="n">
        <f aca="false">IF(H550&lt;&gt;"",H550,IFERROR(G550/INDEX(Players!$M$2:$M$137,MATCH(B550,Players!$A$2:$A$137,0)),""))</f>
        <v>0.69</v>
      </c>
    </row>
    <row r="551" customFormat="false" ht="15" hidden="false" customHeight="false" outlineLevel="0" collapsed="false">
      <c r="A551" s="0" t="s">
        <v>2567</v>
      </c>
      <c r="B551" s="0" t="s">
        <v>1720</v>
      </c>
      <c r="C551" s="0" t="s">
        <v>1442</v>
      </c>
      <c r="D551" s="0" t="s">
        <v>1139</v>
      </c>
      <c r="E551" s="0" t="s">
        <v>108</v>
      </c>
      <c r="F551" s="0" t="n">
        <v>7</v>
      </c>
      <c r="G551" s="0" t="n">
        <v>13.3</v>
      </c>
      <c r="H551" s="0" t="n">
        <v>0.59</v>
      </c>
      <c r="I551" s="10" t="n">
        <v>0.462</v>
      </c>
      <c r="J551" s="0" t="n">
        <v>0.95</v>
      </c>
      <c r="K551" s="13" t="n">
        <f aca="false">IF(H551&lt;&gt;"",H551,IFERROR(G551/INDEX(Players!$M$2:$M$137,MATCH(B551,Players!$A$2:$A$137,0)),""))</f>
        <v>0.59</v>
      </c>
    </row>
    <row r="552" customFormat="false" ht="15" hidden="false" customHeight="false" outlineLevel="0" collapsed="false">
      <c r="A552" s="0" t="s">
        <v>2568</v>
      </c>
      <c r="B552" s="0" t="s">
        <v>1720</v>
      </c>
      <c r="C552" s="0" t="s">
        <v>1442</v>
      </c>
      <c r="D552" s="0" t="s">
        <v>1139</v>
      </c>
      <c r="E552" s="0" t="s">
        <v>121</v>
      </c>
      <c r="F552" s="0" t="n">
        <v>5</v>
      </c>
      <c r="G552" s="0" t="n">
        <v>12.8</v>
      </c>
      <c r="H552" s="0" t="n">
        <v>0.63</v>
      </c>
      <c r="I552" s="10" t="n">
        <v>0.516</v>
      </c>
      <c r="J552" s="0" t="n">
        <v>1.16</v>
      </c>
      <c r="K552" s="13" t="n">
        <f aca="false">IF(H552&lt;&gt;"",H552,IFERROR(G552/INDEX(Players!$M$2:$M$137,MATCH(B552,Players!$A$2:$A$137,0)),""))</f>
        <v>0.63</v>
      </c>
    </row>
    <row r="553" customFormat="false" ht="15" hidden="false" customHeight="false" outlineLevel="0" collapsed="false">
      <c r="A553" s="0" t="s">
        <v>2569</v>
      </c>
      <c r="B553" s="0" t="s">
        <v>1720</v>
      </c>
      <c r="C553" s="0" t="s">
        <v>1442</v>
      </c>
      <c r="D553" s="0" t="s">
        <v>1139</v>
      </c>
      <c r="E553" s="0" t="s">
        <v>139</v>
      </c>
      <c r="F553" s="0" t="n">
        <v>2</v>
      </c>
      <c r="G553" s="0" t="n">
        <v>13</v>
      </c>
      <c r="H553" s="0" t="n">
        <v>0.59</v>
      </c>
      <c r="I553" s="10" t="n">
        <v>0.346</v>
      </c>
      <c r="J553" s="0" t="n">
        <v>0.87</v>
      </c>
      <c r="K553" s="13" t="n">
        <f aca="false">IF(H553&lt;&gt;"",H553,IFERROR(G553/INDEX(Players!$M$2:$M$137,MATCH(B553,Players!$A$2:$A$137,0)),""))</f>
        <v>0.59</v>
      </c>
    </row>
    <row r="554" customFormat="false" ht="15" hidden="false" customHeight="false" outlineLevel="0" collapsed="false">
      <c r="A554" s="0" t="s">
        <v>2570</v>
      </c>
      <c r="B554" s="0" t="s">
        <v>1739</v>
      </c>
      <c r="C554" s="0" t="s">
        <v>1484</v>
      </c>
      <c r="D554" s="0" t="s">
        <v>1139</v>
      </c>
      <c r="E554" s="0" t="s">
        <v>81</v>
      </c>
      <c r="F554" s="0" t="n">
        <v>9</v>
      </c>
      <c r="G554" s="0" t="n">
        <v>16.8</v>
      </c>
      <c r="H554" s="0" t="n">
        <v>0.69</v>
      </c>
      <c r="I554" s="10" t="n">
        <v>0.556</v>
      </c>
      <c r="J554" s="0" t="n">
        <v>1.03</v>
      </c>
      <c r="K554" s="13" t="n">
        <f aca="false">IF(H554&lt;&gt;"",H554,IFERROR(G554/INDEX(Players!$M$2:$M$137,MATCH(B554,Players!$A$2:$A$137,0)),""))</f>
        <v>0.69</v>
      </c>
    </row>
    <row r="555" customFormat="false" ht="15" hidden="false" customHeight="false" outlineLevel="0" collapsed="false">
      <c r="A555" s="0" t="s">
        <v>2571</v>
      </c>
      <c r="B555" s="0" t="s">
        <v>1739</v>
      </c>
      <c r="C555" s="0" t="s">
        <v>1484</v>
      </c>
      <c r="D555" s="0" t="s">
        <v>1139</v>
      </c>
      <c r="E555" s="0" t="s">
        <v>129</v>
      </c>
      <c r="F555" s="0" t="n">
        <v>8</v>
      </c>
      <c r="G555" s="0" t="n">
        <v>16.8</v>
      </c>
      <c r="H555" s="0" t="n">
        <v>0.69</v>
      </c>
      <c r="I555" s="10" t="n">
        <v>0.537</v>
      </c>
      <c r="J555" s="0" t="n">
        <v>1.07</v>
      </c>
      <c r="K555" s="13" t="n">
        <f aca="false">IF(H555&lt;&gt;"",H555,IFERROR(G555/INDEX(Players!$M$2:$M$137,MATCH(B555,Players!$A$2:$A$137,0)),""))</f>
        <v>0.69</v>
      </c>
    </row>
    <row r="556" customFormat="false" ht="15" hidden="false" customHeight="false" outlineLevel="0" collapsed="false">
      <c r="A556" s="0" t="s">
        <v>2572</v>
      </c>
      <c r="B556" s="0" t="s">
        <v>1739</v>
      </c>
      <c r="C556" s="0" t="s">
        <v>1484</v>
      </c>
      <c r="D556" s="0" t="s">
        <v>1139</v>
      </c>
      <c r="E556" s="0" t="s">
        <v>95</v>
      </c>
      <c r="F556" s="0" t="n">
        <v>7</v>
      </c>
      <c r="G556" s="0" t="n">
        <v>15.4</v>
      </c>
      <c r="H556" s="0" t="n">
        <v>0.77</v>
      </c>
      <c r="I556" s="10" t="n">
        <v>0.593</v>
      </c>
      <c r="J556" s="0" t="n">
        <v>1.24</v>
      </c>
      <c r="K556" s="13" t="n">
        <f aca="false">IF(H556&lt;&gt;"",H556,IFERROR(G556/INDEX(Players!$M$2:$M$137,MATCH(B556,Players!$A$2:$A$137,0)),""))</f>
        <v>0.77</v>
      </c>
    </row>
    <row r="557" customFormat="false" ht="15" hidden="false" customHeight="false" outlineLevel="0" collapsed="false">
      <c r="A557" s="0" t="s">
        <v>2573</v>
      </c>
      <c r="B557" s="0" t="s">
        <v>1739</v>
      </c>
      <c r="C557" s="0" t="s">
        <v>1484</v>
      </c>
      <c r="D557" s="0" t="s">
        <v>1139</v>
      </c>
      <c r="E557" s="0" t="s">
        <v>108</v>
      </c>
      <c r="F557" s="0" t="n">
        <v>6</v>
      </c>
      <c r="G557" s="0" t="n">
        <v>14.3</v>
      </c>
      <c r="H557" s="0" t="n">
        <v>0.64</v>
      </c>
      <c r="I557" s="10" t="n">
        <v>0.5</v>
      </c>
      <c r="J557" s="0" t="n">
        <v>0.9</v>
      </c>
      <c r="K557" s="13" t="n">
        <f aca="false">IF(H557&lt;&gt;"",H557,IFERROR(G557/INDEX(Players!$M$2:$M$137,MATCH(B557,Players!$A$2:$A$137,0)),""))</f>
        <v>0.64</v>
      </c>
    </row>
    <row r="558" customFormat="false" ht="15" hidden="false" customHeight="false" outlineLevel="0" collapsed="false">
      <c r="A558" s="0" t="s">
        <v>2574</v>
      </c>
      <c r="B558" s="0" t="s">
        <v>1739</v>
      </c>
      <c r="C558" s="0" t="s">
        <v>1484</v>
      </c>
      <c r="D558" s="0" t="s">
        <v>1139</v>
      </c>
      <c r="E558" s="0" t="s">
        <v>145</v>
      </c>
      <c r="F558" s="0" t="n">
        <v>5</v>
      </c>
      <c r="G558" s="0" t="n">
        <v>14.2</v>
      </c>
      <c r="H558" s="0" t="n">
        <v>0.63</v>
      </c>
      <c r="I558" s="10" t="n">
        <v>0.549</v>
      </c>
      <c r="J558" s="0" t="n">
        <v>1.11</v>
      </c>
      <c r="K558" s="13" t="n">
        <f aca="false">IF(H558&lt;&gt;"",H558,IFERROR(G558/INDEX(Players!$M$2:$M$137,MATCH(B558,Players!$A$2:$A$137,0)),""))</f>
        <v>0.63</v>
      </c>
    </row>
    <row r="559" customFormat="false" ht="15" hidden="false" customHeight="false" outlineLevel="0" collapsed="false">
      <c r="A559" s="0" t="s">
        <v>2575</v>
      </c>
      <c r="B559" s="0" t="s">
        <v>1739</v>
      </c>
      <c r="C559" s="0" t="s">
        <v>1484</v>
      </c>
      <c r="D559" s="0" t="s">
        <v>1139</v>
      </c>
      <c r="E559" s="0" t="s">
        <v>139</v>
      </c>
      <c r="F559" s="0" t="n">
        <v>3</v>
      </c>
      <c r="G559" s="0" t="n">
        <v>12</v>
      </c>
      <c r="H559" s="0" t="n">
        <v>0.63</v>
      </c>
      <c r="I559" s="10" t="n">
        <v>0.583</v>
      </c>
      <c r="J559" s="0" t="n">
        <v>1</v>
      </c>
      <c r="K559" s="13" t="n">
        <f aca="false">IF(H559&lt;&gt;"",H559,IFERROR(G559/INDEX(Players!$M$2:$M$137,MATCH(B559,Players!$A$2:$A$137,0)),""))</f>
        <v>0.63</v>
      </c>
    </row>
    <row r="560" customFormat="false" ht="15" hidden="false" customHeight="false" outlineLevel="0" collapsed="false">
      <c r="A560" s="0" t="s">
        <v>2576</v>
      </c>
      <c r="B560" s="0" t="s">
        <v>1788</v>
      </c>
      <c r="C560" s="0" t="s">
        <v>1593</v>
      </c>
      <c r="D560" s="0" t="s">
        <v>1139</v>
      </c>
      <c r="E560" s="0" t="s">
        <v>95</v>
      </c>
      <c r="F560" s="0" t="n">
        <v>11</v>
      </c>
      <c r="G560" s="0" t="n">
        <v>19.1</v>
      </c>
      <c r="H560" s="0" t="n">
        <v>0.81</v>
      </c>
      <c r="I560" s="10" t="n">
        <v>0.624</v>
      </c>
      <c r="J560" s="0" t="n">
        <v>1.45</v>
      </c>
      <c r="K560" s="13" t="n">
        <f aca="false">IF(H560&lt;&gt;"",H560,IFERROR(G560/INDEX(Players!$M$2:$M$137,MATCH(B560,Players!$A$2:$A$137,0)),""))</f>
        <v>0.81</v>
      </c>
    </row>
    <row r="561" customFormat="false" ht="15" hidden="false" customHeight="false" outlineLevel="0" collapsed="false">
      <c r="A561" s="0" t="s">
        <v>2577</v>
      </c>
      <c r="B561" s="0" t="s">
        <v>1788</v>
      </c>
      <c r="C561" s="0" t="s">
        <v>1593</v>
      </c>
      <c r="D561" s="0" t="s">
        <v>1139</v>
      </c>
      <c r="E561" s="0" t="s">
        <v>121</v>
      </c>
      <c r="F561" s="0" t="n">
        <v>7</v>
      </c>
      <c r="G561" s="0" t="n">
        <v>12.6</v>
      </c>
      <c r="H561" s="0" t="n">
        <v>0.58</v>
      </c>
      <c r="I561" s="10" t="n">
        <v>0.545</v>
      </c>
      <c r="J561" s="0" t="n">
        <v>0.87</v>
      </c>
      <c r="K561" s="13" t="n">
        <f aca="false">IF(H561&lt;&gt;"",H561,IFERROR(G561/INDEX(Players!$M$2:$M$137,MATCH(B561,Players!$A$2:$A$137,0)),""))</f>
        <v>0.58</v>
      </c>
    </row>
    <row r="562" customFormat="false" ht="15" hidden="false" customHeight="false" outlineLevel="0" collapsed="false">
      <c r="A562" s="0" t="s">
        <v>2578</v>
      </c>
      <c r="B562" s="0" t="s">
        <v>1788</v>
      </c>
      <c r="C562" s="0" t="s">
        <v>1593</v>
      </c>
      <c r="D562" s="0" t="s">
        <v>1139</v>
      </c>
      <c r="E562" s="0" t="s">
        <v>108</v>
      </c>
      <c r="F562" s="0" t="n">
        <v>7</v>
      </c>
      <c r="G562" s="0" t="n">
        <v>12</v>
      </c>
      <c r="H562" s="0" t="n">
        <v>0.54</v>
      </c>
      <c r="I562" s="10" t="n">
        <v>0.548</v>
      </c>
      <c r="J562" s="0" t="n">
        <v>0.87</v>
      </c>
      <c r="K562" s="13" t="n">
        <f aca="false">IF(H562&lt;&gt;"",H562,IFERROR(G562/INDEX(Players!$M$2:$M$137,MATCH(B562,Players!$A$2:$A$137,0)),""))</f>
        <v>0.54</v>
      </c>
    </row>
    <row r="563" customFormat="false" ht="15" hidden="false" customHeight="false" outlineLevel="0" collapsed="false">
      <c r="A563" s="0" t="s">
        <v>2579</v>
      </c>
      <c r="B563" s="0" t="s">
        <v>1788</v>
      </c>
      <c r="C563" s="0" t="s">
        <v>1593</v>
      </c>
      <c r="D563" s="0" t="s">
        <v>1139</v>
      </c>
      <c r="E563" s="0" t="s">
        <v>129</v>
      </c>
      <c r="F563" s="0" t="n">
        <v>6</v>
      </c>
      <c r="G563" s="0" t="n">
        <v>14.2</v>
      </c>
      <c r="H563" s="0" t="n">
        <v>0.66</v>
      </c>
      <c r="I563" s="10" t="n">
        <v>0.588</v>
      </c>
      <c r="J563" s="0" t="n">
        <v>1.05</v>
      </c>
      <c r="K563" s="13" t="n">
        <f aca="false">IF(H563&lt;&gt;"",H563,IFERROR(G563/INDEX(Players!$M$2:$M$137,MATCH(B563,Players!$A$2:$A$137,0)),""))</f>
        <v>0.66</v>
      </c>
    </row>
    <row r="564" customFormat="false" ht="15" hidden="false" customHeight="false" outlineLevel="0" collapsed="false">
      <c r="A564" s="0" t="s">
        <v>2580</v>
      </c>
      <c r="B564" s="0" t="s">
        <v>1788</v>
      </c>
      <c r="C564" s="0" t="s">
        <v>1593</v>
      </c>
      <c r="D564" s="0" t="s">
        <v>1139</v>
      </c>
      <c r="E564" s="0" t="s">
        <v>139</v>
      </c>
      <c r="F564" s="0" t="n">
        <v>6</v>
      </c>
      <c r="G564" s="0" t="n">
        <v>10.8</v>
      </c>
      <c r="H564" s="0" t="n">
        <v>0.58</v>
      </c>
      <c r="I564" s="10" t="n">
        <v>0.538</v>
      </c>
      <c r="J564" s="0" t="n">
        <v>0.9</v>
      </c>
      <c r="K564" s="13" t="n">
        <f aca="false">IF(H564&lt;&gt;"",H564,IFERROR(G564/INDEX(Players!$M$2:$M$137,MATCH(B564,Players!$A$2:$A$137,0)),""))</f>
        <v>0.58</v>
      </c>
    </row>
    <row r="565" customFormat="false" ht="15" hidden="false" customHeight="false" outlineLevel="0" collapsed="false">
      <c r="A565" s="0" t="s">
        <v>2581</v>
      </c>
      <c r="B565" s="0" t="s">
        <v>1788</v>
      </c>
      <c r="C565" s="0" t="s">
        <v>1593</v>
      </c>
      <c r="D565" s="0" t="s">
        <v>1139</v>
      </c>
      <c r="E565" s="0" t="s">
        <v>145</v>
      </c>
      <c r="F565" s="0" t="n">
        <v>1</v>
      </c>
      <c r="G565" s="0" t="n">
        <v>18</v>
      </c>
      <c r="H565" s="0" t="n">
        <v>0.62</v>
      </c>
      <c r="I565" s="10" t="n">
        <v>0.611</v>
      </c>
      <c r="J565" s="0" t="n">
        <v>0.82</v>
      </c>
      <c r="K565" s="13" t="n">
        <f aca="false">IF(H565&lt;&gt;"",H565,IFERROR(G565/INDEX(Players!$M$2:$M$137,MATCH(B565,Players!$A$2:$A$137,0)),""))</f>
        <v>0.62</v>
      </c>
    </row>
    <row r="566" customFormat="false" ht="15" hidden="false" customHeight="false" outlineLevel="0" collapsed="false">
      <c r="A566" s="0" t="s">
        <v>2582</v>
      </c>
      <c r="B566" s="0" t="s">
        <v>1729</v>
      </c>
      <c r="C566" s="0" t="s">
        <v>1462</v>
      </c>
      <c r="D566" s="0" t="s">
        <v>1139</v>
      </c>
      <c r="E566" s="0" t="s">
        <v>129</v>
      </c>
      <c r="F566" s="0" t="n">
        <v>7</v>
      </c>
      <c r="G566" s="0" t="n">
        <v>13.9</v>
      </c>
      <c r="H566" s="0" t="n">
        <v>0.69</v>
      </c>
      <c r="I566" s="10" t="n">
        <v>0.433</v>
      </c>
      <c r="J566" s="0" t="n">
        <v>1.1</v>
      </c>
      <c r="K566" s="13" t="n">
        <f aca="false">IF(H566&lt;&gt;"",H566,IFERROR(G566/INDEX(Players!$M$2:$M$137,MATCH(B566,Players!$A$2:$A$137,0)),""))</f>
        <v>0.69</v>
      </c>
    </row>
    <row r="567" customFormat="false" ht="15" hidden="false" customHeight="false" outlineLevel="0" collapsed="false">
      <c r="A567" s="0" t="s">
        <v>2583</v>
      </c>
      <c r="B567" s="0" t="s">
        <v>1729</v>
      </c>
      <c r="C567" s="0" t="s">
        <v>1462</v>
      </c>
      <c r="D567" s="0" t="s">
        <v>1139</v>
      </c>
      <c r="E567" s="0" t="s">
        <v>95</v>
      </c>
      <c r="F567" s="0" t="n">
        <v>7</v>
      </c>
      <c r="G567" s="0" t="n">
        <v>16.3</v>
      </c>
      <c r="H567" s="0" t="n">
        <v>0.7</v>
      </c>
      <c r="I567" s="10" t="n">
        <v>0.491</v>
      </c>
      <c r="J567" s="0" t="n">
        <v>1.05</v>
      </c>
      <c r="K567" s="13" t="n">
        <f aca="false">IF(H567&lt;&gt;"",H567,IFERROR(G567/INDEX(Players!$M$2:$M$137,MATCH(B567,Players!$A$2:$A$137,0)),""))</f>
        <v>0.7</v>
      </c>
    </row>
    <row r="568" customFormat="false" ht="15" hidden="false" customHeight="false" outlineLevel="0" collapsed="false">
      <c r="A568" s="0" t="s">
        <v>2584</v>
      </c>
      <c r="B568" s="0" t="s">
        <v>1729</v>
      </c>
      <c r="C568" s="0" t="s">
        <v>1462</v>
      </c>
      <c r="D568" s="0" t="s">
        <v>1139</v>
      </c>
      <c r="E568" s="0" t="s">
        <v>108</v>
      </c>
      <c r="F568" s="0" t="n">
        <v>7</v>
      </c>
      <c r="G568" s="0" t="n">
        <v>16.9</v>
      </c>
      <c r="H568" s="0" t="n">
        <v>0.63</v>
      </c>
      <c r="I568" s="10" t="n">
        <v>0.568</v>
      </c>
      <c r="J568" s="0" t="n">
        <v>0.85</v>
      </c>
      <c r="K568" s="13" t="n">
        <f aca="false">IF(H568&lt;&gt;"",H568,IFERROR(G568/INDEX(Players!$M$2:$M$137,MATCH(B568,Players!$A$2:$A$137,0)),""))</f>
        <v>0.63</v>
      </c>
    </row>
    <row r="569" customFormat="false" ht="15" hidden="false" customHeight="false" outlineLevel="0" collapsed="false">
      <c r="A569" s="0" t="s">
        <v>2585</v>
      </c>
      <c r="B569" s="0" t="s">
        <v>1729</v>
      </c>
      <c r="C569" s="0" t="s">
        <v>1462</v>
      </c>
      <c r="D569" s="0" t="s">
        <v>1139</v>
      </c>
      <c r="E569" s="0" t="s">
        <v>81</v>
      </c>
      <c r="F569" s="0" t="n">
        <v>6</v>
      </c>
      <c r="G569" s="0" t="n">
        <v>19.5</v>
      </c>
      <c r="H569" s="0" t="n">
        <v>0.74</v>
      </c>
      <c r="I569" s="10" t="n">
        <v>0.564</v>
      </c>
      <c r="J569" s="0" t="n">
        <v>1.03</v>
      </c>
      <c r="K569" s="13" t="n">
        <f aca="false">IF(H569&lt;&gt;"",H569,IFERROR(G569/INDEX(Players!$M$2:$M$137,MATCH(B569,Players!$A$2:$A$137,0)),""))</f>
        <v>0.74</v>
      </c>
    </row>
    <row r="570" customFormat="false" ht="15" hidden="false" customHeight="false" outlineLevel="0" collapsed="false">
      <c r="A570" s="0" t="s">
        <v>2586</v>
      </c>
      <c r="B570" s="0" t="s">
        <v>1729</v>
      </c>
      <c r="C570" s="0" t="s">
        <v>1462</v>
      </c>
      <c r="D570" s="0" t="s">
        <v>1139</v>
      </c>
      <c r="E570" s="0" t="s">
        <v>145</v>
      </c>
      <c r="F570" s="0" t="n">
        <v>4</v>
      </c>
      <c r="G570" s="0" t="n">
        <v>14.5</v>
      </c>
      <c r="H570" s="0" t="n">
        <v>0.71</v>
      </c>
      <c r="I570" s="10" t="n">
        <v>0.586</v>
      </c>
      <c r="J570" s="0" t="n">
        <v>1.04</v>
      </c>
      <c r="K570" s="13" t="n">
        <f aca="false">IF(H570&lt;&gt;"",H570,IFERROR(G570/INDEX(Players!$M$2:$M$137,MATCH(B570,Players!$A$2:$A$137,0)),""))</f>
        <v>0.71</v>
      </c>
    </row>
    <row r="571" customFormat="false" ht="15" hidden="false" customHeight="false" outlineLevel="0" collapsed="false">
      <c r="A571" s="0" t="s">
        <v>2587</v>
      </c>
      <c r="B571" s="0" t="s">
        <v>1729</v>
      </c>
      <c r="C571" s="0" t="s">
        <v>1462</v>
      </c>
      <c r="D571" s="0" t="s">
        <v>1139</v>
      </c>
      <c r="E571" s="0" t="s">
        <v>121</v>
      </c>
      <c r="F571" s="0" t="n">
        <v>4</v>
      </c>
      <c r="G571" s="0" t="n">
        <v>9.5</v>
      </c>
      <c r="H571" s="0" t="n">
        <v>0.51</v>
      </c>
      <c r="I571" s="10" t="n">
        <v>0.421</v>
      </c>
      <c r="J571" s="0" t="n">
        <v>0.66</v>
      </c>
      <c r="K571" s="13" t="n">
        <f aca="false">IF(H571&lt;&gt;"",H571,IFERROR(G571/INDEX(Players!$M$2:$M$137,MATCH(B571,Players!$A$2:$A$137,0)),""))</f>
        <v>0.51</v>
      </c>
    </row>
    <row r="572" customFormat="false" ht="15" hidden="false" customHeight="false" outlineLevel="0" collapsed="false">
      <c r="A572" s="0" t="s">
        <v>2588</v>
      </c>
      <c r="B572" s="0" t="s">
        <v>1785</v>
      </c>
      <c r="C572" s="0" t="s">
        <v>1585</v>
      </c>
      <c r="D572" s="0" t="s">
        <v>1139</v>
      </c>
      <c r="E572" s="0" t="s">
        <v>108</v>
      </c>
      <c r="F572" s="0" t="n">
        <v>8</v>
      </c>
      <c r="G572" s="0" t="n">
        <v>15.6</v>
      </c>
      <c r="H572" s="0" t="n">
        <v>0.78</v>
      </c>
      <c r="I572" s="10" t="n">
        <v>0.536</v>
      </c>
      <c r="J572" s="0" t="n">
        <v>1.39</v>
      </c>
      <c r="K572" s="13" t="n">
        <f aca="false">IF(H572&lt;&gt;"",H572,IFERROR(G572/INDEX(Players!$M$2:$M$137,MATCH(B572,Players!$A$2:$A$137,0)),""))</f>
        <v>0.78</v>
      </c>
    </row>
    <row r="573" customFormat="false" ht="15" hidden="false" customHeight="false" outlineLevel="0" collapsed="false">
      <c r="A573" s="0" t="s">
        <v>2589</v>
      </c>
      <c r="B573" s="0" t="s">
        <v>1785</v>
      </c>
      <c r="C573" s="0" t="s">
        <v>1585</v>
      </c>
      <c r="D573" s="0" t="s">
        <v>1139</v>
      </c>
      <c r="E573" s="0" t="s">
        <v>95</v>
      </c>
      <c r="F573" s="0" t="n">
        <v>8</v>
      </c>
      <c r="G573" s="0" t="n">
        <v>16.3</v>
      </c>
      <c r="H573" s="0" t="n">
        <v>0.78</v>
      </c>
      <c r="I573" s="10" t="n">
        <v>0.538</v>
      </c>
      <c r="J573" s="0" t="n">
        <v>1.38</v>
      </c>
      <c r="K573" s="13" t="n">
        <f aca="false">IF(H573&lt;&gt;"",H573,IFERROR(G573/INDEX(Players!$M$2:$M$137,MATCH(B573,Players!$A$2:$A$137,0)),""))</f>
        <v>0.78</v>
      </c>
    </row>
    <row r="574" customFormat="false" ht="15" hidden="false" customHeight="false" outlineLevel="0" collapsed="false">
      <c r="A574" s="0" t="s">
        <v>2590</v>
      </c>
      <c r="B574" s="0" t="s">
        <v>1785</v>
      </c>
      <c r="C574" s="0" t="s">
        <v>1585</v>
      </c>
      <c r="D574" s="0" t="s">
        <v>1139</v>
      </c>
      <c r="E574" s="0" t="s">
        <v>121</v>
      </c>
      <c r="F574" s="0" t="n">
        <v>7</v>
      </c>
      <c r="G574" s="0" t="n">
        <v>15.3</v>
      </c>
      <c r="H574" s="0" t="n">
        <v>0.76</v>
      </c>
      <c r="I574" s="10" t="n">
        <v>0.542</v>
      </c>
      <c r="J574" s="0" t="n">
        <v>1.34</v>
      </c>
      <c r="K574" s="13" t="n">
        <f aca="false">IF(H574&lt;&gt;"",H574,IFERROR(G574/INDEX(Players!$M$2:$M$137,MATCH(B574,Players!$A$2:$A$137,0)),""))</f>
        <v>0.76</v>
      </c>
    </row>
    <row r="575" customFormat="false" ht="15" hidden="false" customHeight="false" outlineLevel="0" collapsed="false">
      <c r="A575" s="0" t="s">
        <v>2591</v>
      </c>
      <c r="B575" s="0" t="s">
        <v>1785</v>
      </c>
      <c r="C575" s="0" t="s">
        <v>1585</v>
      </c>
      <c r="D575" s="0" t="s">
        <v>1139</v>
      </c>
      <c r="E575" s="0" t="s">
        <v>129</v>
      </c>
      <c r="F575" s="0" t="n">
        <v>7</v>
      </c>
      <c r="G575" s="0" t="n">
        <v>13.3</v>
      </c>
      <c r="H575" s="0" t="n">
        <v>0.68</v>
      </c>
      <c r="I575" s="10" t="n">
        <v>0.441</v>
      </c>
      <c r="J575" s="0" t="n">
        <v>1.33</v>
      </c>
      <c r="K575" s="13" t="n">
        <f aca="false">IF(H575&lt;&gt;"",H575,IFERROR(G575/INDEX(Players!$M$2:$M$137,MATCH(B575,Players!$A$2:$A$137,0)),""))</f>
        <v>0.68</v>
      </c>
    </row>
    <row r="576" customFormat="false" ht="15" hidden="false" customHeight="false" outlineLevel="0" collapsed="false">
      <c r="A576" s="0" t="s">
        <v>2592</v>
      </c>
      <c r="B576" s="0" t="s">
        <v>1785</v>
      </c>
      <c r="C576" s="0" t="s">
        <v>1585</v>
      </c>
      <c r="D576" s="0" t="s">
        <v>1139</v>
      </c>
      <c r="E576" s="0" t="s">
        <v>139</v>
      </c>
      <c r="F576" s="0" t="n">
        <v>6</v>
      </c>
      <c r="G576" s="0" t="n">
        <v>14.2</v>
      </c>
      <c r="H576" s="0" t="n">
        <v>0.73</v>
      </c>
      <c r="I576" s="10" t="n">
        <v>0.624</v>
      </c>
      <c r="J576" s="0" t="n">
        <v>1.52</v>
      </c>
      <c r="K576" s="13" t="n">
        <f aca="false">IF(H576&lt;&gt;"",H576,IFERROR(G576/INDEX(Players!$M$2:$M$137,MATCH(B576,Players!$A$2:$A$137,0)),""))</f>
        <v>0.73</v>
      </c>
    </row>
    <row r="577" customFormat="false" ht="15" hidden="false" customHeight="false" outlineLevel="0" collapsed="false">
      <c r="A577" s="0" t="s">
        <v>2593</v>
      </c>
      <c r="B577" s="0" t="s">
        <v>1785</v>
      </c>
      <c r="C577" s="0" t="s">
        <v>1585</v>
      </c>
      <c r="D577" s="0" t="s">
        <v>1139</v>
      </c>
      <c r="E577" s="0" t="s">
        <v>145</v>
      </c>
      <c r="F577" s="0" t="n">
        <v>2</v>
      </c>
      <c r="G577" s="0" t="n">
        <v>11</v>
      </c>
      <c r="H577" s="0" t="n">
        <v>0.56</v>
      </c>
      <c r="I577" s="10" t="n">
        <v>0.364</v>
      </c>
      <c r="J577" s="0" t="n">
        <v>0.73</v>
      </c>
      <c r="K577" s="13" t="n">
        <f aca="false">IF(H577&lt;&gt;"",H577,IFERROR(G577/INDEX(Players!$M$2:$M$137,MATCH(B577,Players!$A$2:$A$137,0)),""))</f>
        <v>0.56</v>
      </c>
    </row>
    <row r="578" customFormat="false" ht="15" hidden="false" customHeight="false" outlineLevel="0" collapsed="false">
      <c r="A578" s="0" t="s">
        <v>2594</v>
      </c>
      <c r="B578" s="0" t="s">
        <v>1670</v>
      </c>
      <c r="C578" s="0" t="s">
        <v>1316</v>
      </c>
      <c r="D578" s="0" t="s">
        <v>1139</v>
      </c>
      <c r="E578" s="0" t="s">
        <v>129</v>
      </c>
      <c r="F578" s="0" t="n">
        <v>11</v>
      </c>
      <c r="G578" s="0" t="n">
        <v>14.8</v>
      </c>
      <c r="H578" s="0" t="n">
        <v>0.71</v>
      </c>
      <c r="I578" s="10" t="n">
        <v>0.564</v>
      </c>
      <c r="J578" s="0" t="n">
        <v>1.17</v>
      </c>
      <c r="K578" s="13" t="n">
        <f aca="false">IF(H578&lt;&gt;"",H578,IFERROR(G578/INDEX(Players!$M$2:$M$137,MATCH(B578,Players!$A$2:$A$137,0)),""))</f>
        <v>0.71</v>
      </c>
    </row>
    <row r="579" customFormat="false" ht="15" hidden="false" customHeight="false" outlineLevel="0" collapsed="false">
      <c r="A579" s="0" t="s">
        <v>2595</v>
      </c>
      <c r="B579" s="0" t="s">
        <v>1670</v>
      </c>
      <c r="C579" s="0" t="s">
        <v>1316</v>
      </c>
      <c r="D579" s="0" t="s">
        <v>1139</v>
      </c>
      <c r="E579" s="0" t="s">
        <v>81</v>
      </c>
      <c r="F579" s="0" t="n">
        <v>10</v>
      </c>
      <c r="G579" s="0" t="n">
        <v>18.3</v>
      </c>
      <c r="H579" s="0" t="n">
        <v>0.85</v>
      </c>
      <c r="I579" s="10" t="n">
        <v>0.464</v>
      </c>
      <c r="J579" s="0" t="n">
        <v>1.43</v>
      </c>
      <c r="K579" s="13" t="n">
        <f aca="false">IF(H579&lt;&gt;"",H579,IFERROR(G579/INDEX(Players!$M$2:$M$137,MATCH(B579,Players!$A$2:$A$137,0)),""))</f>
        <v>0.85</v>
      </c>
    </row>
    <row r="580" customFormat="false" ht="15" hidden="false" customHeight="false" outlineLevel="0" collapsed="false">
      <c r="A580" s="0" t="s">
        <v>2596</v>
      </c>
      <c r="B580" s="0" t="s">
        <v>1670</v>
      </c>
      <c r="C580" s="0" t="s">
        <v>1316</v>
      </c>
      <c r="D580" s="0" t="s">
        <v>1139</v>
      </c>
      <c r="E580" s="0" t="s">
        <v>145</v>
      </c>
      <c r="F580" s="0" t="n">
        <v>8</v>
      </c>
      <c r="G580" s="0" t="n">
        <v>21.1</v>
      </c>
      <c r="H580" s="0" t="n">
        <v>0.85</v>
      </c>
      <c r="I580" s="10" t="n">
        <v>0.473</v>
      </c>
      <c r="J580" s="0" t="n">
        <v>1.34</v>
      </c>
      <c r="K580" s="13" t="n">
        <f aca="false">IF(H580&lt;&gt;"",H580,IFERROR(G580/INDEX(Players!$M$2:$M$137,MATCH(B580,Players!$A$2:$A$137,0)),""))</f>
        <v>0.85</v>
      </c>
    </row>
    <row r="581" customFormat="false" ht="15" hidden="false" customHeight="false" outlineLevel="0" collapsed="false">
      <c r="A581" s="0" t="s">
        <v>2597</v>
      </c>
      <c r="B581" s="0" t="s">
        <v>1670</v>
      </c>
      <c r="C581" s="0" t="s">
        <v>1316</v>
      </c>
      <c r="D581" s="0" t="s">
        <v>1139</v>
      </c>
      <c r="E581" s="0" t="s">
        <v>108</v>
      </c>
      <c r="F581" s="0" t="n">
        <v>5</v>
      </c>
      <c r="G581" s="0" t="n">
        <v>13.8</v>
      </c>
      <c r="H581" s="0" t="n">
        <v>0.68</v>
      </c>
      <c r="I581" s="10" t="n">
        <v>0.58</v>
      </c>
      <c r="J581" s="0" t="n">
        <v>1.05</v>
      </c>
      <c r="K581" s="13" t="n">
        <f aca="false">IF(H581&lt;&gt;"",H581,IFERROR(G581/INDEX(Players!$M$2:$M$137,MATCH(B581,Players!$A$2:$A$137,0)),""))</f>
        <v>0.68</v>
      </c>
    </row>
    <row r="582" customFormat="false" ht="15" hidden="false" customHeight="false" outlineLevel="0" collapsed="false">
      <c r="A582" s="0" t="s">
        <v>2598</v>
      </c>
      <c r="B582" s="0" t="s">
        <v>1670</v>
      </c>
      <c r="C582" s="0" t="s">
        <v>1316</v>
      </c>
      <c r="D582" s="0" t="s">
        <v>1139</v>
      </c>
      <c r="E582" s="0" t="s">
        <v>139</v>
      </c>
      <c r="F582" s="0" t="n">
        <v>4</v>
      </c>
      <c r="G582" s="0" t="n">
        <v>15.5</v>
      </c>
      <c r="H582" s="0" t="n">
        <v>0.63</v>
      </c>
      <c r="I582" s="10" t="n">
        <v>0.597</v>
      </c>
      <c r="J582" s="0" t="n">
        <v>0.97</v>
      </c>
      <c r="K582" s="13" t="n">
        <f aca="false">IF(H582&lt;&gt;"",H582,IFERROR(G582/INDEX(Players!$M$2:$M$137,MATCH(B582,Players!$A$2:$A$137,0)),""))</f>
        <v>0.63</v>
      </c>
    </row>
    <row r="583" customFormat="false" ht="15" hidden="false" customHeight="false" outlineLevel="0" collapsed="false">
      <c r="A583" s="0" t="s">
        <v>2599</v>
      </c>
      <c r="B583" s="0" t="s">
        <v>1670</v>
      </c>
      <c r="C583" s="0" t="s">
        <v>1316</v>
      </c>
      <c r="D583" s="0" t="s">
        <v>1139</v>
      </c>
      <c r="E583" s="0" t="s">
        <v>95</v>
      </c>
      <c r="F583" s="0" t="n">
        <v>3</v>
      </c>
      <c r="G583" s="0" t="n">
        <v>14.7</v>
      </c>
      <c r="H583" s="0" t="n">
        <v>0.76</v>
      </c>
      <c r="I583" s="10" t="n">
        <v>0.523</v>
      </c>
      <c r="J583" s="0" t="n">
        <v>1.22</v>
      </c>
      <c r="K583" s="13" t="n">
        <f aca="false">IF(H583&lt;&gt;"",H583,IFERROR(G583/INDEX(Players!$M$2:$M$137,MATCH(B583,Players!$A$2:$A$137,0)),""))</f>
        <v>0.76</v>
      </c>
    </row>
    <row r="584" customFormat="false" ht="15" hidden="false" customHeight="false" outlineLevel="0" collapsed="false">
      <c r="A584" s="0" t="s">
        <v>2600</v>
      </c>
      <c r="B584" s="0" t="s">
        <v>1670</v>
      </c>
      <c r="C584" s="0" t="s">
        <v>1316</v>
      </c>
      <c r="D584" s="0" t="s">
        <v>1139</v>
      </c>
      <c r="E584" s="0" t="s">
        <v>121</v>
      </c>
      <c r="F584" s="0" t="n">
        <v>1</v>
      </c>
      <c r="G584" s="0" t="n">
        <v>8</v>
      </c>
      <c r="H584" s="0" t="n">
        <v>0.4</v>
      </c>
      <c r="I584" s="10" t="n">
        <v>0.25</v>
      </c>
      <c r="J584" s="0" t="n">
        <v>0.5</v>
      </c>
      <c r="K584" s="13" t="n">
        <f aca="false">IF(H584&lt;&gt;"",H584,IFERROR(G584/INDEX(Players!$M$2:$M$137,MATCH(B584,Players!$A$2:$A$137,0)),""))</f>
        <v>0.4</v>
      </c>
    </row>
    <row r="585" customFormat="false" ht="15" hidden="false" customHeight="false" outlineLevel="0" collapsed="false">
      <c r="A585" s="0" t="s">
        <v>2601</v>
      </c>
      <c r="B585" s="0" t="s">
        <v>1700</v>
      </c>
      <c r="C585" s="0" t="s">
        <v>1398</v>
      </c>
      <c r="D585" s="0" t="s">
        <v>1139</v>
      </c>
      <c r="E585" s="0" t="s">
        <v>108</v>
      </c>
      <c r="F585" s="0" t="n">
        <v>12</v>
      </c>
      <c r="G585" s="0" t="n">
        <v>13.4</v>
      </c>
      <c r="H585" s="0" t="n">
        <v>0.61</v>
      </c>
      <c r="I585" s="10" t="n">
        <v>0.571</v>
      </c>
      <c r="J585" s="0" t="n">
        <v>0.98</v>
      </c>
      <c r="K585" s="13" t="n">
        <f aca="false">IF(H585&lt;&gt;"",H585,IFERROR(G585/INDEX(Players!$M$2:$M$137,MATCH(B585,Players!$A$2:$A$137,0)),""))</f>
        <v>0.61</v>
      </c>
    </row>
    <row r="586" customFormat="false" ht="15" hidden="false" customHeight="false" outlineLevel="0" collapsed="false">
      <c r="A586" s="0" t="s">
        <v>2602</v>
      </c>
      <c r="B586" s="0" t="s">
        <v>1700</v>
      </c>
      <c r="C586" s="0" t="s">
        <v>1398</v>
      </c>
      <c r="D586" s="0" t="s">
        <v>1139</v>
      </c>
      <c r="E586" s="0" t="s">
        <v>121</v>
      </c>
      <c r="F586" s="0" t="n">
        <v>9</v>
      </c>
      <c r="G586" s="0" t="n">
        <v>15</v>
      </c>
      <c r="H586" s="0" t="n">
        <v>0.68</v>
      </c>
      <c r="I586" s="10" t="n">
        <v>0.607</v>
      </c>
      <c r="J586" s="0" t="n">
        <v>1.08</v>
      </c>
      <c r="K586" s="13" t="n">
        <f aca="false">IF(H586&lt;&gt;"",H586,IFERROR(G586/INDEX(Players!$M$2:$M$137,MATCH(B586,Players!$A$2:$A$137,0)),""))</f>
        <v>0.68</v>
      </c>
    </row>
    <row r="587" customFormat="false" ht="15" hidden="false" customHeight="false" outlineLevel="0" collapsed="false">
      <c r="A587" s="0" t="s">
        <v>2603</v>
      </c>
      <c r="B587" s="0" t="s">
        <v>1700</v>
      </c>
      <c r="C587" s="0" t="s">
        <v>1398</v>
      </c>
      <c r="D587" s="0" t="s">
        <v>1139</v>
      </c>
      <c r="E587" s="0" t="s">
        <v>81</v>
      </c>
      <c r="F587" s="0" t="n">
        <v>6</v>
      </c>
      <c r="G587" s="0" t="n">
        <v>18.7</v>
      </c>
      <c r="H587" s="0" t="n">
        <v>0.76</v>
      </c>
      <c r="I587" s="10" t="n">
        <v>0.518</v>
      </c>
      <c r="J587" s="0" t="n">
        <v>1.22</v>
      </c>
      <c r="K587" s="13" t="n">
        <f aca="false">IF(H587&lt;&gt;"",H587,IFERROR(G587/INDEX(Players!$M$2:$M$137,MATCH(B587,Players!$A$2:$A$137,0)),""))</f>
        <v>0.76</v>
      </c>
    </row>
    <row r="588" customFormat="false" ht="15" hidden="false" customHeight="false" outlineLevel="0" collapsed="false">
      <c r="A588" s="0" t="s">
        <v>2604</v>
      </c>
      <c r="B588" s="0" t="s">
        <v>1700</v>
      </c>
      <c r="C588" s="0" t="s">
        <v>1398</v>
      </c>
      <c r="D588" s="0" t="s">
        <v>1139</v>
      </c>
      <c r="E588" s="0" t="s">
        <v>95</v>
      </c>
      <c r="F588" s="0" t="n">
        <v>5</v>
      </c>
      <c r="G588" s="0" t="n">
        <v>15.6</v>
      </c>
      <c r="H588" s="0" t="n">
        <v>0.67</v>
      </c>
      <c r="I588" s="10" t="n">
        <v>0.551</v>
      </c>
      <c r="J588" s="0" t="n">
        <v>1.05</v>
      </c>
      <c r="K588" s="13" t="n">
        <f aca="false">IF(H588&lt;&gt;"",H588,IFERROR(G588/INDEX(Players!$M$2:$M$137,MATCH(B588,Players!$A$2:$A$137,0)),""))</f>
        <v>0.67</v>
      </c>
    </row>
    <row r="589" customFormat="false" ht="15" hidden="false" customHeight="false" outlineLevel="0" collapsed="false">
      <c r="A589" s="0" t="s">
        <v>2605</v>
      </c>
      <c r="B589" s="0" t="s">
        <v>1700</v>
      </c>
      <c r="C589" s="0" t="s">
        <v>1398</v>
      </c>
      <c r="D589" s="0" t="s">
        <v>1139</v>
      </c>
      <c r="E589" s="0" t="s">
        <v>145</v>
      </c>
      <c r="F589" s="0" t="n">
        <v>4</v>
      </c>
      <c r="G589" s="0" t="n">
        <v>14.5</v>
      </c>
      <c r="H589" s="0" t="n">
        <v>0.62</v>
      </c>
      <c r="I589" s="10" t="n">
        <v>0.569</v>
      </c>
      <c r="J589" s="0" t="n">
        <v>0.95</v>
      </c>
      <c r="K589" s="13" t="n">
        <f aca="false">IF(H589&lt;&gt;"",H589,IFERROR(G589/INDEX(Players!$M$2:$M$137,MATCH(B589,Players!$A$2:$A$137,0)),""))</f>
        <v>0.62</v>
      </c>
    </row>
    <row r="590" customFormat="false" ht="15" hidden="false" customHeight="false" outlineLevel="0" collapsed="false">
      <c r="A590" s="0" t="s">
        <v>2606</v>
      </c>
      <c r="B590" s="0" t="s">
        <v>1700</v>
      </c>
      <c r="C590" s="0" t="s">
        <v>1398</v>
      </c>
      <c r="D590" s="0" t="s">
        <v>1139</v>
      </c>
      <c r="E590" s="0" t="s">
        <v>129</v>
      </c>
      <c r="F590" s="0" t="n">
        <v>3</v>
      </c>
      <c r="G590" s="0" t="n">
        <v>17.3</v>
      </c>
      <c r="H590" s="0" t="n">
        <v>0.66</v>
      </c>
      <c r="I590" s="10" t="n">
        <v>0.635</v>
      </c>
      <c r="J590" s="0" t="n">
        <v>0.91</v>
      </c>
      <c r="K590" s="13" t="n">
        <f aca="false">IF(H590&lt;&gt;"",H590,IFERROR(G590/INDEX(Players!$M$2:$M$137,MATCH(B590,Players!$A$2:$A$137,0)),""))</f>
        <v>0.66</v>
      </c>
    </row>
    <row r="591" customFormat="false" ht="15" hidden="false" customHeight="false" outlineLevel="0" collapsed="false">
      <c r="A591" s="0" t="s">
        <v>2607</v>
      </c>
      <c r="B591" s="0" t="s">
        <v>1682</v>
      </c>
      <c r="C591" s="0" t="s">
        <v>1346</v>
      </c>
      <c r="D591" s="0" t="s">
        <v>1139</v>
      </c>
      <c r="E591" s="0" t="s">
        <v>108</v>
      </c>
      <c r="F591" s="0" t="n">
        <v>9</v>
      </c>
      <c r="G591" s="0" t="n">
        <v>14.7</v>
      </c>
      <c r="H591" s="0" t="n">
        <v>0.72</v>
      </c>
      <c r="I591" s="10" t="n">
        <v>0.379</v>
      </c>
      <c r="J591" s="0" t="n">
        <v>1.2</v>
      </c>
      <c r="K591" s="13" t="n">
        <f aca="false">IF(H591&lt;&gt;"",H591,IFERROR(G591/INDEX(Players!$M$2:$M$137,MATCH(B591,Players!$A$2:$A$137,0)),""))</f>
        <v>0.72</v>
      </c>
    </row>
    <row r="592" customFormat="false" ht="15" hidden="false" customHeight="false" outlineLevel="0" collapsed="false">
      <c r="A592" s="0" t="s">
        <v>2608</v>
      </c>
      <c r="B592" s="0" t="s">
        <v>1682</v>
      </c>
      <c r="C592" s="0" t="s">
        <v>1346</v>
      </c>
      <c r="D592" s="0" t="s">
        <v>1139</v>
      </c>
      <c r="E592" s="0" t="s">
        <v>81</v>
      </c>
      <c r="F592" s="0" t="n">
        <v>6</v>
      </c>
      <c r="G592" s="0" t="n">
        <v>19.3</v>
      </c>
      <c r="H592" s="0" t="n">
        <v>0.83</v>
      </c>
      <c r="I592" s="10" t="n">
        <v>0.216</v>
      </c>
      <c r="J592" s="0" t="n">
        <v>1.32</v>
      </c>
      <c r="K592" s="13" t="n">
        <f aca="false">IF(H592&lt;&gt;"",H592,IFERROR(G592/INDEX(Players!$M$2:$M$137,MATCH(B592,Players!$A$2:$A$137,0)),""))</f>
        <v>0.83</v>
      </c>
    </row>
    <row r="593" customFormat="false" ht="15" hidden="false" customHeight="false" outlineLevel="0" collapsed="false">
      <c r="A593" s="0" t="s">
        <v>2609</v>
      </c>
      <c r="B593" s="0" t="s">
        <v>1682</v>
      </c>
      <c r="C593" s="0" t="s">
        <v>1346</v>
      </c>
      <c r="D593" s="0" t="s">
        <v>1139</v>
      </c>
      <c r="E593" s="0" t="s">
        <v>95</v>
      </c>
      <c r="F593" s="0" t="n">
        <v>6</v>
      </c>
      <c r="G593" s="0" t="n">
        <v>15.3</v>
      </c>
      <c r="H593" s="0" t="n">
        <v>0.73</v>
      </c>
      <c r="I593" s="10" t="n">
        <v>0.228</v>
      </c>
      <c r="J593" s="0" t="n">
        <v>1.26</v>
      </c>
      <c r="K593" s="13" t="n">
        <f aca="false">IF(H593&lt;&gt;"",H593,IFERROR(G593/INDEX(Players!$M$2:$M$137,MATCH(B593,Players!$A$2:$A$137,0)),""))</f>
        <v>0.73</v>
      </c>
    </row>
    <row r="594" customFormat="false" ht="15" hidden="false" customHeight="false" outlineLevel="0" collapsed="false">
      <c r="A594" s="0" t="s">
        <v>2610</v>
      </c>
      <c r="B594" s="0" t="s">
        <v>1682</v>
      </c>
      <c r="C594" s="0" t="s">
        <v>1346</v>
      </c>
      <c r="D594" s="0" t="s">
        <v>1139</v>
      </c>
      <c r="E594" s="0" t="s">
        <v>139</v>
      </c>
      <c r="F594" s="0" t="n">
        <v>4</v>
      </c>
      <c r="G594" s="0" t="n">
        <v>11.8</v>
      </c>
      <c r="H594" s="0" t="n">
        <v>0.47</v>
      </c>
      <c r="I594" s="10" t="n">
        <v>0.298</v>
      </c>
      <c r="J594" s="0" t="n">
        <v>0.67</v>
      </c>
      <c r="K594" s="13" t="n">
        <f aca="false">IF(H594&lt;&gt;"",H594,IFERROR(G594/INDEX(Players!$M$2:$M$137,MATCH(B594,Players!$A$2:$A$137,0)),""))</f>
        <v>0.47</v>
      </c>
    </row>
    <row r="595" customFormat="false" ht="15" hidden="false" customHeight="false" outlineLevel="0" collapsed="false">
      <c r="A595" s="0" t="s">
        <v>2611</v>
      </c>
      <c r="B595" s="0" t="s">
        <v>1682</v>
      </c>
      <c r="C595" s="0" t="s">
        <v>1346</v>
      </c>
      <c r="D595" s="0" t="s">
        <v>1139</v>
      </c>
      <c r="E595" s="0" t="s">
        <v>129</v>
      </c>
      <c r="F595" s="0" t="n">
        <v>3</v>
      </c>
      <c r="G595" s="0" t="n">
        <v>15.3</v>
      </c>
      <c r="H595" s="0" t="n">
        <v>0.7</v>
      </c>
      <c r="I595" s="10" t="n">
        <v>0.283</v>
      </c>
      <c r="J595" s="0" t="n">
        <v>0.98</v>
      </c>
      <c r="K595" s="13" t="n">
        <f aca="false">IF(H595&lt;&gt;"",H595,IFERROR(G595/INDEX(Players!$M$2:$M$137,MATCH(B595,Players!$A$2:$A$137,0)),""))</f>
        <v>0.7</v>
      </c>
    </row>
    <row r="596" customFormat="false" ht="15" hidden="false" customHeight="false" outlineLevel="0" collapsed="false">
      <c r="A596" s="0" t="s">
        <v>2612</v>
      </c>
      <c r="B596" s="0" t="s">
        <v>1682</v>
      </c>
      <c r="C596" s="0" t="s">
        <v>1346</v>
      </c>
      <c r="D596" s="0" t="s">
        <v>1139</v>
      </c>
      <c r="E596" s="0" t="s">
        <v>145</v>
      </c>
      <c r="F596" s="0" t="n">
        <v>2</v>
      </c>
      <c r="G596" s="0" t="n">
        <v>9</v>
      </c>
      <c r="H596" s="0" t="n">
        <v>0.51</v>
      </c>
      <c r="I596" s="10" t="n">
        <v>0.333</v>
      </c>
      <c r="J596" s="0" t="n">
        <v>0.75</v>
      </c>
      <c r="K596" s="13" t="n">
        <f aca="false">IF(H596&lt;&gt;"",H596,IFERROR(G596/INDEX(Players!$M$2:$M$137,MATCH(B596,Players!$A$2:$A$137,0)),""))</f>
        <v>0.51</v>
      </c>
    </row>
    <row r="597" customFormat="false" ht="15" hidden="false" customHeight="false" outlineLevel="0" collapsed="false">
      <c r="A597" s="0" t="s">
        <v>2613</v>
      </c>
      <c r="B597" s="0" t="s">
        <v>1751</v>
      </c>
      <c r="C597" s="0" t="s">
        <v>1511</v>
      </c>
      <c r="D597" s="0" t="s">
        <v>1139</v>
      </c>
      <c r="E597" s="0" t="s">
        <v>108</v>
      </c>
      <c r="F597" s="0" t="n">
        <v>7</v>
      </c>
      <c r="G597" s="0" t="n">
        <v>18.4</v>
      </c>
      <c r="H597" s="0" t="n">
        <v>0.79</v>
      </c>
      <c r="I597" s="10" t="n">
        <v>0.333</v>
      </c>
      <c r="J597" s="0" t="n">
        <v>1.39</v>
      </c>
      <c r="K597" s="13" t="n">
        <f aca="false">IF(H597&lt;&gt;"",H597,IFERROR(G597/INDEX(Players!$M$2:$M$137,MATCH(B597,Players!$A$2:$A$137,0)),""))</f>
        <v>0.79</v>
      </c>
    </row>
    <row r="598" customFormat="false" ht="15" hidden="false" customHeight="false" outlineLevel="0" collapsed="false">
      <c r="A598" s="0" t="s">
        <v>2614</v>
      </c>
      <c r="B598" s="0" t="s">
        <v>1751</v>
      </c>
      <c r="C598" s="0" t="s">
        <v>1511</v>
      </c>
      <c r="D598" s="0" t="s">
        <v>1139</v>
      </c>
      <c r="E598" s="0" t="s">
        <v>145</v>
      </c>
      <c r="F598" s="0" t="n">
        <v>5</v>
      </c>
      <c r="G598" s="0" t="n">
        <v>18.8</v>
      </c>
      <c r="H598" s="0" t="n">
        <v>0.85</v>
      </c>
      <c r="I598" s="10" t="n">
        <v>0.319</v>
      </c>
      <c r="J598" s="0" t="n">
        <v>1.74</v>
      </c>
      <c r="K598" s="13" t="n">
        <f aca="false">IF(H598&lt;&gt;"",H598,IFERROR(G598/INDEX(Players!$M$2:$M$137,MATCH(B598,Players!$A$2:$A$137,0)),""))</f>
        <v>0.85</v>
      </c>
    </row>
    <row r="599" customFormat="false" ht="15" hidden="false" customHeight="false" outlineLevel="0" collapsed="false">
      <c r="A599" s="0" t="s">
        <v>2615</v>
      </c>
      <c r="B599" s="0" t="s">
        <v>1751</v>
      </c>
      <c r="C599" s="0" t="s">
        <v>1511</v>
      </c>
      <c r="D599" s="0" t="s">
        <v>1139</v>
      </c>
      <c r="E599" s="0" t="s">
        <v>95</v>
      </c>
      <c r="F599" s="0" t="n">
        <v>5</v>
      </c>
      <c r="G599" s="0" t="n">
        <v>15.8</v>
      </c>
      <c r="H599" s="0" t="n">
        <v>0.77</v>
      </c>
      <c r="I599" s="10" t="n">
        <v>0.342</v>
      </c>
      <c r="J599" s="0" t="n">
        <v>1.46</v>
      </c>
      <c r="K599" s="13" t="n">
        <f aca="false">IF(H599&lt;&gt;"",H599,IFERROR(G599/INDEX(Players!$M$2:$M$137,MATCH(B599,Players!$A$2:$A$137,0)),""))</f>
        <v>0.77</v>
      </c>
    </row>
    <row r="600" customFormat="false" ht="15" hidden="false" customHeight="false" outlineLevel="0" collapsed="false">
      <c r="A600" s="0" t="s">
        <v>2616</v>
      </c>
      <c r="B600" s="0" t="s">
        <v>1751</v>
      </c>
      <c r="C600" s="0" t="s">
        <v>1511</v>
      </c>
      <c r="D600" s="0" t="s">
        <v>1139</v>
      </c>
      <c r="E600" s="0" t="s">
        <v>129</v>
      </c>
      <c r="F600" s="0" t="n">
        <v>5</v>
      </c>
      <c r="G600" s="0" t="n">
        <v>18</v>
      </c>
      <c r="H600" s="0" t="n">
        <v>0.73</v>
      </c>
      <c r="I600" s="10" t="n">
        <v>0.333</v>
      </c>
      <c r="J600" s="0" t="n">
        <v>1.3</v>
      </c>
      <c r="K600" s="13" t="n">
        <f aca="false">IF(H600&lt;&gt;"",H600,IFERROR(G600/INDEX(Players!$M$2:$M$137,MATCH(B600,Players!$A$2:$A$137,0)),""))</f>
        <v>0.73</v>
      </c>
    </row>
    <row r="601" customFormat="false" ht="15" hidden="false" customHeight="false" outlineLevel="0" collapsed="false">
      <c r="A601" s="0" t="s">
        <v>2617</v>
      </c>
      <c r="B601" s="0" t="s">
        <v>1751</v>
      </c>
      <c r="C601" s="0" t="s">
        <v>1511</v>
      </c>
      <c r="D601" s="0" t="s">
        <v>1139</v>
      </c>
      <c r="E601" s="0" t="s">
        <v>121</v>
      </c>
      <c r="F601" s="0" t="n">
        <v>5</v>
      </c>
      <c r="G601" s="0" t="n">
        <v>14.8</v>
      </c>
      <c r="H601" s="0" t="n">
        <v>0.68</v>
      </c>
      <c r="I601" s="10" t="n">
        <v>0.257</v>
      </c>
      <c r="J601" s="0" t="n">
        <v>1.3</v>
      </c>
      <c r="K601" s="13" t="n">
        <f aca="false">IF(H601&lt;&gt;"",H601,IFERROR(G601/INDEX(Players!$M$2:$M$137,MATCH(B601,Players!$A$2:$A$137,0)),""))</f>
        <v>0.68</v>
      </c>
    </row>
    <row r="602" customFormat="false" ht="15" hidden="false" customHeight="false" outlineLevel="0" collapsed="false">
      <c r="A602" s="0" t="s">
        <v>2618</v>
      </c>
      <c r="B602" s="0" t="s">
        <v>1751</v>
      </c>
      <c r="C602" s="0" t="s">
        <v>1511</v>
      </c>
      <c r="D602" s="0" t="s">
        <v>1139</v>
      </c>
      <c r="E602" s="0" t="s">
        <v>139</v>
      </c>
      <c r="F602" s="0" t="n">
        <v>4</v>
      </c>
      <c r="G602" s="0" t="n">
        <v>12</v>
      </c>
      <c r="H602" s="0" t="n">
        <v>0.63</v>
      </c>
      <c r="I602" s="10" t="n">
        <v>0.458</v>
      </c>
      <c r="J602" s="0" t="n">
        <v>1.26</v>
      </c>
      <c r="K602" s="13" t="n">
        <f aca="false">IF(H602&lt;&gt;"",H602,IFERROR(G602/INDEX(Players!$M$2:$M$137,MATCH(B602,Players!$A$2:$A$137,0)),""))</f>
        <v>0.63</v>
      </c>
    </row>
    <row r="603" customFormat="false" ht="15" hidden="false" customHeight="false" outlineLevel="0" collapsed="false">
      <c r="A603" s="0" t="s">
        <v>2619</v>
      </c>
      <c r="B603" s="0" t="s">
        <v>1789</v>
      </c>
      <c r="C603" s="0" t="s">
        <v>1595</v>
      </c>
      <c r="D603" s="0" t="s">
        <v>1139</v>
      </c>
      <c r="E603" s="0" t="s">
        <v>95</v>
      </c>
      <c r="F603" s="0" t="n">
        <v>11</v>
      </c>
      <c r="G603" s="0" t="n">
        <v>15.9</v>
      </c>
      <c r="H603" s="0" t="n">
        <v>0.67</v>
      </c>
      <c r="I603" s="10" t="n">
        <v>0.246</v>
      </c>
      <c r="J603" s="0" t="n">
        <v>1.15</v>
      </c>
      <c r="K603" s="13" t="n">
        <f aca="false">IF(H603&lt;&gt;"",H603,IFERROR(G603/INDEX(Players!$M$2:$M$137,MATCH(B603,Players!$A$2:$A$137,0)),""))</f>
        <v>0.67</v>
      </c>
    </row>
    <row r="604" customFormat="false" ht="15" hidden="false" customHeight="false" outlineLevel="0" collapsed="false">
      <c r="A604" s="0" t="s">
        <v>2620</v>
      </c>
      <c r="B604" s="0" t="s">
        <v>1789</v>
      </c>
      <c r="C604" s="0" t="s">
        <v>1595</v>
      </c>
      <c r="D604" s="0" t="s">
        <v>1139</v>
      </c>
      <c r="E604" s="0" t="s">
        <v>108</v>
      </c>
      <c r="F604" s="0" t="n">
        <v>7</v>
      </c>
      <c r="G604" s="0" t="n">
        <v>14</v>
      </c>
      <c r="H604" s="0" t="n">
        <v>0.63</v>
      </c>
      <c r="I604" s="10" t="n">
        <v>0.255</v>
      </c>
      <c r="J604" s="0" t="n">
        <v>1.03</v>
      </c>
      <c r="K604" s="13" t="n">
        <f aca="false">IF(H604&lt;&gt;"",H604,IFERROR(G604/INDEX(Players!$M$2:$M$137,MATCH(B604,Players!$A$2:$A$137,0)),""))</f>
        <v>0.63</v>
      </c>
    </row>
    <row r="605" customFormat="false" ht="15" hidden="false" customHeight="false" outlineLevel="0" collapsed="false">
      <c r="A605" s="0" t="s">
        <v>2621</v>
      </c>
      <c r="B605" s="0" t="s">
        <v>1789</v>
      </c>
      <c r="C605" s="0" t="s">
        <v>1595</v>
      </c>
      <c r="D605" s="0" t="s">
        <v>1139</v>
      </c>
      <c r="E605" s="0" t="s">
        <v>121</v>
      </c>
      <c r="F605" s="0" t="n">
        <v>7</v>
      </c>
      <c r="G605" s="0" t="n">
        <v>13.7</v>
      </c>
      <c r="H605" s="0" t="n">
        <v>0.63</v>
      </c>
      <c r="I605" s="10" t="n">
        <v>0.219</v>
      </c>
      <c r="J605" s="0" t="n">
        <v>0.99</v>
      </c>
      <c r="K605" s="13" t="n">
        <f aca="false">IF(H605&lt;&gt;"",H605,IFERROR(G605/INDEX(Players!$M$2:$M$137,MATCH(B605,Players!$A$2:$A$137,0)),""))</f>
        <v>0.63</v>
      </c>
    </row>
    <row r="606" customFormat="false" ht="15" hidden="false" customHeight="false" outlineLevel="0" collapsed="false">
      <c r="A606" s="0" t="s">
        <v>2622</v>
      </c>
      <c r="B606" s="0" t="s">
        <v>1789</v>
      </c>
      <c r="C606" s="0" t="s">
        <v>1595</v>
      </c>
      <c r="D606" s="0" t="s">
        <v>1139</v>
      </c>
      <c r="E606" s="0" t="s">
        <v>129</v>
      </c>
      <c r="F606" s="0" t="n">
        <v>6</v>
      </c>
      <c r="G606" s="0" t="n">
        <v>13.2</v>
      </c>
      <c r="H606" s="0" t="n">
        <v>0.61</v>
      </c>
      <c r="I606" s="10" t="n">
        <v>0.291</v>
      </c>
      <c r="J606" s="0" t="n">
        <v>0.98</v>
      </c>
      <c r="K606" s="13" t="n">
        <f aca="false">IF(H606&lt;&gt;"",H606,IFERROR(G606/INDEX(Players!$M$2:$M$137,MATCH(B606,Players!$A$2:$A$137,0)),""))</f>
        <v>0.61</v>
      </c>
    </row>
    <row r="607" customFormat="false" ht="15" hidden="false" customHeight="false" outlineLevel="0" collapsed="false">
      <c r="A607" s="0" t="s">
        <v>2623</v>
      </c>
      <c r="B607" s="0" t="s">
        <v>1789</v>
      </c>
      <c r="C607" s="0" t="s">
        <v>1595</v>
      </c>
      <c r="D607" s="0" t="s">
        <v>1139</v>
      </c>
      <c r="E607" s="0" t="s">
        <v>139</v>
      </c>
      <c r="F607" s="0" t="n">
        <v>6</v>
      </c>
      <c r="G607" s="0" t="n">
        <v>10.3</v>
      </c>
      <c r="H607" s="0" t="n">
        <v>0.55</v>
      </c>
      <c r="I607" s="10" t="n">
        <v>0.306</v>
      </c>
      <c r="J607" s="0" t="n">
        <v>0.78</v>
      </c>
      <c r="K607" s="13" t="n">
        <f aca="false">IF(H607&lt;&gt;"",H607,IFERROR(G607/INDEX(Players!$M$2:$M$137,MATCH(B607,Players!$A$2:$A$137,0)),""))</f>
        <v>0.55</v>
      </c>
    </row>
    <row r="608" customFormat="false" ht="15" hidden="false" customHeight="false" outlineLevel="0" collapsed="false">
      <c r="A608" s="0" t="s">
        <v>2624</v>
      </c>
      <c r="B608" s="0" t="s">
        <v>1789</v>
      </c>
      <c r="C608" s="0" t="s">
        <v>1595</v>
      </c>
      <c r="D608" s="0" t="s">
        <v>1139</v>
      </c>
      <c r="E608" s="0" t="s">
        <v>145</v>
      </c>
      <c r="F608" s="0" t="n">
        <v>1</v>
      </c>
      <c r="G608" s="0" t="n">
        <v>23</v>
      </c>
      <c r="H608" s="0" t="n">
        <v>0.79</v>
      </c>
      <c r="I608" s="10" t="n">
        <v>0.13</v>
      </c>
      <c r="J608" s="0" t="n">
        <v>1.1</v>
      </c>
      <c r="K608" s="13" t="n">
        <f aca="false">IF(H608&lt;&gt;"",H608,IFERROR(G608/INDEX(Players!$M$2:$M$137,MATCH(B608,Players!$A$2:$A$137,0)),""))</f>
        <v>0.79</v>
      </c>
    </row>
    <row r="609" customFormat="false" ht="15" hidden="false" customHeight="false" outlineLevel="0" collapsed="false">
      <c r="A609" s="0" t="s">
        <v>2625</v>
      </c>
      <c r="B609" s="0" t="s">
        <v>1668</v>
      </c>
      <c r="C609" s="0" t="s">
        <v>1312</v>
      </c>
      <c r="D609" s="0" t="s">
        <v>1139</v>
      </c>
      <c r="E609" s="0" t="s">
        <v>145</v>
      </c>
      <c r="F609" s="0" t="n">
        <v>8</v>
      </c>
      <c r="G609" s="0" t="n">
        <v>15.4</v>
      </c>
      <c r="H609" s="0" t="n">
        <v>0.66</v>
      </c>
      <c r="I609" s="10" t="n">
        <v>0.496</v>
      </c>
      <c r="J609" s="0" t="n">
        <v>1.1</v>
      </c>
      <c r="K609" s="13" t="n">
        <f aca="false">IF(H609&lt;&gt;"",H609,IFERROR(G609/INDEX(Players!$M$2:$M$137,MATCH(B609,Players!$A$2:$A$137,0)),""))</f>
        <v>0.66</v>
      </c>
    </row>
    <row r="610" customFormat="false" ht="15" hidden="false" customHeight="false" outlineLevel="0" collapsed="false">
      <c r="A610" s="0" t="s">
        <v>2626</v>
      </c>
      <c r="B610" s="0" t="s">
        <v>1668</v>
      </c>
      <c r="C610" s="0" t="s">
        <v>1312</v>
      </c>
      <c r="D610" s="0" t="s">
        <v>1139</v>
      </c>
      <c r="E610" s="0" t="s">
        <v>108</v>
      </c>
      <c r="F610" s="0" t="n">
        <v>8</v>
      </c>
      <c r="G610" s="0" t="n">
        <v>16.1</v>
      </c>
      <c r="H610" s="0" t="n">
        <v>0.73</v>
      </c>
      <c r="I610" s="10" t="n">
        <v>0.496</v>
      </c>
      <c r="J610" s="0" t="n">
        <v>0.98</v>
      </c>
      <c r="K610" s="13" t="n">
        <f aca="false">IF(H610&lt;&gt;"",H610,IFERROR(G610/INDEX(Players!$M$2:$M$137,MATCH(B610,Players!$A$2:$A$137,0)),""))</f>
        <v>0.73</v>
      </c>
    </row>
    <row r="611" customFormat="false" ht="15" hidden="false" customHeight="false" outlineLevel="0" collapsed="false">
      <c r="A611" s="0" t="s">
        <v>2627</v>
      </c>
      <c r="B611" s="0" t="s">
        <v>1668</v>
      </c>
      <c r="C611" s="0" t="s">
        <v>1312</v>
      </c>
      <c r="D611" s="0" t="s">
        <v>1139</v>
      </c>
      <c r="E611" s="0" t="s">
        <v>139</v>
      </c>
      <c r="F611" s="0" t="n">
        <v>6</v>
      </c>
      <c r="G611" s="0" t="n">
        <v>14.7</v>
      </c>
      <c r="H611" s="0" t="n">
        <v>0.73</v>
      </c>
      <c r="I611" s="10" t="n">
        <v>0.591</v>
      </c>
      <c r="J611" s="0" t="n">
        <v>1.14</v>
      </c>
      <c r="K611" s="13" t="n">
        <f aca="false">IF(H611&lt;&gt;"",H611,IFERROR(G611/INDEX(Players!$M$2:$M$137,MATCH(B611,Players!$A$2:$A$137,0)),""))</f>
        <v>0.73</v>
      </c>
    </row>
    <row r="612" customFormat="false" ht="15" hidden="false" customHeight="false" outlineLevel="0" collapsed="false">
      <c r="A612" s="0" t="s">
        <v>2628</v>
      </c>
      <c r="B612" s="0" t="s">
        <v>1668</v>
      </c>
      <c r="C612" s="0" t="s">
        <v>1312</v>
      </c>
      <c r="D612" s="0" t="s">
        <v>1139</v>
      </c>
      <c r="E612" s="0" t="s">
        <v>129</v>
      </c>
      <c r="F612" s="0" t="n">
        <v>4</v>
      </c>
      <c r="G612" s="0" t="n">
        <v>12.8</v>
      </c>
      <c r="H612" s="0" t="n">
        <v>0.61</v>
      </c>
      <c r="I612" s="10" t="n">
        <v>0.51</v>
      </c>
      <c r="J612" s="0" t="n">
        <v>0.86</v>
      </c>
      <c r="K612" s="13" t="n">
        <f aca="false">IF(H612&lt;&gt;"",H612,IFERROR(G612/INDEX(Players!$M$2:$M$137,MATCH(B612,Players!$A$2:$A$137,0)),""))</f>
        <v>0.61</v>
      </c>
    </row>
    <row r="613" customFormat="false" ht="15" hidden="false" customHeight="false" outlineLevel="0" collapsed="false">
      <c r="A613" s="0" t="s">
        <v>2629</v>
      </c>
      <c r="B613" s="0" t="s">
        <v>1668</v>
      </c>
      <c r="C613" s="0" t="s">
        <v>1312</v>
      </c>
      <c r="D613" s="0" t="s">
        <v>1139</v>
      </c>
      <c r="E613" s="0" t="s">
        <v>81</v>
      </c>
      <c r="F613" s="0" t="n">
        <v>4</v>
      </c>
      <c r="G613" s="0" t="n">
        <v>10.3</v>
      </c>
      <c r="H613" s="0" t="n">
        <v>0.57</v>
      </c>
      <c r="I613" s="10" t="n">
        <v>0.585</v>
      </c>
      <c r="J613" s="0" t="n">
        <v>0.79</v>
      </c>
      <c r="K613" s="13" t="n">
        <f aca="false">IF(H613&lt;&gt;"",H613,IFERROR(G613/INDEX(Players!$M$2:$M$137,MATCH(B613,Players!$A$2:$A$137,0)),""))</f>
        <v>0.57</v>
      </c>
    </row>
    <row r="614" customFormat="false" ht="15" hidden="false" customHeight="false" outlineLevel="0" collapsed="false">
      <c r="A614" s="0" t="s">
        <v>2630</v>
      </c>
      <c r="B614" s="0" t="s">
        <v>1668</v>
      </c>
      <c r="C614" s="0" t="s">
        <v>1312</v>
      </c>
      <c r="D614" s="0" t="s">
        <v>1139</v>
      </c>
      <c r="E614" s="0" t="s">
        <v>121</v>
      </c>
      <c r="F614" s="0" t="n">
        <v>2</v>
      </c>
      <c r="G614" s="0" t="n">
        <v>17.5</v>
      </c>
      <c r="H614" s="0" t="n">
        <v>0.81</v>
      </c>
      <c r="I614" s="10" t="n">
        <v>0.543</v>
      </c>
      <c r="J614" s="0" t="n">
        <v>1.17</v>
      </c>
      <c r="K614" s="13" t="n">
        <f aca="false">IF(H614&lt;&gt;"",H614,IFERROR(G614/INDEX(Players!$M$2:$M$137,MATCH(B614,Players!$A$2:$A$137,0)),""))</f>
        <v>0.81</v>
      </c>
    </row>
    <row r="615" customFormat="false" ht="15" hidden="false" customHeight="false" outlineLevel="0" collapsed="false">
      <c r="A615" s="0" t="s">
        <v>2631</v>
      </c>
      <c r="B615" s="0" t="s">
        <v>1663</v>
      </c>
      <c r="C615" s="0" t="s">
        <v>1298</v>
      </c>
      <c r="D615" s="0" t="s">
        <v>1139</v>
      </c>
      <c r="E615" s="0" t="s">
        <v>95</v>
      </c>
      <c r="F615" s="0" t="n">
        <v>7</v>
      </c>
      <c r="G615" s="0" t="n">
        <v>11.1</v>
      </c>
      <c r="H615" s="0" t="n">
        <v>0.59</v>
      </c>
      <c r="I615" s="10" t="n">
        <v>0.679</v>
      </c>
      <c r="J615" s="0" t="n">
        <v>1.08</v>
      </c>
      <c r="K615" s="13" t="n">
        <f aca="false">IF(H615&lt;&gt;"",H615,IFERROR(G615/INDEX(Players!$M$2:$M$137,MATCH(B615,Players!$A$2:$A$137,0)),""))</f>
        <v>0.59</v>
      </c>
    </row>
    <row r="616" customFormat="false" ht="15" hidden="false" customHeight="false" outlineLevel="0" collapsed="false">
      <c r="A616" s="0" t="s">
        <v>2632</v>
      </c>
      <c r="B616" s="0" t="s">
        <v>1663</v>
      </c>
      <c r="C616" s="0" t="s">
        <v>1298</v>
      </c>
      <c r="D616" s="0" t="s">
        <v>1139</v>
      </c>
      <c r="E616" s="0" t="s">
        <v>81</v>
      </c>
      <c r="F616" s="0" t="n">
        <v>6</v>
      </c>
      <c r="G616" s="0" t="n">
        <v>13.3</v>
      </c>
      <c r="H616" s="0" t="n">
        <v>0.65</v>
      </c>
      <c r="I616" s="10" t="n">
        <v>0.613</v>
      </c>
      <c r="J616" s="0" t="n">
        <v>1.1</v>
      </c>
      <c r="K616" s="13" t="n">
        <f aca="false">IF(H616&lt;&gt;"",H616,IFERROR(G616/INDEX(Players!$M$2:$M$137,MATCH(B616,Players!$A$2:$A$137,0)),""))</f>
        <v>0.65</v>
      </c>
    </row>
    <row r="617" customFormat="false" ht="15" hidden="false" customHeight="false" outlineLevel="0" collapsed="false">
      <c r="A617" s="0" t="s">
        <v>2633</v>
      </c>
      <c r="B617" s="0" t="s">
        <v>1663</v>
      </c>
      <c r="C617" s="0" t="s">
        <v>1298</v>
      </c>
      <c r="D617" s="0" t="s">
        <v>1139</v>
      </c>
      <c r="E617" s="0" t="s">
        <v>139</v>
      </c>
      <c r="F617" s="0" t="n">
        <v>4</v>
      </c>
      <c r="G617" s="0" t="n">
        <v>12</v>
      </c>
      <c r="H617" s="0" t="n">
        <v>0.58</v>
      </c>
      <c r="I617" s="10" t="n">
        <v>0.521</v>
      </c>
      <c r="J617" s="0" t="n">
        <v>0.8</v>
      </c>
      <c r="K617" s="13" t="n">
        <f aca="false">IF(H617&lt;&gt;"",H617,IFERROR(G617/INDEX(Players!$M$2:$M$137,MATCH(B617,Players!$A$2:$A$137,0)),""))</f>
        <v>0.58</v>
      </c>
    </row>
    <row r="618" customFormat="false" ht="15" hidden="false" customHeight="false" outlineLevel="0" collapsed="false">
      <c r="A618" s="0" t="s">
        <v>2634</v>
      </c>
      <c r="B618" s="0" t="s">
        <v>1663</v>
      </c>
      <c r="C618" s="0" t="s">
        <v>1298</v>
      </c>
      <c r="D618" s="0" t="s">
        <v>1139</v>
      </c>
      <c r="E618" s="0" t="s">
        <v>108</v>
      </c>
      <c r="F618" s="0" t="n">
        <v>4</v>
      </c>
      <c r="G618" s="0" t="n">
        <v>10.5</v>
      </c>
      <c r="H618" s="0" t="n">
        <v>0.49</v>
      </c>
      <c r="I618" s="10" t="n">
        <v>0.786</v>
      </c>
      <c r="J618" s="0" t="n">
        <v>0.66</v>
      </c>
      <c r="K618" s="13" t="n">
        <f aca="false">IF(H618&lt;&gt;"",H618,IFERROR(G618/INDEX(Players!$M$2:$M$137,MATCH(B618,Players!$A$2:$A$137,0)),""))</f>
        <v>0.49</v>
      </c>
    </row>
    <row r="619" customFormat="false" ht="15" hidden="false" customHeight="false" outlineLevel="0" collapsed="false">
      <c r="A619" s="0" t="s">
        <v>2635</v>
      </c>
      <c r="B619" s="0" t="s">
        <v>1663</v>
      </c>
      <c r="C619" s="0" t="s">
        <v>1298</v>
      </c>
      <c r="D619" s="0" t="s">
        <v>1139</v>
      </c>
      <c r="E619" s="0" t="s">
        <v>129</v>
      </c>
      <c r="F619" s="0" t="n">
        <v>3</v>
      </c>
      <c r="G619" s="0" t="n">
        <v>16.7</v>
      </c>
      <c r="H619" s="0" t="n">
        <v>0.83</v>
      </c>
      <c r="I619" s="10" t="n">
        <v>0.6</v>
      </c>
      <c r="J619" s="0" t="n">
        <v>1.39</v>
      </c>
      <c r="K619" s="13" t="n">
        <f aca="false">IF(H619&lt;&gt;"",H619,IFERROR(G619/INDEX(Players!$M$2:$M$137,MATCH(B619,Players!$A$2:$A$137,0)),""))</f>
        <v>0.83</v>
      </c>
    </row>
    <row r="620" customFormat="false" ht="15" hidden="false" customHeight="false" outlineLevel="0" collapsed="false">
      <c r="A620" s="0" t="s">
        <v>2636</v>
      </c>
      <c r="B620" s="0" t="s">
        <v>1663</v>
      </c>
      <c r="C620" s="0" t="s">
        <v>1298</v>
      </c>
      <c r="D620" s="0" t="s">
        <v>1139</v>
      </c>
      <c r="E620" s="0" t="s">
        <v>145</v>
      </c>
      <c r="F620" s="0" t="n">
        <v>3</v>
      </c>
      <c r="G620" s="0" t="n">
        <v>13</v>
      </c>
      <c r="H620" s="0" t="n">
        <v>0.7</v>
      </c>
      <c r="I620" s="10" t="n">
        <v>0.462</v>
      </c>
      <c r="J620" s="0" t="n">
        <v>1.3</v>
      </c>
      <c r="K620" s="13" t="n">
        <f aca="false">IF(H620&lt;&gt;"",H620,IFERROR(G620/INDEX(Players!$M$2:$M$137,MATCH(B620,Players!$A$2:$A$137,0)),""))</f>
        <v>0.7</v>
      </c>
    </row>
    <row r="621" customFormat="false" ht="15" hidden="false" customHeight="false" outlineLevel="0" collapsed="false">
      <c r="A621" s="0" t="s">
        <v>2637</v>
      </c>
      <c r="B621" s="0" t="s">
        <v>1663</v>
      </c>
      <c r="C621" s="0" t="s">
        <v>1298</v>
      </c>
      <c r="D621" s="0" t="s">
        <v>1139</v>
      </c>
      <c r="E621" s="0" t="s">
        <v>121</v>
      </c>
      <c r="F621" s="0" t="n">
        <v>3</v>
      </c>
      <c r="G621" s="0" t="n">
        <v>19</v>
      </c>
      <c r="H621" s="0" t="n">
        <v>0.81</v>
      </c>
      <c r="I621" s="10" t="n">
        <v>0.561</v>
      </c>
      <c r="J621" s="0" t="n">
        <v>1.16</v>
      </c>
      <c r="K621" s="13" t="n">
        <f aca="false">IF(H621&lt;&gt;"",H621,IFERROR(G621/INDEX(Players!$M$2:$M$137,MATCH(B621,Players!$A$2:$A$137,0)),""))</f>
        <v>0.81</v>
      </c>
    </row>
    <row r="622" customFormat="false" ht="15" hidden="false" customHeight="false" outlineLevel="0" collapsed="false">
      <c r="A622" s="0" t="s">
        <v>2638</v>
      </c>
      <c r="B622" s="0" t="s">
        <v>1671</v>
      </c>
      <c r="C622" s="0" t="s">
        <v>1319</v>
      </c>
      <c r="D622" s="0" t="s">
        <v>1139</v>
      </c>
      <c r="E622" s="0" t="s">
        <v>145</v>
      </c>
      <c r="F622" s="0" t="n">
        <v>7</v>
      </c>
      <c r="G622" s="0" t="n">
        <v>14.6</v>
      </c>
      <c r="H622" s="0" t="n">
        <v>0.68</v>
      </c>
      <c r="I622" s="10" t="n">
        <v>0.51</v>
      </c>
      <c r="J622" s="0" t="n">
        <v>1.01</v>
      </c>
      <c r="K622" s="13" t="n">
        <f aca="false">IF(H622&lt;&gt;"",H622,IFERROR(G622/INDEX(Players!$M$2:$M$137,MATCH(B622,Players!$A$2:$A$137,0)),""))</f>
        <v>0.68</v>
      </c>
    </row>
    <row r="623" customFormat="false" ht="15" hidden="false" customHeight="false" outlineLevel="0" collapsed="false">
      <c r="A623" s="0" t="s">
        <v>2639</v>
      </c>
      <c r="B623" s="0" t="s">
        <v>1671</v>
      </c>
      <c r="C623" s="0" t="s">
        <v>1319</v>
      </c>
      <c r="D623" s="0" t="s">
        <v>1139</v>
      </c>
      <c r="E623" s="0" t="s">
        <v>95</v>
      </c>
      <c r="F623" s="0" t="n">
        <v>6</v>
      </c>
      <c r="G623" s="0" t="n">
        <v>11.8</v>
      </c>
      <c r="H623" s="0" t="n">
        <v>0.58</v>
      </c>
      <c r="I623" s="10" t="n">
        <v>0.606</v>
      </c>
      <c r="J623" s="0" t="n">
        <v>0.83</v>
      </c>
      <c r="K623" s="13" t="n">
        <f aca="false">IF(H623&lt;&gt;"",H623,IFERROR(G623/INDEX(Players!$M$2:$M$137,MATCH(B623,Players!$A$2:$A$137,0)),""))</f>
        <v>0.58</v>
      </c>
    </row>
    <row r="624" customFormat="false" ht="15" hidden="false" customHeight="false" outlineLevel="0" collapsed="false">
      <c r="A624" s="0" t="s">
        <v>2640</v>
      </c>
      <c r="B624" s="0" t="s">
        <v>1671</v>
      </c>
      <c r="C624" s="0" t="s">
        <v>1319</v>
      </c>
      <c r="D624" s="0" t="s">
        <v>1139</v>
      </c>
      <c r="E624" s="0" t="s">
        <v>139</v>
      </c>
      <c r="F624" s="0" t="n">
        <v>6</v>
      </c>
      <c r="G624" s="0" t="n">
        <v>11</v>
      </c>
      <c r="H624" s="0" t="n">
        <v>0.51</v>
      </c>
      <c r="I624" s="10" t="n">
        <v>0.439</v>
      </c>
      <c r="J624" s="0" t="n">
        <v>0.77</v>
      </c>
      <c r="K624" s="13" t="n">
        <f aca="false">IF(H624&lt;&gt;"",H624,IFERROR(G624/INDEX(Players!$M$2:$M$137,MATCH(B624,Players!$A$2:$A$137,0)),""))</f>
        <v>0.51</v>
      </c>
    </row>
    <row r="625" customFormat="false" ht="15" hidden="false" customHeight="false" outlineLevel="0" collapsed="false">
      <c r="A625" s="0" t="s">
        <v>2641</v>
      </c>
      <c r="B625" s="0" t="s">
        <v>1671</v>
      </c>
      <c r="C625" s="0" t="s">
        <v>1319</v>
      </c>
      <c r="D625" s="0" t="s">
        <v>1139</v>
      </c>
      <c r="E625" s="0" t="s">
        <v>108</v>
      </c>
      <c r="F625" s="0" t="n">
        <v>5</v>
      </c>
      <c r="G625" s="0" t="n">
        <v>9.8</v>
      </c>
      <c r="H625" s="0" t="n">
        <v>0.43</v>
      </c>
      <c r="I625" s="10" t="n">
        <v>0.694</v>
      </c>
      <c r="J625" s="0" t="n">
        <v>0.64</v>
      </c>
      <c r="K625" s="13" t="n">
        <f aca="false">IF(H625&lt;&gt;"",H625,IFERROR(G625/INDEX(Players!$M$2:$M$137,MATCH(B625,Players!$A$2:$A$137,0)),""))</f>
        <v>0.43</v>
      </c>
    </row>
    <row r="626" customFormat="false" ht="15" hidden="false" customHeight="false" outlineLevel="0" collapsed="false">
      <c r="A626" s="0" t="s">
        <v>2642</v>
      </c>
      <c r="B626" s="0" t="s">
        <v>1671</v>
      </c>
      <c r="C626" s="0" t="s">
        <v>1319</v>
      </c>
      <c r="D626" s="0" t="s">
        <v>1139</v>
      </c>
      <c r="E626" s="0" t="s">
        <v>81</v>
      </c>
      <c r="F626" s="0" t="n">
        <v>4</v>
      </c>
      <c r="G626" s="0" t="n">
        <v>13.3</v>
      </c>
      <c r="H626" s="0" t="n">
        <v>0.6</v>
      </c>
      <c r="I626" s="10" t="n">
        <v>0.491</v>
      </c>
      <c r="J626" s="0" t="n">
        <v>0.91</v>
      </c>
      <c r="K626" s="13" t="n">
        <f aca="false">IF(H626&lt;&gt;"",H626,IFERROR(G626/INDEX(Players!$M$2:$M$137,MATCH(B626,Players!$A$2:$A$137,0)),""))</f>
        <v>0.6</v>
      </c>
    </row>
    <row r="627" customFormat="false" ht="15" hidden="false" customHeight="false" outlineLevel="0" collapsed="false">
      <c r="A627" s="0" t="s">
        <v>2643</v>
      </c>
      <c r="B627" s="0" t="s">
        <v>1671</v>
      </c>
      <c r="C627" s="0" t="s">
        <v>1319</v>
      </c>
      <c r="D627" s="0" t="s">
        <v>1139</v>
      </c>
      <c r="E627" s="0" t="s">
        <v>129</v>
      </c>
      <c r="F627" s="0" t="n">
        <v>3</v>
      </c>
      <c r="G627" s="0" t="n">
        <v>13.3</v>
      </c>
      <c r="H627" s="0" t="n">
        <v>0.55</v>
      </c>
      <c r="I627" s="10" t="n">
        <v>0.55</v>
      </c>
      <c r="J627" s="0" t="n">
        <v>0.71</v>
      </c>
      <c r="K627" s="13" t="n">
        <f aca="false">IF(H627&lt;&gt;"",H627,IFERROR(G627/INDEX(Players!$M$2:$M$137,MATCH(B627,Players!$A$2:$A$137,0)),""))</f>
        <v>0.55</v>
      </c>
    </row>
    <row r="628" customFormat="false" ht="15" hidden="false" customHeight="false" outlineLevel="0" collapsed="false">
      <c r="A628" s="0" t="s">
        <v>2644</v>
      </c>
      <c r="B628" s="0" t="s">
        <v>1671</v>
      </c>
      <c r="C628" s="0" t="s">
        <v>1319</v>
      </c>
      <c r="D628" s="0" t="s">
        <v>1139</v>
      </c>
      <c r="E628" s="0" t="s">
        <v>121</v>
      </c>
      <c r="F628" s="0" t="n">
        <v>1</v>
      </c>
      <c r="G628" s="0" t="n">
        <v>7</v>
      </c>
      <c r="H628" s="0" t="n">
        <v>0.47</v>
      </c>
      <c r="I628" s="10" t="n">
        <v>1</v>
      </c>
      <c r="J628" s="0" t="n">
        <v>0.54</v>
      </c>
      <c r="K628" s="13" t="n">
        <f aca="false">IF(H628&lt;&gt;"",H628,IFERROR(G628/INDEX(Players!$M$2:$M$137,MATCH(B628,Players!$A$2:$A$137,0)),""))</f>
        <v>0.47</v>
      </c>
    </row>
    <row r="629" customFormat="false" ht="15" hidden="false" customHeight="false" outlineLevel="0" collapsed="false">
      <c r="A629" s="0" t="s">
        <v>2645</v>
      </c>
      <c r="B629" s="0" t="s">
        <v>1766</v>
      </c>
      <c r="C629" s="0" t="s">
        <v>1544</v>
      </c>
      <c r="D629" s="0" t="s">
        <v>1139</v>
      </c>
      <c r="E629" s="0" t="s">
        <v>129</v>
      </c>
      <c r="F629" s="0" t="n">
        <v>8</v>
      </c>
      <c r="G629" s="0" t="n">
        <v>11.6</v>
      </c>
      <c r="H629" s="0" t="n">
        <v>0.57</v>
      </c>
      <c r="I629" s="10" t="n">
        <v>0.71</v>
      </c>
      <c r="J629" s="0" t="n">
        <v>0.8</v>
      </c>
      <c r="K629" s="13" t="n">
        <f aca="false">IF(H629&lt;&gt;"",H629,IFERROR(G629/INDEX(Players!$M$2:$M$137,MATCH(B629,Players!$A$2:$A$137,0)),""))</f>
        <v>0.57</v>
      </c>
    </row>
    <row r="630" customFormat="false" ht="15" hidden="false" customHeight="false" outlineLevel="0" collapsed="false">
      <c r="A630" s="0" t="s">
        <v>2646</v>
      </c>
      <c r="B630" s="0" t="s">
        <v>1766</v>
      </c>
      <c r="C630" s="0" t="s">
        <v>1544</v>
      </c>
      <c r="D630" s="0" t="s">
        <v>1139</v>
      </c>
      <c r="E630" s="0" t="s">
        <v>108</v>
      </c>
      <c r="F630" s="0" t="n">
        <v>7</v>
      </c>
      <c r="G630" s="0" t="n">
        <v>17.1</v>
      </c>
      <c r="H630" s="0" t="n">
        <v>0.69</v>
      </c>
      <c r="I630" s="10" t="n">
        <v>0.542</v>
      </c>
      <c r="J630" s="0" t="n">
        <v>0.92</v>
      </c>
      <c r="K630" s="13" t="n">
        <f aca="false">IF(H630&lt;&gt;"",H630,IFERROR(G630/INDEX(Players!$M$2:$M$137,MATCH(B630,Players!$A$2:$A$137,0)),""))</f>
        <v>0.69</v>
      </c>
    </row>
    <row r="631" customFormat="false" ht="15" hidden="false" customHeight="false" outlineLevel="0" collapsed="false">
      <c r="A631" s="0" t="s">
        <v>2647</v>
      </c>
      <c r="B631" s="0" t="s">
        <v>1766</v>
      </c>
      <c r="C631" s="0" t="s">
        <v>1544</v>
      </c>
      <c r="D631" s="0" t="s">
        <v>1139</v>
      </c>
      <c r="E631" s="0" t="s">
        <v>145</v>
      </c>
      <c r="F631" s="0" t="n">
        <v>6</v>
      </c>
      <c r="G631" s="0" t="n">
        <v>15.2</v>
      </c>
      <c r="H631" s="0" t="n">
        <v>0.66</v>
      </c>
      <c r="I631" s="10" t="n">
        <v>0.527</v>
      </c>
      <c r="J631" s="0" t="n">
        <v>0.97</v>
      </c>
      <c r="K631" s="13" t="n">
        <f aca="false">IF(H631&lt;&gt;"",H631,IFERROR(G631/INDEX(Players!$M$2:$M$137,MATCH(B631,Players!$A$2:$A$137,0)),""))</f>
        <v>0.66</v>
      </c>
    </row>
    <row r="632" customFormat="false" ht="15" hidden="false" customHeight="false" outlineLevel="0" collapsed="false">
      <c r="A632" s="0" t="s">
        <v>2648</v>
      </c>
      <c r="B632" s="0" t="s">
        <v>1766</v>
      </c>
      <c r="C632" s="0" t="s">
        <v>1544</v>
      </c>
      <c r="D632" s="0" t="s">
        <v>1139</v>
      </c>
      <c r="E632" s="0" t="s">
        <v>139</v>
      </c>
      <c r="F632" s="0" t="n">
        <v>6</v>
      </c>
      <c r="G632" s="0" t="n">
        <v>12.3</v>
      </c>
      <c r="H632" s="0" t="n">
        <v>0.68</v>
      </c>
      <c r="I632" s="10" t="n">
        <v>0.595</v>
      </c>
      <c r="J632" s="0" t="n">
        <v>0.95</v>
      </c>
      <c r="K632" s="13" t="n">
        <f aca="false">IF(H632&lt;&gt;"",H632,IFERROR(G632/INDEX(Players!$M$2:$M$137,MATCH(B632,Players!$A$2:$A$137,0)),""))</f>
        <v>0.68</v>
      </c>
    </row>
    <row r="633" customFormat="false" ht="15" hidden="false" customHeight="false" outlineLevel="0" collapsed="false">
      <c r="A633" s="0" t="s">
        <v>2649</v>
      </c>
      <c r="B633" s="0" t="s">
        <v>1766</v>
      </c>
      <c r="C633" s="0" t="s">
        <v>1544</v>
      </c>
      <c r="D633" s="0" t="s">
        <v>1139</v>
      </c>
      <c r="E633" s="0" t="s">
        <v>95</v>
      </c>
      <c r="F633" s="0" t="n">
        <v>5</v>
      </c>
      <c r="G633" s="0" t="n">
        <v>15.2</v>
      </c>
      <c r="H633" s="0" t="n">
        <v>0.69</v>
      </c>
      <c r="I633" s="10" t="n">
        <v>0.618</v>
      </c>
      <c r="J633" s="0" t="n">
        <v>1.15</v>
      </c>
      <c r="K633" s="13" t="n">
        <f aca="false">IF(H633&lt;&gt;"",H633,IFERROR(G633/INDEX(Players!$M$2:$M$137,MATCH(B633,Players!$A$2:$A$137,0)),""))</f>
        <v>0.69</v>
      </c>
    </row>
    <row r="634" customFormat="false" ht="15" hidden="false" customHeight="false" outlineLevel="0" collapsed="false">
      <c r="A634" s="0" t="s">
        <v>2650</v>
      </c>
      <c r="B634" s="0" t="s">
        <v>1766</v>
      </c>
      <c r="C634" s="0" t="s">
        <v>1544</v>
      </c>
      <c r="D634" s="0" t="s">
        <v>1139</v>
      </c>
      <c r="E634" s="0" t="s">
        <v>81</v>
      </c>
      <c r="F634" s="0" t="n">
        <v>3</v>
      </c>
      <c r="G634" s="0" t="n">
        <v>16</v>
      </c>
      <c r="H634" s="0" t="n">
        <v>0.75</v>
      </c>
      <c r="I634" s="10" t="n">
        <v>0.604</v>
      </c>
      <c r="J634" s="0" t="n">
        <v>1.07</v>
      </c>
      <c r="K634" s="13" t="n">
        <f aca="false">IF(H634&lt;&gt;"",H634,IFERROR(G634/INDEX(Players!$M$2:$M$137,MATCH(B634,Players!$A$2:$A$137,0)),""))</f>
        <v>0.75</v>
      </c>
    </row>
    <row r="635" customFormat="false" ht="15" hidden="false" customHeight="false" outlineLevel="0" collapsed="false">
      <c r="A635" s="0" t="s">
        <v>2651</v>
      </c>
      <c r="B635" s="0" t="s">
        <v>1721</v>
      </c>
      <c r="C635" s="0" t="s">
        <v>1444</v>
      </c>
      <c r="D635" s="0" t="s">
        <v>1139</v>
      </c>
      <c r="E635" s="0" t="s">
        <v>129</v>
      </c>
      <c r="F635" s="0" t="n">
        <v>9</v>
      </c>
      <c r="G635" s="0" t="n">
        <v>16.8</v>
      </c>
      <c r="H635" s="0" t="n">
        <v>0.69</v>
      </c>
      <c r="I635" s="10" t="n">
        <v>0.576</v>
      </c>
      <c r="J635" s="0" t="n">
        <v>1.07</v>
      </c>
      <c r="K635" s="13" t="n">
        <f aca="false">IF(H635&lt;&gt;"",H635,IFERROR(G635/INDEX(Players!$M$2:$M$137,MATCH(B635,Players!$A$2:$A$137,0)),""))</f>
        <v>0.69</v>
      </c>
    </row>
    <row r="636" customFormat="false" ht="15" hidden="false" customHeight="false" outlineLevel="0" collapsed="false">
      <c r="A636" s="0" t="s">
        <v>2652</v>
      </c>
      <c r="B636" s="0" t="s">
        <v>1721</v>
      </c>
      <c r="C636" s="0" t="s">
        <v>1444</v>
      </c>
      <c r="D636" s="0" t="s">
        <v>1139</v>
      </c>
      <c r="E636" s="0" t="s">
        <v>81</v>
      </c>
      <c r="F636" s="0" t="n">
        <v>9</v>
      </c>
      <c r="G636" s="0" t="n">
        <v>16.2</v>
      </c>
      <c r="H636" s="0" t="n">
        <v>0.63</v>
      </c>
      <c r="I636" s="10" t="n">
        <v>0.459</v>
      </c>
      <c r="J636" s="0" t="n">
        <v>0.96</v>
      </c>
      <c r="K636" s="13" t="n">
        <f aca="false">IF(H636&lt;&gt;"",H636,IFERROR(G636/INDEX(Players!$M$2:$M$137,MATCH(B636,Players!$A$2:$A$137,0)),""))</f>
        <v>0.63</v>
      </c>
    </row>
    <row r="637" customFormat="false" ht="15" hidden="false" customHeight="false" outlineLevel="0" collapsed="false">
      <c r="A637" s="0" t="s">
        <v>2653</v>
      </c>
      <c r="B637" s="0" t="s">
        <v>1721</v>
      </c>
      <c r="C637" s="0" t="s">
        <v>1444</v>
      </c>
      <c r="D637" s="0" t="s">
        <v>1139</v>
      </c>
      <c r="E637" s="0" t="s">
        <v>108</v>
      </c>
      <c r="F637" s="0" t="n">
        <v>7</v>
      </c>
      <c r="G637" s="0" t="n">
        <v>14.1</v>
      </c>
      <c r="H637" s="0" t="n">
        <v>0.63</v>
      </c>
      <c r="I637" s="10" t="n">
        <v>0.576</v>
      </c>
      <c r="J637" s="0" t="n">
        <v>0.85</v>
      </c>
      <c r="K637" s="13" t="n">
        <f aca="false">IF(H637&lt;&gt;"",H637,IFERROR(G637/INDEX(Players!$M$2:$M$137,MATCH(B637,Players!$A$2:$A$137,0)),""))</f>
        <v>0.63</v>
      </c>
    </row>
    <row r="638" customFormat="false" ht="15" hidden="false" customHeight="false" outlineLevel="0" collapsed="false">
      <c r="A638" s="0" t="s">
        <v>2654</v>
      </c>
      <c r="B638" s="0" t="s">
        <v>1721</v>
      </c>
      <c r="C638" s="0" t="s">
        <v>1444</v>
      </c>
      <c r="D638" s="0" t="s">
        <v>1139</v>
      </c>
      <c r="E638" s="0" t="s">
        <v>95</v>
      </c>
      <c r="F638" s="0" t="n">
        <v>7</v>
      </c>
      <c r="G638" s="0" t="n">
        <v>15.4</v>
      </c>
      <c r="H638" s="0" t="n">
        <v>0.58</v>
      </c>
      <c r="I638" s="10" t="n">
        <v>0.463</v>
      </c>
      <c r="J638" s="0" t="n">
        <v>0.81</v>
      </c>
      <c r="K638" s="13" t="n">
        <f aca="false">IF(H638&lt;&gt;"",H638,IFERROR(G638/INDEX(Players!$M$2:$M$137,MATCH(B638,Players!$A$2:$A$137,0)),""))</f>
        <v>0.58</v>
      </c>
    </row>
    <row r="639" customFormat="false" ht="15" hidden="false" customHeight="false" outlineLevel="0" collapsed="false">
      <c r="A639" s="0" t="s">
        <v>2655</v>
      </c>
      <c r="B639" s="0" t="s">
        <v>1721</v>
      </c>
      <c r="C639" s="0" t="s">
        <v>1444</v>
      </c>
      <c r="D639" s="0" t="s">
        <v>1139</v>
      </c>
      <c r="E639" s="0" t="s">
        <v>121</v>
      </c>
      <c r="F639" s="0" t="n">
        <v>5</v>
      </c>
      <c r="G639" s="0" t="n">
        <v>12.8</v>
      </c>
      <c r="H639" s="0" t="n">
        <v>0.63</v>
      </c>
      <c r="I639" s="10" t="n">
        <v>0.469</v>
      </c>
      <c r="J639" s="0" t="n">
        <v>0.97</v>
      </c>
      <c r="K639" s="13" t="n">
        <f aca="false">IF(H639&lt;&gt;"",H639,IFERROR(G639/INDEX(Players!$M$2:$M$137,MATCH(B639,Players!$A$2:$A$137,0)),""))</f>
        <v>0.63</v>
      </c>
    </row>
    <row r="640" customFormat="false" ht="15" hidden="false" customHeight="false" outlineLevel="0" collapsed="false">
      <c r="A640" s="0" t="s">
        <v>2656</v>
      </c>
      <c r="B640" s="0" t="s">
        <v>1721</v>
      </c>
      <c r="C640" s="0" t="s">
        <v>1444</v>
      </c>
      <c r="D640" s="0" t="s">
        <v>1139</v>
      </c>
      <c r="E640" s="0" t="s">
        <v>139</v>
      </c>
      <c r="F640" s="0" t="n">
        <v>2</v>
      </c>
      <c r="G640" s="0" t="n">
        <v>12</v>
      </c>
      <c r="H640" s="0" t="n">
        <v>0.55</v>
      </c>
      <c r="I640" s="10" t="n">
        <v>0.583</v>
      </c>
      <c r="J640" s="0" t="n">
        <v>0.83</v>
      </c>
      <c r="K640" s="13" t="n">
        <f aca="false">IF(H640&lt;&gt;"",H640,IFERROR(G640/INDEX(Players!$M$2:$M$137,MATCH(B640,Players!$A$2:$A$137,0)),""))</f>
        <v>0.55</v>
      </c>
    </row>
    <row r="641" customFormat="false" ht="15" hidden="false" customHeight="false" outlineLevel="0" collapsed="false">
      <c r="A641" s="0" t="s">
        <v>2657</v>
      </c>
      <c r="B641" s="0" t="s">
        <v>1758</v>
      </c>
      <c r="C641" s="0" t="s">
        <v>1528</v>
      </c>
      <c r="D641" s="0" t="s">
        <v>1139</v>
      </c>
      <c r="E641" s="0" t="s">
        <v>108</v>
      </c>
      <c r="F641" s="0" t="n">
        <v>11</v>
      </c>
      <c r="G641" s="0" t="n">
        <v>16.5</v>
      </c>
      <c r="H641" s="0" t="n">
        <v>0.7</v>
      </c>
      <c r="I641" s="10" t="n">
        <v>0.569</v>
      </c>
      <c r="J641" s="0" t="n">
        <v>1.21</v>
      </c>
      <c r="K641" s="13" t="n">
        <f aca="false">IF(H641&lt;&gt;"",H641,IFERROR(G641/INDEX(Players!$M$2:$M$137,MATCH(B641,Players!$A$2:$A$137,0)),""))</f>
        <v>0.7</v>
      </c>
    </row>
    <row r="642" customFormat="false" ht="15" hidden="false" customHeight="false" outlineLevel="0" collapsed="false">
      <c r="A642" s="0" t="s">
        <v>2658</v>
      </c>
      <c r="B642" s="0" t="s">
        <v>1758</v>
      </c>
      <c r="C642" s="0" t="s">
        <v>1528</v>
      </c>
      <c r="D642" s="0" t="s">
        <v>1139</v>
      </c>
      <c r="E642" s="0" t="s">
        <v>95</v>
      </c>
      <c r="F642" s="0" t="n">
        <v>8</v>
      </c>
      <c r="G642" s="0" t="n">
        <v>15.4</v>
      </c>
      <c r="H642" s="0" t="n">
        <v>0.71</v>
      </c>
      <c r="I642" s="10" t="n">
        <v>0.602</v>
      </c>
      <c r="J642" s="0" t="n">
        <v>1.23</v>
      </c>
      <c r="K642" s="13" t="n">
        <f aca="false">IF(H642&lt;&gt;"",H642,IFERROR(G642/INDEX(Players!$M$2:$M$137,MATCH(B642,Players!$A$2:$A$137,0)),""))</f>
        <v>0.71</v>
      </c>
    </row>
    <row r="643" customFormat="false" ht="15" hidden="false" customHeight="false" outlineLevel="0" collapsed="false">
      <c r="A643" s="0" t="s">
        <v>2659</v>
      </c>
      <c r="B643" s="0" t="s">
        <v>1758</v>
      </c>
      <c r="C643" s="0" t="s">
        <v>1528</v>
      </c>
      <c r="D643" s="0" t="s">
        <v>1139</v>
      </c>
      <c r="E643" s="0" t="s">
        <v>145</v>
      </c>
      <c r="F643" s="0" t="n">
        <v>7</v>
      </c>
      <c r="G643" s="0" t="n">
        <v>13.9</v>
      </c>
      <c r="H643" s="0" t="n">
        <v>0.69</v>
      </c>
      <c r="I643" s="10" t="n">
        <v>0.598</v>
      </c>
      <c r="J643" s="0" t="n">
        <v>1.01</v>
      </c>
      <c r="K643" s="13" t="n">
        <f aca="false">IF(H643&lt;&gt;"",H643,IFERROR(G643/INDEX(Players!$M$2:$M$137,MATCH(B643,Players!$A$2:$A$137,0)),""))</f>
        <v>0.69</v>
      </c>
    </row>
    <row r="644" customFormat="false" ht="15" hidden="false" customHeight="false" outlineLevel="0" collapsed="false">
      <c r="A644" s="0" t="s">
        <v>2660</v>
      </c>
      <c r="B644" s="0" t="s">
        <v>1758</v>
      </c>
      <c r="C644" s="0" t="s">
        <v>1528</v>
      </c>
      <c r="D644" s="0" t="s">
        <v>1139</v>
      </c>
      <c r="E644" s="0" t="s">
        <v>129</v>
      </c>
      <c r="F644" s="0" t="n">
        <v>6</v>
      </c>
      <c r="G644" s="0" t="n">
        <v>13.7</v>
      </c>
      <c r="H644" s="0" t="n">
        <v>0.64</v>
      </c>
      <c r="I644" s="10" t="n">
        <v>0.585</v>
      </c>
      <c r="J644" s="0" t="n">
        <v>1.08</v>
      </c>
      <c r="K644" s="13" t="n">
        <f aca="false">IF(H644&lt;&gt;"",H644,IFERROR(G644/INDEX(Players!$M$2:$M$137,MATCH(B644,Players!$A$2:$A$137,0)),""))</f>
        <v>0.64</v>
      </c>
    </row>
    <row r="645" customFormat="false" ht="15" hidden="false" customHeight="false" outlineLevel="0" collapsed="false">
      <c r="A645" s="0" t="s">
        <v>2661</v>
      </c>
      <c r="B645" s="0" t="s">
        <v>1758</v>
      </c>
      <c r="C645" s="0" t="s">
        <v>1528</v>
      </c>
      <c r="D645" s="0" t="s">
        <v>1139</v>
      </c>
      <c r="E645" s="0" t="s">
        <v>139</v>
      </c>
      <c r="F645" s="0" t="n">
        <v>5</v>
      </c>
      <c r="G645" s="0" t="n">
        <v>14.4</v>
      </c>
      <c r="H645" s="0" t="n">
        <v>0.67</v>
      </c>
      <c r="I645" s="10" t="n">
        <v>0.569</v>
      </c>
      <c r="J645" s="0" t="n">
        <v>1.2</v>
      </c>
      <c r="K645" s="13" t="n">
        <f aca="false">IF(H645&lt;&gt;"",H645,IFERROR(G645/INDEX(Players!$M$2:$M$137,MATCH(B645,Players!$A$2:$A$137,0)),""))</f>
        <v>0.67</v>
      </c>
    </row>
    <row r="646" customFormat="false" ht="15" hidden="false" customHeight="false" outlineLevel="0" collapsed="false">
      <c r="A646" s="0" t="s">
        <v>2662</v>
      </c>
      <c r="B646" s="0" t="s">
        <v>1758</v>
      </c>
      <c r="C646" s="0" t="s">
        <v>1528</v>
      </c>
      <c r="D646" s="0" t="s">
        <v>1139</v>
      </c>
      <c r="E646" s="0" t="s">
        <v>81</v>
      </c>
      <c r="F646" s="0" t="n">
        <v>2</v>
      </c>
      <c r="G646" s="0" t="n">
        <v>12.5</v>
      </c>
      <c r="H646" s="0" t="n">
        <v>0.56</v>
      </c>
      <c r="I646" s="10" t="n">
        <v>0.68</v>
      </c>
      <c r="J646" s="0" t="n">
        <v>0.83</v>
      </c>
      <c r="K646" s="13" t="n">
        <f aca="false">IF(H646&lt;&gt;"",H646,IFERROR(G646/INDEX(Players!$M$2:$M$137,MATCH(B646,Players!$A$2:$A$137,0)),""))</f>
        <v>0.56</v>
      </c>
    </row>
    <row r="647" customFormat="false" ht="15" hidden="false" customHeight="false" outlineLevel="0" collapsed="false">
      <c r="A647" s="0" t="s">
        <v>2663</v>
      </c>
      <c r="B647" s="0" t="s">
        <v>1672</v>
      </c>
      <c r="C647" s="0" t="s">
        <v>1322</v>
      </c>
      <c r="D647" s="0" t="s">
        <v>1139</v>
      </c>
      <c r="E647" s="0" t="s">
        <v>129</v>
      </c>
      <c r="F647" s="0" t="n">
        <v>11</v>
      </c>
      <c r="G647" s="0" t="n">
        <v>15.8</v>
      </c>
      <c r="H647" s="0" t="n">
        <v>0.76</v>
      </c>
      <c r="I647" s="10" t="n">
        <v>0.54</v>
      </c>
      <c r="J647" s="0" t="n">
        <v>1.23</v>
      </c>
      <c r="K647" s="13" t="n">
        <f aca="false">IF(H647&lt;&gt;"",H647,IFERROR(G647/INDEX(Players!$M$2:$M$137,MATCH(B647,Players!$A$2:$A$137,0)),""))</f>
        <v>0.76</v>
      </c>
    </row>
    <row r="648" customFormat="false" ht="15" hidden="false" customHeight="false" outlineLevel="0" collapsed="false">
      <c r="A648" s="0" t="s">
        <v>2664</v>
      </c>
      <c r="B648" s="0" t="s">
        <v>1672</v>
      </c>
      <c r="C648" s="0" t="s">
        <v>1322</v>
      </c>
      <c r="D648" s="0" t="s">
        <v>1139</v>
      </c>
      <c r="E648" s="0" t="s">
        <v>81</v>
      </c>
      <c r="F648" s="0" t="n">
        <v>10</v>
      </c>
      <c r="G648" s="0" t="n">
        <v>16.1</v>
      </c>
      <c r="H648" s="0" t="n">
        <v>0.75</v>
      </c>
      <c r="I648" s="10" t="n">
        <v>0.553</v>
      </c>
      <c r="J648" s="0" t="n">
        <v>1.14</v>
      </c>
      <c r="K648" s="13" t="n">
        <f aca="false">IF(H648&lt;&gt;"",H648,IFERROR(G648/INDEX(Players!$M$2:$M$137,MATCH(B648,Players!$A$2:$A$137,0)),""))</f>
        <v>0.75</v>
      </c>
    </row>
    <row r="649" customFormat="false" ht="15" hidden="false" customHeight="false" outlineLevel="0" collapsed="false">
      <c r="A649" s="0" t="s">
        <v>2665</v>
      </c>
      <c r="B649" s="0" t="s">
        <v>1672</v>
      </c>
      <c r="C649" s="0" t="s">
        <v>1322</v>
      </c>
      <c r="D649" s="0" t="s">
        <v>1139</v>
      </c>
      <c r="E649" s="0" t="s">
        <v>145</v>
      </c>
      <c r="F649" s="0" t="n">
        <v>8</v>
      </c>
      <c r="G649" s="0" t="n">
        <v>18</v>
      </c>
      <c r="H649" s="0" t="n">
        <v>0.72</v>
      </c>
      <c r="I649" s="10" t="n">
        <v>0.576</v>
      </c>
      <c r="J649" s="0" t="n">
        <v>1.11</v>
      </c>
      <c r="K649" s="13" t="n">
        <f aca="false">IF(H649&lt;&gt;"",H649,IFERROR(G649/INDEX(Players!$M$2:$M$137,MATCH(B649,Players!$A$2:$A$137,0)),""))</f>
        <v>0.72</v>
      </c>
    </row>
    <row r="650" customFormat="false" ht="15" hidden="false" customHeight="false" outlineLevel="0" collapsed="false">
      <c r="A650" s="0" t="s">
        <v>2666</v>
      </c>
      <c r="B650" s="0" t="s">
        <v>1672</v>
      </c>
      <c r="C650" s="0" t="s">
        <v>1322</v>
      </c>
      <c r="D650" s="0" t="s">
        <v>1139</v>
      </c>
      <c r="E650" s="0" t="s">
        <v>108</v>
      </c>
      <c r="F650" s="0" t="n">
        <v>5</v>
      </c>
      <c r="G650" s="0" t="n">
        <v>15</v>
      </c>
      <c r="H650" s="0" t="n">
        <v>0.74</v>
      </c>
      <c r="I650" s="10" t="n">
        <v>0.467</v>
      </c>
      <c r="J650" s="0" t="n">
        <v>1.21</v>
      </c>
      <c r="K650" s="13" t="n">
        <f aca="false">IF(H650&lt;&gt;"",H650,IFERROR(G650/INDEX(Players!$M$2:$M$137,MATCH(B650,Players!$A$2:$A$137,0)),""))</f>
        <v>0.74</v>
      </c>
    </row>
    <row r="651" customFormat="false" ht="15" hidden="false" customHeight="false" outlineLevel="0" collapsed="false">
      <c r="A651" s="0" t="s">
        <v>2667</v>
      </c>
      <c r="B651" s="0" t="s">
        <v>1672</v>
      </c>
      <c r="C651" s="0" t="s">
        <v>1322</v>
      </c>
      <c r="D651" s="0" t="s">
        <v>1139</v>
      </c>
      <c r="E651" s="0" t="s">
        <v>139</v>
      </c>
      <c r="F651" s="0" t="n">
        <v>4</v>
      </c>
      <c r="G651" s="0" t="n">
        <v>17.3</v>
      </c>
      <c r="H651" s="0" t="n">
        <v>0.7</v>
      </c>
      <c r="I651" s="10" t="n">
        <v>0.522</v>
      </c>
      <c r="J651" s="0" t="n">
        <v>1.03</v>
      </c>
      <c r="K651" s="13" t="n">
        <f aca="false">IF(H651&lt;&gt;"",H651,IFERROR(G651/INDEX(Players!$M$2:$M$137,MATCH(B651,Players!$A$2:$A$137,0)),""))</f>
        <v>0.7</v>
      </c>
    </row>
    <row r="652" customFormat="false" ht="15" hidden="false" customHeight="false" outlineLevel="0" collapsed="false">
      <c r="A652" s="0" t="s">
        <v>2668</v>
      </c>
      <c r="B652" s="0" t="s">
        <v>1672</v>
      </c>
      <c r="C652" s="0" t="s">
        <v>1322</v>
      </c>
      <c r="D652" s="0" t="s">
        <v>1139</v>
      </c>
      <c r="E652" s="0" t="s">
        <v>95</v>
      </c>
      <c r="F652" s="0" t="n">
        <v>3</v>
      </c>
      <c r="G652" s="0" t="n">
        <v>17</v>
      </c>
      <c r="H652" s="0" t="n">
        <v>0.88</v>
      </c>
      <c r="I652" s="10" t="n">
        <v>0.608</v>
      </c>
      <c r="J652" s="0" t="n">
        <v>1.82</v>
      </c>
      <c r="K652" s="13" t="n">
        <f aca="false">IF(H652&lt;&gt;"",H652,IFERROR(G652/INDEX(Players!$M$2:$M$137,MATCH(B652,Players!$A$2:$A$137,0)),""))</f>
        <v>0.88</v>
      </c>
    </row>
    <row r="653" customFormat="false" ht="15" hidden="false" customHeight="false" outlineLevel="0" collapsed="false">
      <c r="A653" s="0" t="s">
        <v>2669</v>
      </c>
      <c r="B653" s="0" t="s">
        <v>1672</v>
      </c>
      <c r="C653" s="0" t="s">
        <v>1322</v>
      </c>
      <c r="D653" s="0" t="s">
        <v>1139</v>
      </c>
      <c r="E653" s="0" t="s">
        <v>121</v>
      </c>
      <c r="F653" s="0" t="n">
        <v>1</v>
      </c>
      <c r="G653" s="0" t="n">
        <v>11</v>
      </c>
      <c r="H653" s="0" t="n">
        <v>0.55</v>
      </c>
      <c r="I653" s="10" t="n">
        <v>0.818</v>
      </c>
      <c r="J653" s="0" t="n">
        <v>0.69</v>
      </c>
      <c r="K653" s="13" t="n">
        <f aca="false">IF(H653&lt;&gt;"",H653,IFERROR(G653/INDEX(Players!$M$2:$M$137,MATCH(B653,Players!$A$2:$A$137,0)),""))</f>
        <v>0.55</v>
      </c>
    </row>
    <row r="654" customFormat="false" ht="15" hidden="false" customHeight="false" outlineLevel="0" collapsed="false">
      <c r="A654" s="0" t="s">
        <v>2670</v>
      </c>
      <c r="B654" s="0" t="s">
        <v>1725</v>
      </c>
      <c r="C654" s="0" t="s">
        <v>1452</v>
      </c>
      <c r="D654" s="0" t="s">
        <v>1139</v>
      </c>
      <c r="E654" s="0" t="s">
        <v>95</v>
      </c>
      <c r="F654" s="0" t="n">
        <v>8</v>
      </c>
      <c r="G654" s="0" t="n">
        <v>14.1</v>
      </c>
      <c r="H654" s="0" t="n">
        <v>0.65</v>
      </c>
      <c r="I654" s="10" t="n">
        <v>0.336</v>
      </c>
      <c r="J654" s="0" t="n">
        <v>1.18</v>
      </c>
      <c r="K654" s="13" t="n">
        <f aca="false">IF(H654&lt;&gt;"",H654,IFERROR(G654/INDEX(Players!$M$2:$M$137,MATCH(B654,Players!$A$2:$A$137,0)),""))</f>
        <v>0.65</v>
      </c>
    </row>
    <row r="655" customFormat="false" ht="15" hidden="false" customHeight="false" outlineLevel="0" collapsed="false">
      <c r="A655" s="0" t="s">
        <v>2671</v>
      </c>
      <c r="B655" s="0" t="s">
        <v>1725</v>
      </c>
      <c r="C655" s="0" t="s">
        <v>1452</v>
      </c>
      <c r="D655" s="0" t="s">
        <v>1139</v>
      </c>
      <c r="E655" s="0" t="s">
        <v>108</v>
      </c>
      <c r="F655" s="0" t="n">
        <v>7</v>
      </c>
      <c r="G655" s="0" t="n">
        <v>19.3</v>
      </c>
      <c r="H655" s="0" t="n">
        <v>0.69</v>
      </c>
      <c r="I655" s="10" t="n">
        <v>0.348</v>
      </c>
      <c r="J655" s="0" t="n">
        <v>1.23</v>
      </c>
      <c r="K655" s="13" t="n">
        <f aca="false">IF(H655&lt;&gt;"",H655,IFERROR(G655/INDEX(Players!$M$2:$M$137,MATCH(B655,Players!$A$2:$A$137,0)),""))</f>
        <v>0.69</v>
      </c>
    </row>
    <row r="656" customFormat="false" ht="15" hidden="false" customHeight="false" outlineLevel="0" collapsed="false">
      <c r="A656" s="0" t="s">
        <v>2672</v>
      </c>
      <c r="B656" s="0" t="s">
        <v>1725</v>
      </c>
      <c r="C656" s="0" t="s">
        <v>1452</v>
      </c>
      <c r="D656" s="0" t="s">
        <v>1139</v>
      </c>
      <c r="E656" s="0" t="s">
        <v>81</v>
      </c>
      <c r="F656" s="0" t="n">
        <v>6</v>
      </c>
      <c r="G656" s="0" t="n">
        <v>13.7</v>
      </c>
      <c r="H656" s="0" t="n">
        <v>0.67</v>
      </c>
      <c r="I656" s="10" t="n">
        <v>0.341</v>
      </c>
      <c r="J656" s="0" t="n">
        <v>1.09</v>
      </c>
      <c r="K656" s="13" t="n">
        <f aca="false">IF(H656&lt;&gt;"",H656,IFERROR(G656/INDEX(Players!$M$2:$M$137,MATCH(B656,Players!$A$2:$A$137,0)),""))</f>
        <v>0.67</v>
      </c>
    </row>
    <row r="657" customFormat="false" ht="15" hidden="false" customHeight="false" outlineLevel="0" collapsed="false">
      <c r="A657" s="0" t="s">
        <v>2673</v>
      </c>
      <c r="B657" s="0" t="s">
        <v>1725</v>
      </c>
      <c r="C657" s="0" t="s">
        <v>1452</v>
      </c>
      <c r="D657" s="0" t="s">
        <v>1139</v>
      </c>
      <c r="E657" s="0" t="s">
        <v>1818</v>
      </c>
      <c r="F657" s="0" t="n">
        <v>5</v>
      </c>
      <c r="G657" s="0" t="n">
        <v>13.6</v>
      </c>
      <c r="H657" s="0" t="n">
        <v>0.69</v>
      </c>
      <c r="I657" s="10" t="n">
        <v>0.368</v>
      </c>
      <c r="J657" s="0" t="n">
        <v>1.45</v>
      </c>
      <c r="K657" s="13" t="n">
        <f aca="false">IF(H657&lt;&gt;"",H657,IFERROR(G657/INDEX(Players!$M$2:$M$137,MATCH(B657,Players!$A$2:$A$137,0)),""))</f>
        <v>0.69</v>
      </c>
    </row>
    <row r="658" customFormat="false" ht="15" hidden="false" customHeight="false" outlineLevel="0" collapsed="false">
      <c r="A658" s="0" t="s">
        <v>2674</v>
      </c>
      <c r="B658" s="0" t="s">
        <v>1725</v>
      </c>
      <c r="C658" s="0" t="s">
        <v>1452</v>
      </c>
      <c r="D658" s="0" t="s">
        <v>1139</v>
      </c>
      <c r="E658" s="0" t="s">
        <v>139</v>
      </c>
      <c r="F658" s="0" t="n">
        <v>3</v>
      </c>
      <c r="G658" s="0" t="n">
        <v>17</v>
      </c>
      <c r="H658" s="0" t="n">
        <v>0.74</v>
      </c>
      <c r="I658" s="10" t="n">
        <v>0.353</v>
      </c>
      <c r="J658" s="0" t="n">
        <v>1.27</v>
      </c>
      <c r="K658" s="13" t="n">
        <f aca="false">IF(H658&lt;&gt;"",H658,IFERROR(G658/INDEX(Players!$M$2:$M$137,MATCH(B658,Players!$A$2:$A$137,0)),""))</f>
        <v>0.74</v>
      </c>
    </row>
    <row r="659" customFormat="false" ht="15" hidden="false" customHeight="false" outlineLevel="0" collapsed="false">
      <c r="A659" s="0" t="s">
        <v>2675</v>
      </c>
      <c r="B659" s="0" t="s">
        <v>1725</v>
      </c>
      <c r="C659" s="0" t="s">
        <v>1452</v>
      </c>
      <c r="D659" s="0" t="s">
        <v>1139</v>
      </c>
      <c r="E659" s="0" t="s">
        <v>121</v>
      </c>
      <c r="F659" s="0" t="n">
        <v>3</v>
      </c>
      <c r="G659" s="0" t="n">
        <v>14.3</v>
      </c>
      <c r="H659" s="0" t="n">
        <v>0.64</v>
      </c>
      <c r="I659" s="10" t="n">
        <v>0.326</v>
      </c>
      <c r="J659" s="0" t="n">
        <v>1</v>
      </c>
      <c r="K659" s="13" t="n">
        <f aca="false">IF(H659&lt;&gt;"",H659,IFERROR(G659/INDEX(Players!$M$2:$M$137,MATCH(B659,Players!$A$2:$A$137,0)),""))</f>
        <v>0.64</v>
      </c>
    </row>
    <row r="660" customFormat="false" ht="15" hidden="false" customHeight="false" outlineLevel="0" collapsed="false">
      <c r="A660" s="0" t="s">
        <v>2676</v>
      </c>
      <c r="B660" s="0" t="s">
        <v>1725</v>
      </c>
      <c r="C660" s="0" t="s">
        <v>1452</v>
      </c>
      <c r="D660" s="0" t="s">
        <v>1139</v>
      </c>
      <c r="E660" s="0" t="s">
        <v>129</v>
      </c>
      <c r="F660" s="0" t="n">
        <v>1</v>
      </c>
      <c r="G660" s="0" t="n">
        <v>16</v>
      </c>
      <c r="H660" s="0" t="n">
        <v>0.89</v>
      </c>
      <c r="I660" s="10" t="n">
        <v>0.313</v>
      </c>
      <c r="J660" s="0" t="n">
        <v>2.67</v>
      </c>
      <c r="K660" s="13" t="n">
        <f aca="false">IF(H660&lt;&gt;"",H660,IFERROR(G660/INDEX(Players!$M$2:$M$137,MATCH(B660,Players!$A$2:$A$137,0)),""))</f>
        <v>0.89</v>
      </c>
    </row>
    <row r="661" customFormat="false" ht="15" hidden="false" customHeight="false" outlineLevel="0" collapsed="false">
      <c r="A661" s="0" t="s">
        <v>2677</v>
      </c>
      <c r="B661" s="0" t="s">
        <v>1725</v>
      </c>
      <c r="C661" s="0" t="s">
        <v>1452</v>
      </c>
      <c r="D661" s="0" t="s">
        <v>1139</v>
      </c>
      <c r="E661" s="0" t="s">
        <v>145</v>
      </c>
      <c r="F661" s="0" t="n">
        <v>1</v>
      </c>
      <c r="G661" s="0" t="n">
        <v>19</v>
      </c>
      <c r="H661" s="0" t="n">
        <v>0.86</v>
      </c>
      <c r="I661" s="10" t="n">
        <v>0.368</v>
      </c>
      <c r="J661" s="0" t="n">
        <v>2.11</v>
      </c>
      <c r="K661" s="13" t="n">
        <f aca="false">IF(H661&lt;&gt;"",H661,IFERROR(G661/INDEX(Players!$M$2:$M$137,MATCH(B661,Players!$A$2:$A$137,0)),""))</f>
        <v>0.86</v>
      </c>
    </row>
    <row r="662" customFormat="false" ht="15" hidden="false" customHeight="false" outlineLevel="0" collapsed="false">
      <c r="A662" s="0" t="s">
        <v>2678</v>
      </c>
      <c r="B662" s="0" t="s">
        <v>1730</v>
      </c>
      <c r="C662" s="0" t="s">
        <v>1465</v>
      </c>
      <c r="D662" s="0" t="s">
        <v>1139</v>
      </c>
      <c r="E662" s="0" t="s">
        <v>129</v>
      </c>
      <c r="F662" s="0" t="n">
        <v>7</v>
      </c>
      <c r="G662" s="0" t="n">
        <v>13.9</v>
      </c>
      <c r="H662" s="0" t="n">
        <v>0.69</v>
      </c>
      <c r="I662" s="10" t="n">
        <v>0.454</v>
      </c>
      <c r="J662" s="0" t="n">
        <v>1.13</v>
      </c>
      <c r="K662" s="13" t="n">
        <f aca="false">IF(H662&lt;&gt;"",H662,IFERROR(G662/INDEX(Players!$M$2:$M$137,MATCH(B662,Players!$A$2:$A$137,0)),""))</f>
        <v>0.69</v>
      </c>
    </row>
    <row r="663" customFormat="false" ht="15" hidden="false" customHeight="false" outlineLevel="0" collapsed="false">
      <c r="A663" s="0" t="s">
        <v>2679</v>
      </c>
      <c r="B663" s="0" t="s">
        <v>1730</v>
      </c>
      <c r="C663" s="0" t="s">
        <v>1465</v>
      </c>
      <c r="D663" s="0" t="s">
        <v>1139</v>
      </c>
      <c r="E663" s="0" t="s">
        <v>95</v>
      </c>
      <c r="F663" s="0" t="n">
        <v>7</v>
      </c>
      <c r="G663" s="0" t="n">
        <v>16.7</v>
      </c>
      <c r="H663" s="0" t="n">
        <v>0.71</v>
      </c>
      <c r="I663" s="10" t="n">
        <v>0.556</v>
      </c>
      <c r="J663" s="0" t="n">
        <v>1.1</v>
      </c>
      <c r="K663" s="13" t="n">
        <f aca="false">IF(H663&lt;&gt;"",H663,IFERROR(G663/INDEX(Players!$M$2:$M$137,MATCH(B663,Players!$A$2:$A$137,0)),""))</f>
        <v>0.71</v>
      </c>
    </row>
    <row r="664" customFormat="false" ht="15" hidden="false" customHeight="false" outlineLevel="0" collapsed="false">
      <c r="A664" s="0" t="s">
        <v>2680</v>
      </c>
      <c r="B664" s="0" t="s">
        <v>1730</v>
      </c>
      <c r="C664" s="0" t="s">
        <v>1465</v>
      </c>
      <c r="D664" s="0" t="s">
        <v>1139</v>
      </c>
      <c r="E664" s="0" t="s">
        <v>108</v>
      </c>
      <c r="F664" s="0" t="n">
        <v>7</v>
      </c>
      <c r="G664" s="0" t="n">
        <v>17.6</v>
      </c>
      <c r="H664" s="0" t="n">
        <v>0.65</v>
      </c>
      <c r="I664" s="10" t="n">
        <v>0.545</v>
      </c>
      <c r="J664" s="0" t="n">
        <v>0.98</v>
      </c>
      <c r="K664" s="13" t="n">
        <f aca="false">IF(H664&lt;&gt;"",H664,IFERROR(G664/INDEX(Players!$M$2:$M$137,MATCH(B664,Players!$A$2:$A$137,0)),""))</f>
        <v>0.65</v>
      </c>
    </row>
    <row r="665" customFormat="false" ht="15" hidden="false" customHeight="false" outlineLevel="0" collapsed="false">
      <c r="A665" s="0" t="s">
        <v>2681</v>
      </c>
      <c r="B665" s="0" t="s">
        <v>1730</v>
      </c>
      <c r="C665" s="0" t="s">
        <v>1465</v>
      </c>
      <c r="D665" s="0" t="s">
        <v>1139</v>
      </c>
      <c r="E665" s="0" t="s">
        <v>81</v>
      </c>
      <c r="F665" s="0" t="n">
        <v>6</v>
      </c>
      <c r="G665" s="0" t="n">
        <v>19.8</v>
      </c>
      <c r="H665" s="0" t="n">
        <v>0.75</v>
      </c>
      <c r="I665" s="10" t="n">
        <v>0.571</v>
      </c>
      <c r="J665" s="0" t="n">
        <v>1.19</v>
      </c>
      <c r="K665" s="13" t="n">
        <f aca="false">IF(H665&lt;&gt;"",H665,IFERROR(G665/INDEX(Players!$M$2:$M$137,MATCH(B665,Players!$A$2:$A$137,0)),""))</f>
        <v>0.75</v>
      </c>
    </row>
    <row r="666" customFormat="false" ht="15" hidden="false" customHeight="false" outlineLevel="0" collapsed="false">
      <c r="A666" s="0" t="s">
        <v>2682</v>
      </c>
      <c r="B666" s="0" t="s">
        <v>1730</v>
      </c>
      <c r="C666" s="0" t="s">
        <v>1465</v>
      </c>
      <c r="D666" s="0" t="s">
        <v>1139</v>
      </c>
      <c r="E666" s="0" t="s">
        <v>145</v>
      </c>
      <c r="F666" s="0" t="n">
        <v>4</v>
      </c>
      <c r="G666" s="0" t="n">
        <v>16.3</v>
      </c>
      <c r="H666" s="0" t="n">
        <v>0.79</v>
      </c>
      <c r="I666" s="10" t="n">
        <v>0.631</v>
      </c>
      <c r="J666" s="0" t="n">
        <v>1.27</v>
      </c>
      <c r="K666" s="13" t="n">
        <f aca="false">IF(H666&lt;&gt;"",H666,IFERROR(G666/INDEX(Players!$M$2:$M$137,MATCH(B666,Players!$A$2:$A$137,0)),""))</f>
        <v>0.79</v>
      </c>
    </row>
    <row r="667" customFormat="false" ht="15" hidden="false" customHeight="false" outlineLevel="0" collapsed="false">
      <c r="A667" s="0" t="s">
        <v>2683</v>
      </c>
      <c r="B667" s="0" t="s">
        <v>1730</v>
      </c>
      <c r="C667" s="0" t="s">
        <v>1465</v>
      </c>
      <c r="D667" s="0" t="s">
        <v>1139</v>
      </c>
      <c r="E667" s="0" t="s">
        <v>121</v>
      </c>
      <c r="F667" s="0" t="n">
        <v>4</v>
      </c>
      <c r="G667" s="0" t="n">
        <v>11.8</v>
      </c>
      <c r="H667" s="0" t="n">
        <v>0.64</v>
      </c>
      <c r="I667" s="10" t="n">
        <v>0.489</v>
      </c>
      <c r="J667" s="0" t="n">
        <v>0.9</v>
      </c>
      <c r="K667" s="13" t="n">
        <f aca="false">IF(H667&lt;&gt;"",H667,IFERROR(G667/INDEX(Players!$M$2:$M$137,MATCH(B667,Players!$A$2:$A$137,0)),""))</f>
        <v>0.64</v>
      </c>
    </row>
    <row r="668" customFormat="false" ht="15" hidden="false" customHeight="false" outlineLevel="0" collapsed="false">
      <c r="A668" s="0" t="s">
        <v>2684</v>
      </c>
      <c r="B668" s="0" t="s">
        <v>1716</v>
      </c>
      <c r="C668" s="0" t="s">
        <v>1431</v>
      </c>
      <c r="D668" s="0" t="s">
        <v>1139</v>
      </c>
      <c r="E668" s="0" t="s">
        <v>129</v>
      </c>
      <c r="F668" s="0" t="n">
        <v>12</v>
      </c>
      <c r="G668" s="0" t="n">
        <v>13.7</v>
      </c>
      <c r="H668" s="0" t="n">
        <v>0.64</v>
      </c>
      <c r="I668" s="10" t="n">
        <v>0.402</v>
      </c>
      <c r="J668" s="0" t="n">
        <v>0.96</v>
      </c>
      <c r="K668" s="13" t="n">
        <f aca="false">IF(H668&lt;&gt;"",H668,IFERROR(G668/INDEX(Players!$M$2:$M$137,MATCH(B668,Players!$A$2:$A$137,0)),""))</f>
        <v>0.64</v>
      </c>
    </row>
    <row r="669" customFormat="false" ht="15" hidden="false" customHeight="false" outlineLevel="0" collapsed="false">
      <c r="A669" s="0" t="s">
        <v>2685</v>
      </c>
      <c r="B669" s="0" t="s">
        <v>1716</v>
      </c>
      <c r="C669" s="0" t="s">
        <v>1431</v>
      </c>
      <c r="D669" s="0" t="s">
        <v>1139</v>
      </c>
      <c r="E669" s="0" t="s">
        <v>108</v>
      </c>
      <c r="F669" s="0" t="n">
        <v>10</v>
      </c>
      <c r="G669" s="0" t="n">
        <v>12</v>
      </c>
      <c r="H669" s="0" t="n">
        <v>0.56</v>
      </c>
      <c r="I669" s="10" t="n">
        <v>0.475</v>
      </c>
      <c r="J669" s="0" t="n">
        <v>0.75</v>
      </c>
      <c r="K669" s="13" t="n">
        <f aca="false">IF(H669&lt;&gt;"",H669,IFERROR(G669/INDEX(Players!$M$2:$M$137,MATCH(B669,Players!$A$2:$A$137,0)),""))</f>
        <v>0.56</v>
      </c>
    </row>
    <row r="670" customFormat="false" ht="15" hidden="false" customHeight="false" outlineLevel="0" collapsed="false">
      <c r="A670" s="0" t="s">
        <v>2686</v>
      </c>
      <c r="B670" s="0" t="s">
        <v>1716</v>
      </c>
      <c r="C670" s="0" t="s">
        <v>1431</v>
      </c>
      <c r="D670" s="0" t="s">
        <v>1139</v>
      </c>
      <c r="E670" s="0" t="s">
        <v>81</v>
      </c>
      <c r="F670" s="0" t="n">
        <v>6</v>
      </c>
      <c r="G670" s="0" t="n">
        <v>13.8</v>
      </c>
      <c r="H670" s="0" t="n">
        <v>0.61</v>
      </c>
      <c r="I670" s="10" t="n">
        <v>0.506</v>
      </c>
      <c r="J670" s="0" t="n">
        <v>0.84</v>
      </c>
      <c r="K670" s="13" t="n">
        <f aca="false">IF(H670&lt;&gt;"",H670,IFERROR(G670/INDEX(Players!$M$2:$M$137,MATCH(B670,Players!$A$2:$A$137,0)),""))</f>
        <v>0.61</v>
      </c>
    </row>
    <row r="671" customFormat="false" ht="15" hidden="false" customHeight="false" outlineLevel="0" collapsed="false">
      <c r="A671" s="0" t="s">
        <v>2687</v>
      </c>
      <c r="B671" s="0" t="s">
        <v>1716</v>
      </c>
      <c r="C671" s="0" t="s">
        <v>1431</v>
      </c>
      <c r="D671" s="0" t="s">
        <v>1139</v>
      </c>
      <c r="E671" s="0" t="s">
        <v>139</v>
      </c>
      <c r="F671" s="0" t="n">
        <v>5</v>
      </c>
      <c r="G671" s="0" t="n">
        <v>13.8</v>
      </c>
      <c r="H671" s="0" t="n">
        <v>0.63</v>
      </c>
      <c r="I671" s="10" t="n">
        <v>0.449</v>
      </c>
      <c r="J671" s="0" t="n">
        <v>0.95</v>
      </c>
      <c r="K671" s="13" t="n">
        <f aca="false">IF(H671&lt;&gt;"",H671,IFERROR(G671/INDEX(Players!$M$2:$M$137,MATCH(B671,Players!$A$2:$A$137,0)),""))</f>
        <v>0.63</v>
      </c>
    </row>
    <row r="672" customFormat="false" ht="15" hidden="false" customHeight="false" outlineLevel="0" collapsed="false">
      <c r="A672" s="0" t="s">
        <v>2688</v>
      </c>
      <c r="B672" s="0" t="s">
        <v>1716</v>
      </c>
      <c r="C672" s="0" t="s">
        <v>1431</v>
      </c>
      <c r="D672" s="0" t="s">
        <v>1139</v>
      </c>
      <c r="E672" s="0" t="s">
        <v>95</v>
      </c>
      <c r="F672" s="0" t="n">
        <v>3</v>
      </c>
      <c r="G672" s="0" t="n">
        <v>13</v>
      </c>
      <c r="H672" s="0" t="n">
        <v>0.63</v>
      </c>
      <c r="I672" s="10" t="n">
        <v>0.615</v>
      </c>
      <c r="J672" s="0" t="n">
        <v>0.85</v>
      </c>
      <c r="K672" s="13" t="n">
        <f aca="false">IF(H672&lt;&gt;"",H672,IFERROR(G672/INDEX(Players!$M$2:$M$137,MATCH(B672,Players!$A$2:$A$137,0)),""))</f>
        <v>0.63</v>
      </c>
    </row>
    <row r="673" customFormat="false" ht="15" hidden="false" customHeight="false" outlineLevel="0" collapsed="false">
      <c r="A673" s="0" t="s">
        <v>2689</v>
      </c>
      <c r="B673" s="0" t="s">
        <v>1716</v>
      </c>
      <c r="C673" s="0" t="s">
        <v>1431</v>
      </c>
      <c r="D673" s="0" t="s">
        <v>1139</v>
      </c>
      <c r="E673" s="0" t="s">
        <v>145</v>
      </c>
      <c r="F673" s="0" t="n">
        <v>2</v>
      </c>
      <c r="G673" s="0" t="n">
        <v>11.5</v>
      </c>
      <c r="H673" s="0" t="n">
        <v>0.5</v>
      </c>
      <c r="I673" s="10" t="n">
        <v>0.609</v>
      </c>
      <c r="J673" s="0" t="n">
        <v>0.79</v>
      </c>
      <c r="K673" s="13" t="n">
        <f aca="false">IF(H673&lt;&gt;"",H673,IFERROR(G673/INDEX(Players!$M$2:$M$137,MATCH(B673,Players!$A$2:$A$137,0)),""))</f>
        <v>0.5</v>
      </c>
    </row>
    <row r="674" customFormat="false" ht="15" hidden="false" customHeight="false" outlineLevel="0" collapsed="false">
      <c r="A674" s="0" t="s">
        <v>2690</v>
      </c>
      <c r="B674" s="0" t="s">
        <v>1790</v>
      </c>
      <c r="C674" s="0" t="s">
        <v>1597</v>
      </c>
      <c r="D674" s="0" t="s">
        <v>1139</v>
      </c>
      <c r="E674" s="0" t="s">
        <v>95</v>
      </c>
      <c r="F674" s="0" t="n">
        <v>10</v>
      </c>
      <c r="G674" s="0" t="n">
        <v>15.6</v>
      </c>
      <c r="H674" s="0" t="n">
        <v>0.66</v>
      </c>
      <c r="I674" s="10" t="n">
        <v>0.756</v>
      </c>
      <c r="J674" s="0" t="n">
        <v>1.11</v>
      </c>
      <c r="K674" s="13" t="n">
        <f aca="false">IF(H674&lt;&gt;"",H674,IFERROR(G674/INDEX(Players!$M$2:$M$137,MATCH(B674,Players!$A$2:$A$137,0)),""))</f>
        <v>0.66</v>
      </c>
    </row>
    <row r="675" customFormat="false" ht="15" hidden="false" customHeight="false" outlineLevel="0" collapsed="false">
      <c r="A675" s="0" t="s">
        <v>2691</v>
      </c>
      <c r="B675" s="0" t="s">
        <v>1790</v>
      </c>
      <c r="C675" s="0" t="s">
        <v>1597</v>
      </c>
      <c r="D675" s="0" t="s">
        <v>1139</v>
      </c>
      <c r="E675" s="0" t="s">
        <v>121</v>
      </c>
      <c r="F675" s="0" t="n">
        <v>8</v>
      </c>
      <c r="G675" s="0" t="n">
        <v>16.1</v>
      </c>
      <c r="H675" s="0" t="n">
        <v>0.69</v>
      </c>
      <c r="I675" s="10" t="n">
        <v>0.566</v>
      </c>
      <c r="J675" s="0" t="n">
        <v>1.02</v>
      </c>
      <c r="K675" s="13" t="n">
        <f aca="false">IF(H675&lt;&gt;"",H675,IFERROR(G675/INDEX(Players!$M$2:$M$137,MATCH(B675,Players!$A$2:$A$137,0)),""))</f>
        <v>0.69</v>
      </c>
    </row>
    <row r="676" customFormat="false" ht="15" hidden="false" customHeight="false" outlineLevel="0" collapsed="false">
      <c r="A676" s="0" t="s">
        <v>2692</v>
      </c>
      <c r="B676" s="0" t="s">
        <v>1790</v>
      </c>
      <c r="C676" s="0" t="s">
        <v>1597</v>
      </c>
      <c r="D676" s="0" t="s">
        <v>1139</v>
      </c>
      <c r="E676" s="0" t="s">
        <v>108</v>
      </c>
      <c r="F676" s="0" t="n">
        <v>8</v>
      </c>
      <c r="G676" s="0" t="n">
        <v>13.4</v>
      </c>
      <c r="H676" s="0" t="n">
        <v>0.62</v>
      </c>
      <c r="I676" s="10" t="n">
        <v>0.579</v>
      </c>
      <c r="J676" s="0" t="n">
        <v>0.9</v>
      </c>
      <c r="K676" s="13" t="n">
        <f aca="false">IF(H676&lt;&gt;"",H676,IFERROR(G676/INDEX(Players!$M$2:$M$137,MATCH(B676,Players!$A$2:$A$137,0)),""))</f>
        <v>0.62</v>
      </c>
    </row>
    <row r="677" customFormat="false" ht="15" hidden="false" customHeight="false" outlineLevel="0" collapsed="false">
      <c r="A677" s="0" t="s">
        <v>2693</v>
      </c>
      <c r="B677" s="0" t="s">
        <v>1790</v>
      </c>
      <c r="C677" s="0" t="s">
        <v>1597</v>
      </c>
      <c r="D677" s="0" t="s">
        <v>1139</v>
      </c>
      <c r="E677" s="0" t="s">
        <v>129</v>
      </c>
      <c r="F677" s="0" t="n">
        <v>6</v>
      </c>
      <c r="G677" s="0" t="n">
        <v>10.2</v>
      </c>
      <c r="H677" s="0" t="n">
        <v>0.47</v>
      </c>
      <c r="I677" s="10" t="n">
        <v>0.639</v>
      </c>
      <c r="J677" s="0" t="n">
        <v>0.66</v>
      </c>
      <c r="K677" s="13" t="n">
        <f aca="false">IF(H677&lt;&gt;"",H677,IFERROR(G677/INDEX(Players!$M$2:$M$137,MATCH(B677,Players!$A$2:$A$137,0)),""))</f>
        <v>0.47</v>
      </c>
    </row>
    <row r="678" customFormat="false" ht="15" hidden="false" customHeight="false" outlineLevel="0" collapsed="false">
      <c r="A678" s="0" t="s">
        <v>2694</v>
      </c>
      <c r="B678" s="0" t="s">
        <v>1790</v>
      </c>
      <c r="C678" s="0" t="s">
        <v>1597</v>
      </c>
      <c r="D678" s="0" t="s">
        <v>1139</v>
      </c>
      <c r="E678" s="0" t="s">
        <v>139</v>
      </c>
      <c r="F678" s="0" t="n">
        <v>5</v>
      </c>
      <c r="G678" s="0" t="n">
        <v>9.6</v>
      </c>
      <c r="H678" s="0" t="n">
        <v>0.51</v>
      </c>
      <c r="I678" s="10" t="n">
        <v>0.667</v>
      </c>
      <c r="J678" s="0" t="n">
        <v>0.65</v>
      </c>
      <c r="K678" s="13" t="n">
        <f aca="false">IF(H678&lt;&gt;"",H678,IFERROR(G678/INDEX(Players!$M$2:$M$137,MATCH(B678,Players!$A$2:$A$137,0)),""))</f>
        <v>0.51</v>
      </c>
    </row>
    <row r="679" customFormat="false" ht="15" hidden="false" customHeight="false" outlineLevel="0" collapsed="false">
      <c r="A679" s="0" t="s">
        <v>2695</v>
      </c>
      <c r="B679" s="0" t="s">
        <v>1790</v>
      </c>
      <c r="C679" s="0" t="s">
        <v>1597</v>
      </c>
      <c r="D679" s="0" t="s">
        <v>1139</v>
      </c>
      <c r="E679" s="0" t="s">
        <v>145</v>
      </c>
      <c r="F679" s="0" t="n">
        <v>1</v>
      </c>
      <c r="G679" s="0" t="n">
        <v>19</v>
      </c>
      <c r="H679" s="0" t="n">
        <v>1.12</v>
      </c>
      <c r="I679" s="10" t="n">
        <v>0.632</v>
      </c>
      <c r="J679" s="0" t="n">
        <v>2.71</v>
      </c>
      <c r="K679" s="13" t="n">
        <f aca="false">IF(H679&lt;&gt;"",H679,IFERROR(G679/INDEX(Players!$M$2:$M$137,MATCH(B679,Players!$A$2:$A$137,0)),""))</f>
        <v>1.12</v>
      </c>
    </row>
    <row r="680" customFormat="false" ht="15" hidden="false" customHeight="false" outlineLevel="0" collapsed="false">
      <c r="A680" s="0" t="s">
        <v>2696</v>
      </c>
      <c r="B680" s="0" t="s">
        <v>1740</v>
      </c>
      <c r="C680" s="0" t="s">
        <v>1486</v>
      </c>
      <c r="D680" s="0" t="s">
        <v>1139</v>
      </c>
      <c r="E680" s="0" t="s">
        <v>81</v>
      </c>
      <c r="F680" s="0" t="n">
        <v>8</v>
      </c>
      <c r="G680" s="0" t="n">
        <v>16</v>
      </c>
      <c r="H680" s="0" t="n">
        <v>0.64</v>
      </c>
      <c r="I680" s="10" t="n">
        <v>0.539</v>
      </c>
      <c r="J680" s="0" t="n">
        <v>1</v>
      </c>
      <c r="K680" s="13" t="n">
        <f aca="false">IF(H680&lt;&gt;"",H680,IFERROR(G680/INDEX(Players!$M$2:$M$137,MATCH(B680,Players!$A$2:$A$137,0)),""))</f>
        <v>0.64</v>
      </c>
    </row>
    <row r="681" customFormat="false" ht="15" hidden="false" customHeight="false" outlineLevel="0" collapsed="false">
      <c r="A681" s="0" t="s">
        <v>2697</v>
      </c>
      <c r="B681" s="0" t="s">
        <v>1740</v>
      </c>
      <c r="C681" s="0" t="s">
        <v>1486</v>
      </c>
      <c r="D681" s="0" t="s">
        <v>1139</v>
      </c>
      <c r="E681" s="0" t="s">
        <v>129</v>
      </c>
      <c r="F681" s="0" t="n">
        <v>7</v>
      </c>
      <c r="G681" s="0" t="n">
        <v>14.6</v>
      </c>
      <c r="H681" s="0" t="n">
        <v>0.6</v>
      </c>
      <c r="I681" s="10" t="n">
        <v>0.569</v>
      </c>
      <c r="J681" s="0" t="n">
        <v>1.06</v>
      </c>
      <c r="K681" s="13" t="n">
        <f aca="false">IF(H681&lt;&gt;"",H681,IFERROR(G681/INDEX(Players!$M$2:$M$137,MATCH(B681,Players!$A$2:$A$137,0)),""))</f>
        <v>0.6</v>
      </c>
    </row>
    <row r="682" customFormat="false" ht="15" hidden="false" customHeight="false" outlineLevel="0" collapsed="false">
      <c r="A682" s="0" t="s">
        <v>2698</v>
      </c>
      <c r="B682" s="0" t="s">
        <v>1740</v>
      </c>
      <c r="C682" s="0" t="s">
        <v>1486</v>
      </c>
      <c r="D682" s="0" t="s">
        <v>1139</v>
      </c>
      <c r="E682" s="0" t="s">
        <v>95</v>
      </c>
      <c r="F682" s="0" t="n">
        <v>7</v>
      </c>
      <c r="G682" s="0" t="n">
        <v>13.1</v>
      </c>
      <c r="H682" s="0" t="n">
        <v>0.63</v>
      </c>
      <c r="I682" s="10" t="n">
        <v>0.587</v>
      </c>
      <c r="J682" s="0" t="n">
        <v>1.03</v>
      </c>
      <c r="K682" s="13" t="n">
        <f aca="false">IF(H682&lt;&gt;"",H682,IFERROR(G682/INDEX(Players!$M$2:$M$137,MATCH(B682,Players!$A$2:$A$137,0)),""))</f>
        <v>0.63</v>
      </c>
    </row>
    <row r="683" customFormat="false" ht="15" hidden="false" customHeight="false" outlineLevel="0" collapsed="false">
      <c r="A683" s="0" t="s">
        <v>2699</v>
      </c>
      <c r="B683" s="0" t="s">
        <v>1740</v>
      </c>
      <c r="C683" s="0" t="s">
        <v>1486</v>
      </c>
      <c r="D683" s="0" t="s">
        <v>1139</v>
      </c>
      <c r="E683" s="0" t="s">
        <v>145</v>
      </c>
      <c r="F683" s="0" t="n">
        <v>6</v>
      </c>
      <c r="G683" s="0" t="n">
        <v>15.5</v>
      </c>
      <c r="H683" s="0" t="n">
        <v>0.72</v>
      </c>
      <c r="I683" s="10" t="n">
        <v>0.516</v>
      </c>
      <c r="J683" s="0" t="n">
        <v>1.07</v>
      </c>
      <c r="K683" s="13" t="n">
        <f aca="false">IF(H683&lt;&gt;"",H683,IFERROR(G683/INDEX(Players!$M$2:$M$137,MATCH(B683,Players!$A$2:$A$137,0)),""))</f>
        <v>0.72</v>
      </c>
    </row>
    <row r="684" customFormat="false" ht="15" hidden="false" customHeight="false" outlineLevel="0" collapsed="false">
      <c r="A684" s="0" t="s">
        <v>2700</v>
      </c>
      <c r="B684" s="0" t="s">
        <v>1740</v>
      </c>
      <c r="C684" s="0" t="s">
        <v>1486</v>
      </c>
      <c r="D684" s="0" t="s">
        <v>1139</v>
      </c>
      <c r="E684" s="0" t="s">
        <v>108</v>
      </c>
      <c r="F684" s="0" t="n">
        <v>4</v>
      </c>
      <c r="G684" s="0" t="n">
        <v>14.8</v>
      </c>
      <c r="H684" s="0" t="n">
        <v>0.64</v>
      </c>
      <c r="I684" s="10" t="n">
        <v>0.458</v>
      </c>
      <c r="J684" s="0" t="n">
        <v>0.98</v>
      </c>
      <c r="K684" s="13" t="n">
        <f aca="false">IF(H684&lt;&gt;"",H684,IFERROR(G684/INDEX(Players!$M$2:$M$137,MATCH(B684,Players!$A$2:$A$137,0)),""))</f>
        <v>0.64</v>
      </c>
    </row>
    <row r="685" customFormat="false" ht="15" hidden="false" customHeight="false" outlineLevel="0" collapsed="false">
      <c r="A685" s="0" t="s">
        <v>2701</v>
      </c>
      <c r="B685" s="0" t="s">
        <v>1740</v>
      </c>
      <c r="C685" s="0" t="s">
        <v>1486</v>
      </c>
      <c r="D685" s="0" t="s">
        <v>1139</v>
      </c>
      <c r="E685" s="0" t="s">
        <v>139</v>
      </c>
      <c r="F685" s="0" t="n">
        <v>3</v>
      </c>
      <c r="G685" s="0" t="n">
        <v>14.3</v>
      </c>
      <c r="H685" s="0" t="n">
        <v>0.75</v>
      </c>
      <c r="I685" s="10" t="n">
        <v>0.442</v>
      </c>
      <c r="J685" s="0" t="n">
        <v>1.23</v>
      </c>
      <c r="K685" s="13" t="n">
        <f aca="false">IF(H685&lt;&gt;"",H685,IFERROR(G685/INDEX(Players!$M$2:$M$137,MATCH(B685,Players!$A$2:$A$137,0)),""))</f>
        <v>0.75</v>
      </c>
    </row>
    <row r="686" customFormat="false" ht="15" hidden="false" customHeight="false" outlineLevel="0" collapsed="false">
      <c r="A686" s="0" t="s">
        <v>2702</v>
      </c>
      <c r="B686" s="0" t="s">
        <v>1745</v>
      </c>
      <c r="C686" s="0" t="s">
        <v>1497</v>
      </c>
      <c r="D686" s="0" t="s">
        <v>1139</v>
      </c>
      <c r="E686" s="0" t="s">
        <v>81</v>
      </c>
      <c r="F686" s="0" t="n">
        <v>12</v>
      </c>
      <c r="G686" s="0" t="n">
        <v>15.3</v>
      </c>
      <c r="H686" s="0" t="n">
        <v>0.66</v>
      </c>
      <c r="I686" s="10" t="n">
        <v>0.467</v>
      </c>
      <c r="J686" s="0" t="n">
        <v>0.99</v>
      </c>
      <c r="K686" s="13" t="n">
        <f aca="false">IF(H686&lt;&gt;"",H686,IFERROR(G686/INDEX(Players!$M$2:$M$137,MATCH(B686,Players!$A$2:$A$137,0)),""))</f>
        <v>0.66</v>
      </c>
    </row>
    <row r="687" customFormat="false" ht="15" hidden="false" customHeight="false" outlineLevel="0" collapsed="false">
      <c r="A687" s="0" t="s">
        <v>2703</v>
      </c>
      <c r="B687" s="0" t="s">
        <v>1745</v>
      </c>
      <c r="C687" s="0" t="s">
        <v>1497</v>
      </c>
      <c r="D687" s="0" t="s">
        <v>1139</v>
      </c>
      <c r="E687" s="0" t="s">
        <v>95</v>
      </c>
      <c r="F687" s="0" t="n">
        <v>7</v>
      </c>
      <c r="G687" s="0" t="n">
        <v>16</v>
      </c>
      <c r="H687" s="0" t="n">
        <v>0.67</v>
      </c>
      <c r="I687" s="10" t="n">
        <v>0.527</v>
      </c>
      <c r="J687" s="0" t="n">
        <v>1.09</v>
      </c>
      <c r="K687" s="13" t="n">
        <f aca="false">IF(H687&lt;&gt;"",H687,IFERROR(G687/INDEX(Players!$M$2:$M$137,MATCH(B687,Players!$A$2:$A$137,0)),""))</f>
        <v>0.67</v>
      </c>
    </row>
    <row r="688" customFormat="false" ht="15" hidden="false" customHeight="false" outlineLevel="0" collapsed="false">
      <c r="A688" s="0" t="s">
        <v>2704</v>
      </c>
      <c r="B688" s="0" t="s">
        <v>1745</v>
      </c>
      <c r="C688" s="0" t="s">
        <v>1497</v>
      </c>
      <c r="D688" s="0" t="s">
        <v>1139</v>
      </c>
      <c r="E688" s="0" t="s">
        <v>139</v>
      </c>
      <c r="F688" s="0" t="n">
        <v>7</v>
      </c>
      <c r="G688" s="0" t="n">
        <v>13</v>
      </c>
      <c r="H688" s="0" t="n">
        <v>0.59</v>
      </c>
      <c r="I688" s="10" t="n">
        <v>0.429</v>
      </c>
      <c r="J688" s="0" t="n">
        <v>0.94</v>
      </c>
      <c r="K688" s="13" t="n">
        <f aca="false">IF(H688&lt;&gt;"",H688,IFERROR(G688/INDEX(Players!$M$2:$M$137,MATCH(B688,Players!$A$2:$A$137,0)),""))</f>
        <v>0.59</v>
      </c>
    </row>
    <row r="689" customFormat="false" ht="15" hidden="false" customHeight="false" outlineLevel="0" collapsed="false">
      <c r="A689" s="0" t="s">
        <v>2705</v>
      </c>
      <c r="B689" s="0" t="s">
        <v>1745</v>
      </c>
      <c r="C689" s="0" t="s">
        <v>1497</v>
      </c>
      <c r="D689" s="0" t="s">
        <v>1139</v>
      </c>
      <c r="E689" s="0" t="s">
        <v>121</v>
      </c>
      <c r="F689" s="0" t="n">
        <v>4</v>
      </c>
      <c r="G689" s="0" t="n">
        <v>15.3</v>
      </c>
      <c r="H689" s="0" t="n">
        <v>0.79</v>
      </c>
      <c r="I689" s="10" t="n">
        <v>0.41</v>
      </c>
      <c r="J689" s="0" t="n">
        <v>1.79</v>
      </c>
      <c r="K689" s="13" t="n">
        <f aca="false">IF(H689&lt;&gt;"",H689,IFERROR(G689/INDEX(Players!$M$2:$M$137,MATCH(B689,Players!$A$2:$A$137,0)),""))</f>
        <v>0.79</v>
      </c>
    </row>
    <row r="690" customFormat="false" ht="15" hidden="false" customHeight="false" outlineLevel="0" collapsed="false">
      <c r="A690" s="0" t="s">
        <v>2706</v>
      </c>
      <c r="B690" s="0" t="s">
        <v>1745</v>
      </c>
      <c r="C690" s="0" t="s">
        <v>1497</v>
      </c>
      <c r="D690" s="0" t="s">
        <v>1139</v>
      </c>
      <c r="E690" s="0" t="s">
        <v>145</v>
      </c>
      <c r="F690" s="0" t="n">
        <v>4</v>
      </c>
      <c r="G690" s="0" t="n">
        <v>14</v>
      </c>
      <c r="H690" s="0" t="n">
        <v>0.63</v>
      </c>
      <c r="I690" s="10" t="n">
        <v>0.429</v>
      </c>
      <c r="J690" s="0" t="n">
        <v>1</v>
      </c>
      <c r="K690" s="13" t="n">
        <f aca="false">IF(H690&lt;&gt;"",H690,IFERROR(G690/INDEX(Players!$M$2:$M$137,MATCH(B690,Players!$A$2:$A$137,0)),""))</f>
        <v>0.63</v>
      </c>
    </row>
    <row r="691" customFormat="false" ht="15" hidden="false" customHeight="false" outlineLevel="0" collapsed="false">
      <c r="A691" s="0" t="s">
        <v>2707</v>
      </c>
      <c r="B691" s="0" t="s">
        <v>1745</v>
      </c>
      <c r="C691" s="0" t="s">
        <v>1497</v>
      </c>
      <c r="D691" s="0" t="s">
        <v>1139</v>
      </c>
      <c r="E691" s="0" t="s">
        <v>129</v>
      </c>
      <c r="F691" s="0" t="n">
        <v>3</v>
      </c>
      <c r="G691" s="0" t="n">
        <v>13.3</v>
      </c>
      <c r="H691" s="0" t="n">
        <v>0.65</v>
      </c>
      <c r="I691" s="10" t="n">
        <v>0.45</v>
      </c>
      <c r="J691" s="0" t="n">
        <v>0.98</v>
      </c>
      <c r="K691" s="13" t="n">
        <f aca="false">IF(H691&lt;&gt;"",H691,IFERROR(G691/INDEX(Players!$M$2:$M$137,MATCH(B691,Players!$A$2:$A$137,0)),""))</f>
        <v>0.65</v>
      </c>
    </row>
    <row r="692" customFormat="false" ht="15" hidden="false" customHeight="false" outlineLevel="0" collapsed="false">
      <c r="A692" s="0" t="s">
        <v>2708</v>
      </c>
      <c r="B692" s="0" t="s">
        <v>1759</v>
      </c>
      <c r="C692" s="0" t="s">
        <v>1530</v>
      </c>
      <c r="D692" s="0" t="s">
        <v>1139</v>
      </c>
      <c r="E692" s="0" t="s">
        <v>108</v>
      </c>
      <c r="F692" s="0" t="n">
        <v>11</v>
      </c>
      <c r="G692" s="0" t="n">
        <v>14.5</v>
      </c>
      <c r="H692" s="0" t="n">
        <v>0.62</v>
      </c>
      <c r="I692" s="10" t="n">
        <v>0.225</v>
      </c>
      <c r="J692" s="0" t="n">
        <v>1.11</v>
      </c>
      <c r="K692" s="13" t="n">
        <f aca="false">IF(H692&lt;&gt;"",H692,IFERROR(G692/INDEX(Players!$M$2:$M$137,MATCH(B692,Players!$A$2:$A$137,0)),""))</f>
        <v>0.62</v>
      </c>
    </row>
    <row r="693" customFormat="false" ht="15" hidden="false" customHeight="false" outlineLevel="0" collapsed="false">
      <c r="A693" s="0" t="s">
        <v>2709</v>
      </c>
      <c r="B693" s="0" t="s">
        <v>1759</v>
      </c>
      <c r="C693" s="0" t="s">
        <v>1530</v>
      </c>
      <c r="D693" s="0" t="s">
        <v>1139</v>
      </c>
      <c r="E693" s="0" t="s">
        <v>95</v>
      </c>
      <c r="F693" s="0" t="n">
        <v>8</v>
      </c>
      <c r="G693" s="0" t="n">
        <v>16.9</v>
      </c>
      <c r="H693" s="0" t="n">
        <v>0.78</v>
      </c>
      <c r="I693" s="10" t="n">
        <v>0.319</v>
      </c>
      <c r="J693" s="0" t="n">
        <v>1.57</v>
      </c>
      <c r="K693" s="13" t="n">
        <f aca="false">IF(H693&lt;&gt;"",H693,IFERROR(G693/INDEX(Players!$M$2:$M$137,MATCH(B693,Players!$A$2:$A$137,0)),""))</f>
        <v>0.78</v>
      </c>
    </row>
    <row r="694" customFormat="false" ht="15" hidden="false" customHeight="false" outlineLevel="0" collapsed="false">
      <c r="A694" s="0" t="s">
        <v>2710</v>
      </c>
      <c r="B694" s="0" t="s">
        <v>1759</v>
      </c>
      <c r="C694" s="0" t="s">
        <v>1530</v>
      </c>
      <c r="D694" s="0" t="s">
        <v>1139</v>
      </c>
      <c r="E694" s="0" t="s">
        <v>145</v>
      </c>
      <c r="F694" s="0" t="n">
        <v>7</v>
      </c>
      <c r="G694" s="0" t="n">
        <v>11.6</v>
      </c>
      <c r="H694" s="0" t="n">
        <v>0.57</v>
      </c>
      <c r="I694" s="10" t="n">
        <v>0.383</v>
      </c>
      <c r="J694" s="0" t="n">
        <v>0.94</v>
      </c>
      <c r="K694" s="13" t="n">
        <f aca="false">IF(H694&lt;&gt;"",H694,IFERROR(G694/INDEX(Players!$M$2:$M$137,MATCH(B694,Players!$A$2:$A$137,0)),""))</f>
        <v>0.57</v>
      </c>
    </row>
    <row r="695" customFormat="false" ht="15" hidden="false" customHeight="false" outlineLevel="0" collapsed="false">
      <c r="A695" s="0" t="s">
        <v>2711</v>
      </c>
      <c r="B695" s="0" t="s">
        <v>1759</v>
      </c>
      <c r="C695" s="0" t="s">
        <v>1530</v>
      </c>
      <c r="D695" s="0" t="s">
        <v>1139</v>
      </c>
      <c r="E695" s="0" t="s">
        <v>129</v>
      </c>
      <c r="F695" s="0" t="n">
        <v>6</v>
      </c>
      <c r="G695" s="0" t="n">
        <v>13.2</v>
      </c>
      <c r="H695" s="0" t="n">
        <v>0.62</v>
      </c>
      <c r="I695" s="10" t="n">
        <v>0.329</v>
      </c>
      <c r="J695" s="0" t="n">
        <v>1.13</v>
      </c>
      <c r="K695" s="13" t="n">
        <f aca="false">IF(H695&lt;&gt;"",H695,IFERROR(G695/INDEX(Players!$M$2:$M$137,MATCH(B695,Players!$A$2:$A$137,0)),""))</f>
        <v>0.62</v>
      </c>
    </row>
    <row r="696" customFormat="false" ht="15" hidden="false" customHeight="false" outlineLevel="0" collapsed="false">
      <c r="A696" s="0" t="s">
        <v>2712</v>
      </c>
      <c r="B696" s="0" t="s">
        <v>1759</v>
      </c>
      <c r="C696" s="0" t="s">
        <v>1530</v>
      </c>
      <c r="D696" s="0" t="s">
        <v>1139</v>
      </c>
      <c r="E696" s="0" t="s">
        <v>139</v>
      </c>
      <c r="F696" s="0" t="n">
        <v>5</v>
      </c>
      <c r="G696" s="0" t="n">
        <v>14.4</v>
      </c>
      <c r="H696" s="0" t="n">
        <v>0.67</v>
      </c>
      <c r="I696" s="10" t="n">
        <v>0.361</v>
      </c>
      <c r="J696" s="0" t="n">
        <v>1.06</v>
      </c>
      <c r="K696" s="13" t="n">
        <f aca="false">IF(H696&lt;&gt;"",H696,IFERROR(G696/INDEX(Players!$M$2:$M$137,MATCH(B696,Players!$A$2:$A$137,0)),""))</f>
        <v>0.67</v>
      </c>
    </row>
    <row r="697" customFormat="false" ht="15" hidden="false" customHeight="false" outlineLevel="0" collapsed="false">
      <c r="A697" s="0" t="s">
        <v>2713</v>
      </c>
      <c r="B697" s="0" t="s">
        <v>1759</v>
      </c>
      <c r="C697" s="0" t="s">
        <v>1530</v>
      </c>
      <c r="D697" s="0" t="s">
        <v>1139</v>
      </c>
      <c r="E697" s="0" t="s">
        <v>81</v>
      </c>
      <c r="F697" s="0" t="n">
        <v>2</v>
      </c>
      <c r="G697" s="0" t="n">
        <v>18</v>
      </c>
      <c r="H697" s="0" t="n">
        <v>0.8</v>
      </c>
      <c r="I697" s="10" t="n">
        <v>0.472</v>
      </c>
      <c r="J697" s="0" t="n">
        <v>1.2</v>
      </c>
      <c r="K697" s="13" t="n">
        <f aca="false">IF(H697&lt;&gt;"",H697,IFERROR(G697/INDEX(Players!$M$2:$M$137,MATCH(B697,Players!$A$2:$A$137,0)),""))</f>
        <v>0.8</v>
      </c>
    </row>
    <row r="698" customFormat="false" ht="15" hidden="false" customHeight="false" outlineLevel="0" collapsed="false">
      <c r="A698" s="0" t="s">
        <v>2714</v>
      </c>
      <c r="B698" s="0" t="s">
        <v>1775</v>
      </c>
      <c r="C698" s="0" t="s">
        <v>1562</v>
      </c>
      <c r="D698" s="0" t="s">
        <v>1139</v>
      </c>
      <c r="E698" s="0" t="s">
        <v>81</v>
      </c>
      <c r="F698" s="0" t="n">
        <v>13</v>
      </c>
      <c r="G698" s="0" t="n">
        <v>16.8</v>
      </c>
      <c r="H698" s="0" t="n">
        <v>0.73</v>
      </c>
      <c r="I698" s="10" t="n">
        <v>0.578</v>
      </c>
      <c r="J698" s="0" t="n">
        <v>1.25</v>
      </c>
      <c r="K698" s="13" t="n">
        <f aca="false">IF(H698&lt;&gt;"",H698,IFERROR(G698/INDEX(Players!$M$2:$M$137,MATCH(B698,Players!$A$2:$A$137,0)),""))</f>
        <v>0.73</v>
      </c>
    </row>
    <row r="699" customFormat="false" ht="15" hidden="false" customHeight="false" outlineLevel="0" collapsed="false">
      <c r="A699" s="0" t="s">
        <v>2715</v>
      </c>
      <c r="B699" s="0" t="s">
        <v>1775</v>
      </c>
      <c r="C699" s="0" t="s">
        <v>1562</v>
      </c>
      <c r="D699" s="0" t="s">
        <v>1139</v>
      </c>
      <c r="E699" s="0" t="s">
        <v>121</v>
      </c>
      <c r="F699" s="0" t="n">
        <v>8</v>
      </c>
      <c r="G699" s="0" t="n">
        <v>13</v>
      </c>
      <c r="H699" s="0" t="n">
        <v>0.65</v>
      </c>
      <c r="I699" s="10" t="n">
        <v>0.538</v>
      </c>
      <c r="J699" s="0" t="n">
        <v>1.06</v>
      </c>
      <c r="K699" s="13" t="n">
        <f aca="false">IF(H699&lt;&gt;"",H699,IFERROR(G699/INDEX(Players!$M$2:$M$137,MATCH(B699,Players!$A$2:$A$137,0)),""))</f>
        <v>0.65</v>
      </c>
    </row>
    <row r="700" customFormat="false" ht="15" hidden="false" customHeight="false" outlineLevel="0" collapsed="false">
      <c r="A700" s="0" t="s">
        <v>2716</v>
      </c>
      <c r="B700" s="0" t="s">
        <v>1775</v>
      </c>
      <c r="C700" s="0" t="s">
        <v>1562</v>
      </c>
      <c r="D700" s="0" t="s">
        <v>1139</v>
      </c>
      <c r="E700" s="0" t="s">
        <v>95</v>
      </c>
      <c r="F700" s="0" t="n">
        <v>6</v>
      </c>
      <c r="G700" s="0" t="n">
        <v>12.7</v>
      </c>
      <c r="H700" s="0" t="n">
        <v>0.63</v>
      </c>
      <c r="I700" s="10" t="n">
        <v>0.645</v>
      </c>
      <c r="J700" s="0" t="n">
        <v>1.12</v>
      </c>
      <c r="K700" s="13" t="n">
        <f aca="false">IF(H700&lt;&gt;"",H700,IFERROR(G700/INDEX(Players!$M$2:$M$137,MATCH(B700,Players!$A$2:$A$137,0)),""))</f>
        <v>0.63</v>
      </c>
    </row>
    <row r="701" customFormat="false" ht="15" hidden="false" customHeight="false" outlineLevel="0" collapsed="false">
      <c r="A701" s="0" t="s">
        <v>2717</v>
      </c>
      <c r="B701" s="0" t="s">
        <v>1775</v>
      </c>
      <c r="C701" s="0" t="s">
        <v>1562</v>
      </c>
      <c r="D701" s="0" t="s">
        <v>1139</v>
      </c>
      <c r="E701" s="0" t="s">
        <v>145</v>
      </c>
      <c r="F701" s="0" t="n">
        <v>3</v>
      </c>
      <c r="G701" s="0" t="n">
        <v>18.3</v>
      </c>
      <c r="H701" s="0" t="n">
        <v>0.79</v>
      </c>
      <c r="I701" s="10" t="n">
        <v>0.545</v>
      </c>
      <c r="J701" s="0" t="n">
        <v>1.37</v>
      </c>
      <c r="K701" s="13" t="n">
        <f aca="false">IF(H701&lt;&gt;"",H701,IFERROR(G701/INDEX(Players!$M$2:$M$137,MATCH(B701,Players!$A$2:$A$137,0)),""))</f>
        <v>0.79</v>
      </c>
    </row>
    <row r="702" customFormat="false" ht="15" hidden="false" customHeight="false" outlineLevel="0" collapsed="false">
      <c r="A702" s="0" t="s">
        <v>2718</v>
      </c>
      <c r="B702" s="0" t="s">
        <v>1775</v>
      </c>
      <c r="C702" s="0" t="s">
        <v>1562</v>
      </c>
      <c r="D702" s="0" t="s">
        <v>1139</v>
      </c>
      <c r="E702" s="0" t="s">
        <v>129</v>
      </c>
      <c r="F702" s="0" t="n">
        <v>2</v>
      </c>
      <c r="G702" s="0" t="n">
        <v>19</v>
      </c>
      <c r="H702" s="0" t="n">
        <v>0.73</v>
      </c>
      <c r="I702" s="10" t="n">
        <v>0.395</v>
      </c>
      <c r="J702" s="0" t="n">
        <v>0.97</v>
      </c>
      <c r="K702" s="13" t="n">
        <f aca="false">IF(H702&lt;&gt;"",H702,IFERROR(G702/INDEX(Players!$M$2:$M$137,MATCH(B702,Players!$A$2:$A$137,0)),""))</f>
        <v>0.73</v>
      </c>
    </row>
    <row r="703" customFormat="false" ht="15" hidden="false" customHeight="false" outlineLevel="0" collapsed="false">
      <c r="A703" s="0" t="s">
        <v>2719</v>
      </c>
      <c r="B703" s="0" t="s">
        <v>1775</v>
      </c>
      <c r="C703" s="0" t="s">
        <v>1562</v>
      </c>
      <c r="D703" s="0" t="s">
        <v>1139</v>
      </c>
      <c r="E703" s="0" t="s">
        <v>108</v>
      </c>
      <c r="F703" s="0" t="n">
        <v>2</v>
      </c>
      <c r="G703" s="0" t="n">
        <v>9</v>
      </c>
      <c r="H703" s="0" t="n">
        <v>0.5</v>
      </c>
      <c r="I703" s="10" t="n">
        <v>0.389</v>
      </c>
      <c r="J703" s="0" t="n">
        <v>0.95</v>
      </c>
      <c r="K703" s="13" t="n">
        <f aca="false">IF(H703&lt;&gt;"",H703,IFERROR(G703/INDEX(Players!$M$2:$M$137,MATCH(B703,Players!$A$2:$A$137,0)),""))</f>
        <v>0.5</v>
      </c>
    </row>
    <row r="704" customFormat="false" ht="15" hidden="false" customHeight="false" outlineLevel="0" collapsed="false">
      <c r="A704" s="0" t="s">
        <v>2720</v>
      </c>
      <c r="B704" s="0" t="s">
        <v>1775</v>
      </c>
      <c r="C704" s="0" t="s">
        <v>1562</v>
      </c>
      <c r="D704" s="0" t="s">
        <v>1139</v>
      </c>
      <c r="E704" s="0" t="s">
        <v>139</v>
      </c>
      <c r="F704" s="0" t="n">
        <v>1</v>
      </c>
      <c r="G704" s="0" t="n">
        <v>14</v>
      </c>
      <c r="H704" s="0" t="n">
        <v>0.74</v>
      </c>
      <c r="I704" s="10" t="n">
        <v>0.786</v>
      </c>
      <c r="J704" s="0" t="n">
        <v>1.4</v>
      </c>
      <c r="K704" s="13" t="n">
        <f aca="false">IF(H704&lt;&gt;"",H704,IFERROR(G704/INDEX(Players!$M$2:$M$137,MATCH(B704,Players!$A$2:$A$137,0)),""))</f>
        <v>0.74</v>
      </c>
    </row>
    <row r="705" customFormat="false" ht="15" hidden="false" customHeight="false" outlineLevel="0" collapsed="false">
      <c r="A705" s="0" t="s">
        <v>2721</v>
      </c>
      <c r="B705" s="0" t="s">
        <v>1736</v>
      </c>
      <c r="C705" s="0" t="s">
        <v>1478</v>
      </c>
      <c r="D705" s="0" t="s">
        <v>1139</v>
      </c>
      <c r="E705" s="0" t="s">
        <v>81</v>
      </c>
      <c r="F705" s="0" t="n">
        <v>9</v>
      </c>
      <c r="G705" s="0" t="n">
        <v>14.9</v>
      </c>
      <c r="H705" s="0" t="n">
        <v>0.68</v>
      </c>
      <c r="I705" s="10" t="n">
        <v>0.56</v>
      </c>
      <c r="J705" s="0" t="n">
        <v>1.01</v>
      </c>
      <c r="K705" s="13" t="n">
        <f aca="false">IF(H705&lt;&gt;"",H705,IFERROR(G705/INDEX(Players!$M$2:$M$137,MATCH(B705,Players!$A$2:$A$137,0)),""))</f>
        <v>0.68</v>
      </c>
    </row>
    <row r="706" customFormat="false" ht="15" hidden="false" customHeight="false" outlineLevel="0" collapsed="false">
      <c r="A706" s="0" t="s">
        <v>2722</v>
      </c>
      <c r="B706" s="0" t="s">
        <v>1736</v>
      </c>
      <c r="C706" s="0" t="s">
        <v>1478</v>
      </c>
      <c r="D706" s="0" t="s">
        <v>1139</v>
      </c>
      <c r="E706" s="0" t="s">
        <v>145</v>
      </c>
      <c r="F706" s="0" t="n">
        <v>8</v>
      </c>
      <c r="G706" s="0" t="n">
        <v>17.1</v>
      </c>
      <c r="H706" s="0" t="n">
        <v>0.75</v>
      </c>
      <c r="I706" s="10" t="n">
        <v>0.606</v>
      </c>
      <c r="J706" s="0" t="n">
        <v>1.3</v>
      </c>
      <c r="K706" s="13" t="n">
        <f aca="false">IF(H706&lt;&gt;"",H706,IFERROR(G706/INDEX(Players!$M$2:$M$137,MATCH(B706,Players!$A$2:$A$137,0)),""))</f>
        <v>0.75</v>
      </c>
    </row>
    <row r="707" customFormat="false" ht="15" hidden="false" customHeight="false" outlineLevel="0" collapsed="false">
      <c r="A707" s="0" t="s">
        <v>2723</v>
      </c>
      <c r="B707" s="0" t="s">
        <v>1736</v>
      </c>
      <c r="C707" s="0" t="s">
        <v>1478</v>
      </c>
      <c r="D707" s="0" t="s">
        <v>1139</v>
      </c>
      <c r="E707" s="0" t="s">
        <v>95</v>
      </c>
      <c r="F707" s="0" t="n">
        <v>7</v>
      </c>
      <c r="G707" s="0" t="n">
        <v>18.6</v>
      </c>
      <c r="H707" s="0" t="n">
        <v>0.74</v>
      </c>
      <c r="I707" s="10" t="n">
        <v>0.531</v>
      </c>
      <c r="J707" s="0" t="n">
        <v>1.1</v>
      </c>
      <c r="K707" s="13" t="n">
        <f aca="false">IF(H707&lt;&gt;"",H707,IFERROR(G707/INDEX(Players!$M$2:$M$137,MATCH(B707,Players!$A$2:$A$137,0)),""))</f>
        <v>0.74</v>
      </c>
    </row>
    <row r="708" customFormat="false" ht="15" hidden="false" customHeight="false" outlineLevel="0" collapsed="false">
      <c r="A708" s="0" t="s">
        <v>2724</v>
      </c>
      <c r="B708" s="0" t="s">
        <v>1736</v>
      </c>
      <c r="C708" s="0" t="s">
        <v>1478</v>
      </c>
      <c r="D708" s="0" t="s">
        <v>1139</v>
      </c>
      <c r="E708" s="0" t="s">
        <v>108</v>
      </c>
      <c r="F708" s="0" t="n">
        <v>6</v>
      </c>
      <c r="G708" s="0" t="n">
        <v>18.2</v>
      </c>
      <c r="H708" s="0" t="n">
        <v>0.82</v>
      </c>
      <c r="I708" s="10" t="n">
        <v>0.541</v>
      </c>
      <c r="J708" s="0" t="n">
        <v>1.3</v>
      </c>
      <c r="K708" s="13" t="n">
        <f aca="false">IF(H708&lt;&gt;"",H708,IFERROR(G708/INDEX(Players!$M$2:$M$137,MATCH(B708,Players!$A$2:$A$137,0)),""))</f>
        <v>0.82</v>
      </c>
    </row>
    <row r="709" customFormat="false" ht="15" hidden="false" customHeight="false" outlineLevel="0" collapsed="false">
      <c r="A709" s="0" t="s">
        <v>2725</v>
      </c>
      <c r="B709" s="0" t="s">
        <v>1736</v>
      </c>
      <c r="C709" s="0" t="s">
        <v>1478</v>
      </c>
      <c r="D709" s="0" t="s">
        <v>1139</v>
      </c>
      <c r="E709" s="0" t="s">
        <v>129</v>
      </c>
      <c r="F709" s="0" t="n">
        <v>4</v>
      </c>
      <c r="G709" s="0" t="n">
        <v>22</v>
      </c>
      <c r="H709" s="0" t="n">
        <v>0.81</v>
      </c>
      <c r="I709" s="10" t="n">
        <v>0.466</v>
      </c>
      <c r="J709" s="0" t="n">
        <v>1.17</v>
      </c>
      <c r="K709" s="13" t="n">
        <f aca="false">IF(H709&lt;&gt;"",H709,IFERROR(G709/INDEX(Players!$M$2:$M$137,MATCH(B709,Players!$A$2:$A$137,0)),""))</f>
        <v>0.81</v>
      </c>
    </row>
    <row r="710" customFormat="false" ht="15" hidden="false" customHeight="false" outlineLevel="0" collapsed="false">
      <c r="A710" s="0" t="s">
        <v>2726</v>
      </c>
      <c r="B710" s="0" t="s">
        <v>1736</v>
      </c>
      <c r="C710" s="0" t="s">
        <v>1478</v>
      </c>
      <c r="D710" s="0" t="s">
        <v>1139</v>
      </c>
      <c r="E710" s="0" t="s">
        <v>121</v>
      </c>
      <c r="F710" s="0" t="n">
        <v>4</v>
      </c>
      <c r="G710" s="0" t="n">
        <v>16.3</v>
      </c>
      <c r="H710" s="0" t="n">
        <v>0.71</v>
      </c>
      <c r="I710" s="10" t="n">
        <v>0.569</v>
      </c>
      <c r="J710" s="0" t="n">
        <v>1.07</v>
      </c>
      <c r="K710" s="13" t="n">
        <f aca="false">IF(H710&lt;&gt;"",H710,IFERROR(G710/INDEX(Players!$M$2:$M$137,MATCH(B710,Players!$A$2:$A$137,0)),""))</f>
        <v>0.71</v>
      </c>
    </row>
    <row r="711" customFormat="false" ht="15" hidden="false" customHeight="false" outlineLevel="0" collapsed="false">
      <c r="A711" s="0" t="s">
        <v>2727</v>
      </c>
      <c r="B711" s="0" t="s">
        <v>1695</v>
      </c>
      <c r="C711" s="0" t="s">
        <v>1383</v>
      </c>
      <c r="D711" s="0" t="s">
        <v>1139</v>
      </c>
      <c r="E711" s="0" t="s">
        <v>145</v>
      </c>
      <c r="F711" s="0" t="n">
        <v>8</v>
      </c>
      <c r="G711" s="0" t="n">
        <v>14</v>
      </c>
      <c r="H711" s="0" t="n">
        <v>0.65</v>
      </c>
      <c r="I711" s="10" t="n">
        <v>0.598</v>
      </c>
      <c r="J711" s="0" t="n">
        <v>0.77</v>
      </c>
      <c r="K711" s="13" t="n">
        <f aca="false">IF(H711&lt;&gt;"",H711,IFERROR(G711/INDEX(Players!$M$2:$M$137,MATCH(B711,Players!$A$2:$A$137,0)),""))</f>
        <v>0.65</v>
      </c>
    </row>
    <row r="712" customFormat="false" ht="15" hidden="false" customHeight="false" outlineLevel="0" collapsed="false">
      <c r="A712" s="0" t="s">
        <v>2728</v>
      </c>
      <c r="B712" s="0" t="s">
        <v>1695</v>
      </c>
      <c r="C712" s="0" t="s">
        <v>1383</v>
      </c>
      <c r="D712" s="0" t="s">
        <v>1139</v>
      </c>
      <c r="E712" s="0" t="s">
        <v>81</v>
      </c>
      <c r="F712" s="0" t="n">
        <v>7</v>
      </c>
      <c r="G712" s="0" t="n">
        <v>17.3</v>
      </c>
      <c r="H712" s="0" t="n">
        <v>0.73</v>
      </c>
      <c r="I712" s="10" t="n">
        <v>0.636</v>
      </c>
      <c r="J712" s="0" t="n">
        <v>1.03</v>
      </c>
      <c r="K712" s="13" t="n">
        <f aca="false">IF(H712&lt;&gt;"",H712,IFERROR(G712/INDEX(Players!$M$2:$M$137,MATCH(B712,Players!$A$2:$A$137,0)),""))</f>
        <v>0.73</v>
      </c>
    </row>
    <row r="713" customFormat="false" ht="15" hidden="false" customHeight="false" outlineLevel="0" collapsed="false">
      <c r="A713" s="0" t="s">
        <v>2729</v>
      </c>
      <c r="B713" s="0" t="s">
        <v>1695</v>
      </c>
      <c r="C713" s="0" t="s">
        <v>1383</v>
      </c>
      <c r="D713" s="0" t="s">
        <v>1139</v>
      </c>
      <c r="E713" s="0" t="s">
        <v>108</v>
      </c>
      <c r="F713" s="0" t="n">
        <v>7</v>
      </c>
      <c r="G713" s="0" t="n">
        <v>10.3</v>
      </c>
      <c r="H713" s="0" t="n">
        <v>0.53</v>
      </c>
      <c r="I713" s="10" t="n">
        <v>0.528</v>
      </c>
      <c r="J713" s="0" t="n">
        <v>0.69</v>
      </c>
      <c r="K713" s="13" t="n">
        <f aca="false">IF(H713&lt;&gt;"",H713,IFERROR(G713/INDEX(Players!$M$2:$M$137,MATCH(B713,Players!$A$2:$A$137,0)),""))</f>
        <v>0.53</v>
      </c>
    </row>
    <row r="714" customFormat="false" ht="15" hidden="false" customHeight="false" outlineLevel="0" collapsed="false">
      <c r="A714" s="0" t="s">
        <v>2730</v>
      </c>
      <c r="B714" s="0" t="s">
        <v>1695</v>
      </c>
      <c r="C714" s="0" t="s">
        <v>1383</v>
      </c>
      <c r="D714" s="0" t="s">
        <v>1139</v>
      </c>
      <c r="E714" s="0" t="s">
        <v>95</v>
      </c>
      <c r="F714" s="0" t="n">
        <v>4</v>
      </c>
      <c r="G714" s="0" t="n">
        <v>13.5</v>
      </c>
      <c r="H714" s="0" t="n">
        <v>0.76</v>
      </c>
      <c r="I714" s="10" t="n">
        <v>0.519</v>
      </c>
      <c r="J714" s="0" t="n">
        <v>1.26</v>
      </c>
      <c r="K714" s="13" t="n">
        <f aca="false">IF(H714&lt;&gt;"",H714,IFERROR(G714/INDEX(Players!$M$2:$M$137,MATCH(B714,Players!$A$2:$A$137,0)),""))</f>
        <v>0.76</v>
      </c>
    </row>
    <row r="715" customFormat="false" ht="15" hidden="false" customHeight="false" outlineLevel="0" collapsed="false">
      <c r="A715" s="0" t="s">
        <v>2731</v>
      </c>
      <c r="B715" s="0" t="s">
        <v>1695</v>
      </c>
      <c r="C715" s="0" t="s">
        <v>1383</v>
      </c>
      <c r="D715" s="0" t="s">
        <v>1139</v>
      </c>
      <c r="E715" s="0" t="s">
        <v>129</v>
      </c>
      <c r="F715" s="0" t="n">
        <v>4</v>
      </c>
      <c r="G715" s="0" t="n">
        <v>16.3</v>
      </c>
      <c r="H715" s="0" t="n">
        <v>0.79</v>
      </c>
      <c r="I715" s="10" t="n">
        <v>0.631</v>
      </c>
      <c r="J715" s="0" t="n">
        <v>1.23</v>
      </c>
      <c r="K715" s="13" t="n">
        <f aca="false">IF(H715&lt;&gt;"",H715,IFERROR(G715/INDEX(Players!$M$2:$M$137,MATCH(B715,Players!$A$2:$A$137,0)),""))</f>
        <v>0.79</v>
      </c>
    </row>
    <row r="716" customFormat="false" ht="15" hidden="false" customHeight="false" outlineLevel="0" collapsed="false">
      <c r="A716" s="0" t="s">
        <v>2732</v>
      </c>
      <c r="B716" s="0" t="s">
        <v>1695</v>
      </c>
      <c r="C716" s="0" t="s">
        <v>1383</v>
      </c>
      <c r="D716" s="0" t="s">
        <v>1139</v>
      </c>
      <c r="E716" s="0" t="s">
        <v>121</v>
      </c>
      <c r="F716" s="0" t="n">
        <v>3</v>
      </c>
      <c r="G716" s="0" t="n">
        <v>15</v>
      </c>
      <c r="H716" s="0" t="n">
        <v>0.73</v>
      </c>
      <c r="I716" s="10" t="n">
        <v>0.644</v>
      </c>
      <c r="J716" s="0" t="n">
        <v>1.07</v>
      </c>
      <c r="K716" s="13" t="n">
        <f aca="false">IF(H716&lt;&gt;"",H716,IFERROR(G716/INDEX(Players!$M$2:$M$137,MATCH(B716,Players!$A$2:$A$137,0)),""))</f>
        <v>0.73</v>
      </c>
    </row>
    <row r="717" customFormat="false" ht="15" hidden="false" customHeight="false" outlineLevel="0" collapsed="false">
      <c r="A717" s="0" t="s">
        <v>2733</v>
      </c>
      <c r="B717" s="0" t="s">
        <v>1771</v>
      </c>
      <c r="C717" s="0" t="s">
        <v>1554</v>
      </c>
      <c r="D717" s="0" t="s">
        <v>1139</v>
      </c>
      <c r="E717" s="0" t="s">
        <v>95</v>
      </c>
      <c r="F717" s="0" t="n">
        <v>12</v>
      </c>
      <c r="G717" s="0" t="n">
        <v>13.2</v>
      </c>
      <c r="H717" s="0" t="n">
        <v>0.65</v>
      </c>
      <c r="I717" s="10" t="n">
        <v>0.544</v>
      </c>
      <c r="J717" s="0" t="n">
        <v>0.96</v>
      </c>
      <c r="K717" s="13" t="n">
        <f aca="false">IF(H717&lt;&gt;"",H717,IFERROR(G717/INDEX(Players!$M$2:$M$137,MATCH(B717,Players!$A$2:$A$137,0)),""))</f>
        <v>0.65</v>
      </c>
    </row>
    <row r="718" customFormat="false" ht="15" hidden="false" customHeight="false" outlineLevel="0" collapsed="false">
      <c r="A718" s="0" t="s">
        <v>2734</v>
      </c>
      <c r="B718" s="0" t="s">
        <v>1771</v>
      </c>
      <c r="C718" s="0" t="s">
        <v>1554</v>
      </c>
      <c r="D718" s="0" t="s">
        <v>1139</v>
      </c>
      <c r="E718" s="0" t="s">
        <v>81</v>
      </c>
      <c r="F718" s="0" t="n">
        <v>10</v>
      </c>
      <c r="G718" s="0" t="n">
        <v>14.8</v>
      </c>
      <c r="H718" s="0" t="n">
        <v>0.67</v>
      </c>
      <c r="I718" s="10" t="n">
        <v>0.615</v>
      </c>
      <c r="J718" s="0" t="n">
        <v>0.94</v>
      </c>
      <c r="K718" s="13" t="n">
        <f aca="false">IF(H718&lt;&gt;"",H718,IFERROR(G718/INDEX(Players!$M$2:$M$137,MATCH(B718,Players!$A$2:$A$137,0)),""))</f>
        <v>0.67</v>
      </c>
    </row>
    <row r="719" customFormat="false" ht="15" hidden="false" customHeight="false" outlineLevel="0" collapsed="false">
      <c r="A719" s="0" t="s">
        <v>2735</v>
      </c>
      <c r="B719" s="0" t="s">
        <v>1771</v>
      </c>
      <c r="C719" s="0" t="s">
        <v>1554</v>
      </c>
      <c r="D719" s="0" t="s">
        <v>1139</v>
      </c>
      <c r="E719" s="0" t="s">
        <v>145</v>
      </c>
      <c r="F719" s="0" t="n">
        <v>6</v>
      </c>
      <c r="G719" s="0" t="n">
        <v>15.7</v>
      </c>
      <c r="H719" s="0" t="n">
        <v>0.7</v>
      </c>
      <c r="I719" s="10" t="n">
        <v>0.511</v>
      </c>
      <c r="J719" s="0" t="n">
        <v>1.15</v>
      </c>
      <c r="K719" s="13" t="n">
        <f aca="false">IF(H719&lt;&gt;"",H719,IFERROR(G719/INDEX(Players!$M$2:$M$137,MATCH(B719,Players!$A$2:$A$137,0)),""))</f>
        <v>0.7</v>
      </c>
    </row>
    <row r="720" customFormat="false" ht="15" hidden="false" customHeight="false" outlineLevel="0" collapsed="false">
      <c r="A720" s="0" t="s">
        <v>2736</v>
      </c>
      <c r="B720" s="0" t="s">
        <v>1771</v>
      </c>
      <c r="C720" s="0" t="s">
        <v>1554</v>
      </c>
      <c r="D720" s="0" t="s">
        <v>1139</v>
      </c>
      <c r="E720" s="0" t="s">
        <v>108</v>
      </c>
      <c r="F720" s="0" t="n">
        <v>4</v>
      </c>
      <c r="G720" s="0" t="n">
        <v>13</v>
      </c>
      <c r="H720" s="0" t="n">
        <v>0.66</v>
      </c>
      <c r="I720" s="10" t="n">
        <v>0.635</v>
      </c>
      <c r="J720" s="0" t="n">
        <v>0.98</v>
      </c>
      <c r="K720" s="13" t="n">
        <f aca="false">IF(H720&lt;&gt;"",H720,IFERROR(G720/INDEX(Players!$M$2:$M$137,MATCH(B720,Players!$A$2:$A$137,0)),""))</f>
        <v>0.66</v>
      </c>
    </row>
    <row r="721" customFormat="false" ht="15" hidden="false" customHeight="false" outlineLevel="0" collapsed="false">
      <c r="A721" s="0" t="s">
        <v>2737</v>
      </c>
      <c r="B721" s="0" t="s">
        <v>1771</v>
      </c>
      <c r="C721" s="0" t="s">
        <v>1554</v>
      </c>
      <c r="D721" s="0" t="s">
        <v>1139</v>
      </c>
      <c r="E721" s="0" t="s">
        <v>139</v>
      </c>
      <c r="F721" s="0" t="n">
        <v>2</v>
      </c>
      <c r="G721" s="0" t="n">
        <v>10</v>
      </c>
      <c r="H721" s="0" t="n">
        <v>0.54</v>
      </c>
      <c r="I721" s="10" t="n">
        <v>0.5</v>
      </c>
      <c r="J721" s="0" t="n">
        <v>0.74</v>
      </c>
      <c r="K721" s="13" t="n">
        <f aca="false">IF(H721&lt;&gt;"",H721,IFERROR(G721/INDEX(Players!$M$2:$M$137,MATCH(B721,Players!$A$2:$A$137,0)),""))</f>
        <v>0.54</v>
      </c>
    </row>
    <row r="722" customFormat="false" ht="15" hidden="false" customHeight="false" outlineLevel="0" collapsed="false">
      <c r="A722" s="0" t="s">
        <v>2738</v>
      </c>
      <c r="B722" s="0" t="s">
        <v>1771</v>
      </c>
      <c r="C722" s="0" t="s">
        <v>1554</v>
      </c>
      <c r="D722" s="0" t="s">
        <v>1139</v>
      </c>
      <c r="E722" s="0" t="s">
        <v>121</v>
      </c>
      <c r="F722" s="0" t="n">
        <v>1</v>
      </c>
      <c r="G722" s="0" t="n">
        <v>25</v>
      </c>
      <c r="H722" s="0" t="n">
        <v>1.14</v>
      </c>
      <c r="I722" s="10" t="n">
        <v>0.44</v>
      </c>
      <c r="J722" s="0" t="n">
        <v>1.56</v>
      </c>
      <c r="K722" s="13" t="n">
        <f aca="false">IF(H722&lt;&gt;"",H722,IFERROR(G722/INDEX(Players!$M$2:$M$137,MATCH(B722,Players!$A$2:$A$137,0)),""))</f>
        <v>1.14</v>
      </c>
    </row>
    <row r="723" customFormat="false" ht="15" hidden="false" customHeight="false" outlineLevel="0" collapsed="false">
      <c r="A723" s="0" t="s">
        <v>2739</v>
      </c>
      <c r="B723" s="0" t="s">
        <v>1771</v>
      </c>
      <c r="C723" s="0" t="s">
        <v>1554</v>
      </c>
      <c r="D723" s="0" t="s">
        <v>1139</v>
      </c>
      <c r="E723" s="0" t="s">
        <v>129</v>
      </c>
      <c r="F723" s="0" t="n">
        <v>1</v>
      </c>
      <c r="G723" s="0" t="n">
        <v>29</v>
      </c>
      <c r="H723" s="0" t="n">
        <v>0.62</v>
      </c>
      <c r="I723" s="10" t="n">
        <v>0.655</v>
      </c>
      <c r="J723" s="0" t="n">
        <v>0.83</v>
      </c>
      <c r="K723" s="13" t="n">
        <f aca="false">IF(H723&lt;&gt;"",H723,IFERROR(G723/INDEX(Players!$M$2:$M$137,MATCH(B723,Players!$A$2:$A$137,0)),""))</f>
        <v>0.62</v>
      </c>
    </row>
    <row r="724" customFormat="false" ht="15" hidden="false" customHeight="false" outlineLevel="0" collapsed="false">
      <c r="A724" s="0" t="s">
        <v>2740</v>
      </c>
      <c r="B724" s="0" t="s">
        <v>1781</v>
      </c>
      <c r="C724" s="0" t="s">
        <v>1576</v>
      </c>
      <c r="D724" s="0" t="s">
        <v>1139</v>
      </c>
      <c r="E724" s="0" t="s">
        <v>139</v>
      </c>
      <c r="F724" s="0" t="n">
        <v>7</v>
      </c>
      <c r="G724" s="0" t="n">
        <v>12.9</v>
      </c>
      <c r="H724" s="0" t="n">
        <v>0.66</v>
      </c>
      <c r="I724" s="10" t="n">
        <v>0.389</v>
      </c>
      <c r="J724" s="0" t="n">
        <v>1.1</v>
      </c>
      <c r="K724" s="13" t="n">
        <f aca="false">IF(H724&lt;&gt;"",H724,IFERROR(G724/INDEX(Players!$M$2:$M$137,MATCH(B724,Players!$A$2:$A$137,0)),""))</f>
        <v>0.66</v>
      </c>
    </row>
    <row r="725" customFormat="false" ht="15" hidden="false" customHeight="false" outlineLevel="0" collapsed="false">
      <c r="A725" s="0" t="s">
        <v>2741</v>
      </c>
      <c r="B725" s="0" t="s">
        <v>1781</v>
      </c>
      <c r="C725" s="0" t="s">
        <v>1576</v>
      </c>
      <c r="D725" s="0" t="s">
        <v>1139</v>
      </c>
      <c r="E725" s="0" t="s">
        <v>108</v>
      </c>
      <c r="F725" s="0" t="n">
        <v>7</v>
      </c>
      <c r="G725" s="0" t="n">
        <v>14.6</v>
      </c>
      <c r="H725" s="0" t="n">
        <v>0.7</v>
      </c>
      <c r="I725" s="10" t="n">
        <v>0.412</v>
      </c>
      <c r="J725" s="0" t="n">
        <v>0.99</v>
      </c>
      <c r="K725" s="13" t="n">
        <f aca="false">IF(H725&lt;&gt;"",H725,IFERROR(G725/INDEX(Players!$M$2:$M$137,MATCH(B725,Players!$A$2:$A$137,0)),""))</f>
        <v>0.7</v>
      </c>
    </row>
    <row r="726" customFormat="false" ht="15" hidden="false" customHeight="false" outlineLevel="0" collapsed="false">
      <c r="A726" s="0" t="s">
        <v>2742</v>
      </c>
      <c r="B726" s="0" t="s">
        <v>1781</v>
      </c>
      <c r="C726" s="0" t="s">
        <v>1576</v>
      </c>
      <c r="D726" s="0" t="s">
        <v>1139</v>
      </c>
      <c r="E726" s="0" t="s">
        <v>145</v>
      </c>
      <c r="F726" s="0" t="n">
        <v>6</v>
      </c>
      <c r="G726" s="0" t="n">
        <v>15.2</v>
      </c>
      <c r="H726" s="0" t="n">
        <v>0.72</v>
      </c>
      <c r="I726" s="10" t="n">
        <v>0.385</v>
      </c>
      <c r="J726" s="0" t="n">
        <v>1.3</v>
      </c>
      <c r="K726" s="13" t="n">
        <f aca="false">IF(H726&lt;&gt;"",H726,IFERROR(G726/INDEX(Players!$M$2:$M$137,MATCH(B726,Players!$A$2:$A$137,0)),""))</f>
        <v>0.72</v>
      </c>
    </row>
    <row r="727" customFormat="false" ht="15" hidden="false" customHeight="false" outlineLevel="0" collapsed="false">
      <c r="A727" s="0" t="s">
        <v>2743</v>
      </c>
      <c r="B727" s="0" t="s">
        <v>1781</v>
      </c>
      <c r="C727" s="0" t="s">
        <v>1576</v>
      </c>
      <c r="D727" s="0" t="s">
        <v>1139</v>
      </c>
      <c r="E727" s="0" t="s">
        <v>129</v>
      </c>
      <c r="F727" s="0" t="n">
        <v>5</v>
      </c>
      <c r="G727" s="0" t="n">
        <v>19.2</v>
      </c>
      <c r="H727" s="0" t="n">
        <v>0.96</v>
      </c>
      <c r="I727" s="10" t="n">
        <v>0.365</v>
      </c>
      <c r="J727" s="0" t="n">
        <v>1.96</v>
      </c>
      <c r="K727" s="13" t="n">
        <f aca="false">IF(H727&lt;&gt;"",H727,IFERROR(G727/INDEX(Players!$M$2:$M$137,MATCH(B727,Players!$A$2:$A$137,0)),""))</f>
        <v>0.96</v>
      </c>
    </row>
    <row r="728" customFormat="false" ht="15" hidden="false" customHeight="false" outlineLevel="0" collapsed="false">
      <c r="A728" s="0" t="s">
        <v>2744</v>
      </c>
      <c r="B728" s="0" t="s">
        <v>1781</v>
      </c>
      <c r="C728" s="0" t="s">
        <v>1576</v>
      </c>
      <c r="D728" s="0" t="s">
        <v>1139</v>
      </c>
      <c r="E728" s="0" t="s">
        <v>95</v>
      </c>
      <c r="F728" s="0" t="n">
        <v>5</v>
      </c>
      <c r="G728" s="0" t="n">
        <v>21.6</v>
      </c>
      <c r="H728" s="0" t="n">
        <v>0.85</v>
      </c>
      <c r="I728" s="10" t="n">
        <v>0.38</v>
      </c>
      <c r="J728" s="0" t="n">
        <v>1.48</v>
      </c>
      <c r="K728" s="13" t="n">
        <f aca="false">IF(H728&lt;&gt;"",H728,IFERROR(G728/INDEX(Players!$M$2:$M$137,MATCH(B728,Players!$A$2:$A$137,0)),""))</f>
        <v>0.85</v>
      </c>
    </row>
    <row r="729" customFormat="false" ht="15" hidden="false" customHeight="false" outlineLevel="0" collapsed="false">
      <c r="A729" s="0" t="s">
        <v>2745</v>
      </c>
      <c r="B729" s="0" t="s">
        <v>1781</v>
      </c>
      <c r="C729" s="0" t="s">
        <v>1576</v>
      </c>
      <c r="D729" s="0" t="s">
        <v>1139</v>
      </c>
      <c r="E729" s="0" t="s">
        <v>121</v>
      </c>
      <c r="F729" s="0" t="n">
        <v>4</v>
      </c>
      <c r="G729" s="0" t="n">
        <v>19.3</v>
      </c>
      <c r="H729" s="0" t="n">
        <v>0.91</v>
      </c>
      <c r="I729" s="10" t="n">
        <v>0.351</v>
      </c>
      <c r="J729" s="0" t="n">
        <v>1.6</v>
      </c>
      <c r="K729" s="13" t="n">
        <f aca="false">IF(H729&lt;&gt;"",H729,IFERROR(G729/INDEX(Players!$M$2:$M$137,MATCH(B729,Players!$A$2:$A$137,0)),""))</f>
        <v>0.91</v>
      </c>
    </row>
    <row r="730" customFormat="false" ht="15" hidden="false" customHeight="false" outlineLevel="0" collapsed="false">
      <c r="A730" s="0" t="s">
        <v>2746</v>
      </c>
      <c r="B730" s="0" t="s">
        <v>1781</v>
      </c>
      <c r="C730" s="0" t="s">
        <v>1576</v>
      </c>
      <c r="D730" s="0" t="s">
        <v>1139</v>
      </c>
      <c r="E730" s="0" t="s">
        <v>81</v>
      </c>
      <c r="F730" s="0" t="n">
        <v>2</v>
      </c>
      <c r="G730" s="0" t="n">
        <v>13.5</v>
      </c>
      <c r="H730" s="0" t="n">
        <v>0.64</v>
      </c>
      <c r="I730" s="10" t="n">
        <v>0.407</v>
      </c>
      <c r="J730" s="0" t="n">
        <v>1.08</v>
      </c>
      <c r="K730" s="13" t="n">
        <f aca="false">IF(H730&lt;&gt;"",H730,IFERROR(G730/INDEX(Players!$M$2:$M$137,MATCH(B730,Players!$A$2:$A$137,0)),""))</f>
        <v>0.64</v>
      </c>
    </row>
    <row r="731" customFormat="false" ht="15" hidden="false" customHeight="false" outlineLevel="0" collapsed="false">
      <c r="A731" s="0" t="s">
        <v>2747</v>
      </c>
      <c r="B731" s="0" t="s">
        <v>1754</v>
      </c>
      <c r="C731" s="0" t="s">
        <v>1519</v>
      </c>
      <c r="D731" s="0" t="s">
        <v>1139</v>
      </c>
      <c r="E731" s="0" t="s">
        <v>121</v>
      </c>
      <c r="F731" s="0" t="n">
        <v>7</v>
      </c>
      <c r="G731" s="0" t="n">
        <v>14.7</v>
      </c>
      <c r="H731" s="0" t="n">
        <v>0.72</v>
      </c>
      <c r="I731" s="10" t="n">
        <v>0.553</v>
      </c>
      <c r="J731" s="0" t="n">
        <v>1.23</v>
      </c>
      <c r="K731" s="13" t="n">
        <f aca="false">IF(H731&lt;&gt;"",H731,IFERROR(G731/INDEX(Players!$M$2:$M$137,MATCH(B731,Players!$A$2:$A$137,0)),""))</f>
        <v>0.72</v>
      </c>
    </row>
    <row r="732" customFormat="false" ht="15" hidden="false" customHeight="false" outlineLevel="0" collapsed="false">
      <c r="A732" s="0" t="s">
        <v>2748</v>
      </c>
      <c r="B732" s="0" t="s">
        <v>1754</v>
      </c>
      <c r="C732" s="0" t="s">
        <v>1519</v>
      </c>
      <c r="D732" s="0" t="s">
        <v>1139</v>
      </c>
      <c r="E732" s="0" t="s">
        <v>95</v>
      </c>
      <c r="F732" s="0" t="n">
        <v>7</v>
      </c>
      <c r="G732" s="0" t="n">
        <v>16.1</v>
      </c>
      <c r="H732" s="0" t="n">
        <v>0.68</v>
      </c>
      <c r="I732" s="10" t="n">
        <v>0.451</v>
      </c>
      <c r="J732" s="0" t="n">
        <v>1.03</v>
      </c>
      <c r="K732" s="13" t="n">
        <f aca="false">IF(H732&lt;&gt;"",H732,IFERROR(G732/INDEX(Players!$M$2:$M$137,MATCH(B732,Players!$A$2:$A$137,0)),""))</f>
        <v>0.68</v>
      </c>
    </row>
    <row r="733" customFormat="false" ht="15" hidden="false" customHeight="false" outlineLevel="0" collapsed="false">
      <c r="A733" s="0" t="s">
        <v>2749</v>
      </c>
      <c r="B733" s="0" t="s">
        <v>1754</v>
      </c>
      <c r="C733" s="0" t="s">
        <v>1519</v>
      </c>
      <c r="D733" s="0" t="s">
        <v>1139</v>
      </c>
      <c r="E733" s="0" t="s">
        <v>108</v>
      </c>
      <c r="F733" s="0" t="n">
        <v>6</v>
      </c>
      <c r="G733" s="0" t="n">
        <v>18</v>
      </c>
      <c r="H733" s="0" t="n">
        <v>0.84</v>
      </c>
      <c r="I733" s="10" t="n">
        <v>0.491</v>
      </c>
      <c r="J733" s="0" t="n">
        <v>1.24</v>
      </c>
      <c r="K733" s="13" t="n">
        <f aca="false">IF(H733&lt;&gt;"",H733,IFERROR(G733/INDEX(Players!$M$2:$M$137,MATCH(B733,Players!$A$2:$A$137,0)),""))</f>
        <v>0.84</v>
      </c>
    </row>
    <row r="734" customFormat="false" ht="15" hidden="false" customHeight="false" outlineLevel="0" collapsed="false">
      <c r="A734" s="0" t="s">
        <v>2750</v>
      </c>
      <c r="B734" s="0" t="s">
        <v>1754</v>
      </c>
      <c r="C734" s="0" t="s">
        <v>1519</v>
      </c>
      <c r="D734" s="0" t="s">
        <v>1139</v>
      </c>
      <c r="E734" s="0" t="s">
        <v>139</v>
      </c>
      <c r="F734" s="0" t="n">
        <v>6</v>
      </c>
      <c r="G734" s="0" t="n">
        <v>17.7</v>
      </c>
      <c r="H734" s="0" t="n">
        <v>0.73</v>
      </c>
      <c r="I734" s="10" t="n">
        <v>0.566</v>
      </c>
      <c r="J734" s="0" t="n">
        <v>1.07</v>
      </c>
      <c r="K734" s="13" t="n">
        <f aca="false">IF(H734&lt;&gt;"",H734,IFERROR(G734/INDEX(Players!$M$2:$M$137,MATCH(B734,Players!$A$2:$A$137,0)),""))</f>
        <v>0.73</v>
      </c>
    </row>
    <row r="735" customFormat="false" ht="15" hidden="false" customHeight="false" outlineLevel="0" collapsed="false">
      <c r="A735" s="0" t="s">
        <v>2751</v>
      </c>
      <c r="B735" s="0" t="s">
        <v>1754</v>
      </c>
      <c r="C735" s="0" t="s">
        <v>1519</v>
      </c>
      <c r="D735" s="0" t="s">
        <v>1139</v>
      </c>
      <c r="E735" s="0" t="s">
        <v>129</v>
      </c>
      <c r="F735" s="0" t="n">
        <v>5</v>
      </c>
      <c r="G735" s="0" t="n">
        <v>17.8</v>
      </c>
      <c r="H735" s="0" t="n">
        <v>0.79</v>
      </c>
      <c r="I735" s="10" t="n">
        <v>0.472</v>
      </c>
      <c r="J735" s="0" t="n">
        <v>1.13</v>
      </c>
      <c r="K735" s="13" t="n">
        <f aca="false">IF(H735&lt;&gt;"",H735,IFERROR(G735/INDEX(Players!$M$2:$M$137,MATCH(B735,Players!$A$2:$A$137,0)),""))</f>
        <v>0.79</v>
      </c>
    </row>
    <row r="736" customFormat="false" ht="15" hidden="false" customHeight="false" outlineLevel="0" collapsed="false">
      <c r="A736" s="0" t="s">
        <v>2752</v>
      </c>
      <c r="B736" s="0" t="s">
        <v>1754</v>
      </c>
      <c r="C736" s="0" t="s">
        <v>1519</v>
      </c>
      <c r="D736" s="0" t="s">
        <v>1139</v>
      </c>
      <c r="E736" s="0" t="s">
        <v>145</v>
      </c>
      <c r="F736" s="0" t="n">
        <v>5</v>
      </c>
      <c r="G736" s="0" t="n">
        <v>13.6</v>
      </c>
      <c r="H736" s="0" t="n">
        <v>0.73</v>
      </c>
      <c r="I736" s="10" t="n">
        <v>0.544</v>
      </c>
      <c r="J736" s="0" t="n">
        <v>0.94</v>
      </c>
      <c r="K736" s="13" t="n">
        <f aca="false">IF(H736&lt;&gt;"",H736,IFERROR(G736/INDEX(Players!$M$2:$M$137,MATCH(B736,Players!$A$2:$A$137,0)),""))</f>
        <v>0.73</v>
      </c>
    </row>
    <row r="737" customFormat="false" ht="15" hidden="false" customHeight="false" outlineLevel="0" collapsed="false">
      <c r="A737" s="0" t="s">
        <v>2753</v>
      </c>
      <c r="B737" s="0" t="s">
        <v>1776</v>
      </c>
      <c r="C737" s="0" t="s">
        <v>1564</v>
      </c>
      <c r="D737" s="0" t="s">
        <v>1139</v>
      </c>
      <c r="E737" s="0" t="s">
        <v>81</v>
      </c>
      <c r="F737" s="0" t="n">
        <v>13</v>
      </c>
      <c r="G737" s="0" t="n">
        <v>14.7</v>
      </c>
      <c r="H737" s="0" t="n">
        <v>0.64</v>
      </c>
      <c r="I737" s="10" t="n">
        <v>0.34</v>
      </c>
      <c r="J737" s="0" t="n">
        <v>1.12</v>
      </c>
      <c r="K737" s="13" t="n">
        <f aca="false">IF(H737&lt;&gt;"",H737,IFERROR(G737/INDEX(Players!$M$2:$M$137,MATCH(B737,Players!$A$2:$A$137,0)),""))</f>
        <v>0.64</v>
      </c>
    </row>
    <row r="738" customFormat="false" ht="15" hidden="false" customHeight="false" outlineLevel="0" collapsed="false">
      <c r="A738" s="0" t="s">
        <v>2754</v>
      </c>
      <c r="B738" s="0" t="s">
        <v>1776</v>
      </c>
      <c r="C738" s="0" t="s">
        <v>1564</v>
      </c>
      <c r="D738" s="0" t="s">
        <v>1139</v>
      </c>
      <c r="E738" s="0" t="s">
        <v>121</v>
      </c>
      <c r="F738" s="0" t="n">
        <v>8</v>
      </c>
      <c r="G738" s="0" t="n">
        <v>14.9</v>
      </c>
      <c r="H738" s="0" t="n">
        <v>0.74</v>
      </c>
      <c r="I738" s="10" t="n">
        <v>0.261</v>
      </c>
      <c r="J738" s="0" t="n">
        <v>1.21</v>
      </c>
      <c r="K738" s="13" t="n">
        <f aca="false">IF(H738&lt;&gt;"",H738,IFERROR(G738/INDEX(Players!$M$2:$M$137,MATCH(B738,Players!$A$2:$A$137,0)),""))</f>
        <v>0.74</v>
      </c>
    </row>
    <row r="739" customFormat="false" ht="15" hidden="false" customHeight="false" outlineLevel="0" collapsed="false">
      <c r="A739" s="0" t="s">
        <v>2755</v>
      </c>
      <c r="B739" s="0" t="s">
        <v>1776</v>
      </c>
      <c r="C739" s="0" t="s">
        <v>1564</v>
      </c>
      <c r="D739" s="0" t="s">
        <v>1139</v>
      </c>
      <c r="E739" s="0" t="s">
        <v>95</v>
      </c>
      <c r="F739" s="0" t="n">
        <v>6</v>
      </c>
      <c r="G739" s="0" t="n">
        <v>11</v>
      </c>
      <c r="H739" s="0" t="n">
        <v>0.55</v>
      </c>
      <c r="I739" s="10" t="n">
        <v>0.348</v>
      </c>
      <c r="J739" s="0" t="n">
        <v>0.84</v>
      </c>
      <c r="K739" s="13" t="n">
        <f aca="false">IF(H739&lt;&gt;"",H739,IFERROR(G739/INDEX(Players!$M$2:$M$137,MATCH(B739,Players!$A$2:$A$137,0)),""))</f>
        <v>0.55</v>
      </c>
    </row>
    <row r="740" customFormat="false" ht="15" hidden="false" customHeight="false" outlineLevel="0" collapsed="false">
      <c r="A740" s="0" t="s">
        <v>2756</v>
      </c>
      <c r="B740" s="0" t="s">
        <v>1776</v>
      </c>
      <c r="C740" s="0" t="s">
        <v>1564</v>
      </c>
      <c r="D740" s="0" t="s">
        <v>1139</v>
      </c>
      <c r="E740" s="0" t="s">
        <v>145</v>
      </c>
      <c r="F740" s="0" t="n">
        <v>3</v>
      </c>
      <c r="G740" s="0" t="n">
        <v>13</v>
      </c>
      <c r="H740" s="0" t="n">
        <v>0.56</v>
      </c>
      <c r="I740" s="10" t="n">
        <v>0.333</v>
      </c>
      <c r="J740" s="0" t="n">
        <v>0.91</v>
      </c>
      <c r="K740" s="13" t="n">
        <f aca="false">IF(H740&lt;&gt;"",H740,IFERROR(G740/INDEX(Players!$M$2:$M$137,MATCH(B740,Players!$A$2:$A$137,0)),""))</f>
        <v>0.56</v>
      </c>
    </row>
    <row r="741" customFormat="false" ht="15" hidden="false" customHeight="false" outlineLevel="0" collapsed="false">
      <c r="A741" s="0" t="s">
        <v>2757</v>
      </c>
      <c r="B741" s="0" t="s">
        <v>1776</v>
      </c>
      <c r="C741" s="0" t="s">
        <v>1564</v>
      </c>
      <c r="D741" s="0" t="s">
        <v>1139</v>
      </c>
      <c r="E741" s="0" t="s">
        <v>108</v>
      </c>
      <c r="F741" s="0" t="n">
        <v>2</v>
      </c>
      <c r="G741" s="0" t="n">
        <v>14</v>
      </c>
      <c r="H741" s="0" t="n">
        <v>0.78</v>
      </c>
      <c r="I741" s="10" t="n">
        <v>0.25</v>
      </c>
      <c r="J741" s="0" t="n">
        <v>1.4</v>
      </c>
      <c r="K741" s="13" t="n">
        <f aca="false">IF(H741&lt;&gt;"",H741,IFERROR(G741/INDEX(Players!$M$2:$M$137,MATCH(B741,Players!$A$2:$A$137,0)),""))</f>
        <v>0.78</v>
      </c>
    </row>
    <row r="742" customFormat="false" ht="15" hidden="false" customHeight="false" outlineLevel="0" collapsed="false">
      <c r="A742" s="0" t="s">
        <v>2758</v>
      </c>
      <c r="B742" s="0" t="s">
        <v>1776</v>
      </c>
      <c r="C742" s="0" t="s">
        <v>1564</v>
      </c>
      <c r="D742" s="0" t="s">
        <v>1139</v>
      </c>
      <c r="E742" s="0" t="s">
        <v>129</v>
      </c>
      <c r="F742" s="0" t="n">
        <v>2</v>
      </c>
      <c r="G742" s="0" t="n">
        <v>15</v>
      </c>
      <c r="H742" s="0" t="n">
        <v>0.58</v>
      </c>
      <c r="I742" s="10" t="n">
        <v>0.2</v>
      </c>
      <c r="J742" s="0" t="n">
        <v>0.91</v>
      </c>
      <c r="K742" s="13" t="n">
        <f aca="false">IF(H742&lt;&gt;"",H742,IFERROR(G742/INDEX(Players!$M$2:$M$137,MATCH(B742,Players!$A$2:$A$137,0)),""))</f>
        <v>0.58</v>
      </c>
    </row>
    <row r="743" customFormat="false" ht="15" hidden="false" customHeight="false" outlineLevel="0" collapsed="false">
      <c r="A743" s="0" t="s">
        <v>2759</v>
      </c>
      <c r="B743" s="0" t="s">
        <v>1776</v>
      </c>
      <c r="C743" s="0" t="s">
        <v>1564</v>
      </c>
      <c r="D743" s="0" t="s">
        <v>1139</v>
      </c>
      <c r="E743" s="0" t="s">
        <v>139</v>
      </c>
      <c r="F743" s="0" t="n">
        <v>1</v>
      </c>
      <c r="G743" s="0" t="n">
        <v>13</v>
      </c>
      <c r="H743" s="0" t="n">
        <v>0.68</v>
      </c>
      <c r="I743" s="10" t="n">
        <v>0.692</v>
      </c>
      <c r="J743" s="0" t="n">
        <v>1.18</v>
      </c>
      <c r="K743" s="13" t="n">
        <f aca="false">IF(H743&lt;&gt;"",H743,IFERROR(G743/INDEX(Players!$M$2:$M$137,MATCH(B743,Players!$A$2:$A$137,0)),""))</f>
        <v>0.68</v>
      </c>
    </row>
    <row r="744" customFormat="false" ht="15" hidden="false" customHeight="false" outlineLevel="0" collapsed="false">
      <c r="A744" s="0" t="s">
        <v>2760</v>
      </c>
      <c r="B744" s="0" t="s">
        <v>1755</v>
      </c>
      <c r="C744" s="0" t="s">
        <v>1521</v>
      </c>
      <c r="D744" s="0" t="s">
        <v>1139</v>
      </c>
      <c r="E744" s="0" t="s">
        <v>121</v>
      </c>
      <c r="F744" s="0" t="n">
        <v>7</v>
      </c>
      <c r="G744" s="0" t="n">
        <v>16.6</v>
      </c>
      <c r="H744" s="0" t="n">
        <v>0.81</v>
      </c>
      <c r="I744" s="10" t="n">
        <v>0.353</v>
      </c>
      <c r="J744" s="0" t="n">
        <v>1.41</v>
      </c>
      <c r="K744" s="13" t="n">
        <f aca="false">IF(H744&lt;&gt;"",H744,IFERROR(G744/INDEX(Players!$M$2:$M$137,MATCH(B744,Players!$A$2:$A$137,0)),""))</f>
        <v>0.81</v>
      </c>
    </row>
    <row r="745" customFormat="false" ht="15" hidden="false" customHeight="false" outlineLevel="0" collapsed="false">
      <c r="A745" s="0" t="s">
        <v>2761</v>
      </c>
      <c r="B745" s="0" t="s">
        <v>1755</v>
      </c>
      <c r="C745" s="0" t="s">
        <v>1521</v>
      </c>
      <c r="D745" s="0" t="s">
        <v>1139</v>
      </c>
      <c r="E745" s="0" t="s">
        <v>95</v>
      </c>
      <c r="F745" s="0" t="n">
        <v>7</v>
      </c>
      <c r="G745" s="0" t="n">
        <v>17.4</v>
      </c>
      <c r="H745" s="0" t="n">
        <v>0.74</v>
      </c>
      <c r="I745" s="10" t="n">
        <v>0.369</v>
      </c>
      <c r="J745" s="0" t="n">
        <v>1.2</v>
      </c>
      <c r="K745" s="13" t="n">
        <f aca="false">IF(H745&lt;&gt;"",H745,IFERROR(G745/INDEX(Players!$M$2:$M$137,MATCH(B745,Players!$A$2:$A$137,0)),""))</f>
        <v>0.74</v>
      </c>
    </row>
    <row r="746" customFormat="false" ht="15" hidden="false" customHeight="false" outlineLevel="0" collapsed="false">
      <c r="A746" s="0" t="s">
        <v>2762</v>
      </c>
      <c r="B746" s="0" t="s">
        <v>1755</v>
      </c>
      <c r="C746" s="0" t="s">
        <v>1521</v>
      </c>
      <c r="D746" s="0" t="s">
        <v>1139</v>
      </c>
      <c r="E746" s="0" t="s">
        <v>139</v>
      </c>
      <c r="F746" s="0" t="n">
        <v>6</v>
      </c>
      <c r="G746" s="0" t="n">
        <v>17.5</v>
      </c>
      <c r="H746" s="0" t="n">
        <v>0.72</v>
      </c>
      <c r="I746" s="10" t="n">
        <v>0.305</v>
      </c>
      <c r="J746" s="0" t="n">
        <v>1.21</v>
      </c>
      <c r="K746" s="13" t="n">
        <f aca="false">IF(H746&lt;&gt;"",H746,IFERROR(G746/INDEX(Players!$M$2:$M$137,MATCH(B746,Players!$A$2:$A$137,0)),""))</f>
        <v>0.72</v>
      </c>
    </row>
    <row r="747" customFormat="false" ht="15" hidden="false" customHeight="false" outlineLevel="0" collapsed="false">
      <c r="A747" s="0" t="s">
        <v>2763</v>
      </c>
      <c r="B747" s="0" t="s">
        <v>1755</v>
      </c>
      <c r="C747" s="0" t="s">
        <v>1521</v>
      </c>
      <c r="D747" s="0" t="s">
        <v>1139</v>
      </c>
      <c r="E747" s="0" t="s">
        <v>108</v>
      </c>
      <c r="F747" s="0" t="n">
        <v>6</v>
      </c>
      <c r="G747" s="0" t="n">
        <v>15.5</v>
      </c>
      <c r="H747" s="0" t="n">
        <v>0.72</v>
      </c>
      <c r="I747" s="10" t="n">
        <v>0.29</v>
      </c>
      <c r="J747" s="0" t="n">
        <v>1.12</v>
      </c>
      <c r="K747" s="13" t="n">
        <f aca="false">IF(H747&lt;&gt;"",H747,IFERROR(G747/INDEX(Players!$M$2:$M$137,MATCH(B747,Players!$A$2:$A$137,0)),""))</f>
        <v>0.72</v>
      </c>
    </row>
    <row r="748" customFormat="false" ht="15" hidden="false" customHeight="false" outlineLevel="0" collapsed="false">
      <c r="A748" s="0" t="s">
        <v>2764</v>
      </c>
      <c r="B748" s="0" t="s">
        <v>1755</v>
      </c>
      <c r="C748" s="0" t="s">
        <v>1521</v>
      </c>
      <c r="D748" s="0" t="s">
        <v>1139</v>
      </c>
      <c r="E748" s="0" t="s">
        <v>129</v>
      </c>
      <c r="F748" s="0" t="n">
        <v>5</v>
      </c>
      <c r="G748" s="0" t="n">
        <v>14.8</v>
      </c>
      <c r="H748" s="0" t="n">
        <v>0.65</v>
      </c>
      <c r="I748" s="10" t="n">
        <v>0.27</v>
      </c>
      <c r="J748" s="0" t="n">
        <v>1.17</v>
      </c>
      <c r="K748" s="13" t="n">
        <f aca="false">IF(H748&lt;&gt;"",H748,IFERROR(G748/INDEX(Players!$M$2:$M$137,MATCH(B748,Players!$A$2:$A$137,0)),""))</f>
        <v>0.65</v>
      </c>
    </row>
    <row r="749" customFormat="false" ht="15" hidden="false" customHeight="false" outlineLevel="0" collapsed="false">
      <c r="A749" s="0" t="s">
        <v>2765</v>
      </c>
      <c r="B749" s="0" t="s">
        <v>1755</v>
      </c>
      <c r="C749" s="0" t="s">
        <v>1521</v>
      </c>
      <c r="D749" s="0" t="s">
        <v>1139</v>
      </c>
      <c r="E749" s="0" t="s">
        <v>145</v>
      </c>
      <c r="F749" s="0" t="n">
        <v>5</v>
      </c>
      <c r="G749" s="0" t="n">
        <v>11.6</v>
      </c>
      <c r="H749" s="0" t="n">
        <v>0.62</v>
      </c>
      <c r="I749" s="10" t="n">
        <v>0.431</v>
      </c>
      <c r="J749" s="0" t="n">
        <v>0.85</v>
      </c>
      <c r="K749" s="13" t="n">
        <f aca="false">IF(H749&lt;&gt;"",H749,IFERROR(G749/INDEX(Players!$M$2:$M$137,MATCH(B749,Players!$A$2:$A$137,0)),""))</f>
        <v>0.62</v>
      </c>
    </row>
    <row r="750" customFormat="false" ht="15" hidden="false" customHeight="false" outlineLevel="0" collapsed="false">
      <c r="A750" s="0" t="s">
        <v>2766</v>
      </c>
      <c r="B750" s="0" t="s">
        <v>1731</v>
      </c>
      <c r="C750" s="0" t="s">
        <v>1468</v>
      </c>
      <c r="D750" s="0" t="s">
        <v>1139</v>
      </c>
      <c r="E750" s="0" t="s">
        <v>129</v>
      </c>
      <c r="F750" s="0" t="n">
        <v>7</v>
      </c>
      <c r="G750" s="0" t="n">
        <v>14.9</v>
      </c>
      <c r="H750" s="0" t="n">
        <v>0.74</v>
      </c>
      <c r="I750" s="10" t="n">
        <v>0.481</v>
      </c>
      <c r="J750" s="0" t="n">
        <v>1.22</v>
      </c>
      <c r="K750" s="13" t="n">
        <f aca="false">IF(H750&lt;&gt;"",H750,IFERROR(G750/INDEX(Players!$M$2:$M$137,MATCH(B750,Players!$A$2:$A$137,0)),""))</f>
        <v>0.74</v>
      </c>
    </row>
    <row r="751" customFormat="false" ht="15" hidden="false" customHeight="false" outlineLevel="0" collapsed="false">
      <c r="A751" s="0" t="s">
        <v>2767</v>
      </c>
      <c r="B751" s="0" t="s">
        <v>1731</v>
      </c>
      <c r="C751" s="0" t="s">
        <v>1468</v>
      </c>
      <c r="D751" s="0" t="s">
        <v>1139</v>
      </c>
      <c r="E751" s="0" t="s">
        <v>95</v>
      </c>
      <c r="F751" s="0" t="n">
        <v>7</v>
      </c>
      <c r="G751" s="0" t="n">
        <v>17.4</v>
      </c>
      <c r="H751" s="0" t="n">
        <v>0.74</v>
      </c>
      <c r="I751" s="10" t="n">
        <v>0.508</v>
      </c>
      <c r="J751" s="0" t="n">
        <v>1.17</v>
      </c>
      <c r="K751" s="13" t="n">
        <f aca="false">IF(H751&lt;&gt;"",H751,IFERROR(G751/INDEX(Players!$M$2:$M$137,MATCH(B751,Players!$A$2:$A$137,0)),""))</f>
        <v>0.74</v>
      </c>
    </row>
    <row r="752" customFormat="false" ht="15" hidden="false" customHeight="false" outlineLevel="0" collapsed="false">
      <c r="A752" s="0" t="s">
        <v>2768</v>
      </c>
      <c r="B752" s="0" t="s">
        <v>1731</v>
      </c>
      <c r="C752" s="0" t="s">
        <v>1468</v>
      </c>
      <c r="D752" s="0" t="s">
        <v>1139</v>
      </c>
      <c r="E752" s="0" t="s">
        <v>108</v>
      </c>
      <c r="F752" s="0" t="n">
        <v>7</v>
      </c>
      <c r="G752" s="0" t="n">
        <v>18</v>
      </c>
      <c r="H752" s="0" t="n">
        <v>0.67</v>
      </c>
      <c r="I752" s="10" t="n">
        <v>0.643</v>
      </c>
      <c r="J752" s="0" t="n">
        <v>0.89</v>
      </c>
      <c r="K752" s="13" t="n">
        <f aca="false">IF(H752&lt;&gt;"",H752,IFERROR(G752/INDEX(Players!$M$2:$M$137,MATCH(B752,Players!$A$2:$A$137,0)),""))</f>
        <v>0.67</v>
      </c>
    </row>
    <row r="753" customFormat="false" ht="15" hidden="false" customHeight="false" outlineLevel="0" collapsed="false">
      <c r="A753" s="0" t="s">
        <v>2769</v>
      </c>
      <c r="B753" s="0" t="s">
        <v>1731</v>
      </c>
      <c r="C753" s="0" t="s">
        <v>1468</v>
      </c>
      <c r="D753" s="0" t="s">
        <v>1139</v>
      </c>
      <c r="E753" s="0" t="s">
        <v>81</v>
      </c>
      <c r="F753" s="0" t="n">
        <v>6</v>
      </c>
      <c r="G753" s="0" t="n">
        <v>18.8</v>
      </c>
      <c r="H753" s="0" t="n">
        <v>0.72</v>
      </c>
      <c r="I753" s="10" t="n">
        <v>0.558</v>
      </c>
      <c r="J753" s="0" t="n">
        <v>1.07</v>
      </c>
      <c r="K753" s="13" t="n">
        <f aca="false">IF(H753&lt;&gt;"",H753,IFERROR(G753/INDEX(Players!$M$2:$M$137,MATCH(B753,Players!$A$2:$A$137,0)),""))</f>
        <v>0.72</v>
      </c>
    </row>
    <row r="754" customFormat="false" ht="15" hidden="false" customHeight="false" outlineLevel="0" collapsed="false">
      <c r="A754" s="0" t="s">
        <v>2770</v>
      </c>
      <c r="B754" s="0" t="s">
        <v>1731</v>
      </c>
      <c r="C754" s="0" t="s">
        <v>1468</v>
      </c>
      <c r="D754" s="0" t="s">
        <v>1139</v>
      </c>
      <c r="E754" s="0" t="s">
        <v>145</v>
      </c>
      <c r="F754" s="0" t="n">
        <v>4</v>
      </c>
      <c r="G754" s="0" t="n">
        <v>14.8</v>
      </c>
      <c r="H754" s="0" t="n">
        <v>0.72</v>
      </c>
      <c r="I754" s="10" t="n">
        <v>0.593</v>
      </c>
      <c r="J754" s="0" t="n">
        <v>1.09</v>
      </c>
      <c r="K754" s="13" t="n">
        <f aca="false">IF(H754&lt;&gt;"",H754,IFERROR(G754/INDEX(Players!$M$2:$M$137,MATCH(B754,Players!$A$2:$A$137,0)),""))</f>
        <v>0.72</v>
      </c>
    </row>
    <row r="755" customFormat="false" ht="15" hidden="false" customHeight="false" outlineLevel="0" collapsed="false">
      <c r="A755" s="0" t="s">
        <v>2771</v>
      </c>
      <c r="B755" s="0" t="s">
        <v>1731</v>
      </c>
      <c r="C755" s="0" t="s">
        <v>1468</v>
      </c>
      <c r="D755" s="0" t="s">
        <v>1139</v>
      </c>
      <c r="E755" s="0" t="s">
        <v>121</v>
      </c>
      <c r="F755" s="0" t="n">
        <v>4</v>
      </c>
      <c r="G755" s="0" t="n">
        <v>9.8</v>
      </c>
      <c r="H755" s="0" t="n">
        <v>0.53</v>
      </c>
      <c r="I755" s="10" t="n">
        <v>0.538</v>
      </c>
      <c r="J755" s="0" t="n">
        <v>0.75</v>
      </c>
      <c r="K755" s="13" t="n">
        <f aca="false">IF(H755&lt;&gt;"",H755,IFERROR(G755/INDEX(Players!$M$2:$M$137,MATCH(B755,Players!$A$2:$A$137,0)),""))</f>
        <v>0.53</v>
      </c>
    </row>
    <row r="756" customFormat="false" ht="15" hidden="false" customHeight="false" outlineLevel="0" collapsed="false">
      <c r="A756" s="0" t="s">
        <v>2772</v>
      </c>
      <c r="B756" s="0" t="s">
        <v>1756</v>
      </c>
      <c r="C756" s="0" t="s">
        <v>1524</v>
      </c>
      <c r="D756" s="0" t="s">
        <v>1139</v>
      </c>
      <c r="E756" s="0" t="s">
        <v>121</v>
      </c>
      <c r="F756" s="0" t="n">
        <v>7</v>
      </c>
      <c r="G756" s="0" t="n">
        <v>13.6</v>
      </c>
      <c r="H756" s="0" t="n">
        <v>0.66</v>
      </c>
      <c r="I756" s="10" t="n">
        <v>0.579</v>
      </c>
      <c r="J756" s="0" t="n">
        <v>1.01</v>
      </c>
      <c r="K756" s="13" t="n">
        <f aca="false">IF(H756&lt;&gt;"",H756,IFERROR(G756/INDEX(Players!$M$2:$M$137,MATCH(B756,Players!$A$2:$A$137,0)),""))</f>
        <v>0.66</v>
      </c>
    </row>
    <row r="757" customFormat="false" ht="15" hidden="false" customHeight="false" outlineLevel="0" collapsed="false">
      <c r="A757" s="0" t="s">
        <v>2773</v>
      </c>
      <c r="B757" s="0" t="s">
        <v>1756</v>
      </c>
      <c r="C757" s="0" t="s">
        <v>1524</v>
      </c>
      <c r="D757" s="0" t="s">
        <v>1139</v>
      </c>
      <c r="E757" s="0" t="s">
        <v>95</v>
      </c>
      <c r="F757" s="0" t="n">
        <v>7</v>
      </c>
      <c r="G757" s="0" t="n">
        <v>14.4</v>
      </c>
      <c r="H757" s="0" t="n">
        <v>0.61</v>
      </c>
      <c r="I757" s="10" t="n">
        <v>0.505</v>
      </c>
      <c r="J757" s="0" t="n">
        <v>0.85</v>
      </c>
      <c r="K757" s="13" t="n">
        <f aca="false">IF(H757&lt;&gt;"",H757,IFERROR(G757/INDEX(Players!$M$2:$M$137,MATCH(B757,Players!$A$2:$A$137,0)),""))</f>
        <v>0.61</v>
      </c>
    </row>
    <row r="758" customFormat="false" ht="15" hidden="false" customHeight="false" outlineLevel="0" collapsed="false">
      <c r="A758" s="0" t="s">
        <v>2774</v>
      </c>
      <c r="B758" s="0" t="s">
        <v>1756</v>
      </c>
      <c r="C758" s="0" t="s">
        <v>1524</v>
      </c>
      <c r="D758" s="0" t="s">
        <v>1139</v>
      </c>
      <c r="E758" s="0" t="s">
        <v>139</v>
      </c>
      <c r="F758" s="0" t="n">
        <v>6</v>
      </c>
      <c r="G758" s="0" t="n">
        <v>16.3</v>
      </c>
      <c r="H758" s="0" t="n">
        <v>0.67</v>
      </c>
      <c r="I758" s="10" t="n">
        <v>0.561</v>
      </c>
      <c r="J758" s="0" t="n">
        <v>1.11</v>
      </c>
      <c r="K758" s="13" t="n">
        <f aca="false">IF(H758&lt;&gt;"",H758,IFERROR(G758/INDEX(Players!$M$2:$M$137,MATCH(B758,Players!$A$2:$A$137,0)),""))</f>
        <v>0.67</v>
      </c>
    </row>
    <row r="759" customFormat="false" ht="15" hidden="false" customHeight="false" outlineLevel="0" collapsed="false">
      <c r="A759" s="0" t="s">
        <v>2775</v>
      </c>
      <c r="B759" s="0" t="s">
        <v>1756</v>
      </c>
      <c r="C759" s="0" t="s">
        <v>1524</v>
      </c>
      <c r="D759" s="0" t="s">
        <v>1139</v>
      </c>
      <c r="E759" s="0" t="s">
        <v>108</v>
      </c>
      <c r="F759" s="0" t="n">
        <v>6</v>
      </c>
      <c r="G759" s="0" t="n">
        <v>12.3</v>
      </c>
      <c r="H759" s="0" t="n">
        <v>0.57</v>
      </c>
      <c r="I759" s="10" t="n">
        <v>0.581</v>
      </c>
      <c r="J759" s="0" t="n">
        <v>0.81</v>
      </c>
      <c r="K759" s="13" t="n">
        <f aca="false">IF(H759&lt;&gt;"",H759,IFERROR(G759/INDEX(Players!$M$2:$M$137,MATCH(B759,Players!$A$2:$A$137,0)),""))</f>
        <v>0.57</v>
      </c>
    </row>
    <row r="760" customFormat="false" ht="15" hidden="false" customHeight="false" outlineLevel="0" collapsed="false">
      <c r="A760" s="0" t="s">
        <v>2776</v>
      </c>
      <c r="B760" s="0" t="s">
        <v>1756</v>
      </c>
      <c r="C760" s="0" t="s">
        <v>1524</v>
      </c>
      <c r="D760" s="0" t="s">
        <v>1139</v>
      </c>
      <c r="E760" s="0" t="s">
        <v>129</v>
      </c>
      <c r="F760" s="0" t="n">
        <v>5</v>
      </c>
      <c r="G760" s="0" t="n">
        <v>16</v>
      </c>
      <c r="H760" s="0" t="n">
        <v>0.71</v>
      </c>
      <c r="I760" s="10" t="n">
        <v>0.538</v>
      </c>
      <c r="J760" s="0" t="n">
        <v>1.1</v>
      </c>
      <c r="K760" s="13" t="n">
        <f aca="false">IF(H760&lt;&gt;"",H760,IFERROR(G760/INDEX(Players!$M$2:$M$137,MATCH(B760,Players!$A$2:$A$137,0)),""))</f>
        <v>0.71</v>
      </c>
    </row>
    <row r="761" customFormat="false" ht="15" hidden="false" customHeight="false" outlineLevel="0" collapsed="false">
      <c r="A761" s="0" t="s">
        <v>2777</v>
      </c>
      <c r="B761" s="0" t="s">
        <v>1756</v>
      </c>
      <c r="C761" s="0" t="s">
        <v>1524</v>
      </c>
      <c r="D761" s="0" t="s">
        <v>1139</v>
      </c>
      <c r="E761" s="0" t="s">
        <v>145</v>
      </c>
      <c r="F761" s="0" t="n">
        <v>5</v>
      </c>
      <c r="G761" s="0" t="n">
        <v>8.8</v>
      </c>
      <c r="H761" s="0" t="n">
        <v>0.47</v>
      </c>
      <c r="I761" s="10" t="n">
        <v>0.682</v>
      </c>
      <c r="J761" s="0" t="n">
        <v>0.64</v>
      </c>
      <c r="K761" s="13" t="n">
        <f aca="false">IF(H761&lt;&gt;"",H761,IFERROR(G761/INDEX(Players!$M$2:$M$137,MATCH(B761,Players!$A$2:$A$137,0)),""))</f>
        <v>0.47</v>
      </c>
    </row>
    <row r="762" customFormat="false" ht="15" hidden="false" customHeight="false" outlineLevel="0" collapsed="false">
      <c r="A762" s="0" t="s">
        <v>2778</v>
      </c>
      <c r="B762" s="0" t="s">
        <v>1760</v>
      </c>
      <c r="C762" s="0" t="s">
        <v>1532</v>
      </c>
      <c r="D762" s="0" t="s">
        <v>1139</v>
      </c>
      <c r="E762" s="0" t="s">
        <v>108</v>
      </c>
      <c r="F762" s="0" t="n">
        <v>11</v>
      </c>
      <c r="G762" s="0" t="n">
        <v>17</v>
      </c>
      <c r="H762" s="0" t="n">
        <v>0.73</v>
      </c>
      <c r="I762" s="10" t="n">
        <v>0.62</v>
      </c>
      <c r="J762" s="0" t="n">
        <v>1.07</v>
      </c>
      <c r="K762" s="13" t="n">
        <f aca="false">IF(H762&lt;&gt;"",H762,IFERROR(G762/INDEX(Players!$M$2:$M$137,MATCH(B762,Players!$A$2:$A$137,0)),""))</f>
        <v>0.73</v>
      </c>
    </row>
    <row r="763" customFormat="false" ht="15" hidden="false" customHeight="false" outlineLevel="0" collapsed="false">
      <c r="A763" s="0" t="s">
        <v>2779</v>
      </c>
      <c r="B763" s="0" t="s">
        <v>1760</v>
      </c>
      <c r="C763" s="0" t="s">
        <v>1532</v>
      </c>
      <c r="D763" s="0" t="s">
        <v>1139</v>
      </c>
      <c r="E763" s="0" t="s">
        <v>95</v>
      </c>
      <c r="F763" s="0" t="n">
        <v>8</v>
      </c>
      <c r="G763" s="0" t="n">
        <v>13.5</v>
      </c>
      <c r="H763" s="0" t="n">
        <v>0.62</v>
      </c>
      <c r="I763" s="10" t="n">
        <v>0.713</v>
      </c>
      <c r="J763" s="0" t="n">
        <v>0.99</v>
      </c>
      <c r="K763" s="13" t="n">
        <f aca="false">IF(H763&lt;&gt;"",H763,IFERROR(G763/INDEX(Players!$M$2:$M$137,MATCH(B763,Players!$A$2:$A$137,0)),""))</f>
        <v>0.62</v>
      </c>
    </row>
    <row r="764" customFormat="false" ht="15" hidden="false" customHeight="false" outlineLevel="0" collapsed="false">
      <c r="A764" s="0" t="s">
        <v>2780</v>
      </c>
      <c r="B764" s="0" t="s">
        <v>1760</v>
      </c>
      <c r="C764" s="0" t="s">
        <v>1532</v>
      </c>
      <c r="D764" s="0" t="s">
        <v>1139</v>
      </c>
      <c r="E764" s="0" t="s">
        <v>145</v>
      </c>
      <c r="F764" s="0" t="n">
        <v>7</v>
      </c>
      <c r="G764" s="0" t="n">
        <v>11.7</v>
      </c>
      <c r="H764" s="0" t="n">
        <v>0.58</v>
      </c>
      <c r="I764" s="10" t="n">
        <v>0.671</v>
      </c>
      <c r="J764" s="0" t="n">
        <v>0.86</v>
      </c>
      <c r="K764" s="13" t="n">
        <f aca="false">IF(H764&lt;&gt;"",H764,IFERROR(G764/INDEX(Players!$M$2:$M$137,MATCH(B764,Players!$A$2:$A$137,0)),""))</f>
        <v>0.58</v>
      </c>
    </row>
    <row r="765" customFormat="false" ht="15" hidden="false" customHeight="false" outlineLevel="0" collapsed="false">
      <c r="A765" s="0" t="s">
        <v>2781</v>
      </c>
      <c r="B765" s="0" t="s">
        <v>1760</v>
      </c>
      <c r="C765" s="0" t="s">
        <v>1532</v>
      </c>
      <c r="D765" s="0" t="s">
        <v>1139</v>
      </c>
      <c r="E765" s="0" t="s">
        <v>129</v>
      </c>
      <c r="F765" s="0" t="n">
        <v>6</v>
      </c>
      <c r="G765" s="0" t="n">
        <v>12.8</v>
      </c>
      <c r="H765" s="0" t="n">
        <v>0.6</v>
      </c>
      <c r="I765" s="10" t="n">
        <v>0.701</v>
      </c>
      <c r="J765" s="0" t="n">
        <v>0.95</v>
      </c>
      <c r="K765" s="13" t="n">
        <f aca="false">IF(H765&lt;&gt;"",H765,IFERROR(G765/INDEX(Players!$M$2:$M$137,MATCH(B765,Players!$A$2:$A$137,0)),""))</f>
        <v>0.6</v>
      </c>
    </row>
    <row r="766" customFormat="false" ht="15" hidden="false" customHeight="false" outlineLevel="0" collapsed="false">
      <c r="A766" s="0" t="s">
        <v>2782</v>
      </c>
      <c r="B766" s="0" t="s">
        <v>1760</v>
      </c>
      <c r="C766" s="0" t="s">
        <v>1532</v>
      </c>
      <c r="D766" s="0" t="s">
        <v>1139</v>
      </c>
      <c r="E766" s="0" t="s">
        <v>139</v>
      </c>
      <c r="F766" s="0" t="n">
        <v>5</v>
      </c>
      <c r="G766" s="0" t="n">
        <v>14.2</v>
      </c>
      <c r="H766" s="0" t="n">
        <v>0.66</v>
      </c>
      <c r="I766" s="10" t="n">
        <v>0.704</v>
      </c>
      <c r="J766" s="0" t="n">
        <v>0.95</v>
      </c>
      <c r="K766" s="13" t="n">
        <f aca="false">IF(H766&lt;&gt;"",H766,IFERROR(G766/INDEX(Players!$M$2:$M$137,MATCH(B766,Players!$A$2:$A$137,0)),""))</f>
        <v>0.66</v>
      </c>
    </row>
    <row r="767" customFormat="false" ht="15" hidden="false" customHeight="false" outlineLevel="0" collapsed="false">
      <c r="A767" s="0" t="s">
        <v>2783</v>
      </c>
      <c r="B767" s="0" t="s">
        <v>1760</v>
      </c>
      <c r="C767" s="0" t="s">
        <v>1532</v>
      </c>
      <c r="D767" s="0" t="s">
        <v>1139</v>
      </c>
      <c r="E767" s="0" t="s">
        <v>81</v>
      </c>
      <c r="F767" s="0" t="n">
        <v>2</v>
      </c>
      <c r="G767" s="0" t="n">
        <v>14.5</v>
      </c>
      <c r="H767" s="0" t="n">
        <v>0.64</v>
      </c>
      <c r="I767" s="10" t="n">
        <v>0.69</v>
      </c>
      <c r="J767" s="0" t="n">
        <v>0.91</v>
      </c>
      <c r="K767" s="13" t="n">
        <f aca="false">IF(H767&lt;&gt;"",H767,IFERROR(G767/INDEX(Players!$M$2:$M$137,MATCH(B767,Players!$A$2:$A$137,0)),""))</f>
        <v>0.64</v>
      </c>
    </row>
    <row r="768" customFormat="false" ht="15" hidden="false" customHeight="false" outlineLevel="0" collapsed="false">
      <c r="A768" s="0" t="s">
        <v>2784</v>
      </c>
      <c r="B768" s="0" t="s">
        <v>1761</v>
      </c>
      <c r="C768" s="0" t="s">
        <v>1534</v>
      </c>
      <c r="D768" s="0" t="s">
        <v>1139</v>
      </c>
      <c r="E768" s="0" t="s">
        <v>108</v>
      </c>
      <c r="F768" s="0" t="n">
        <v>11</v>
      </c>
      <c r="G768" s="0" t="n">
        <v>16.7</v>
      </c>
      <c r="H768" s="0" t="n">
        <v>0.72</v>
      </c>
      <c r="I768" s="10" t="n">
        <v>0.505</v>
      </c>
      <c r="J768" s="0" t="n">
        <v>0.99</v>
      </c>
      <c r="K768" s="13" t="n">
        <f aca="false">IF(H768&lt;&gt;"",H768,IFERROR(G768/INDEX(Players!$M$2:$M$137,MATCH(B768,Players!$A$2:$A$137,0)),""))</f>
        <v>0.72</v>
      </c>
    </row>
    <row r="769" customFormat="false" ht="15" hidden="false" customHeight="false" outlineLevel="0" collapsed="false">
      <c r="A769" s="0" t="s">
        <v>2785</v>
      </c>
      <c r="B769" s="0" t="s">
        <v>1761</v>
      </c>
      <c r="C769" s="0" t="s">
        <v>1534</v>
      </c>
      <c r="D769" s="0" t="s">
        <v>1139</v>
      </c>
      <c r="E769" s="0" t="s">
        <v>95</v>
      </c>
      <c r="F769" s="0" t="n">
        <v>8</v>
      </c>
      <c r="G769" s="0" t="n">
        <v>17.4</v>
      </c>
      <c r="H769" s="0" t="n">
        <v>0.8</v>
      </c>
      <c r="I769" s="10" t="n">
        <v>0.604</v>
      </c>
      <c r="J769" s="0" t="n">
        <v>1.2</v>
      </c>
      <c r="K769" s="13" t="n">
        <f aca="false">IF(H769&lt;&gt;"",H769,IFERROR(G769/INDEX(Players!$M$2:$M$137,MATCH(B769,Players!$A$2:$A$137,0)),""))</f>
        <v>0.8</v>
      </c>
    </row>
    <row r="770" customFormat="false" ht="15" hidden="false" customHeight="false" outlineLevel="0" collapsed="false">
      <c r="A770" s="0" t="s">
        <v>2786</v>
      </c>
      <c r="B770" s="0" t="s">
        <v>1761</v>
      </c>
      <c r="C770" s="0" t="s">
        <v>1534</v>
      </c>
      <c r="D770" s="0" t="s">
        <v>1139</v>
      </c>
      <c r="E770" s="0" t="s">
        <v>145</v>
      </c>
      <c r="F770" s="0" t="n">
        <v>7</v>
      </c>
      <c r="G770" s="0" t="n">
        <v>10.6</v>
      </c>
      <c r="H770" s="0" t="n">
        <v>0.52</v>
      </c>
      <c r="I770" s="10" t="n">
        <v>0.432</v>
      </c>
      <c r="J770" s="0" t="n">
        <v>0.66</v>
      </c>
      <c r="K770" s="13" t="n">
        <f aca="false">IF(H770&lt;&gt;"",H770,IFERROR(G770/INDEX(Players!$M$2:$M$137,MATCH(B770,Players!$A$2:$A$137,0)),""))</f>
        <v>0.52</v>
      </c>
    </row>
    <row r="771" customFormat="false" ht="15" hidden="false" customHeight="false" outlineLevel="0" collapsed="false">
      <c r="A771" s="0" t="s">
        <v>2787</v>
      </c>
      <c r="B771" s="0" t="s">
        <v>1761</v>
      </c>
      <c r="C771" s="0" t="s">
        <v>1534</v>
      </c>
      <c r="D771" s="0" t="s">
        <v>1139</v>
      </c>
      <c r="E771" s="0" t="s">
        <v>129</v>
      </c>
      <c r="F771" s="0" t="n">
        <v>6</v>
      </c>
      <c r="G771" s="0" t="n">
        <v>14.3</v>
      </c>
      <c r="H771" s="0" t="n">
        <v>0.67</v>
      </c>
      <c r="I771" s="10" t="n">
        <v>0.523</v>
      </c>
      <c r="J771" s="0" t="n">
        <v>1.01</v>
      </c>
      <c r="K771" s="13" t="n">
        <f aca="false">IF(H771&lt;&gt;"",H771,IFERROR(G771/INDEX(Players!$M$2:$M$137,MATCH(B771,Players!$A$2:$A$137,0)),""))</f>
        <v>0.67</v>
      </c>
    </row>
    <row r="772" customFormat="false" ht="15" hidden="false" customHeight="false" outlineLevel="0" collapsed="false">
      <c r="A772" s="0" t="s">
        <v>2788</v>
      </c>
      <c r="B772" s="0" t="s">
        <v>1761</v>
      </c>
      <c r="C772" s="0" t="s">
        <v>1534</v>
      </c>
      <c r="D772" s="0" t="s">
        <v>1139</v>
      </c>
      <c r="E772" s="0" t="s">
        <v>139</v>
      </c>
      <c r="F772" s="0" t="n">
        <v>5</v>
      </c>
      <c r="G772" s="0" t="n">
        <v>13.6</v>
      </c>
      <c r="H772" s="0" t="n">
        <v>0.63</v>
      </c>
      <c r="I772" s="10" t="n">
        <v>0.456</v>
      </c>
      <c r="J772" s="0" t="n">
        <v>0.88</v>
      </c>
      <c r="K772" s="13" t="n">
        <f aca="false">IF(H772&lt;&gt;"",H772,IFERROR(G772/INDEX(Players!$M$2:$M$137,MATCH(B772,Players!$A$2:$A$137,0)),""))</f>
        <v>0.63</v>
      </c>
    </row>
    <row r="773" customFormat="false" ht="15" hidden="false" customHeight="false" outlineLevel="0" collapsed="false">
      <c r="A773" s="0" t="s">
        <v>2789</v>
      </c>
      <c r="B773" s="0" t="s">
        <v>1761</v>
      </c>
      <c r="C773" s="0" t="s">
        <v>1534</v>
      </c>
      <c r="D773" s="0" t="s">
        <v>1139</v>
      </c>
      <c r="E773" s="0" t="s">
        <v>81</v>
      </c>
      <c r="F773" s="0" t="n">
        <v>2</v>
      </c>
      <c r="G773" s="0" t="n">
        <v>16</v>
      </c>
      <c r="H773" s="0" t="n">
        <v>0.71</v>
      </c>
      <c r="I773" s="10" t="n">
        <v>0.594</v>
      </c>
      <c r="J773" s="0" t="n">
        <v>0.97</v>
      </c>
      <c r="K773" s="13" t="n">
        <f aca="false">IF(H773&lt;&gt;"",H773,IFERROR(G773/INDEX(Players!$M$2:$M$137,MATCH(B773,Players!$A$2:$A$137,0)),""))</f>
        <v>0.71</v>
      </c>
    </row>
    <row r="774" customFormat="false" ht="15" hidden="false" customHeight="false" outlineLevel="0" collapsed="false">
      <c r="A774" s="0" t="s">
        <v>2790</v>
      </c>
      <c r="B774" s="0" t="s">
        <v>1726</v>
      </c>
      <c r="C774" s="0" t="s">
        <v>1455</v>
      </c>
      <c r="D774" s="0" t="s">
        <v>1139</v>
      </c>
      <c r="E774" s="0" t="s">
        <v>81</v>
      </c>
      <c r="F774" s="0" t="n">
        <v>10</v>
      </c>
      <c r="G774" s="0" t="n">
        <v>15.2</v>
      </c>
      <c r="H774" s="0" t="n">
        <v>0.71</v>
      </c>
      <c r="I774" s="10" t="n">
        <v>0.546</v>
      </c>
      <c r="J774" s="0" t="n">
        <v>1.01</v>
      </c>
      <c r="K774" s="13" t="n">
        <f aca="false">IF(H774&lt;&gt;"",H774,IFERROR(G774/INDEX(Players!$M$2:$M$137,MATCH(B774,Players!$A$2:$A$137,0)),""))</f>
        <v>0.71</v>
      </c>
    </row>
    <row r="775" customFormat="false" ht="15" hidden="false" customHeight="false" outlineLevel="0" collapsed="false">
      <c r="A775" s="0" t="s">
        <v>2791</v>
      </c>
      <c r="B775" s="0" t="s">
        <v>1726</v>
      </c>
      <c r="C775" s="0" t="s">
        <v>1455</v>
      </c>
      <c r="D775" s="0" t="s">
        <v>1139</v>
      </c>
      <c r="E775" s="0" t="s">
        <v>95</v>
      </c>
      <c r="F775" s="0" t="n">
        <v>9</v>
      </c>
      <c r="G775" s="0" t="n">
        <v>15</v>
      </c>
      <c r="H775" s="0" t="n">
        <v>0.63</v>
      </c>
      <c r="I775" s="10" t="n">
        <v>0.578</v>
      </c>
      <c r="J775" s="0" t="n">
        <v>0.95</v>
      </c>
      <c r="K775" s="13" t="n">
        <f aca="false">IF(H775&lt;&gt;"",H775,IFERROR(G775/INDEX(Players!$M$2:$M$137,MATCH(B775,Players!$A$2:$A$137,0)),""))</f>
        <v>0.63</v>
      </c>
    </row>
    <row r="776" customFormat="false" ht="15" hidden="false" customHeight="false" outlineLevel="0" collapsed="false">
      <c r="A776" s="0" t="s">
        <v>2792</v>
      </c>
      <c r="B776" s="0" t="s">
        <v>1726</v>
      </c>
      <c r="C776" s="0" t="s">
        <v>1455</v>
      </c>
      <c r="D776" s="0" t="s">
        <v>1139</v>
      </c>
      <c r="E776" s="0" t="s">
        <v>108</v>
      </c>
      <c r="F776" s="0" t="n">
        <v>6</v>
      </c>
      <c r="G776" s="0" t="n">
        <v>14.5</v>
      </c>
      <c r="H776" s="0" t="n">
        <v>0.65</v>
      </c>
      <c r="I776" s="10" t="n">
        <v>0.586</v>
      </c>
      <c r="J776" s="0" t="n">
        <v>0.98</v>
      </c>
      <c r="K776" s="13" t="n">
        <f aca="false">IF(H776&lt;&gt;"",H776,IFERROR(G776/INDEX(Players!$M$2:$M$137,MATCH(B776,Players!$A$2:$A$137,0)),""))</f>
        <v>0.65</v>
      </c>
    </row>
    <row r="777" customFormat="false" ht="15" hidden="false" customHeight="false" outlineLevel="0" collapsed="false">
      <c r="A777" s="0" t="s">
        <v>2793</v>
      </c>
      <c r="B777" s="0" t="s">
        <v>1726</v>
      </c>
      <c r="C777" s="0" t="s">
        <v>1455</v>
      </c>
      <c r="D777" s="0" t="s">
        <v>1139</v>
      </c>
      <c r="E777" s="0" t="s">
        <v>145</v>
      </c>
      <c r="F777" s="0" t="n">
        <v>5</v>
      </c>
      <c r="G777" s="0" t="n">
        <v>14.8</v>
      </c>
      <c r="H777" s="0" t="n">
        <v>0.7</v>
      </c>
      <c r="I777" s="10" t="n">
        <v>0.541</v>
      </c>
      <c r="J777" s="0" t="n">
        <v>0.95</v>
      </c>
      <c r="K777" s="13" t="n">
        <f aca="false">IF(H777&lt;&gt;"",H777,IFERROR(G777/INDEX(Players!$M$2:$M$137,MATCH(B777,Players!$A$2:$A$137,0)),""))</f>
        <v>0.7</v>
      </c>
    </row>
    <row r="778" customFormat="false" ht="15" hidden="false" customHeight="false" outlineLevel="0" collapsed="false">
      <c r="A778" s="0" t="s">
        <v>2794</v>
      </c>
      <c r="B778" s="0" t="s">
        <v>1726</v>
      </c>
      <c r="C778" s="0" t="s">
        <v>1455</v>
      </c>
      <c r="D778" s="0" t="s">
        <v>1139</v>
      </c>
      <c r="E778" s="0" t="s">
        <v>121</v>
      </c>
      <c r="F778" s="0" t="n">
        <v>5</v>
      </c>
      <c r="G778" s="0" t="n">
        <v>14</v>
      </c>
      <c r="H778" s="0" t="n">
        <v>0.65</v>
      </c>
      <c r="I778" s="10" t="n">
        <v>0.514</v>
      </c>
      <c r="J778" s="0" t="n">
        <v>0.92</v>
      </c>
      <c r="K778" s="13" t="n">
        <f aca="false">IF(H778&lt;&gt;"",H778,IFERROR(G778/INDEX(Players!$M$2:$M$137,MATCH(B778,Players!$A$2:$A$137,0)),""))</f>
        <v>0.65</v>
      </c>
    </row>
    <row r="779" customFormat="false" ht="15" hidden="false" customHeight="false" outlineLevel="0" collapsed="false">
      <c r="A779" s="0" t="s">
        <v>2795</v>
      </c>
      <c r="B779" s="0" t="s">
        <v>1726</v>
      </c>
      <c r="C779" s="0" t="s">
        <v>1455</v>
      </c>
      <c r="D779" s="0" t="s">
        <v>1139</v>
      </c>
      <c r="E779" s="0" t="s">
        <v>129</v>
      </c>
      <c r="F779" s="0" t="n">
        <v>2</v>
      </c>
      <c r="G779" s="0" t="n">
        <v>19.5</v>
      </c>
      <c r="H779" s="0" t="n">
        <v>0.95</v>
      </c>
      <c r="I779" s="10" t="n">
        <v>0.615</v>
      </c>
      <c r="J779" s="0" t="n">
        <v>1.56</v>
      </c>
      <c r="K779" s="13" t="n">
        <f aca="false">IF(H779&lt;&gt;"",H779,IFERROR(G779/INDEX(Players!$M$2:$M$137,MATCH(B779,Players!$A$2:$A$137,0)),""))</f>
        <v>0.95</v>
      </c>
    </row>
    <row r="780" customFormat="false" ht="15" hidden="false" customHeight="false" outlineLevel="0" collapsed="false">
      <c r="A780" s="0" t="s">
        <v>2796</v>
      </c>
      <c r="B780" s="0" t="s">
        <v>1705</v>
      </c>
      <c r="C780" s="0" t="s">
        <v>1409</v>
      </c>
      <c r="D780" s="0" t="s">
        <v>1139</v>
      </c>
      <c r="E780" s="0" t="s">
        <v>108</v>
      </c>
      <c r="F780" s="0" t="n">
        <v>9</v>
      </c>
      <c r="G780" s="0" t="n">
        <v>12.9</v>
      </c>
      <c r="H780" s="0" t="n">
        <v>0.63</v>
      </c>
      <c r="I780" s="10" t="n">
        <v>0.569</v>
      </c>
      <c r="J780" s="0" t="n">
        <v>0.96</v>
      </c>
      <c r="K780" s="13" t="n">
        <f aca="false">IF(H780&lt;&gt;"",H780,IFERROR(G780/INDEX(Players!$M$2:$M$137,MATCH(B780,Players!$A$2:$A$137,0)),""))</f>
        <v>0.63</v>
      </c>
    </row>
    <row r="781" customFormat="false" ht="15" hidden="false" customHeight="false" outlineLevel="0" collapsed="false">
      <c r="A781" s="0" t="s">
        <v>2797</v>
      </c>
      <c r="B781" s="0" t="s">
        <v>1705</v>
      </c>
      <c r="C781" s="0" t="s">
        <v>1409</v>
      </c>
      <c r="D781" s="0" t="s">
        <v>1139</v>
      </c>
      <c r="E781" s="0" t="s">
        <v>139</v>
      </c>
      <c r="F781" s="0" t="n">
        <v>8</v>
      </c>
      <c r="G781" s="0" t="n">
        <v>15.5</v>
      </c>
      <c r="H781" s="0" t="n">
        <v>0.78</v>
      </c>
      <c r="I781" s="10" t="n">
        <v>0.5</v>
      </c>
      <c r="J781" s="0" t="n">
        <v>1.29</v>
      </c>
      <c r="K781" s="13" t="n">
        <f aca="false">IF(H781&lt;&gt;"",H781,IFERROR(G781/INDEX(Players!$M$2:$M$137,MATCH(B781,Players!$A$2:$A$137,0)),""))</f>
        <v>0.78</v>
      </c>
    </row>
    <row r="782" customFormat="false" ht="15" hidden="false" customHeight="false" outlineLevel="0" collapsed="false">
      <c r="A782" s="0" t="s">
        <v>2798</v>
      </c>
      <c r="B782" s="0" t="s">
        <v>1705</v>
      </c>
      <c r="C782" s="0" t="s">
        <v>1409</v>
      </c>
      <c r="D782" s="0" t="s">
        <v>1139</v>
      </c>
      <c r="E782" s="0" t="s">
        <v>145</v>
      </c>
      <c r="F782" s="0" t="n">
        <v>6</v>
      </c>
      <c r="G782" s="0" t="n">
        <v>15.5</v>
      </c>
      <c r="H782" s="0" t="n">
        <v>0.7</v>
      </c>
      <c r="I782" s="10" t="n">
        <v>0.613</v>
      </c>
      <c r="J782" s="0" t="n">
        <v>1.01</v>
      </c>
      <c r="K782" s="13" t="n">
        <f aca="false">IF(H782&lt;&gt;"",H782,IFERROR(G782/INDEX(Players!$M$2:$M$137,MATCH(B782,Players!$A$2:$A$137,0)),""))</f>
        <v>0.7</v>
      </c>
    </row>
    <row r="783" customFormat="false" ht="15" hidden="false" customHeight="false" outlineLevel="0" collapsed="false">
      <c r="A783" s="0" t="s">
        <v>2799</v>
      </c>
      <c r="B783" s="0" t="s">
        <v>1705</v>
      </c>
      <c r="C783" s="0" t="s">
        <v>1409</v>
      </c>
      <c r="D783" s="0" t="s">
        <v>1139</v>
      </c>
      <c r="E783" s="0" t="s">
        <v>81</v>
      </c>
      <c r="F783" s="0" t="n">
        <v>6</v>
      </c>
      <c r="G783" s="0" t="n">
        <v>16.7</v>
      </c>
      <c r="H783" s="0" t="n">
        <v>0.7</v>
      </c>
      <c r="I783" s="10" t="n">
        <v>0.66</v>
      </c>
      <c r="J783" s="0" t="n">
        <v>0.97</v>
      </c>
      <c r="K783" s="13" t="n">
        <f aca="false">IF(H783&lt;&gt;"",H783,IFERROR(G783/INDEX(Players!$M$2:$M$137,MATCH(B783,Players!$A$2:$A$137,0)),""))</f>
        <v>0.7</v>
      </c>
    </row>
    <row r="784" customFormat="false" ht="15" hidden="false" customHeight="false" outlineLevel="0" collapsed="false">
      <c r="A784" s="0" t="s">
        <v>2800</v>
      </c>
      <c r="B784" s="0" t="s">
        <v>1705</v>
      </c>
      <c r="C784" s="0" t="s">
        <v>1409</v>
      </c>
      <c r="D784" s="0" t="s">
        <v>1139</v>
      </c>
      <c r="E784" s="0" t="s">
        <v>95</v>
      </c>
      <c r="F784" s="0" t="n">
        <v>4</v>
      </c>
      <c r="G784" s="0" t="n">
        <v>13.3</v>
      </c>
      <c r="H784" s="0" t="n">
        <v>0.67</v>
      </c>
      <c r="I784" s="10" t="n">
        <v>0.585</v>
      </c>
      <c r="J784" s="0" t="n">
        <v>1.13</v>
      </c>
      <c r="K784" s="13" t="n">
        <f aca="false">IF(H784&lt;&gt;"",H784,IFERROR(G784/INDEX(Players!$M$2:$M$137,MATCH(B784,Players!$A$2:$A$137,0)),""))</f>
        <v>0.67</v>
      </c>
    </row>
    <row r="785" customFormat="false" ht="15" hidden="false" customHeight="false" outlineLevel="0" collapsed="false">
      <c r="A785" s="0" t="s">
        <v>2801</v>
      </c>
      <c r="B785" s="0" t="s">
        <v>1705</v>
      </c>
      <c r="C785" s="0" t="s">
        <v>1409</v>
      </c>
      <c r="D785" s="0" t="s">
        <v>1139</v>
      </c>
      <c r="E785" s="0" t="s">
        <v>129</v>
      </c>
      <c r="F785" s="0" t="n">
        <v>4</v>
      </c>
      <c r="G785" s="0" t="n">
        <v>16</v>
      </c>
      <c r="H785" s="0" t="n">
        <v>0.72</v>
      </c>
      <c r="I785" s="10" t="n">
        <v>0.656</v>
      </c>
      <c r="J785" s="0" t="n">
        <v>0.96</v>
      </c>
      <c r="K785" s="13" t="n">
        <f aca="false">IF(H785&lt;&gt;"",H785,IFERROR(G785/INDEX(Players!$M$2:$M$137,MATCH(B785,Players!$A$2:$A$137,0)),""))</f>
        <v>0.72</v>
      </c>
    </row>
    <row r="786" customFormat="false" ht="15" hidden="false" customHeight="false" outlineLevel="0" collapsed="false">
      <c r="A786" s="0" t="s">
        <v>2802</v>
      </c>
      <c r="B786" s="0" t="s">
        <v>1706</v>
      </c>
      <c r="C786" s="0" t="s">
        <v>1411</v>
      </c>
      <c r="D786" s="0" t="s">
        <v>1139</v>
      </c>
      <c r="E786" s="0" t="s">
        <v>108</v>
      </c>
      <c r="F786" s="0" t="n">
        <v>9</v>
      </c>
      <c r="G786" s="0" t="n">
        <v>12.6</v>
      </c>
      <c r="H786" s="0" t="n">
        <v>0.61</v>
      </c>
      <c r="I786" s="10" t="n">
        <v>0.513</v>
      </c>
      <c r="J786" s="0" t="n">
        <v>1.07</v>
      </c>
      <c r="K786" s="13" t="n">
        <f aca="false">IF(H786&lt;&gt;"",H786,IFERROR(G786/INDEX(Players!$M$2:$M$137,MATCH(B786,Players!$A$2:$A$137,0)),""))</f>
        <v>0.61</v>
      </c>
    </row>
    <row r="787" customFormat="false" ht="15" hidden="false" customHeight="false" outlineLevel="0" collapsed="false">
      <c r="A787" s="0" t="s">
        <v>2803</v>
      </c>
      <c r="B787" s="0" t="s">
        <v>1706</v>
      </c>
      <c r="C787" s="0" t="s">
        <v>1411</v>
      </c>
      <c r="D787" s="0" t="s">
        <v>1139</v>
      </c>
      <c r="E787" s="0" t="s">
        <v>139</v>
      </c>
      <c r="F787" s="0" t="n">
        <v>8</v>
      </c>
      <c r="G787" s="0" t="n">
        <v>11.9</v>
      </c>
      <c r="H787" s="0" t="n">
        <v>0.6</v>
      </c>
      <c r="I787" s="10" t="n">
        <v>0.474</v>
      </c>
      <c r="J787" s="0" t="n">
        <v>1.13</v>
      </c>
      <c r="K787" s="13" t="n">
        <f aca="false">IF(H787&lt;&gt;"",H787,IFERROR(G787/INDEX(Players!$M$2:$M$137,MATCH(B787,Players!$A$2:$A$137,0)),""))</f>
        <v>0.6</v>
      </c>
    </row>
    <row r="788" customFormat="false" ht="15" hidden="false" customHeight="false" outlineLevel="0" collapsed="false">
      <c r="A788" s="0" t="s">
        <v>2804</v>
      </c>
      <c r="B788" s="0" t="s">
        <v>1706</v>
      </c>
      <c r="C788" s="0" t="s">
        <v>1411</v>
      </c>
      <c r="D788" s="0" t="s">
        <v>1139</v>
      </c>
      <c r="E788" s="0" t="s">
        <v>81</v>
      </c>
      <c r="F788" s="0" t="n">
        <v>6</v>
      </c>
      <c r="G788" s="0" t="n">
        <v>15.3</v>
      </c>
      <c r="H788" s="0" t="n">
        <v>0.64</v>
      </c>
      <c r="I788" s="10" t="n">
        <v>0.402</v>
      </c>
      <c r="J788" s="0" t="n">
        <v>1.05</v>
      </c>
      <c r="K788" s="13" t="n">
        <f aca="false">IF(H788&lt;&gt;"",H788,IFERROR(G788/INDEX(Players!$M$2:$M$137,MATCH(B788,Players!$A$2:$A$137,0)),""))</f>
        <v>0.64</v>
      </c>
    </row>
    <row r="789" customFormat="false" ht="15" hidden="false" customHeight="false" outlineLevel="0" collapsed="false">
      <c r="A789" s="0" t="s">
        <v>2805</v>
      </c>
      <c r="B789" s="0" t="s">
        <v>1706</v>
      </c>
      <c r="C789" s="0" t="s">
        <v>1411</v>
      </c>
      <c r="D789" s="0" t="s">
        <v>1139</v>
      </c>
      <c r="E789" s="0" t="s">
        <v>145</v>
      </c>
      <c r="F789" s="0" t="n">
        <v>6</v>
      </c>
      <c r="G789" s="0" t="n">
        <v>13.7</v>
      </c>
      <c r="H789" s="0" t="n">
        <v>0.62</v>
      </c>
      <c r="I789" s="10" t="n">
        <v>0.415</v>
      </c>
      <c r="J789" s="0" t="n">
        <v>1.01</v>
      </c>
      <c r="K789" s="13" t="n">
        <f aca="false">IF(H789&lt;&gt;"",H789,IFERROR(G789/INDEX(Players!$M$2:$M$137,MATCH(B789,Players!$A$2:$A$137,0)),""))</f>
        <v>0.62</v>
      </c>
    </row>
    <row r="790" customFormat="false" ht="15" hidden="false" customHeight="false" outlineLevel="0" collapsed="false">
      <c r="A790" s="0" t="s">
        <v>2806</v>
      </c>
      <c r="B790" s="0" t="s">
        <v>1706</v>
      </c>
      <c r="C790" s="0" t="s">
        <v>1411</v>
      </c>
      <c r="D790" s="0" t="s">
        <v>1139</v>
      </c>
      <c r="E790" s="0" t="s">
        <v>95</v>
      </c>
      <c r="F790" s="0" t="n">
        <v>4</v>
      </c>
      <c r="G790" s="0" t="n">
        <v>12.3</v>
      </c>
      <c r="H790" s="0" t="n">
        <v>0.62</v>
      </c>
      <c r="I790" s="10" t="n">
        <v>0.592</v>
      </c>
      <c r="J790" s="0" t="n">
        <v>1.23</v>
      </c>
      <c r="K790" s="13" t="n">
        <f aca="false">IF(H790&lt;&gt;"",H790,IFERROR(G790/INDEX(Players!$M$2:$M$137,MATCH(B790,Players!$A$2:$A$137,0)),""))</f>
        <v>0.62</v>
      </c>
    </row>
    <row r="791" customFormat="false" ht="15" hidden="false" customHeight="false" outlineLevel="0" collapsed="false">
      <c r="A791" s="0" t="s">
        <v>2807</v>
      </c>
      <c r="B791" s="0" t="s">
        <v>1706</v>
      </c>
      <c r="C791" s="0" t="s">
        <v>1411</v>
      </c>
      <c r="D791" s="0" t="s">
        <v>1139</v>
      </c>
      <c r="E791" s="0" t="s">
        <v>129</v>
      </c>
      <c r="F791" s="0" t="n">
        <v>4</v>
      </c>
      <c r="G791" s="0" t="n">
        <v>14.8</v>
      </c>
      <c r="H791" s="0" t="n">
        <v>0.66</v>
      </c>
      <c r="I791" s="10" t="n">
        <v>0.39</v>
      </c>
      <c r="J791" s="0" t="n">
        <v>1.02</v>
      </c>
      <c r="K791" s="13" t="n">
        <f aca="false">IF(H791&lt;&gt;"",H791,IFERROR(G791/INDEX(Players!$M$2:$M$137,MATCH(B791,Players!$A$2:$A$137,0)),""))</f>
        <v>0.66</v>
      </c>
    </row>
    <row r="792" customFormat="false" ht="15" hidden="false" customHeight="false" outlineLevel="0" collapsed="false">
      <c r="A792" s="0" t="s">
        <v>2808</v>
      </c>
      <c r="B792" s="0" t="s">
        <v>1677</v>
      </c>
      <c r="C792" s="0" t="s">
        <v>1333</v>
      </c>
      <c r="D792" s="0" t="s">
        <v>1139</v>
      </c>
      <c r="E792" s="0" t="s">
        <v>95</v>
      </c>
      <c r="F792" s="0" t="n">
        <v>6</v>
      </c>
      <c r="G792" s="0" t="n">
        <v>18.7</v>
      </c>
      <c r="H792" s="0" t="n">
        <v>0.81</v>
      </c>
      <c r="I792" s="10" t="n">
        <v>0.563</v>
      </c>
      <c r="J792" s="0" t="n">
        <v>1.15</v>
      </c>
      <c r="K792" s="13" t="n">
        <f aca="false">IF(H792&lt;&gt;"",H792,IFERROR(G792/INDEX(Players!$M$2:$M$137,MATCH(B792,Players!$A$2:$A$137,0)),""))</f>
        <v>0.81</v>
      </c>
    </row>
    <row r="793" customFormat="false" ht="15" hidden="false" customHeight="false" outlineLevel="0" collapsed="false">
      <c r="A793" s="0" t="s">
        <v>2809</v>
      </c>
      <c r="B793" s="0" t="s">
        <v>1677</v>
      </c>
      <c r="C793" s="0" t="s">
        <v>1333</v>
      </c>
      <c r="D793" s="0" t="s">
        <v>1139</v>
      </c>
      <c r="E793" s="0" t="s">
        <v>145</v>
      </c>
      <c r="F793" s="0" t="n">
        <v>6</v>
      </c>
      <c r="G793" s="0" t="n">
        <v>12</v>
      </c>
      <c r="H793" s="0" t="n">
        <v>0.6</v>
      </c>
      <c r="I793" s="10" t="n">
        <v>0.611</v>
      </c>
      <c r="J793" s="0" t="n">
        <v>0.96</v>
      </c>
      <c r="K793" s="13" t="n">
        <f aca="false">IF(H793&lt;&gt;"",H793,IFERROR(G793/INDEX(Players!$M$2:$M$137,MATCH(B793,Players!$A$2:$A$137,0)),""))</f>
        <v>0.6</v>
      </c>
    </row>
    <row r="794" customFormat="false" ht="15" hidden="false" customHeight="false" outlineLevel="0" collapsed="false">
      <c r="A794" s="0" t="s">
        <v>2810</v>
      </c>
      <c r="B794" s="0" t="s">
        <v>1677</v>
      </c>
      <c r="C794" s="0" t="s">
        <v>1333</v>
      </c>
      <c r="D794" s="0" t="s">
        <v>1139</v>
      </c>
      <c r="E794" s="0" t="s">
        <v>108</v>
      </c>
      <c r="F794" s="0" t="n">
        <v>5</v>
      </c>
      <c r="G794" s="0" t="n">
        <v>13.6</v>
      </c>
      <c r="H794" s="0" t="n">
        <v>0.7</v>
      </c>
      <c r="I794" s="10" t="n">
        <v>0.544</v>
      </c>
      <c r="J794" s="0" t="n">
        <v>1.13</v>
      </c>
      <c r="K794" s="13" t="n">
        <f aca="false">IF(H794&lt;&gt;"",H794,IFERROR(G794/INDEX(Players!$M$2:$M$137,MATCH(B794,Players!$A$2:$A$137,0)),""))</f>
        <v>0.7</v>
      </c>
    </row>
    <row r="795" customFormat="false" ht="15" hidden="false" customHeight="false" outlineLevel="0" collapsed="false">
      <c r="A795" s="0" t="s">
        <v>2811</v>
      </c>
      <c r="B795" s="0" t="s">
        <v>1677</v>
      </c>
      <c r="C795" s="0" t="s">
        <v>1333</v>
      </c>
      <c r="D795" s="0" t="s">
        <v>1139</v>
      </c>
      <c r="E795" s="0" t="s">
        <v>129</v>
      </c>
      <c r="F795" s="0" t="n">
        <v>4</v>
      </c>
      <c r="G795" s="0" t="n">
        <v>13.8</v>
      </c>
      <c r="H795" s="0" t="n">
        <v>0.7</v>
      </c>
      <c r="I795" s="10" t="n">
        <v>0.618</v>
      </c>
      <c r="J795" s="0" t="n">
        <v>1.1</v>
      </c>
      <c r="K795" s="13" t="n">
        <f aca="false">IF(H795&lt;&gt;"",H795,IFERROR(G795/INDEX(Players!$M$2:$M$137,MATCH(B795,Players!$A$2:$A$137,0)),""))</f>
        <v>0.7</v>
      </c>
    </row>
    <row r="796" customFormat="false" ht="15" hidden="false" customHeight="false" outlineLevel="0" collapsed="false">
      <c r="A796" s="0" t="s">
        <v>2812</v>
      </c>
      <c r="B796" s="0" t="s">
        <v>1677</v>
      </c>
      <c r="C796" s="0" t="s">
        <v>1333</v>
      </c>
      <c r="D796" s="0" t="s">
        <v>1139</v>
      </c>
      <c r="E796" s="0" t="s">
        <v>121</v>
      </c>
      <c r="F796" s="0" t="n">
        <v>3</v>
      </c>
      <c r="G796" s="0" t="n">
        <v>14.3</v>
      </c>
      <c r="H796" s="0" t="n">
        <v>0.63</v>
      </c>
      <c r="I796" s="10" t="n">
        <v>0.651</v>
      </c>
      <c r="J796" s="0" t="n">
        <v>0.96</v>
      </c>
      <c r="K796" s="13" t="n">
        <f aca="false">IF(H796&lt;&gt;"",H796,IFERROR(G796/INDEX(Players!$M$2:$M$137,MATCH(B796,Players!$A$2:$A$137,0)),""))</f>
        <v>0.63</v>
      </c>
    </row>
    <row r="797" customFormat="false" ht="15" hidden="false" customHeight="false" outlineLevel="0" collapsed="false">
      <c r="A797" s="0" t="s">
        <v>2813</v>
      </c>
      <c r="B797" s="0" t="s">
        <v>1677</v>
      </c>
      <c r="C797" s="0" t="s">
        <v>1333</v>
      </c>
      <c r="D797" s="0" t="s">
        <v>1139</v>
      </c>
      <c r="E797" s="0" t="s">
        <v>81</v>
      </c>
      <c r="F797" s="0" t="n">
        <v>3</v>
      </c>
      <c r="G797" s="0" t="n">
        <v>10</v>
      </c>
      <c r="H797" s="0" t="n">
        <v>0.53</v>
      </c>
      <c r="I797" s="10" t="n">
        <v>0.6</v>
      </c>
      <c r="J797" s="0" t="n">
        <v>0.73</v>
      </c>
      <c r="K797" s="13" t="n">
        <f aca="false">IF(H797&lt;&gt;"",H797,IFERROR(G797/INDEX(Players!$M$2:$M$137,MATCH(B797,Players!$A$2:$A$137,0)),""))</f>
        <v>0.53</v>
      </c>
    </row>
    <row r="798" customFormat="false" ht="15" hidden="false" customHeight="false" outlineLevel="0" collapsed="false">
      <c r="A798" s="0" t="s">
        <v>2814</v>
      </c>
      <c r="B798" s="0" t="s">
        <v>1692</v>
      </c>
      <c r="C798" s="0" t="s">
        <v>1375</v>
      </c>
      <c r="D798" s="0" t="s">
        <v>1139</v>
      </c>
      <c r="E798" s="0" t="s">
        <v>81</v>
      </c>
      <c r="F798" s="0" t="n">
        <v>9</v>
      </c>
      <c r="G798" s="0" t="n">
        <v>13.6</v>
      </c>
      <c r="H798" s="0" t="n">
        <v>0.6</v>
      </c>
      <c r="I798" s="10" t="n">
        <v>0.598</v>
      </c>
      <c r="J798" s="0" t="n">
        <v>0.86</v>
      </c>
      <c r="K798" s="13" t="n">
        <f aca="false">IF(H798&lt;&gt;"",H798,IFERROR(G798/INDEX(Players!$M$2:$M$137,MATCH(B798,Players!$A$2:$A$137,0)),""))</f>
        <v>0.6</v>
      </c>
    </row>
    <row r="799" customFormat="false" ht="15" hidden="false" customHeight="false" outlineLevel="0" collapsed="false">
      <c r="A799" s="0" t="s">
        <v>2815</v>
      </c>
      <c r="B799" s="0" t="s">
        <v>1692</v>
      </c>
      <c r="C799" s="0" t="s">
        <v>1375</v>
      </c>
      <c r="D799" s="0" t="s">
        <v>1139</v>
      </c>
      <c r="E799" s="0" t="s">
        <v>95</v>
      </c>
      <c r="F799" s="0" t="n">
        <v>7</v>
      </c>
      <c r="G799" s="0" t="n">
        <v>10.9</v>
      </c>
      <c r="H799" s="0" t="n">
        <v>0.56</v>
      </c>
      <c r="I799" s="10" t="n">
        <v>0.645</v>
      </c>
      <c r="J799" s="0" t="n">
        <v>0.79</v>
      </c>
      <c r="K799" s="13" t="n">
        <f aca="false">IF(H799&lt;&gt;"",H799,IFERROR(G799/INDEX(Players!$M$2:$M$137,MATCH(B799,Players!$A$2:$A$137,0)),""))</f>
        <v>0.56</v>
      </c>
    </row>
    <row r="800" customFormat="false" ht="15" hidden="false" customHeight="false" outlineLevel="0" collapsed="false">
      <c r="A800" s="0" t="s">
        <v>2816</v>
      </c>
      <c r="B800" s="0" t="s">
        <v>1692</v>
      </c>
      <c r="C800" s="0" t="s">
        <v>1375</v>
      </c>
      <c r="D800" s="0" t="s">
        <v>1139</v>
      </c>
      <c r="E800" s="0" t="s">
        <v>139</v>
      </c>
      <c r="F800" s="0" t="n">
        <v>6</v>
      </c>
      <c r="G800" s="0" t="n">
        <v>14.8</v>
      </c>
      <c r="H800" s="0" t="n">
        <v>0.73</v>
      </c>
      <c r="I800" s="10" t="n">
        <v>0.517</v>
      </c>
      <c r="J800" s="0" t="n">
        <v>1.16</v>
      </c>
      <c r="K800" s="13" t="n">
        <f aca="false">IF(H800&lt;&gt;"",H800,IFERROR(G800/INDEX(Players!$M$2:$M$137,MATCH(B800,Players!$A$2:$A$137,0)),""))</f>
        <v>0.73</v>
      </c>
    </row>
    <row r="801" customFormat="false" ht="15" hidden="false" customHeight="false" outlineLevel="0" collapsed="false">
      <c r="A801" s="0" t="s">
        <v>2817</v>
      </c>
      <c r="B801" s="0" t="s">
        <v>1692</v>
      </c>
      <c r="C801" s="0" t="s">
        <v>1375</v>
      </c>
      <c r="D801" s="0" t="s">
        <v>1139</v>
      </c>
      <c r="E801" s="0" t="s">
        <v>108</v>
      </c>
      <c r="F801" s="0" t="n">
        <v>6</v>
      </c>
      <c r="G801" s="0" t="n">
        <v>12.2</v>
      </c>
      <c r="H801" s="0" t="n">
        <v>0.56</v>
      </c>
      <c r="I801" s="10" t="n">
        <v>0.616</v>
      </c>
      <c r="J801" s="0" t="n">
        <v>0.83</v>
      </c>
      <c r="K801" s="13" t="n">
        <f aca="false">IF(H801&lt;&gt;"",H801,IFERROR(G801/INDEX(Players!$M$2:$M$137,MATCH(B801,Players!$A$2:$A$137,0)),""))</f>
        <v>0.56</v>
      </c>
    </row>
    <row r="802" customFormat="false" ht="15" hidden="false" customHeight="false" outlineLevel="0" collapsed="false">
      <c r="A802" s="0" t="s">
        <v>2818</v>
      </c>
      <c r="B802" s="0" t="s">
        <v>1692</v>
      </c>
      <c r="C802" s="0" t="s">
        <v>1375</v>
      </c>
      <c r="D802" s="0" t="s">
        <v>1139</v>
      </c>
      <c r="E802" s="0" t="s">
        <v>145</v>
      </c>
      <c r="F802" s="0" t="n">
        <v>5</v>
      </c>
      <c r="G802" s="0" t="n">
        <v>15.2</v>
      </c>
      <c r="H802" s="0" t="n">
        <v>0.78</v>
      </c>
      <c r="I802" s="10" t="n">
        <v>0.711</v>
      </c>
      <c r="J802" s="0" t="n">
        <v>1.15</v>
      </c>
      <c r="K802" s="13" t="n">
        <f aca="false">IF(H802&lt;&gt;"",H802,IFERROR(G802/INDEX(Players!$M$2:$M$137,MATCH(B802,Players!$A$2:$A$137,0)),""))</f>
        <v>0.78</v>
      </c>
    </row>
    <row r="803" customFormat="false" ht="15" hidden="false" customHeight="false" outlineLevel="0" collapsed="false">
      <c r="A803" s="0" t="s">
        <v>2819</v>
      </c>
      <c r="B803" s="0" t="s">
        <v>1692</v>
      </c>
      <c r="C803" s="0" t="s">
        <v>1375</v>
      </c>
      <c r="D803" s="0" t="s">
        <v>1139</v>
      </c>
      <c r="E803" s="0" t="s">
        <v>129</v>
      </c>
      <c r="F803" s="0" t="n">
        <v>4</v>
      </c>
      <c r="G803" s="0" t="n">
        <v>13.8</v>
      </c>
      <c r="H803" s="0" t="n">
        <v>0.64</v>
      </c>
      <c r="I803" s="10" t="n">
        <v>0.618</v>
      </c>
      <c r="J803" s="0" t="n">
        <v>0.98</v>
      </c>
      <c r="K803" s="13" t="n">
        <f aca="false">IF(H803&lt;&gt;"",H803,IFERROR(G803/INDEX(Players!$M$2:$M$137,MATCH(B803,Players!$A$2:$A$137,0)),""))</f>
        <v>0.64</v>
      </c>
    </row>
    <row r="804" customFormat="false" ht="15" hidden="false" customHeight="false" outlineLevel="0" collapsed="false">
      <c r="A804" s="0" t="s">
        <v>2820</v>
      </c>
      <c r="B804" s="0" t="s">
        <v>1696</v>
      </c>
      <c r="C804" s="0" t="s">
        <v>1385</v>
      </c>
      <c r="D804" s="0" t="s">
        <v>1139</v>
      </c>
      <c r="E804" s="0" t="s">
        <v>81</v>
      </c>
      <c r="F804" s="0" t="n">
        <v>8</v>
      </c>
      <c r="G804" s="0" t="n">
        <v>21.5</v>
      </c>
      <c r="H804" s="0" t="n">
        <v>0.83</v>
      </c>
      <c r="I804" s="10" t="n">
        <v>0.61</v>
      </c>
      <c r="J804" s="0" t="n">
        <v>1.23</v>
      </c>
      <c r="K804" s="13" t="n">
        <f aca="false">IF(H804&lt;&gt;"",H804,IFERROR(G804/INDEX(Players!$M$2:$M$137,MATCH(B804,Players!$A$2:$A$137,0)),""))</f>
        <v>0.83</v>
      </c>
    </row>
    <row r="805" customFormat="false" ht="15" hidden="false" customHeight="false" outlineLevel="0" collapsed="false">
      <c r="A805" s="0" t="s">
        <v>2821</v>
      </c>
      <c r="B805" s="0" t="s">
        <v>1696</v>
      </c>
      <c r="C805" s="0" t="s">
        <v>1385</v>
      </c>
      <c r="D805" s="0" t="s">
        <v>1139</v>
      </c>
      <c r="E805" s="0" t="s">
        <v>145</v>
      </c>
      <c r="F805" s="0" t="n">
        <v>8</v>
      </c>
      <c r="G805" s="0" t="n">
        <v>14.5</v>
      </c>
      <c r="H805" s="0" t="n">
        <v>0.68</v>
      </c>
      <c r="I805" s="10" t="n">
        <v>0.552</v>
      </c>
      <c r="J805" s="0" t="n">
        <v>0.97</v>
      </c>
      <c r="K805" s="13" t="n">
        <f aca="false">IF(H805&lt;&gt;"",H805,IFERROR(G805/INDEX(Players!$M$2:$M$137,MATCH(B805,Players!$A$2:$A$137,0)),""))</f>
        <v>0.68</v>
      </c>
    </row>
    <row r="806" customFormat="false" ht="15" hidden="false" customHeight="false" outlineLevel="0" collapsed="false">
      <c r="A806" s="0" t="s">
        <v>2822</v>
      </c>
      <c r="B806" s="0" t="s">
        <v>1696</v>
      </c>
      <c r="C806" s="0" t="s">
        <v>1385</v>
      </c>
      <c r="D806" s="0" t="s">
        <v>1139</v>
      </c>
      <c r="E806" s="0" t="s">
        <v>108</v>
      </c>
      <c r="F806" s="0" t="n">
        <v>7</v>
      </c>
      <c r="G806" s="0" t="n">
        <v>12.9</v>
      </c>
      <c r="H806" s="0" t="n">
        <v>0.66</v>
      </c>
      <c r="I806" s="10" t="n">
        <v>0.6</v>
      </c>
      <c r="J806" s="0" t="n">
        <v>1.07</v>
      </c>
      <c r="K806" s="13" t="n">
        <f aca="false">IF(H806&lt;&gt;"",H806,IFERROR(G806/INDEX(Players!$M$2:$M$137,MATCH(B806,Players!$A$2:$A$137,0)),""))</f>
        <v>0.66</v>
      </c>
    </row>
    <row r="807" customFormat="false" ht="15" hidden="false" customHeight="false" outlineLevel="0" collapsed="false">
      <c r="A807" s="0" t="s">
        <v>2823</v>
      </c>
      <c r="B807" s="0" t="s">
        <v>1696</v>
      </c>
      <c r="C807" s="0" t="s">
        <v>1385</v>
      </c>
      <c r="D807" s="0" t="s">
        <v>1139</v>
      </c>
      <c r="E807" s="0" t="s">
        <v>95</v>
      </c>
      <c r="F807" s="0" t="n">
        <v>4</v>
      </c>
      <c r="G807" s="0" t="n">
        <v>17.8</v>
      </c>
      <c r="H807" s="0" t="n">
        <v>1</v>
      </c>
      <c r="I807" s="10" t="n">
        <v>0.606</v>
      </c>
      <c r="J807" s="0" t="n">
        <v>1.87</v>
      </c>
      <c r="K807" s="13" t="n">
        <f aca="false">IF(H807&lt;&gt;"",H807,IFERROR(G807/INDEX(Players!$M$2:$M$137,MATCH(B807,Players!$A$2:$A$137,0)),""))</f>
        <v>1</v>
      </c>
    </row>
    <row r="808" customFormat="false" ht="15" hidden="false" customHeight="false" outlineLevel="0" collapsed="false">
      <c r="A808" s="0" t="s">
        <v>2824</v>
      </c>
      <c r="B808" s="0" t="s">
        <v>1696</v>
      </c>
      <c r="C808" s="0" t="s">
        <v>1385</v>
      </c>
      <c r="D808" s="0" t="s">
        <v>1139</v>
      </c>
      <c r="E808" s="0" t="s">
        <v>129</v>
      </c>
      <c r="F808" s="0" t="n">
        <v>4</v>
      </c>
      <c r="G808" s="0" t="n">
        <v>15</v>
      </c>
      <c r="H808" s="0" t="n">
        <v>0.73</v>
      </c>
      <c r="I808" s="10" t="n">
        <v>0.517</v>
      </c>
      <c r="J808" s="0" t="n">
        <v>1.11</v>
      </c>
      <c r="K808" s="13" t="n">
        <f aca="false">IF(H808&lt;&gt;"",H808,IFERROR(G808/INDEX(Players!$M$2:$M$137,MATCH(B808,Players!$A$2:$A$137,0)),""))</f>
        <v>0.73</v>
      </c>
    </row>
    <row r="809" customFormat="false" ht="15" hidden="false" customHeight="false" outlineLevel="0" collapsed="false">
      <c r="A809" s="0" t="s">
        <v>2825</v>
      </c>
      <c r="B809" s="0" t="s">
        <v>1696</v>
      </c>
      <c r="C809" s="0" t="s">
        <v>1385</v>
      </c>
      <c r="D809" s="0" t="s">
        <v>1139</v>
      </c>
      <c r="E809" s="0" t="s">
        <v>121</v>
      </c>
      <c r="F809" s="0" t="n">
        <v>3</v>
      </c>
      <c r="G809" s="0" t="n">
        <v>14.7</v>
      </c>
      <c r="H809" s="0" t="n">
        <v>0.71</v>
      </c>
      <c r="I809" s="10" t="n">
        <v>0.409</v>
      </c>
      <c r="J809" s="0" t="n">
        <v>1.02</v>
      </c>
      <c r="K809" s="13" t="n">
        <f aca="false">IF(H809&lt;&gt;"",H809,IFERROR(G809/INDEX(Players!$M$2:$M$137,MATCH(B809,Players!$A$2:$A$137,0)),""))</f>
        <v>0.71</v>
      </c>
    </row>
    <row r="810" customFormat="false" ht="15" hidden="false" customHeight="false" outlineLevel="0" collapsed="false">
      <c r="A810" s="0" t="s">
        <v>2826</v>
      </c>
      <c r="B810" s="0" t="s">
        <v>1701</v>
      </c>
      <c r="C810" s="0" t="s">
        <v>1400</v>
      </c>
      <c r="D810" s="0" t="s">
        <v>1139</v>
      </c>
      <c r="E810" s="0" t="s">
        <v>108</v>
      </c>
      <c r="F810" s="0" t="n">
        <v>12</v>
      </c>
      <c r="G810" s="0" t="n">
        <v>16.4</v>
      </c>
      <c r="H810" s="0" t="n">
        <v>0.75</v>
      </c>
      <c r="I810" s="10" t="n">
        <v>0.264</v>
      </c>
      <c r="J810" s="0" t="n">
        <v>1.22</v>
      </c>
      <c r="K810" s="13" t="n">
        <f aca="false">IF(H810&lt;&gt;"",H810,IFERROR(G810/INDEX(Players!$M$2:$M$137,MATCH(B810,Players!$A$2:$A$137,0)),""))</f>
        <v>0.75</v>
      </c>
    </row>
    <row r="811" customFormat="false" ht="15" hidden="false" customHeight="false" outlineLevel="0" collapsed="false">
      <c r="A811" s="0" t="s">
        <v>2827</v>
      </c>
      <c r="B811" s="0" t="s">
        <v>1701</v>
      </c>
      <c r="C811" s="0" t="s">
        <v>1400</v>
      </c>
      <c r="D811" s="0" t="s">
        <v>1139</v>
      </c>
      <c r="E811" s="0" t="s">
        <v>121</v>
      </c>
      <c r="F811" s="0" t="n">
        <v>9</v>
      </c>
      <c r="G811" s="0" t="n">
        <v>14.8</v>
      </c>
      <c r="H811" s="0" t="n">
        <v>0.67</v>
      </c>
      <c r="I811" s="10" t="n">
        <v>0.226</v>
      </c>
      <c r="J811" s="0" t="n">
        <v>1.15</v>
      </c>
      <c r="K811" s="13" t="n">
        <f aca="false">IF(H811&lt;&gt;"",H811,IFERROR(G811/INDEX(Players!$M$2:$M$137,MATCH(B811,Players!$A$2:$A$137,0)),""))</f>
        <v>0.67</v>
      </c>
    </row>
    <row r="812" customFormat="false" ht="15" hidden="false" customHeight="false" outlineLevel="0" collapsed="false">
      <c r="A812" s="0" t="s">
        <v>2828</v>
      </c>
      <c r="B812" s="0" t="s">
        <v>1701</v>
      </c>
      <c r="C812" s="0" t="s">
        <v>1400</v>
      </c>
      <c r="D812" s="0" t="s">
        <v>1139</v>
      </c>
      <c r="E812" s="0" t="s">
        <v>81</v>
      </c>
      <c r="F812" s="0" t="n">
        <v>6</v>
      </c>
      <c r="G812" s="0" t="n">
        <v>17</v>
      </c>
      <c r="H812" s="0" t="n">
        <v>0.69</v>
      </c>
      <c r="I812" s="10" t="n">
        <v>0.255</v>
      </c>
      <c r="J812" s="0" t="n">
        <v>1.16</v>
      </c>
      <c r="K812" s="13" t="n">
        <f aca="false">IF(H812&lt;&gt;"",H812,IFERROR(G812/INDEX(Players!$M$2:$M$137,MATCH(B812,Players!$A$2:$A$137,0)),""))</f>
        <v>0.69</v>
      </c>
    </row>
    <row r="813" customFormat="false" ht="15" hidden="false" customHeight="false" outlineLevel="0" collapsed="false">
      <c r="A813" s="0" t="s">
        <v>2829</v>
      </c>
      <c r="B813" s="0" t="s">
        <v>1701</v>
      </c>
      <c r="C813" s="0" t="s">
        <v>1400</v>
      </c>
      <c r="D813" s="0" t="s">
        <v>1139</v>
      </c>
      <c r="E813" s="0" t="s">
        <v>95</v>
      </c>
      <c r="F813" s="0" t="n">
        <v>5</v>
      </c>
      <c r="G813" s="0" t="n">
        <v>16.4</v>
      </c>
      <c r="H813" s="0" t="n">
        <v>0.7</v>
      </c>
      <c r="I813" s="10" t="n">
        <v>0.439</v>
      </c>
      <c r="J813" s="0" t="n">
        <v>1.14</v>
      </c>
      <c r="K813" s="13" t="n">
        <f aca="false">IF(H813&lt;&gt;"",H813,IFERROR(G813/INDEX(Players!$M$2:$M$137,MATCH(B813,Players!$A$2:$A$137,0)),""))</f>
        <v>0.7</v>
      </c>
    </row>
    <row r="814" customFormat="false" ht="15" hidden="false" customHeight="false" outlineLevel="0" collapsed="false">
      <c r="A814" s="0" t="s">
        <v>2830</v>
      </c>
      <c r="B814" s="0" t="s">
        <v>1701</v>
      </c>
      <c r="C814" s="0" t="s">
        <v>1400</v>
      </c>
      <c r="D814" s="0" t="s">
        <v>1139</v>
      </c>
      <c r="E814" s="0" t="s">
        <v>145</v>
      </c>
      <c r="F814" s="0" t="n">
        <v>4</v>
      </c>
      <c r="G814" s="0" t="n">
        <v>19.8</v>
      </c>
      <c r="H814" s="0" t="n">
        <v>0.85</v>
      </c>
      <c r="I814" s="10" t="n">
        <v>0.316</v>
      </c>
      <c r="J814" s="0" t="n">
        <v>1.65</v>
      </c>
      <c r="K814" s="13" t="n">
        <f aca="false">IF(H814&lt;&gt;"",H814,IFERROR(G814/INDEX(Players!$M$2:$M$137,MATCH(B814,Players!$A$2:$A$137,0)),""))</f>
        <v>0.85</v>
      </c>
    </row>
    <row r="815" customFormat="false" ht="15" hidden="false" customHeight="false" outlineLevel="0" collapsed="false">
      <c r="A815" s="0" t="s">
        <v>2831</v>
      </c>
      <c r="B815" s="0" t="s">
        <v>1701</v>
      </c>
      <c r="C815" s="0" t="s">
        <v>1400</v>
      </c>
      <c r="D815" s="0" t="s">
        <v>1139</v>
      </c>
      <c r="E815" s="0" t="s">
        <v>129</v>
      </c>
      <c r="F815" s="0" t="n">
        <v>3</v>
      </c>
      <c r="G815" s="0" t="n">
        <v>16.7</v>
      </c>
      <c r="H815" s="0" t="n">
        <v>0.63</v>
      </c>
      <c r="I815" s="10" t="n">
        <v>0.32</v>
      </c>
      <c r="J815" s="0" t="n">
        <v>0.94</v>
      </c>
      <c r="K815" s="13" t="n">
        <f aca="false">IF(H815&lt;&gt;"",H815,IFERROR(G815/INDEX(Players!$M$2:$M$137,MATCH(B815,Players!$A$2:$A$137,0)),""))</f>
        <v>0.63</v>
      </c>
    </row>
    <row r="816" customFormat="false" ht="15" hidden="false" customHeight="false" outlineLevel="0" collapsed="false">
      <c r="A816" s="0" t="s">
        <v>2832</v>
      </c>
      <c r="B816" s="0" t="s">
        <v>1786</v>
      </c>
      <c r="C816" s="0" t="s">
        <v>1588</v>
      </c>
      <c r="D816" s="0" t="s">
        <v>1139</v>
      </c>
      <c r="E816" s="0" t="s">
        <v>95</v>
      </c>
      <c r="F816" s="0" t="n">
        <v>8</v>
      </c>
      <c r="G816" s="0" t="n">
        <v>18.9</v>
      </c>
      <c r="H816" s="0" t="n">
        <v>0.91</v>
      </c>
      <c r="I816" s="10" t="n">
        <v>0.424</v>
      </c>
      <c r="J816" s="0" t="n">
        <v>1.74</v>
      </c>
      <c r="K816" s="13" t="n">
        <f aca="false">IF(H816&lt;&gt;"",H816,IFERROR(G816/INDEX(Players!$M$2:$M$137,MATCH(B816,Players!$A$2:$A$137,0)),""))</f>
        <v>0.91</v>
      </c>
    </row>
    <row r="817" customFormat="false" ht="15" hidden="false" customHeight="false" outlineLevel="0" collapsed="false">
      <c r="A817" s="0" t="s">
        <v>2833</v>
      </c>
      <c r="B817" s="0" t="s">
        <v>1786</v>
      </c>
      <c r="C817" s="0" t="s">
        <v>1588</v>
      </c>
      <c r="D817" s="0" t="s">
        <v>1139</v>
      </c>
      <c r="E817" s="0" t="s">
        <v>108</v>
      </c>
      <c r="F817" s="0" t="n">
        <v>8</v>
      </c>
      <c r="G817" s="0" t="n">
        <v>17.8</v>
      </c>
      <c r="H817" s="0" t="n">
        <v>0.88</v>
      </c>
      <c r="I817" s="10" t="n">
        <v>0.317</v>
      </c>
      <c r="J817" s="0" t="n">
        <v>1.69</v>
      </c>
      <c r="K817" s="13" t="n">
        <f aca="false">IF(H817&lt;&gt;"",H817,IFERROR(G817/INDEX(Players!$M$2:$M$137,MATCH(B817,Players!$A$2:$A$137,0)),""))</f>
        <v>0.88</v>
      </c>
    </row>
    <row r="818" customFormat="false" ht="15" hidden="false" customHeight="false" outlineLevel="0" collapsed="false">
      <c r="A818" s="0" t="s">
        <v>2834</v>
      </c>
      <c r="B818" s="0" t="s">
        <v>1786</v>
      </c>
      <c r="C818" s="0" t="s">
        <v>1588</v>
      </c>
      <c r="D818" s="0" t="s">
        <v>1139</v>
      </c>
      <c r="E818" s="0" t="s">
        <v>129</v>
      </c>
      <c r="F818" s="0" t="n">
        <v>7</v>
      </c>
      <c r="G818" s="0" t="n">
        <v>19</v>
      </c>
      <c r="H818" s="0" t="n">
        <v>0.98</v>
      </c>
      <c r="I818" s="10" t="n">
        <v>0.481</v>
      </c>
      <c r="J818" s="0" t="n">
        <v>2.08</v>
      </c>
      <c r="K818" s="13" t="n">
        <f aca="false">IF(H818&lt;&gt;"",H818,IFERROR(G818/INDEX(Players!$M$2:$M$137,MATCH(B818,Players!$A$2:$A$137,0)),""))</f>
        <v>0.98</v>
      </c>
    </row>
    <row r="819" customFormat="false" ht="15" hidden="false" customHeight="false" outlineLevel="0" collapsed="false">
      <c r="A819" s="0" t="s">
        <v>2835</v>
      </c>
      <c r="B819" s="0" t="s">
        <v>1786</v>
      </c>
      <c r="C819" s="0" t="s">
        <v>1588</v>
      </c>
      <c r="D819" s="0" t="s">
        <v>1139</v>
      </c>
      <c r="E819" s="0" t="s">
        <v>121</v>
      </c>
      <c r="F819" s="0" t="n">
        <v>7</v>
      </c>
      <c r="G819" s="0" t="n">
        <v>17.4</v>
      </c>
      <c r="H819" s="0" t="n">
        <v>0.87</v>
      </c>
      <c r="I819" s="10" t="n">
        <v>0.484</v>
      </c>
      <c r="J819" s="0" t="n">
        <v>1.37</v>
      </c>
      <c r="K819" s="13" t="n">
        <f aca="false">IF(H819&lt;&gt;"",H819,IFERROR(G819/INDEX(Players!$M$2:$M$137,MATCH(B819,Players!$A$2:$A$137,0)),""))</f>
        <v>0.87</v>
      </c>
    </row>
    <row r="820" customFormat="false" ht="15" hidden="false" customHeight="false" outlineLevel="0" collapsed="false">
      <c r="A820" s="0" t="s">
        <v>2836</v>
      </c>
      <c r="B820" s="0" t="s">
        <v>1786</v>
      </c>
      <c r="C820" s="0" t="s">
        <v>1588</v>
      </c>
      <c r="D820" s="0" t="s">
        <v>1139</v>
      </c>
      <c r="E820" s="0" t="s">
        <v>139</v>
      </c>
      <c r="F820" s="0" t="n">
        <v>6</v>
      </c>
      <c r="G820" s="0" t="n">
        <v>15.3</v>
      </c>
      <c r="H820" s="0" t="n">
        <v>0.79</v>
      </c>
      <c r="I820" s="10" t="n">
        <v>0.467</v>
      </c>
      <c r="J820" s="0" t="n">
        <v>1.48</v>
      </c>
      <c r="K820" s="13" t="n">
        <f aca="false">IF(H820&lt;&gt;"",H820,IFERROR(G820/INDEX(Players!$M$2:$M$137,MATCH(B820,Players!$A$2:$A$137,0)),""))</f>
        <v>0.79</v>
      </c>
    </row>
    <row r="821" customFormat="false" ht="15" hidden="false" customHeight="false" outlineLevel="0" collapsed="false">
      <c r="A821" s="0" t="s">
        <v>2837</v>
      </c>
      <c r="B821" s="0" t="s">
        <v>1786</v>
      </c>
      <c r="C821" s="0" t="s">
        <v>1588</v>
      </c>
      <c r="D821" s="0" t="s">
        <v>1139</v>
      </c>
      <c r="E821" s="0" t="s">
        <v>145</v>
      </c>
      <c r="F821" s="0" t="n">
        <v>2</v>
      </c>
      <c r="G821" s="0" t="n">
        <v>12</v>
      </c>
      <c r="H821" s="0" t="n">
        <v>0.62</v>
      </c>
      <c r="I821" s="10" t="n">
        <v>0.417</v>
      </c>
      <c r="J821" s="0" t="n">
        <v>0.77</v>
      </c>
      <c r="K821" s="13" t="n">
        <f aca="false">IF(H821&lt;&gt;"",H821,IFERROR(G821/INDEX(Players!$M$2:$M$137,MATCH(B821,Players!$A$2:$A$137,0)),""))</f>
        <v>0.62</v>
      </c>
    </row>
    <row r="822" customFormat="false" ht="15" hidden="false" customHeight="false" outlineLevel="0" collapsed="false">
      <c r="A822" s="0" t="s">
        <v>2838</v>
      </c>
      <c r="B822" s="0" t="s">
        <v>1791</v>
      </c>
      <c r="C822" s="0" t="s">
        <v>1599</v>
      </c>
      <c r="D822" s="0" t="s">
        <v>1247</v>
      </c>
      <c r="E822" s="0" t="s">
        <v>290</v>
      </c>
      <c r="F822" s="0" t="n">
        <v>2</v>
      </c>
      <c r="G822" s="0" t="n">
        <v>19.5</v>
      </c>
      <c r="I822" s="10"/>
      <c r="J822" s="0" t="n">
        <v>1.05</v>
      </c>
      <c r="K822" s="13" t="n">
        <f aca="false">IF(H822&lt;&gt;"",H822,IFERROR(G822/INDEX(Players!$M$2:$M$137,MATCH(B822,Players!$A$2:$A$137,0)),""))</f>
        <v>0.791470588235294</v>
      </c>
    </row>
    <row r="823" customFormat="false" ht="15" hidden="false" customHeight="false" outlineLevel="0" collapsed="false">
      <c r="A823" s="0" t="s">
        <v>2839</v>
      </c>
      <c r="B823" s="0" t="s">
        <v>1791</v>
      </c>
      <c r="C823" s="0" t="s">
        <v>1599</v>
      </c>
      <c r="D823" s="0" t="s">
        <v>1247</v>
      </c>
      <c r="E823" s="0" t="s">
        <v>271</v>
      </c>
      <c r="F823" s="0" t="n">
        <v>1</v>
      </c>
      <c r="G823" s="0" t="n">
        <v>18</v>
      </c>
      <c r="I823" s="10"/>
      <c r="J823" s="0" t="n">
        <v>0.75</v>
      </c>
      <c r="K823" s="13" t="n">
        <f aca="false">IF(H823&lt;&gt;"",H823,IFERROR(G823/INDEX(Players!$M$2:$M$137,MATCH(B823,Players!$A$2:$A$137,0)),""))</f>
        <v>0.730588235294118</v>
      </c>
    </row>
    <row r="824" customFormat="false" ht="15" hidden="false" customHeight="false" outlineLevel="0" collapsed="false">
      <c r="A824" s="0" t="s">
        <v>2840</v>
      </c>
      <c r="B824" s="0" t="s">
        <v>1791</v>
      </c>
      <c r="C824" s="0" t="s">
        <v>1599</v>
      </c>
      <c r="D824" s="0" t="s">
        <v>1247</v>
      </c>
      <c r="E824" s="0" t="s">
        <v>278</v>
      </c>
      <c r="F824" s="0" t="n">
        <v>1</v>
      </c>
      <c r="G824" s="0" t="n">
        <v>11</v>
      </c>
      <c r="I824" s="10"/>
      <c r="J824" s="0" t="n">
        <v>0.69</v>
      </c>
      <c r="K824" s="13" t="n">
        <f aca="false">IF(H824&lt;&gt;"",H824,IFERROR(G824/INDEX(Players!$M$2:$M$137,MATCH(B824,Players!$A$2:$A$137,0)),""))</f>
        <v>0.446470588235294</v>
      </c>
    </row>
    <row r="825" customFormat="false" ht="15" hidden="false" customHeight="false" outlineLevel="0" collapsed="false">
      <c r="A825" s="0" t="s">
        <v>2841</v>
      </c>
      <c r="B825" s="0" t="s">
        <v>1793</v>
      </c>
      <c r="C825" s="0" t="s">
        <v>1603</v>
      </c>
      <c r="D825" s="0" t="s">
        <v>1247</v>
      </c>
      <c r="E825" s="0" t="s">
        <v>265</v>
      </c>
      <c r="F825" s="0" t="n">
        <v>8</v>
      </c>
      <c r="G825" s="0" t="n">
        <v>14</v>
      </c>
      <c r="I825" s="10"/>
      <c r="J825" s="0" t="n">
        <v>1.05</v>
      </c>
      <c r="K825" s="13" t="n">
        <f aca="false">IF(H825&lt;&gt;"",H825,IFERROR(G825/INDEX(Players!$M$2:$M$137,MATCH(B825,Players!$A$2:$A$137,0)),""))</f>
        <v>0.693165969316597</v>
      </c>
    </row>
    <row r="826" customFormat="false" ht="15" hidden="false" customHeight="false" outlineLevel="0" collapsed="false">
      <c r="A826" s="0" t="s">
        <v>2842</v>
      </c>
      <c r="B826" s="0" t="s">
        <v>1793</v>
      </c>
      <c r="C826" s="0" t="s">
        <v>1603</v>
      </c>
      <c r="D826" s="0" t="s">
        <v>1247</v>
      </c>
      <c r="E826" s="0" t="s">
        <v>1252</v>
      </c>
      <c r="F826" s="0" t="n">
        <v>7</v>
      </c>
      <c r="G826" s="0" t="n">
        <v>15.6</v>
      </c>
      <c r="I826" s="10"/>
      <c r="J826" s="0" t="n">
        <v>1.27</v>
      </c>
      <c r="K826" s="13" t="n">
        <f aca="false">IF(H826&lt;&gt;"",H826,IFERROR(G826/INDEX(Players!$M$2:$M$137,MATCH(B826,Players!$A$2:$A$137,0)),""))</f>
        <v>0.772384937238494</v>
      </c>
    </row>
    <row r="827" customFormat="false" ht="15" hidden="false" customHeight="false" outlineLevel="0" collapsed="false">
      <c r="A827" s="0" t="s">
        <v>2843</v>
      </c>
      <c r="B827" s="0" t="s">
        <v>1793</v>
      </c>
      <c r="C827" s="0" t="s">
        <v>1603</v>
      </c>
      <c r="D827" s="0" t="s">
        <v>1247</v>
      </c>
      <c r="E827" s="0" t="s">
        <v>284</v>
      </c>
      <c r="F827" s="0" t="n">
        <v>3</v>
      </c>
      <c r="G827" s="0" t="n">
        <v>20</v>
      </c>
      <c r="I827" s="10"/>
      <c r="J827" s="0" t="n">
        <v>1.54</v>
      </c>
      <c r="K827" s="13" t="n">
        <f aca="false">IF(H827&lt;&gt;"",H827,IFERROR(G827/INDEX(Players!$M$2:$M$137,MATCH(B827,Players!$A$2:$A$137,0)),""))</f>
        <v>0.99023709902371</v>
      </c>
    </row>
    <row r="828" customFormat="false" ht="15" hidden="false" customHeight="false" outlineLevel="0" collapsed="false">
      <c r="A828" s="0" t="s">
        <v>2844</v>
      </c>
      <c r="B828" s="0" t="s">
        <v>1793</v>
      </c>
      <c r="C828" s="0" t="s">
        <v>1603</v>
      </c>
      <c r="D828" s="0" t="s">
        <v>1247</v>
      </c>
      <c r="E828" s="0" t="s">
        <v>290</v>
      </c>
      <c r="F828" s="0" t="n">
        <v>3</v>
      </c>
      <c r="G828" s="0" t="n">
        <v>14.7</v>
      </c>
      <c r="I828" s="10"/>
      <c r="J828" s="0" t="n">
        <v>1.07</v>
      </c>
      <c r="K828" s="13" t="n">
        <f aca="false">IF(H828&lt;&gt;"",H828,IFERROR(G828/INDEX(Players!$M$2:$M$137,MATCH(B828,Players!$A$2:$A$137,0)),""))</f>
        <v>0.727824267782427</v>
      </c>
    </row>
    <row r="829" customFormat="false" ht="15" hidden="false" customHeight="false" outlineLevel="0" collapsed="false">
      <c r="A829" s="0" t="s">
        <v>2845</v>
      </c>
      <c r="B829" s="0" t="s">
        <v>1793</v>
      </c>
      <c r="C829" s="0" t="s">
        <v>1603</v>
      </c>
      <c r="D829" s="0" t="s">
        <v>1247</v>
      </c>
      <c r="E829" s="0" t="s">
        <v>278</v>
      </c>
      <c r="F829" s="0" t="n">
        <v>3</v>
      </c>
      <c r="G829" s="0" t="n">
        <v>13.7</v>
      </c>
      <c r="I829" s="10"/>
      <c r="J829" s="0" t="n">
        <v>0.95</v>
      </c>
      <c r="K829" s="13" t="n">
        <f aca="false">IF(H829&lt;&gt;"",H829,IFERROR(G829/INDEX(Players!$M$2:$M$137,MATCH(B829,Players!$A$2:$A$137,0)),""))</f>
        <v>0.678312412831241</v>
      </c>
    </row>
    <row r="830" customFormat="false" ht="15" hidden="false" customHeight="false" outlineLevel="0" collapsed="false">
      <c r="A830" s="0" t="s">
        <v>2846</v>
      </c>
      <c r="B830" s="0" t="s">
        <v>1793</v>
      </c>
      <c r="C830" s="0" t="s">
        <v>1603</v>
      </c>
      <c r="D830" s="0" t="s">
        <v>1247</v>
      </c>
      <c r="E830" s="0" t="s">
        <v>1814</v>
      </c>
      <c r="F830" s="0" t="n">
        <v>3</v>
      </c>
      <c r="G830" s="0" t="n">
        <v>8.7</v>
      </c>
      <c r="I830" s="10"/>
      <c r="J830" s="0" t="n">
        <v>0.52</v>
      </c>
      <c r="K830" s="13" t="n">
        <f aca="false">IF(H830&lt;&gt;"",H830,IFERROR(G830/INDEX(Players!$M$2:$M$137,MATCH(B830,Players!$A$2:$A$137,0)),""))</f>
        <v>0.430753138075314</v>
      </c>
    </row>
    <row r="831" customFormat="false" ht="15" hidden="false" customHeight="false" outlineLevel="0" collapsed="false">
      <c r="A831" s="0" t="s">
        <v>2847</v>
      </c>
      <c r="B831" s="0" t="s">
        <v>1793</v>
      </c>
      <c r="C831" s="0" t="s">
        <v>1603</v>
      </c>
      <c r="D831" s="0" t="s">
        <v>1247</v>
      </c>
      <c r="E831" s="0" t="s">
        <v>1259</v>
      </c>
      <c r="F831" s="0" t="n">
        <v>2</v>
      </c>
      <c r="G831" s="0" t="n">
        <v>12.5</v>
      </c>
      <c r="I831" s="10"/>
      <c r="J831" s="0" t="n">
        <v>0.96</v>
      </c>
      <c r="K831" s="13" t="n">
        <f aca="false">IF(H831&lt;&gt;"",H831,IFERROR(G831/INDEX(Players!$M$2:$M$137,MATCH(B831,Players!$A$2:$A$137,0)),""))</f>
        <v>0.618898186889819</v>
      </c>
    </row>
    <row r="832" customFormat="false" ht="15" hidden="false" customHeight="false" outlineLevel="0" collapsed="false">
      <c r="A832" s="0" t="s">
        <v>2848</v>
      </c>
      <c r="B832" s="0" t="s">
        <v>1793</v>
      </c>
      <c r="C832" s="0" t="s">
        <v>1603</v>
      </c>
      <c r="D832" s="0" t="s">
        <v>1247</v>
      </c>
      <c r="E832" s="0" t="s">
        <v>1819</v>
      </c>
      <c r="F832" s="0" t="n">
        <v>1</v>
      </c>
      <c r="G832" s="0" t="n">
        <v>20</v>
      </c>
      <c r="I832" s="10"/>
      <c r="J832" s="0" t="n">
        <v>1.33</v>
      </c>
      <c r="K832" s="13" t="n">
        <f aca="false">IF(H832&lt;&gt;"",H832,IFERROR(G832/INDEX(Players!$M$2:$M$137,MATCH(B832,Players!$A$2:$A$137,0)),""))</f>
        <v>0.99023709902371</v>
      </c>
    </row>
    <row r="833" customFormat="false" ht="15" hidden="false" customHeight="false" outlineLevel="0" collapsed="false">
      <c r="A833" s="0" t="s">
        <v>2849</v>
      </c>
      <c r="B833" s="0" t="s">
        <v>1793</v>
      </c>
      <c r="C833" s="0" t="s">
        <v>1603</v>
      </c>
      <c r="D833" s="0" t="s">
        <v>1247</v>
      </c>
      <c r="E833" s="0" t="s">
        <v>271</v>
      </c>
      <c r="F833" s="0" t="n">
        <v>1</v>
      </c>
      <c r="G833" s="0" t="n">
        <v>12</v>
      </c>
      <c r="I833" s="10"/>
      <c r="J833" s="0" t="n">
        <v>0.92</v>
      </c>
      <c r="K833" s="13" t="n">
        <f aca="false">IF(H833&lt;&gt;"",H833,IFERROR(G833/INDEX(Players!$M$2:$M$137,MATCH(B833,Players!$A$2:$A$137,0)),""))</f>
        <v>0.594142259414226</v>
      </c>
    </row>
    <row r="834" customFormat="false" ht="15" hidden="false" customHeight="false" outlineLevel="0" collapsed="false">
      <c r="A834" s="0" t="s">
        <v>2850</v>
      </c>
      <c r="B834" s="0" t="s">
        <v>1793</v>
      </c>
      <c r="C834" s="0" t="s">
        <v>1603</v>
      </c>
      <c r="D834" s="0" t="s">
        <v>1247</v>
      </c>
      <c r="E834" s="0" t="s">
        <v>296</v>
      </c>
      <c r="F834" s="0" t="n">
        <v>1</v>
      </c>
      <c r="G834" s="0" t="n">
        <v>10</v>
      </c>
      <c r="I834" s="10"/>
      <c r="J834" s="0" t="n">
        <v>0.53</v>
      </c>
      <c r="K834" s="13" t="n">
        <f aca="false">IF(H834&lt;&gt;"",H834,IFERROR(G834/INDEX(Players!$M$2:$M$137,MATCH(B834,Players!$A$2:$A$137,0)),""))</f>
        <v>0.495118549511855</v>
      </c>
    </row>
    <row r="835" customFormat="false" ht="15" hidden="false" customHeight="false" outlineLevel="0" collapsed="false">
      <c r="A835" s="0" t="s">
        <v>2851</v>
      </c>
      <c r="B835" s="0" t="s">
        <v>1794</v>
      </c>
      <c r="C835" s="0" t="s">
        <v>1605</v>
      </c>
      <c r="D835" s="0" t="s">
        <v>1247</v>
      </c>
      <c r="E835" s="0" t="s">
        <v>271</v>
      </c>
      <c r="F835" s="0" t="n">
        <v>8</v>
      </c>
      <c r="G835" s="0" t="n">
        <v>10.8</v>
      </c>
      <c r="I835" s="10"/>
      <c r="J835" s="0" t="n">
        <v>0.76</v>
      </c>
      <c r="K835" s="13" t="n">
        <f aca="false">IF(H835&lt;&gt;"",H835,IFERROR(G835/INDEX(Players!$M$2:$M$137,MATCH(B835,Players!$A$2:$A$137,0)),""))</f>
        <v>0.509433962264151</v>
      </c>
    </row>
    <row r="836" customFormat="false" ht="15" hidden="false" customHeight="false" outlineLevel="0" collapsed="false">
      <c r="A836" s="0" t="s">
        <v>2852</v>
      </c>
      <c r="B836" s="0" t="s">
        <v>1794</v>
      </c>
      <c r="C836" s="0" t="s">
        <v>1605</v>
      </c>
      <c r="D836" s="0" t="s">
        <v>1247</v>
      </c>
      <c r="E836" s="0" t="s">
        <v>296</v>
      </c>
      <c r="F836" s="0" t="n">
        <v>5</v>
      </c>
      <c r="G836" s="0" t="n">
        <v>10.2</v>
      </c>
      <c r="I836" s="10"/>
      <c r="J836" s="0" t="n">
        <v>0.61</v>
      </c>
      <c r="K836" s="13" t="n">
        <f aca="false">IF(H836&lt;&gt;"",H836,IFERROR(G836/INDEX(Players!$M$2:$M$137,MATCH(B836,Players!$A$2:$A$137,0)),""))</f>
        <v>0.481132075471698</v>
      </c>
    </row>
    <row r="837" customFormat="false" ht="15" hidden="false" customHeight="false" outlineLevel="0" collapsed="false">
      <c r="A837" s="0" t="s">
        <v>2853</v>
      </c>
      <c r="B837" s="0" t="s">
        <v>1794</v>
      </c>
      <c r="C837" s="0" t="s">
        <v>1605</v>
      </c>
      <c r="D837" s="0" t="s">
        <v>1247</v>
      </c>
      <c r="E837" s="0" t="s">
        <v>1259</v>
      </c>
      <c r="F837" s="0" t="n">
        <v>4</v>
      </c>
      <c r="G837" s="0" t="n">
        <v>14</v>
      </c>
      <c r="I837" s="10"/>
      <c r="J837" s="0" t="n">
        <v>0.81</v>
      </c>
      <c r="K837" s="13" t="n">
        <f aca="false">IF(H837&lt;&gt;"",H837,IFERROR(G837/INDEX(Players!$M$2:$M$137,MATCH(B837,Players!$A$2:$A$137,0)),""))</f>
        <v>0.660377358490566</v>
      </c>
    </row>
    <row r="838" customFormat="false" ht="15" hidden="false" customHeight="false" outlineLevel="0" collapsed="false">
      <c r="A838" s="0" t="s">
        <v>2854</v>
      </c>
      <c r="B838" s="0" t="s">
        <v>1794</v>
      </c>
      <c r="C838" s="0" t="s">
        <v>1605</v>
      </c>
      <c r="D838" s="0" t="s">
        <v>1247</v>
      </c>
      <c r="E838" s="0" t="s">
        <v>265</v>
      </c>
      <c r="F838" s="0" t="n">
        <v>3</v>
      </c>
      <c r="G838" s="0" t="n">
        <v>13.3</v>
      </c>
      <c r="I838" s="10"/>
      <c r="J838" s="0" t="n">
        <v>0.89</v>
      </c>
      <c r="K838" s="13" t="n">
        <f aca="false">IF(H838&lt;&gt;"",H838,IFERROR(G838/INDEX(Players!$M$2:$M$137,MATCH(B838,Players!$A$2:$A$137,0)),""))</f>
        <v>0.627358490566038</v>
      </c>
    </row>
    <row r="839" customFormat="false" ht="15" hidden="false" customHeight="false" outlineLevel="0" collapsed="false">
      <c r="A839" s="0" t="s">
        <v>2855</v>
      </c>
      <c r="B839" s="0" t="s">
        <v>1794</v>
      </c>
      <c r="C839" s="0" t="s">
        <v>1605</v>
      </c>
      <c r="D839" s="0" t="s">
        <v>1247</v>
      </c>
      <c r="E839" s="0" t="s">
        <v>1819</v>
      </c>
      <c r="F839" s="0" t="n">
        <v>3</v>
      </c>
      <c r="G839" s="0" t="n">
        <v>12.7</v>
      </c>
      <c r="I839" s="10"/>
      <c r="J839" s="0" t="n">
        <v>0.88</v>
      </c>
      <c r="K839" s="13" t="n">
        <f aca="false">IF(H839&lt;&gt;"",H839,IFERROR(G839/INDEX(Players!$M$2:$M$137,MATCH(B839,Players!$A$2:$A$137,0)),""))</f>
        <v>0.599056603773585</v>
      </c>
    </row>
    <row r="840" customFormat="false" ht="15" hidden="false" customHeight="false" outlineLevel="0" collapsed="false">
      <c r="A840" s="0" t="s">
        <v>2856</v>
      </c>
      <c r="B840" s="0" t="s">
        <v>1794</v>
      </c>
      <c r="C840" s="0" t="s">
        <v>1605</v>
      </c>
      <c r="D840" s="0" t="s">
        <v>1247</v>
      </c>
      <c r="E840" s="0" t="s">
        <v>290</v>
      </c>
      <c r="F840" s="0" t="n">
        <v>3</v>
      </c>
      <c r="G840" s="0" t="n">
        <v>13</v>
      </c>
      <c r="I840" s="10"/>
      <c r="J840" s="0" t="n">
        <v>0.72</v>
      </c>
      <c r="K840" s="13" t="n">
        <f aca="false">IF(H840&lt;&gt;"",H840,IFERROR(G840/INDEX(Players!$M$2:$M$137,MATCH(B840,Players!$A$2:$A$137,0)),""))</f>
        <v>0.613207547169811</v>
      </c>
    </row>
    <row r="841" customFormat="false" ht="15" hidden="false" customHeight="false" outlineLevel="0" collapsed="false">
      <c r="A841" s="0" t="s">
        <v>2857</v>
      </c>
      <c r="B841" s="0" t="s">
        <v>1794</v>
      </c>
      <c r="C841" s="0" t="s">
        <v>1605</v>
      </c>
      <c r="D841" s="0" t="s">
        <v>1247</v>
      </c>
      <c r="E841" s="0" t="s">
        <v>287</v>
      </c>
      <c r="F841" s="0" t="n">
        <v>3</v>
      </c>
      <c r="G841" s="0" t="n">
        <v>9.3</v>
      </c>
      <c r="I841" s="10"/>
      <c r="J841" s="0" t="n">
        <v>0.56</v>
      </c>
      <c r="K841" s="13" t="n">
        <f aca="false">IF(H841&lt;&gt;"",H841,IFERROR(G841/INDEX(Players!$M$2:$M$137,MATCH(B841,Players!$A$2:$A$137,0)),""))</f>
        <v>0.438679245283019</v>
      </c>
    </row>
    <row r="842" customFormat="false" ht="15" hidden="false" customHeight="false" outlineLevel="0" collapsed="false">
      <c r="A842" s="0" t="s">
        <v>2858</v>
      </c>
      <c r="B842" s="0" t="s">
        <v>1792</v>
      </c>
      <c r="C842" s="0" t="s">
        <v>1601</v>
      </c>
      <c r="D842" s="0" t="s">
        <v>1247</v>
      </c>
      <c r="E842" s="0" t="s">
        <v>271</v>
      </c>
      <c r="F842" s="0" t="n">
        <v>7</v>
      </c>
      <c r="G842" s="0" t="n">
        <v>21.3</v>
      </c>
      <c r="I842" s="10"/>
      <c r="J842" s="0" t="n">
        <v>1.16</v>
      </c>
      <c r="K842" s="13" t="n">
        <f aca="false">IF(H842&lt;&gt;"",H842,IFERROR(G842/INDEX(Players!$M$2:$M$137,MATCH(B842,Players!$A$2:$A$137,0)),""))</f>
        <v>0.977704918032787</v>
      </c>
    </row>
    <row r="843" customFormat="false" ht="15" hidden="false" customHeight="false" outlineLevel="0" collapsed="false">
      <c r="A843" s="0" t="s">
        <v>2859</v>
      </c>
      <c r="B843" s="0" t="s">
        <v>1792</v>
      </c>
      <c r="C843" s="0" t="s">
        <v>1601</v>
      </c>
      <c r="D843" s="0" t="s">
        <v>1247</v>
      </c>
      <c r="E843" s="0" t="s">
        <v>296</v>
      </c>
      <c r="F843" s="0" t="n">
        <v>7</v>
      </c>
      <c r="G843" s="0" t="n">
        <v>17.3</v>
      </c>
      <c r="I843" s="10"/>
      <c r="J843" s="0" t="n">
        <v>1.13</v>
      </c>
      <c r="K843" s="13" t="n">
        <f aca="false">IF(H843&lt;&gt;"",H843,IFERROR(G843/INDEX(Players!$M$2:$M$137,MATCH(B843,Players!$A$2:$A$137,0)),""))</f>
        <v>0.794098360655738</v>
      </c>
    </row>
    <row r="844" customFormat="false" ht="15" hidden="false" customHeight="false" outlineLevel="0" collapsed="false">
      <c r="A844" s="0" t="s">
        <v>2860</v>
      </c>
      <c r="B844" s="0" t="s">
        <v>1792</v>
      </c>
      <c r="C844" s="0" t="s">
        <v>1601</v>
      </c>
      <c r="D844" s="0" t="s">
        <v>1247</v>
      </c>
      <c r="E844" s="0" t="s">
        <v>265</v>
      </c>
      <c r="F844" s="0" t="n">
        <v>5</v>
      </c>
      <c r="G844" s="0" t="n">
        <v>20.4</v>
      </c>
      <c r="I844" s="10"/>
      <c r="J844" s="0" t="n">
        <v>1.29</v>
      </c>
      <c r="K844" s="13" t="n">
        <f aca="false">IF(H844&lt;&gt;"",H844,IFERROR(G844/INDEX(Players!$M$2:$M$137,MATCH(B844,Players!$A$2:$A$137,0)),""))</f>
        <v>0.936393442622951</v>
      </c>
    </row>
    <row r="845" customFormat="false" ht="15" hidden="false" customHeight="false" outlineLevel="0" collapsed="false">
      <c r="A845" s="0" t="s">
        <v>2861</v>
      </c>
      <c r="B845" s="0" t="s">
        <v>1792</v>
      </c>
      <c r="C845" s="0" t="s">
        <v>1601</v>
      </c>
      <c r="D845" s="0" t="s">
        <v>1247</v>
      </c>
      <c r="E845" s="0" t="s">
        <v>1252</v>
      </c>
      <c r="F845" s="0" t="n">
        <v>3</v>
      </c>
      <c r="G845" s="0" t="n">
        <v>15</v>
      </c>
      <c r="I845" s="10"/>
      <c r="J845" s="0" t="n">
        <v>0.92</v>
      </c>
      <c r="K845" s="13" t="n">
        <f aca="false">IF(H845&lt;&gt;"",H845,IFERROR(G845/INDEX(Players!$M$2:$M$137,MATCH(B845,Players!$A$2:$A$137,0)),""))</f>
        <v>0.688524590163934</v>
      </c>
    </row>
    <row r="846" customFormat="false" ht="15" hidden="false" customHeight="false" outlineLevel="0" collapsed="false">
      <c r="A846" s="0" t="s">
        <v>2862</v>
      </c>
      <c r="B846" s="0" t="s">
        <v>1792</v>
      </c>
      <c r="C846" s="0" t="s">
        <v>1601</v>
      </c>
      <c r="D846" s="0" t="s">
        <v>1247</v>
      </c>
      <c r="E846" s="0" t="s">
        <v>1259</v>
      </c>
      <c r="F846" s="0" t="n">
        <v>2</v>
      </c>
      <c r="G846" s="0" t="n">
        <v>25</v>
      </c>
      <c r="I846" s="10"/>
      <c r="J846" s="0" t="n">
        <v>2.17</v>
      </c>
      <c r="K846" s="13" t="n">
        <f aca="false">IF(H846&lt;&gt;"",H846,IFERROR(G846/INDEX(Players!$M$2:$M$137,MATCH(B846,Players!$A$2:$A$137,0)),""))</f>
        <v>1.14754098360656</v>
      </c>
    </row>
    <row r="847" customFormat="false" ht="15" hidden="false" customHeight="false" outlineLevel="0" collapsed="false">
      <c r="A847" s="0" t="s">
        <v>2863</v>
      </c>
      <c r="B847" s="0" t="s">
        <v>1792</v>
      </c>
      <c r="C847" s="0" t="s">
        <v>1601</v>
      </c>
      <c r="D847" s="0" t="s">
        <v>1247</v>
      </c>
      <c r="E847" s="0" t="s">
        <v>284</v>
      </c>
      <c r="F847" s="0" t="n">
        <v>2</v>
      </c>
      <c r="G847" s="0" t="n">
        <v>15.5</v>
      </c>
      <c r="I847" s="10"/>
      <c r="J847" s="0" t="n">
        <v>1.29</v>
      </c>
      <c r="K847" s="13" t="n">
        <f aca="false">IF(H847&lt;&gt;"",H847,IFERROR(G847/INDEX(Players!$M$2:$M$137,MATCH(B847,Players!$A$2:$A$137,0)),""))</f>
        <v>0.711475409836066</v>
      </c>
    </row>
    <row r="848" customFormat="false" ht="15" hidden="false" customHeight="false" outlineLevel="0" collapsed="false">
      <c r="A848" s="0" t="s">
        <v>2864</v>
      </c>
      <c r="B848" s="0" t="s">
        <v>1792</v>
      </c>
      <c r="C848" s="0" t="s">
        <v>1601</v>
      </c>
      <c r="D848" s="0" t="s">
        <v>1247</v>
      </c>
      <c r="E848" s="0" t="s">
        <v>1811</v>
      </c>
      <c r="F848" s="0" t="n">
        <v>2</v>
      </c>
      <c r="G848" s="0" t="n">
        <v>10.5</v>
      </c>
      <c r="I848" s="10"/>
      <c r="J848" s="0" t="n">
        <v>0.81</v>
      </c>
      <c r="K848" s="13" t="n">
        <f aca="false">IF(H848&lt;&gt;"",H848,IFERROR(G848/INDEX(Players!$M$2:$M$137,MATCH(B848,Players!$A$2:$A$137,0)),""))</f>
        <v>0.481967213114754</v>
      </c>
    </row>
    <row r="849" customFormat="false" ht="15" hidden="false" customHeight="false" outlineLevel="0" collapsed="false">
      <c r="A849" s="0" t="s">
        <v>2865</v>
      </c>
      <c r="B849" s="0" t="s">
        <v>1792</v>
      </c>
      <c r="C849" s="0" t="s">
        <v>1601</v>
      </c>
      <c r="D849" s="0" t="s">
        <v>1247</v>
      </c>
      <c r="E849" s="0" t="s">
        <v>278</v>
      </c>
      <c r="F849" s="0" t="n">
        <v>1</v>
      </c>
      <c r="G849" s="0" t="n">
        <v>17</v>
      </c>
      <c r="I849" s="10"/>
      <c r="J849" s="0" t="n">
        <v>1</v>
      </c>
      <c r="K849" s="13" t="n">
        <f aca="false">IF(H849&lt;&gt;"",H849,IFERROR(G849/INDEX(Players!$M$2:$M$137,MATCH(B849,Players!$A$2:$A$137,0)),""))</f>
        <v>0.780327868852459</v>
      </c>
    </row>
    <row r="850" customFormat="false" ht="15" hidden="false" customHeight="false" outlineLevel="0" collapsed="false">
      <c r="A850" s="0" t="s">
        <v>2866</v>
      </c>
      <c r="B850" s="0" t="s">
        <v>1792</v>
      </c>
      <c r="C850" s="0" t="s">
        <v>1601</v>
      </c>
      <c r="D850" s="0" t="s">
        <v>1247</v>
      </c>
      <c r="E850" s="0" t="s">
        <v>1819</v>
      </c>
      <c r="F850" s="0" t="n">
        <v>1</v>
      </c>
      <c r="G850" s="0" t="n">
        <v>13</v>
      </c>
      <c r="I850" s="10"/>
      <c r="J850" s="0" t="n">
        <v>0.87</v>
      </c>
      <c r="K850" s="13" t="n">
        <f aca="false">IF(H850&lt;&gt;"",H850,IFERROR(G850/INDEX(Players!$M$2:$M$137,MATCH(B850,Players!$A$2:$A$137,0)),""))</f>
        <v>0.59672131147541</v>
      </c>
    </row>
  </sheetData>
  <autoFilter ref="A1:K8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1101</v>
      </c>
      <c r="B1" s="12" t="s">
        <v>2867</v>
      </c>
      <c r="C1" s="12" t="s">
        <v>2868</v>
      </c>
      <c r="D1" s="12" t="s">
        <v>2869</v>
      </c>
      <c r="E1" s="12" t="s">
        <v>2870</v>
      </c>
      <c r="F1" s="12" t="s">
        <v>2871</v>
      </c>
      <c r="G1" s="12" t="s">
        <v>2872</v>
      </c>
      <c r="H1" s="12" t="s">
        <v>2873</v>
      </c>
    </row>
    <row r="2" customFormat="false" ht="15" hidden="false" customHeight="false" outlineLevel="0" collapsed="false">
      <c r="A2" s="0" t="s">
        <v>1056</v>
      </c>
      <c r="B2" s="0" t="s">
        <v>2874</v>
      </c>
      <c r="C2" s="0" t="n">
        <v>16.5</v>
      </c>
      <c r="D2" s="0" t="n">
        <v>3</v>
      </c>
      <c r="E2" s="0" t="n">
        <v>16.68</v>
      </c>
      <c r="F2" s="0" t="n">
        <v>3</v>
      </c>
      <c r="G2" s="0" t="n">
        <v>33.18</v>
      </c>
      <c r="H2" s="0" t="s">
        <v>1722</v>
      </c>
    </row>
    <row r="3" customFormat="false" ht="15" hidden="false" customHeight="false" outlineLevel="0" collapsed="false">
      <c r="A3" s="0" t="s">
        <v>1056</v>
      </c>
      <c r="B3" s="0" t="s">
        <v>1448</v>
      </c>
      <c r="C3" s="0" t="n">
        <v>13.5</v>
      </c>
      <c r="D3" s="0" t="n">
        <v>3</v>
      </c>
      <c r="E3" s="0" t="n">
        <v>13.32</v>
      </c>
      <c r="F3" s="0" t="n">
        <v>3</v>
      </c>
      <c r="G3" s="0" t="n">
        <v>26.82</v>
      </c>
      <c r="H3" s="0" t="s">
        <v>1723</v>
      </c>
    </row>
    <row r="4" customFormat="false" ht="15" hidden="false" customHeight="false" outlineLevel="0" collapsed="false">
      <c r="A4" s="0" t="s">
        <v>1056</v>
      </c>
      <c r="B4" s="0" t="s">
        <v>2875</v>
      </c>
      <c r="C4" s="0" t="n">
        <v>14.5</v>
      </c>
      <c r="D4" s="0" t="n">
        <v>3</v>
      </c>
      <c r="E4" s="0" t="n">
        <v>14.5</v>
      </c>
      <c r="F4" s="0" t="n">
        <v>3</v>
      </c>
      <c r="G4" s="0" t="n">
        <v>29</v>
      </c>
    </row>
    <row r="5" customFormat="false" ht="15" hidden="false" customHeight="false" outlineLevel="0" collapsed="false">
      <c r="A5" s="0" t="s">
        <v>1056</v>
      </c>
      <c r="B5" s="0" t="s">
        <v>2876</v>
      </c>
      <c r="C5" s="0" t="n">
        <v>14.5</v>
      </c>
      <c r="D5" s="0" t="n">
        <v>3</v>
      </c>
      <c r="E5" s="0" t="n">
        <v>14.22</v>
      </c>
      <c r="F5" s="0" t="n">
        <v>3</v>
      </c>
      <c r="G5" s="0" t="n">
        <v>28.72</v>
      </c>
      <c r="H5" s="0" t="s">
        <v>1728</v>
      </c>
    </row>
    <row r="6" customFormat="false" ht="15" hidden="false" customHeight="false" outlineLevel="0" collapsed="false">
      <c r="A6" s="0" t="s">
        <v>1056</v>
      </c>
      <c r="B6" s="0" t="s">
        <v>2877</v>
      </c>
      <c r="C6" s="0" t="n">
        <v>15.62</v>
      </c>
      <c r="D6" s="0" t="n">
        <v>3</v>
      </c>
      <c r="E6" s="0" t="n">
        <v>15.32</v>
      </c>
      <c r="F6" s="0" t="n">
        <v>3</v>
      </c>
      <c r="G6" s="0" t="n">
        <v>30.94</v>
      </c>
      <c r="H6" s="0" t="s">
        <v>1724</v>
      </c>
    </row>
    <row r="7" customFormat="false" ht="15" hidden="false" customHeight="false" outlineLevel="0" collapsed="false">
      <c r="A7" s="0" t="s">
        <v>1056</v>
      </c>
      <c r="B7" s="0" t="s">
        <v>1462</v>
      </c>
      <c r="C7" s="0" t="n">
        <v>13.08</v>
      </c>
      <c r="D7" s="0" t="n">
        <v>3</v>
      </c>
      <c r="E7" s="0" t="n">
        <v>12.92</v>
      </c>
      <c r="F7" s="0" t="n">
        <v>3</v>
      </c>
      <c r="G7" s="0" t="n">
        <v>26</v>
      </c>
      <c r="H7" s="0" t="s">
        <v>1729</v>
      </c>
    </row>
    <row r="8" customFormat="false" ht="15" hidden="false" customHeight="false" outlineLevel="0" collapsed="false">
      <c r="A8" s="0" t="s">
        <v>1056</v>
      </c>
      <c r="B8" s="0" t="s">
        <v>2878</v>
      </c>
      <c r="C8" s="0" t="n">
        <v>15.32</v>
      </c>
      <c r="D8" s="0" t="n">
        <v>3</v>
      </c>
      <c r="E8" s="0" t="n">
        <v>15.15</v>
      </c>
      <c r="F8" s="0" t="n">
        <v>3</v>
      </c>
      <c r="G8" s="0" t="n">
        <v>30.46</v>
      </c>
      <c r="H8" s="0" t="s">
        <v>1725</v>
      </c>
    </row>
    <row r="9" customFormat="false" ht="15" hidden="false" customHeight="false" outlineLevel="0" collapsed="false">
      <c r="A9" s="0" t="s">
        <v>1056</v>
      </c>
      <c r="B9" s="0" t="s">
        <v>1465</v>
      </c>
      <c r="C9" s="0" t="n">
        <v>13.62</v>
      </c>
      <c r="D9" s="0" t="n">
        <v>3</v>
      </c>
      <c r="E9" s="0" t="n">
        <v>13.5</v>
      </c>
      <c r="F9" s="0" t="n">
        <v>3</v>
      </c>
      <c r="G9" s="0" t="n">
        <v>27.12</v>
      </c>
      <c r="H9" s="0" t="s">
        <v>1730</v>
      </c>
    </row>
    <row r="10" customFormat="false" ht="15" hidden="false" customHeight="false" outlineLevel="0" collapsed="false">
      <c r="A10" s="0" t="s">
        <v>1056</v>
      </c>
      <c r="B10" s="0" t="s">
        <v>2879</v>
      </c>
      <c r="C10" s="0" t="n">
        <v>13.5</v>
      </c>
      <c r="D10" s="0" t="n">
        <v>3</v>
      </c>
      <c r="E10" s="0" t="n">
        <v>13.22</v>
      </c>
      <c r="F10" s="0" t="n">
        <v>3</v>
      </c>
      <c r="G10" s="0" t="n">
        <v>26.72</v>
      </c>
      <c r="H10" s="0" t="s">
        <v>1731</v>
      </c>
    </row>
    <row r="11" customFormat="false" ht="15" hidden="false" customHeight="false" outlineLevel="0" collapsed="false">
      <c r="A11" s="0" t="s">
        <v>1056</v>
      </c>
      <c r="B11" s="0" t="s">
        <v>1455</v>
      </c>
      <c r="C11" s="0" t="n">
        <v>14.62</v>
      </c>
      <c r="D11" s="0" t="n">
        <v>3</v>
      </c>
      <c r="E11" s="0" t="n">
        <v>14.4</v>
      </c>
      <c r="F11" s="0" t="n">
        <v>3</v>
      </c>
      <c r="G11" s="0" t="n">
        <v>29.02</v>
      </c>
      <c r="H11" s="0" t="s">
        <v>1726</v>
      </c>
    </row>
    <row r="12" customFormat="false" ht="15" hidden="false" customHeight="false" outlineLevel="0" collapsed="false">
      <c r="A12" s="0" t="s">
        <v>1161</v>
      </c>
      <c r="B12" s="0" t="s">
        <v>2880</v>
      </c>
      <c r="C12" s="0" t="n">
        <v>10.89</v>
      </c>
      <c r="D12" s="0" t="n">
        <v>3</v>
      </c>
      <c r="E12" s="0" t="n">
        <v>10.5</v>
      </c>
      <c r="F12" s="0" t="n">
        <v>3</v>
      </c>
      <c r="G12" s="0" t="n">
        <v>21.39</v>
      </c>
      <c r="H12" s="0" t="s">
        <v>1777</v>
      </c>
    </row>
    <row r="13" customFormat="false" ht="15" hidden="false" customHeight="false" outlineLevel="0" collapsed="false">
      <c r="A13" s="0" t="s">
        <v>1161</v>
      </c>
      <c r="B13" s="0" t="s">
        <v>1568</v>
      </c>
      <c r="C13" s="0" t="n">
        <v>13.74</v>
      </c>
      <c r="D13" s="0" t="n">
        <v>3</v>
      </c>
      <c r="E13" s="0" t="n">
        <v>14.22</v>
      </c>
      <c r="F13" s="0" t="n">
        <v>3</v>
      </c>
      <c r="G13" s="0" t="n">
        <v>27.96</v>
      </c>
      <c r="H13" s="0" t="s">
        <v>1778</v>
      </c>
    </row>
    <row r="14" customFormat="false" ht="15" hidden="false" customHeight="false" outlineLevel="0" collapsed="false">
      <c r="A14" s="0" t="s">
        <v>1161</v>
      </c>
      <c r="B14" s="0" t="s">
        <v>2881</v>
      </c>
      <c r="C14" s="0" t="n">
        <v>14.68</v>
      </c>
      <c r="D14" s="0" t="n">
        <v>3</v>
      </c>
      <c r="E14" s="0" t="n">
        <v>14.74</v>
      </c>
      <c r="F14" s="0" t="n">
        <v>3</v>
      </c>
      <c r="G14" s="0" t="n">
        <v>29.42</v>
      </c>
      <c r="H14" s="0" t="s">
        <v>1782</v>
      </c>
    </row>
    <row r="15" customFormat="false" ht="15" hidden="false" customHeight="false" outlineLevel="0" collapsed="false">
      <c r="A15" s="0" t="s">
        <v>1161</v>
      </c>
      <c r="B15" s="0" t="s">
        <v>2882</v>
      </c>
      <c r="C15" s="0" t="n">
        <v>13.26</v>
      </c>
      <c r="D15" s="0" t="n">
        <v>3</v>
      </c>
      <c r="E15" s="0" t="n">
        <v>13.5</v>
      </c>
      <c r="F15" s="0" t="n">
        <v>3</v>
      </c>
      <c r="G15" s="0" t="n">
        <v>26.76</v>
      </c>
      <c r="H15" s="0" t="s">
        <v>1779</v>
      </c>
    </row>
    <row r="16" customFormat="false" ht="15" hidden="false" customHeight="false" outlineLevel="0" collapsed="false">
      <c r="A16" s="0" t="s">
        <v>1161</v>
      </c>
      <c r="B16" s="0" t="s">
        <v>2883</v>
      </c>
      <c r="C16" s="0" t="n">
        <v>14.32</v>
      </c>
      <c r="D16" s="0" t="n">
        <v>3</v>
      </c>
      <c r="E16" s="0" t="n">
        <v>14.26</v>
      </c>
      <c r="F16" s="0" t="n">
        <v>3</v>
      </c>
      <c r="G16" s="0" t="n">
        <v>28.58</v>
      </c>
      <c r="H16" s="0" t="s">
        <v>1783</v>
      </c>
    </row>
    <row r="17" customFormat="false" ht="15" hidden="false" customHeight="false" outlineLevel="0" collapsed="false">
      <c r="A17" s="0" t="s">
        <v>1161</v>
      </c>
      <c r="B17" s="0" t="s">
        <v>1572</v>
      </c>
      <c r="C17" s="0" t="n">
        <v>13.92</v>
      </c>
      <c r="D17" s="0" t="n">
        <v>3</v>
      </c>
      <c r="E17" s="0" t="n">
        <v>13.68</v>
      </c>
      <c r="F17" s="0" t="n">
        <v>3</v>
      </c>
      <c r="G17" s="0" t="n">
        <v>27.6</v>
      </c>
      <c r="H17" s="0" t="s">
        <v>1780</v>
      </c>
    </row>
    <row r="18" customFormat="false" ht="15" hidden="false" customHeight="false" outlineLevel="0" collapsed="false">
      <c r="A18" s="0" t="s">
        <v>1161</v>
      </c>
      <c r="B18" s="0" t="s">
        <v>1583</v>
      </c>
      <c r="C18" s="0" t="n">
        <v>12.68</v>
      </c>
      <c r="D18" s="0" t="n">
        <v>3</v>
      </c>
      <c r="E18" s="0" t="n">
        <v>12.81</v>
      </c>
      <c r="F18" s="0" t="n">
        <v>3</v>
      </c>
      <c r="G18" s="0" t="n">
        <v>25.49</v>
      </c>
      <c r="H18" s="0" t="s">
        <v>1784</v>
      </c>
    </row>
    <row r="19" customFormat="false" ht="15" hidden="false" customHeight="false" outlineLevel="0" collapsed="false">
      <c r="A19" s="0" t="s">
        <v>1161</v>
      </c>
      <c r="B19" s="0" t="s">
        <v>1585</v>
      </c>
      <c r="C19" s="0" t="n">
        <v>15.26</v>
      </c>
      <c r="D19" s="0" t="n">
        <v>3</v>
      </c>
      <c r="E19" s="0" t="n">
        <v>14.74</v>
      </c>
      <c r="F19" s="0" t="n">
        <v>3</v>
      </c>
      <c r="G19" s="0" t="n">
        <v>30</v>
      </c>
      <c r="H19" s="0" t="s">
        <v>1785</v>
      </c>
    </row>
    <row r="20" customFormat="false" ht="15" hidden="false" customHeight="false" outlineLevel="0" collapsed="false">
      <c r="A20" s="0" t="s">
        <v>1161</v>
      </c>
      <c r="B20" s="0" t="s">
        <v>1576</v>
      </c>
      <c r="C20" s="0" t="n">
        <v>16.22</v>
      </c>
      <c r="D20" s="0" t="n">
        <v>3</v>
      </c>
      <c r="E20" s="0" t="n">
        <v>15.92</v>
      </c>
      <c r="F20" s="0" t="n">
        <v>3</v>
      </c>
      <c r="G20" s="0" t="n">
        <v>32.14</v>
      </c>
      <c r="H20" s="0" t="s">
        <v>1781</v>
      </c>
    </row>
    <row r="21" customFormat="false" ht="15" hidden="false" customHeight="false" outlineLevel="0" collapsed="false">
      <c r="A21" s="0" t="s">
        <v>1161</v>
      </c>
      <c r="B21" s="0" t="s">
        <v>2884</v>
      </c>
      <c r="C21" s="0" t="n">
        <v>18.5</v>
      </c>
      <c r="D21" s="0" t="n">
        <v>3</v>
      </c>
      <c r="E21" s="0" t="n">
        <v>18.32</v>
      </c>
      <c r="F21" s="0" t="n">
        <v>3</v>
      </c>
      <c r="G21" s="0" t="n">
        <v>36.82</v>
      </c>
      <c r="H21" s="0" t="s">
        <v>1786</v>
      </c>
    </row>
    <row r="22" customFormat="false" ht="15" hidden="false" customHeight="false" outlineLevel="0" collapsed="false">
      <c r="A22" s="0" t="s">
        <v>1180</v>
      </c>
      <c r="B22" s="0" t="s">
        <v>2885</v>
      </c>
      <c r="C22" s="0" t="n">
        <v>12.78</v>
      </c>
      <c r="D22" s="0" t="n">
        <v>2</v>
      </c>
      <c r="E22" s="0" t="n">
        <v>12.79</v>
      </c>
      <c r="F22" s="0" t="n">
        <v>2</v>
      </c>
      <c r="G22" s="0" t="n">
        <v>25.57</v>
      </c>
    </row>
    <row r="23" customFormat="false" ht="15" hidden="false" customHeight="false" outlineLevel="0" collapsed="false">
      <c r="A23" s="0" t="s">
        <v>1180</v>
      </c>
      <c r="B23" s="0" t="s">
        <v>2886</v>
      </c>
      <c r="D23" s="0" t="n">
        <v>1</v>
      </c>
      <c r="F23" s="0" t="n">
        <v>1</v>
      </c>
    </row>
    <row r="24" customFormat="false" ht="15" hidden="false" customHeight="false" outlineLevel="0" collapsed="false">
      <c r="A24" s="0" t="s">
        <v>1180</v>
      </c>
      <c r="B24" s="0" t="s">
        <v>1509</v>
      </c>
      <c r="C24" s="0" t="n">
        <v>14.36</v>
      </c>
      <c r="D24" s="0" t="n">
        <v>3</v>
      </c>
      <c r="E24" s="0" t="n">
        <v>14.36</v>
      </c>
      <c r="F24" s="0" t="n">
        <v>3</v>
      </c>
      <c r="G24" s="0" t="n">
        <v>28.73</v>
      </c>
      <c r="H24" s="0" t="s">
        <v>1750</v>
      </c>
    </row>
    <row r="25" customFormat="false" ht="15" hidden="false" customHeight="false" outlineLevel="0" collapsed="false">
      <c r="A25" s="0" t="s">
        <v>1180</v>
      </c>
      <c r="B25" s="0" t="s">
        <v>2887</v>
      </c>
      <c r="C25" s="0" t="n">
        <v>11.71</v>
      </c>
      <c r="D25" s="0" t="n">
        <v>3</v>
      </c>
      <c r="E25" s="0" t="n">
        <v>11.73</v>
      </c>
      <c r="F25" s="0" t="n">
        <v>3</v>
      </c>
      <c r="G25" s="0" t="n">
        <v>23.44</v>
      </c>
    </row>
    <row r="26" customFormat="false" ht="15" hidden="false" customHeight="false" outlineLevel="0" collapsed="false">
      <c r="A26" s="0" t="s">
        <v>1180</v>
      </c>
      <c r="B26" s="0" t="s">
        <v>2888</v>
      </c>
      <c r="D26" s="0" t="n">
        <v>2</v>
      </c>
      <c r="F26" s="0" t="n">
        <v>2</v>
      </c>
    </row>
    <row r="27" customFormat="false" ht="15" hidden="false" customHeight="false" outlineLevel="0" collapsed="false">
      <c r="A27" s="0" t="s">
        <v>1180</v>
      </c>
      <c r="B27" s="0" t="s">
        <v>2889</v>
      </c>
      <c r="C27" s="0" t="n">
        <v>13.77</v>
      </c>
      <c r="D27" s="0" t="n">
        <v>2</v>
      </c>
      <c r="E27" s="0" t="n">
        <v>13.77</v>
      </c>
      <c r="F27" s="0" t="n">
        <v>2</v>
      </c>
      <c r="G27" s="0" t="n">
        <v>27.54</v>
      </c>
    </row>
    <row r="28" customFormat="false" ht="15" hidden="false" customHeight="false" outlineLevel="0" collapsed="false">
      <c r="A28" s="0" t="s">
        <v>1180</v>
      </c>
      <c r="B28" s="0" t="s">
        <v>2890</v>
      </c>
      <c r="C28" s="0" t="n">
        <v>11.09</v>
      </c>
      <c r="D28" s="0" t="n">
        <v>3</v>
      </c>
      <c r="E28" s="0" t="n">
        <v>11.1</v>
      </c>
      <c r="F28" s="0" t="n">
        <v>3</v>
      </c>
      <c r="G28" s="0" t="n">
        <v>22.19</v>
      </c>
    </row>
    <row r="29" customFormat="false" ht="15" hidden="false" customHeight="false" outlineLevel="0" collapsed="false">
      <c r="A29" s="0" t="s">
        <v>1180</v>
      </c>
      <c r="B29" s="0" t="s">
        <v>1511</v>
      </c>
      <c r="C29" s="0" t="n">
        <v>14.16</v>
      </c>
      <c r="D29" s="0" t="n">
        <v>2</v>
      </c>
      <c r="E29" s="0" t="n">
        <v>14.17</v>
      </c>
      <c r="F29" s="0" t="n">
        <v>2</v>
      </c>
      <c r="G29" s="0" t="n">
        <v>28.33</v>
      </c>
      <c r="H29" s="0" t="s">
        <v>1751</v>
      </c>
    </row>
    <row r="30" customFormat="false" ht="15" hidden="false" customHeight="false" outlineLevel="0" collapsed="false">
      <c r="A30" s="0" t="s">
        <v>1180</v>
      </c>
      <c r="B30" s="0" t="s">
        <v>2891</v>
      </c>
      <c r="C30" s="0" t="n">
        <v>12.98</v>
      </c>
      <c r="D30" s="0" t="n">
        <v>2</v>
      </c>
      <c r="E30" s="0" t="n">
        <v>12.99</v>
      </c>
      <c r="F30" s="0" t="n">
        <v>2</v>
      </c>
      <c r="G30" s="0" t="n">
        <v>25.97</v>
      </c>
    </row>
    <row r="31" customFormat="false" ht="15" hidden="false" customHeight="false" outlineLevel="0" collapsed="false">
      <c r="A31" s="0" t="s">
        <v>1199</v>
      </c>
      <c r="B31" s="0" t="s">
        <v>2892</v>
      </c>
      <c r="C31" s="0" t="n">
        <v>14.5</v>
      </c>
      <c r="D31" s="0" t="n">
        <v>3</v>
      </c>
      <c r="E31" s="0" t="n">
        <v>14.68</v>
      </c>
      <c r="F31" s="0" t="n">
        <v>3</v>
      </c>
      <c r="G31" s="0" t="n">
        <v>29.18</v>
      </c>
      <c r="H31" s="0" t="s">
        <v>1752</v>
      </c>
    </row>
    <row r="32" customFormat="false" ht="15" hidden="false" customHeight="false" outlineLevel="0" collapsed="false">
      <c r="A32" s="0" t="s">
        <v>1199</v>
      </c>
      <c r="B32" s="0" t="s">
        <v>1515</v>
      </c>
      <c r="C32" s="0" t="n">
        <v>10.68</v>
      </c>
      <c r="D32" s="0" t="n">
        <v>3</v>
      </c>
      <c r="E32" s="0" t="n">
        <v>10.89</v>
      </c>
      <c r="F32" s="0" t="n">
        <v>3</v>
      </c>
      <c r="G32" s="0" t="n">
        <v>21.57</v>
      </c>
      <c r="H32" s="0" t="s">
        <v>1753</v>
      </c>
    </row>
    <row r="33" customFormat="false" ht="15" hidden="false" customHeight="false" outlineLevel="0" collapsed="false">
      <c r="A33" s="0" t="s">
        <v>1199</v>
      </c>
      <c r="B33" s="0" t="s">
        <v>2893</v>
      </c>
      <c r="C33" s="0" t="n">
        <v>14.5</v>
      </c>
      <c r="D33" s="0" t="n">
        <v>3</v>
      </c>
      <c r="E33" s="0" t="n">
        <v>14.32</v>
      </c>
      <c r="F33" s="0" t="n">
        <v>3</v>
      </c>
      <c r="G33" s="0" t="n">
        <v>28.82</v>
      </c>
      <c r="H33" s="0" t="s">
        <v>1757</v>
      </c>
    </row>
    <row r="34" customFormat="false" ht="15" hidden="false" customHeight="false" outlineLevel="0" collapsed="false">
      <c r="A34" s="0" t="s">
        <v>1199</v>
      </c>
      <c r="B34" s="0" t="s">
        <v>2894</v>
      </c>
      <c r="C34" s="0" t="n">
        <v>14.68</v>
      </c>
      <c r="D34" s="0" t="n">
        <v>3</v>
      </c>
      <c r="E34" s="0" t="n">
        <v>14.92</v>
      </c>
      <c r="F34" s="0" t="n">
        <v>3</v>
      </c>
      <c r="G34" s="0" t="n">
        <v>29.6</v>
      </c>
      <c r="H34" s="0" t="s">
        <v>1758</v>
      </c>
    </row>
    <row r="35" customFormat="false" ht="15" hidden="false" customHeight="false" outlineLevel="0" collapsed="false">
      <c r="A35" s="0" t="s">
        <v>1199</v>
      </c>
      <c r="B35" s="0" t="s">
        <v>1530</v>
      </c>
      <c r="C35" s="0" t="n">
        <v>14.74</v>
      </c>
      <c r="D35" s="0" t="n">
        <v>3</v>
      </c>
      <c r="E35" s="0" t="n">
        <v>15.26</v>
      </c>
      <c r="F35" s="0" t="n">
        <v>3</v>
      </c>
      <c r="G35" s="0" t="n">
        <v>30</v>
      </c>
      <c r="H35" s="0" t="s">
        <v>1759</v>
      </c>
    </row>
    <row r="36" customFormat="false" ht="15" hidden="false" customHeight="false" outlineLevel="0" collapsed="false">
      <c r="A36" s="0" t="s">
        <v>1199</v>
      </c>
      <c r="B36" s="0" t="s">
        <v>2895</v>
      </c>
      <c r="C36" s="0" t="n">
        <v>15.5</v>
      </c>
      <c r="D36" s="0" t="n">
        <v>3</v>
      </c>
      <c r="E36" s="0" t="n">
        <v>15.08</v>
      </c>
      <c r="F36" s="0" t="n">
        <v>3</v>
      </c>
      <c r="G36" s="0" t="n">
        <v>30.58</v>
      </c>
      <c r="H36" s="0" t="s">
        <v>1754</v>
      </c>
    </row>
    <row r="37" customFormat="false" ht="15" hidden="false" customHeight="false" outlineLevel="0" collapsed="false">
      <c r="A37" s="0" t="s">
        <v>1199</v>
      </c>
      <c r="B37" s="0" t="s">
        <v>1521</v>
      </c>
      <c r="C37" s="0" t="n">
        <v>14.5</v>
      </c>
      <c r="D37" s="0" t="n">
        <v>3</v>
      </c>
      <c r="E37" s="0" t="n">
        <v>14.68</v>
      </c>
      <c r="F37" s="0" t="n">
        <v>3</v>
      </c>
      <c r="G37" s="0" t="n">
        <v>29.18</v>
      </c>
      <c r="H37" s="0" t="s">
        <v>1755</v>
      </c>
    </row>
    <row r="38" customFormat="false" ht="15" hidden="false" customHeight="false" outlineLevel="0" collapsed="false">
      <c r="A38" s="0" t="s">
        <v>1199</v>
      </c>
      <c r="B38" s="0" t="s">
        <v>2896</v>
      </c>
      <c r="C38" s="0" t="n">
        <v>13.92</v>
      </c>
      <c r="D38" s="0" t="n">
        <v>3</v>
      </c>
      <c r="E38" s="0" t="n">
        <v>14.26</v>
      </c>
      <c r="F38" s="0" t="n">
        <v>3</v>
      </c>
      <c r="G38" s="0" t="n">
        <v>28.18</v>
      </c>
      <c r="H38" s="0" t="s">
        <v>1756</v>
      </c>
    </row>
    <row r="39" customFormat="false" ht="15" hidden="false" customHeight="false" outlineLevel="0" collapsed="false">
      <c r="A39" s="0" t="s">
        <v>1199</v>
      </c>
      <c r="B39" s="0" t="s">
        <v>1532</v>
      </c>
      <c r="C39" s="0" t="n">
        <v>14.26</v>
      </c>
      <c r="D39" s="0" t="n">
        <v>3</v>
      </c>
      <c r="E39" s="0" t="n">
        <v>14.15</v>
      </c>
      <c r="F39" s="0" t="n">
        <v>3</v>
      </c>
      <c r="G39" s="0" t="n">
        <v>28.41</v>
      </c>
      <c r="H39" s="0" t="s">
        <v>1760</v>
      </c>
    </row>
    <row r="40" customFormat="false" ht="15" hidden="false" customHeight="false" outlineLevel="0" collapsed="false">
      <c r="A40" s="0" t="s">
        <v>1199</v>
      </c>
      <c r="B40" s="0" t="s">
        <v>2897</v>
      </c>
      <c r="C40" s="0" t="n">
        <v>14.68</v>
      </c>
      <c r="D40" s="0" t="n">
        <v>3</v>
      </c>
      <c r="E40" s="0" t="n">
        <v>15.08</v>
      </c>
      <c r="F40" s="0" t="n">
        <v>3</v>
      </c>
      <c r="G40" s="0" t="n">
        <v>29.77</v>
      </c>
      <c r="H40" s="0" t="s">
        <v>1761</v>
      </c>
    </row>
    <row r="41" customFormat="false" ht="15" hidden="false" customHeight="false" outlineLevel="0" collapsed="false">
      <c r="A41" s="0" t="s">
        <v>1215</v>
      </c>
      <c r="B41" s="0" t="s">
        <v>2898</v>
      </c>
      <c r="C41" s="0" t="n">
        <v>12.62</v>
      </c>
      <c r="D41" s="0" t="n">
        <v>3</v>
      </c>
      <c r="E41" s="0" t="n">
        <v>12.26</v>
      </c>
      <c r="F41" s="0" t="n">
        <v>3</v>
      </c>
      <c r="G41" s="0" t="n">
        <v>24.88</v>
      </c>
      <c r="H41" s="0" t="s">
        <v>1697</v>
      </c>
    </row>
    <row r="42" customFormat="false" ht="15" hidden="false" customHeight="false" outlineLevel="0" collapsed="false">
      <c r="A42" s="0" t="s">
        <v>1215</v>
      </c>
      <c r="B42" s="0" t="s">
        <v>2899</v>
      </c>
      <c r="C42" s="0" t="n">
        <v>14.5</v>
      </c>
      <c r="D42" s="0" t="n">
        <v>3</v>
      </c>
      <c r="E42" s="0" t="n">
        <v>14.78</v>
      </c>
      <c r="F42" s="0" t="n">
        <v>3</v>
      </c>
      <c r="G42" s="0" t="n">
        <v>29.28</v>
      </c>
      <c r="H42" s="0" t="s">
        <v>1698</v>
      </c>
    </row>
    <row r="43" customFormat="false" ht="15" hidden="false" customHeight="false" outlineLevel="0" collapsed="false">
      <c r="A43" s="0" t="s">
        <v>1215</v>
      </c>
      <c r="B43" s="0" t="s">
        <v>2900</v>
      </c>
      <c r="C43" s="0" t="n">
        <v>11.68</v>
      </c>
      <c r="D43" s="0" t="n">
        <v>3</v>
      </c>
      <c r="E43" s="0" t="n">
        <v>11.5</v>
      </c>
      <c r="F43" s="0" t="n">
        <v>3</v>
      </c>
      <c r="G43" s="0" t="n">
        <v>23.18</v>
      </c>
      <c r="H43" s="0" t="s">
        <v>1702</v>
      </c>
    </row>
    <row r="44" customFormat="false" ht="15" hidden="false" customHeight="false" outlineLevel="0" collapsed="false">
      <c r="A44" s="0" t="s">
        <v>1215</v>
      </c>
      <c r="B44" s="0" t="s">
        <v>2901</v>
      </c>
      <c r="C44" s="0" t="n">
        <v>15.92</v>
      </c>
      <c r="D44" s="0" t="n">
        <v>3</v>
      </c>
      <c r="E44" s="0" t="n">
        <v>15.68</v>
      </c>
      <c r="F44" s="0" t="n">
        <v>3</v>
      </c>
      <c r="G44" s="0" t="n">
        <v>31.6</v>
      </c>
      <c r="H44" s="0" t="s">
        <v>1703</v>
      </c>
    </row>
    <row r="45" customFormat="false" ht="15" hidden="false" customHeight="false" outlineLevel="0" collapsed="false">
      <c r="A45" s="0" t="s">
        <v>1215</v>
      </c>
      <c r="B45" s="0" t="s">
        <v>2902</v>
      </c>
      <c r="C45" s="0" t="n">
        <v>15.5</v>
      </c>
      <c r="D45" s="0" t="n">
        <v>3</v>
      </c>
      <c r="E45" s="0" t="n">
        <v>15.5</v>
      </c>
      <c r="F45" s="0" t="n">
        <v>3</v>
      </c>
      <c r="G45" s="0" t="n">
        <v>31</v>
      </c>
      <c r="H45" s="0" t="s">
        <v>1699</v>
      </c>
    </row>
    <row r="46" customFormat="false" ht="15" hidden="false" customHeight="false" outlineLevel="0" collapsed="false">
      <c r="A46" s="0" t="s">
        <v>1215</v>
      </c>
      <c r="B46" s="0" t="s">
        <v>1406</v>
      </c>
      <c r="C46" s="0" t="n">
        <v>16.22</v>
      </c>
      <c r="D46" s="0" t="n">
        <v>3</v>
      </c>
      <c r="E46" s="0" t="n">
        <v>16.22</v>
      </c>
      <c r="F46" s="0" t="n">
        <v>3</v>
      </c>
      <c r="G46" s="0" t="n">
        <v>32.45</v>
      </c>
      <c r="H46" s="0" t="s">
        <v>1704</v>
      </c>
    </row>
    <row r="47" customFormat="false" ht="15" hidden="false" customHeight="false" outlineLevel="0" collapsed="false">
      <c r="A47" s="0" t="s">
        <v>1215</v>
      </c>
      <c r="B47" s="0" t="s">
        <v>1398</v>
      </c>
      <c r="C47" s="0" t="n">
        <v>14.5</v>
      </c>
      <c r="D47" s="0" t="n">
        <v>3</v>
      </c>
      <c r="E47" s="0" t="n">
        <v>14.5</v>
      </c>
      <c r="F47" s="0" t="n">
        <v>3</v>
      </c>
      <c r="G47" s="0" t="n">
        <v>29</v>
      </c>
      <c r="H47" s="0" t="s">
        <v>1700</v>
      </c>
    </row>
    <row r="48" customFormat="false" ht="15" hidden="false" customHeight="false" outlineLevel="0" collapsed="false">
      <c r="A48" s="0" t="s">
        <v>1215</v>
      </c>
      <c r="B48" s="0" t="s">
        <v>2903</v>
      </c>
      <c r="C48" s="0" t="n">
        <v>14.74</v>
      </c>
      <c r="D48" s="0" t="n">
        <v>3</v>
      </c>
      <c r="E48" s="0" t="n">
        <v>14.5</v>
      </c>
      <c r="F48" s="0" t="n">
        <v>3</v>
      </c>
      <c r="G48" s="0" t="n">
        <v>29.24</v>
      </c>
      <c r="H48" s="0" t="s">
        <v>1705</v>
      </c>
    </row>
    <row r="49" customFormat="false" ht="15" hidden="false" customHeight="false" outlineLevel="0" collapsed="false">
      <c r="A49" s="0" t="s">
        <v>1215</v>
      </c>
      <c r="B49" s="0" t="s">
        <v>1411</v>
      </c>
      <c r="C49" s="0" t="n">
        <v>12.4</v>
      </c>
      <c r="D49" s="0" t="n">
        <v>3</v>
      </c>
      <c r="E49" s="0" t="n">
        <v>12.6</v>
      </c>
      <c r="F49" s="0" t="n">
        <v>3</v>
      </c>
      <c r="G49" s="0" t="n">
        <v>25</v>
      </c>
      <c r="H49" s="0" t="s">
        <v>1706</v>
      </c>
    </row>
    <row r="50" customFormat="false" ht="15" hidden="false" customHeight="false" outlineLevel="0" collapsed="false">
      <c r="A50" s="0" t="s">
        <v>1215</v>
      </c>
      <c r="B50" s="0" t="s">
        <v>1400</v>
      </c>
      <c r="C50" s="0" t="n">
        <v>15.22</v>
      </c>
      <c r="D50" s="0" t="n">
        <v>3</v>
      </c>
      <c r="E50" s="0" t="n">
        <v>14.78</v>
      </c>
      <c r="F50" s="0" t="n">
        <v>3</v>
      </c>
      <c r="G50" s="0" t="n">
        <v>30</v>
      </c>
      <c r="H50" s="0" t="s">
        <v>1701</v>
      </c>
    </row>
    <row r="51" customFormat="false" ht="15" hidden="false" customHeight="false" outlineLevel="0" collapsed="false">
      <c r="A51" s="0" t="s">
        <v>1235</v>
      </c>
      <c r="B51" s="0" t="s">
        <v>1413</v>
      </c>
      <c r="C51" s="0" t="n">
        <v>16.27</v>
      </c>
      <c r="D51" s="0" t="n">
        <v>3</v>
      </c>
      <c r="E51" s="0" t="n">
        <v>16.27</v>
      </c>
      <c r="F51" s="0" t="n">
        <v>3</v>
      </c>
      <c r="G51" s="0" t="n">
        <v>32.54</v>
      </c>
      <c r="H51" s="0" t="s">
        <v>1707</v>
      </c>
    </row>
    <row r="52" customFormat="false" ht="15" hidden="false" customHeight="false" outlineLevel="0" collapsed="false">
      <c r="A52" s="0" t="s">
        <v>1235</v>
      </c>
      <c r="B52" s="0" t="s">
        <v>2904</v>
      </c>
      <c r="C52" s="0" t="n">
        <v>11.65</v>
      </c>
      <c r="D52" s="0" t="n">
        <v>2</v>
      </c>
      <c r="E52" s="0" t="n">
        <v>11.65</v>
      </c>
      <c r="F52" s="0" t="n">
        <v>3</v>
      </c>
      <c r="G52" s="0" t="n">
        <v>23.3</v>
      </c>
      <c r="H52" s="0" t="s">
        <v>1708</v>
      </c>
    </row>
    <row r="53" customFormat="false" ht="15" hidden="false" customHeight="false" outlineLevel="0" collapsed="false">
      <c r="A53" s="0" t="s">
        <v>1235</v>
      </c>
      <c r="B53" s="0" t="s">
        <v>1417</v>
      </c>
      <c r="C53" s="0" t="n">
        <v>14.58</v>
      </c>
      <c r="D53" s="0" t="n">
        <v>3</v>
      </c>
      <c r="E53" s="0" t="n">
        <v>14.58</v>
      </c>
      <c r="F53" s="0" t="n">
        <v>3</v>
      </c>
      <c r="G53" s="0" t="n">
        <v>29.16</v>
      </c>
      <c r="H53" s="0" t="s">
        <v>1709</v>
      </c>
    </row>
    <row r="54" customFormat="false" ht="15" hidden="false" customHeight="false" outlineLevel="0" collapsed="false">
      <c r="A54" s="0" t="s">
        <v>1235</v>
      </c>
      <c r="B54" s="0" t="s">
        <v>2905</v>
      </c>
      <c r="C54" s="0" t="n">
        <v>12.09</v>
      </c>
      <c r="D54" s="0" t="n">
        <v>3</v>
      </c>
      <c r="E54" s="0" t="n">
        <v>12.11</v>
      </c>
      <c r="F54" s="0" t="n">
        <v>3</v>
      </c>
      <c r="G54" s="0" t="n">
        <v>24.2</v>
      </c>
    </row>
    <row r="55" customFormat="false" ht="15" hidden="false" customHeight="false" outlineLevel="0" collapsed="false">
      <c r="A55" s="0" t="s">
        <v>1235</v>
      </c>
      <c r="B55" s="0" t="s">
        <v>1419</v>
      </c>
      <c r="C55" s="0" t="n">
        <v>13.11</v>
      </c>
      <c r="D55" s="0" t="n">
        <v>2</v>
      </c>
      <c r="E55" s="0" t="n">
        <v>13.11</v>
      </c>
      <c r="F55" s="0" t="n">
        <v>2</v>
      </c>
      <c r="G55" s="0" t="n">
        <v>26.21</v>
      </c>
      <c r="H55" s="0" t="s">
        <v>1710</v>
      </c>
    </row>
    <row r="56" customFormat="false" ht="15" hidden="false" customHeight="false" outlineLevel="0" collapsed="false">
      <c r="A56" s="0" t="s">
        <v>1235</v>
      </c>
      <c r="B56" s="0" t="s">
        <v>1421</v>
      </c>
      <c r="C56" s="0" t="n">
        <v>13.95</v>
      </c>
      <c r="D56" s="0" t="n">
        <v>2</v>
      </c>
      <c r="E56" s="0" t="n">
        <v>13.95</v>
      </c>
      <c r="F56" s="0" t="n">
        <v>2</v>
      </c>
      <c r="G56" s="0" t="n">
        <v>27.91</v>
      </c>
      <c r="H56" s="0" t="s">
        <v>1711</v>
      </c>
    </row>
    <row r="57" customFormat="false" ht="15" hidden="false" customHeight="false" outlineLevel="0" collapsed="false">
      <c r="A57" s="0" t="s">
        <v>1235</v>
      </c>
      <c r="B57" s="0" t="s">
        <v>2906</v>
      </c>
      <c r="C57" s="0" t="n">
        <v>10.86</v>
      </c>
      <c r="D57" s="0" t="n">
        <v>2</v>
      </c>
      <c r="E57" s="0" t="n">
        <v>10.87</v>
      </c>
      <c r="F57" s="0" t="n">
        <v>2</v>
      </c>
      <c r="G57" s="0" t="n">
        <v>21.74</v>
      </c>
    </row>
    <row r="58" customFormat="false" ht="15" hidden="false" customHeight="false" outlineLevel="0" collapsed="false">
      <c r="A58" s="0" t="s">
        <v>1235</v>
      </c>
      <c r="B58" s="0" t="s">
        <v>2907</v>
      </c>
      <c r="C58" s="0" t="n">
        <v>11.55</v>
      </c>
      <c r="D58" s="0" t="n">
        <v>3</v>
      </c>
      <c r="E58" s="0" t="n">
        <v>11.55</v>
      </c>
      <c r="F58" s="0" t="n">
        <v>3</v>
      </c>
      <c r="G58" s="0" t="n">
        <v>23.11</v>
      </c>
    </row>
    <row r="59" customFormat="false" ht="15" hidden="false" customHeight="false" outlineLevel="0" collapsed="false">
      <c r="A59" s="0" t="s">
        <v>1235</v>
      </c>
      <c r="B59" s="0" t="s">
        <v>2908</v>
      </c>
      <c r="D59" s="0" t="n">
        <v>1</v>
      </c>
      <c r="F59" s="0" t="n">
        <v>1</v>
      </c>
    </row>
    <row r="60" customFormat="false" ht="15" hidden="false" customHeight="false" outlineLevel="0" collapsed="false">
      <c r="A60" s="0" t="s">
        <v>1235</v>
      </c>
      <c r="B60" s="0" t="s">
        <v>2909</v>
      </c>
      <c r="D60" s="0" t="n">
        <v>2</v>
      </c>
      <c r="F60" s="0" t="n">
        <v>2</v>
      </c>
    </row>
    <row r="61" customFormat="false" ht="15" hidden="false" customHeight="false" outlineLevel="0" collapsed="false">
      <c r="A61" s="0" t="s">
        <v>1239</v>
      </c>
      <c r="B61" s="0" t="s">
        <v>1546</v>
      </c>
      <c r="C61" s="0" t="n">
        <v>12.82</v>
      </c>
      <c r="D61" s="0" t="n">
        <v>3</v>
      </c>
      <c r="E61" s="0" t="n">
        <v>12.83</v>
      </c>
      <c r="F61" s="0" t="n">
        <v>3</v>
      </c>
      <c r="G61" s="0" t="n">
        <v>25.65</v>
      </c>
      <c r="H61" s="0" t="s">
        <v>1767</v>
      </c>
    </row>
    <row r="62" customFormat="false" ht="15" hidden="false" customHeight="false" outlineLevel="0" collapsed="false">
      <c r="A62" s="0" t="s">
        <v>1239</v>
      </c>
      <c r="B62" s="0" t="s">
        <v>1548</v>
      </c>
      <c r="C62" s="0" t="n">
        <v>13.23</v>
      </c>
      <c r="D62" s="0" t="n">
        <v>3</v>
      </c>
      <c r="E62" s="0" t="n">
        <v>13.23</v>
      </c>
      <c r="F62" s="0" t="n">
        <v>3</v>
      </c>
      <c r="G62" s="0" t="n">
        <v>26.46</v>
      </c>
      <c r="H62" s="0" t="s">
        <v>1768</v>
      </c>
    </row>
    <row r="63" customFormat="false" ht="15" hidden="false" customHeight="false" outlineLevel="0" collapsed="false">
      <c r="A63" s="0" t="s">
        <v>1239</v>
      </c>
      <c r="B63" s="0" t="s">
        <v>1556</v>
      </c>
      <c r="C63" s="0" t="n">
        <v>14.62</v>
      </c>
      <c r="D63" s="0" t="n">
        <v>3</v>
      </c>
      <c r="E63" s="0" t="n">
        <v>14.58</v>
      </c>
      <c r="F63" s="0" t="n">
        <v>3</v>
      </c>
      <c r="G63" s="0" t="n">
        <v>29.2</v>
      </c>
      <c r="H63" s="0" t="s">
        <v>1772</v>
      </c>
    </row>
    <row r="64" customFormat="false" ht="15" hidden="false" customHeight="false" outlineLevel="0" collapsed="false">
      <c r="A64" s="0" t="s">
        <v>1239</v>
      </c>
      <c r="B64" s="0" t="s">
        <v>1558</v>
      </c>
      <c r="C64" s="0" t="n">
        <v>15.26</v>
      </c>
      <c r="D64" s="0" t="n">
        <v>3</v>
      </c>
      <c r="E64" s="0" t="n">
        <v>15.23</v>
      </c>
      <c r="F64" s="0" t="n">
        <v>3</v>
      </c>
      <c r="G64" s="0" t="n">
        <v>30.5</v>
      </c>
      <c r="H64" s="0" t="s">
        <v>1773</v>
      </c>
    </row>
    <row r="65" customFormat="false" ht="15" hidden="false" customHeight="false" outlineLevel="0" collapsed="false">
      <c r="A65" s="0" t="s">
        <v>1239</v>
      </c>
      <c r="B65" s="0" t="s">
        <v>1560</v>
      </c>
      <c r="C65" s="0" t="n">
        <v>13.72</v>
      </c>
      <c r="D65" s="0" t="n">
        <v>3</v>
      </c>
      <c r="E65" s="0" t="n">
        <v>13.71</v>
      </c>
      <c r="F65" s="0" t="n">
        <v>3</v>
      </c>
      <c r="G65" s="0" t="n">
        <v>27.43</v>
      </c>
      <c r="H65" s="0" t="s">
        <v>1774</v>
      </c>
    </row>
    <row r="66" customFormat="false" ht="15" hidden="false" customHeight="false" outlineLevel="0" collapsed="false">
      <c r="A66" s="0" t="s">
        <v>1239</v>
      </c>
      <c r="B66" s="0" t="s">
        <v>2910</v>
      </c>
      <c r="C66" s="0" t="n">
        <v>14.41</v>
      </c>
      <c r="D66" s="0" t="n">
        <v>3</v>
      </c>
      <c r="E66" s="0" t="n">
        <v>14.44</v>
      </c>
      <c r="F66" s="0" t="n">
        <v>3</v>
      </c>
      <c r="G66" s="0" t="n">
        <v>28.85</v>
      </c>
      <c r="H66" s="0" t="s">
        <v>1769</v>
      </c>
    </row>
    <row r="67" customFormat="false" ht="15" hidden="false" customHeight="false" outlineLevel="0" collapsed="false">
      <c r="A67" s="0" t="s">
        <v>1239</v>
      </c>
      <c r="B67" s="0" t="s">
        <v>1552</v>
      </c>
      <c r="C67" s="0" t="n">
        <v>11.62</v>
      </c>
      <c r="D67" s="0" t="n">
        <v>3</v>
      </c>
      <c r="E67" s="0" t="n">
        <v>11.64</v>
      </c>
      <c r="F67" s="0" t="n">
        <v>3</v>
      </c>
      <c r="G67" s="0" t="n">
        <v>23.25</v>
      </c>
      <c r="H67" s="0" t="s">
        <v>1770</v>
      </c>
    </row>
    <row r="68" customFormat="false" ht="15" hidden="false" customHeight="false" outlineLevel="0" collapsed="false">
      <c r="A68" s="0" t="s">
        <v>1239</v>
      </c>
      <c r="B68" s="0" t="s">
        <v>2911</v>
      </c>
      <c r="C68" s="0" t="n">
        <v>14.83</v>
      </c>
      <c r="D68" s="0" t="n">
        <v>3</v>
      </c>
      <c r="E68" s="0" t="n">
        <v>14.8</v>
      </c>
      <c r="F68" s="0" t="n">
        <v>3</v>
      </c>
      <c r="G68" s="0" t="n">
        <v>29.63</v>
      </c>
      <c r="H68" s="0" t="s">
        <v>1775</v>
      </c>
    </row>
    <row r="69" customFormat="false" ht="15" hidden="false" customHeight="false" outlineLevel="0" collapsed="false">
      <c r="A69" s="0" t="s">
        <v>1239</v>
      </c>
      <c r="B69" s="0" t="s">
        <v>2912</v>
      </c>
      <c r="C69" s="0" t="n">
        <v>13.23</v>
      </c>
      <c r="D69" s="0" t="n">
        <v>3</v>
      </c>
      <c r="E69" s="0" t="n">
        <v>13.23</v>
      </c>
      <c r="F69" s="0" t="n">
        <v>3</v>
      </c>
      <c r="G69" s="0" t="n">
        <v>26.46</v>
      </c>
      <c r="H69" s="0" t="s">
        <v>1771</v>
      </c>
    </row>
    <row r="70" customFormat="false" ht="15" hidden="false" customHeight="false" outlineLevel="0" collapsed="false">
      <c r="A70" s="0" t="s">
        <v>1239</v>
      </c>
      <c r="B70" s="0" t="s">
        <v>2913</v>
      </c>
      <c r="C70" s="0" t="n">
        <v>13.72</v>
      </c>
      <c r="D70" s="0" t="n">
        <v>3</v>
      </c>
      <c r="E70" s="0" t="n">
        <v>13.71</v>
      </c>
      <c r="F70" s="0" t="n">
        <v>3</v>
      </c>
      <c r="G70" s="0" t="n">
        <v>27.43</v>
      </c>
      <c r="H70" s="0" t="s">
        <v>1776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1101</v>
      </c>
      <c r="B1" s="12" t="s">
        <v>65</v>
      </c>
      <c r="C1" s="12" t="s">
        <v>2914</v>
      </c>
      <c r="D1" s="12" t="s">
        <v>2915</v>
      </c>
      <c r="E1" s="12" t="s">
        <v>2916</v>
      </c>
      <c r="F1" s="12" t="s">
        <v>2917</v>
      </c>
      <c r="G1" s="12" t="s">
        <v>2918</v>
      </c>
    </row>
    <row r="2" customFormat="false" ht="15" hidden="false" customHeight="false" outlineLevel="0" collapsed="false">
      <c r="A2" s="0" t="s">
        <v>1056</v>
      </c>
      <c r="B2" s="0" t="n">
        <v>1</v>
      </c>
      <c r="C2" s="0" t="n">
        <v>17.5</v>
      </c>
      <c r="D2" s="0" t="n">
        <v>1.12</v>
      </c>
      <c r="E2" s="0" t="n">
        <v>5.3</v>
      </c>
      <c r="F2" s="10" t="n">
        <v>0.8255</v>
      </c>
      <c r="G2" s="0" t="n">
        <v>21.31</v>
      </c>
    </row>
    <row r="3" customFormat="false" ht="15" hidden="false" customHeight="false" outlineLevel="0" collapsed="false">
      <c r="A3" s="0" t="s">
        <v>1056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21.31</v>
      </c>
    </row>
    <row r="4" customFormat="false" ht="15" hidden="false" customHeight="false" outlineLevel="0" collapsed="false">
      <c r="A4" s="0" t="s">
        <v>1056</v>
      </c>
      <c r="B4" s="0" t="n">
        <v>1</v>
      </c>
      <c r="C4" s="0" t="n">
        <v>19.5</v>
      </c>
      <c r="D4" s="0" t="n">
        <v>1.38</v>
      </c>
      <c r="E4" s="0" t="n">
        <v>2.8</v>
      </c>
      <c r="F4" s="10" t="n">
        <v>0.6699</v>
      </c>
      <c r="G4" s="0" t="n">
        <v>21.31</v>
      </c>
    </row>
    <row r="5" customFormat="false" ht="15" hidden="false" customHeight="false" outlineLevel="0" collapsed="false">
      <c r="A5" s="0" t="s">
        <v>1056</v>
      </c>
      <c r="B5" s="0" t="n">
        <v>1</v>
      </c>
      <c r="C5" s="0" t="n">
        <v>20.5</v>
      </c>
      <c r="D5" s="0" t="n">
        <v>1.58</v>
      </c>
      <c r="E5" s="0" t="n">
        <v>2.2</v>
      </c>
      <c r="F5" s="10" t="n">
        <v>0.582</v>
      </c>
      <c r="G5" s="0" t="n">
        <v>21.31</v>
      </c>
    </row>
    <row r="6" customFormat="false" ht="15" hidden="false" customHeight="false" outlineLevel="0" collapsed="false">
      <c r="A6" s="0" t="s">
        <v>1056</v>
      </c>
      <c r="B6" s="0" t="n">
        <v>1</v>
      </c>
      <c r="C6" s="0" t="n">
        <v>21.5</v>
      </c>
      <c r="D6" s="0" t="n">
        <v>1.92</v>
      </c>
      <c r="E6" s="0" t="n">
        <v>1.78</v>
      </c>
      <c r="F6" s="10" t="n">
        <v>0.4811</v>
      </c>
      <c r="G6" s="0" t="n">
        <v>21.31</v>
      </c>
    </row>
    <row r="7" customFormat="false" ht="15" hidden="false" customHeight="false" outlineLevel="0" collapsed="false">
      <c r="A7" s="0" t="s">
        <v>1056</v>
      </c>
      <c r="B7" s="0" t="n">
        <v>1</v>
      </c>
      <c r="C7" s="0" t="n">
        <v>22.5</v>
      </c>
      <c r="D7" s="0" t="n">
        <v>2.5</v>
      </c>
      <c r="E7" s="0" t="n">
        <v>1.48</v>
      </c>
      <c r="F7" s="10" t="n">
        <v>0.3719</v>
      </c>
      <c r="G7" s="0" t="n">
        <v>21.31</v>
      </c>
    </row>
    <row r="8" customFormat="false" ht="15" hidden="false" customHeight="false" outlineLevel="0" collapsed="false">
      <c r="A8" s="0" t="s">
        <v>1056</v>
      </c>
      <c r="B8" s="0" t="n">
        <v>2</v>
      </c>
      <c r="C8" s="0" t="n">
        <v>17.5</v>
      </c>
      <c r="D8" s="0" t="n">
        <v>1.13</v>
      </c>
      <c r="E8" s="0" t="n">
        <v>5</v>
      </c>
      <c r="F8" s="10" t="n">
        <v>0.8157</v>
      </c>
      <c r="G8" s="0" t="n">
        <v>21.11</v>
      </c>
    </row>
    <row r="9" customFormat="false" ht="15" hidden="false" customHeight="false" outlineLevel="0" collapsed="false">
      <c r="A9" s="0" t="s">
        <v>1056</v>
      </c>
      <c r="B9" s="0" t="n">
        <v>2</v>
      </c>
      <c r="C9" s="0" t="n">
        <v>18.5</v>
      </c>
      <c r="D9" s="0" t="n">
        <v>1.25</v>
      </c>
      <c r="E9" s="0" t="n">
        <v>3.5</v>
      </c>
      <c r="F9" s="10" t="n">
        <v>0.7368</v>
      </c>
      <c r="G9" s="0" t="n">
        <v>21.11</v>
      </c>
    </row>
    <row r="10" customFormat="false" ht="15" hidden="false" customHeight="false" outlineLevel="0" collapsed="false">
      <c r="A10" s="0" t="s">
        <v>1056</v>
      </c>
      <c r="B10" s="0" t="n">
        <v>2</v>
      </c>
      <c r="C10" s="0" t="n">
        <v>19.5</v>
      </c>
      <c r="D10" s="0" t="n">
        <v>1.4</v>
      </c>
      <c r="E10" s="0" t="n">
        <v>2.7</v>
      </c>
      <c r="F10" s="10" t="n">
        <v>0.6585</v>
      </c>
      <c r="G10" s="0" t="n">
        <v>21.11</v>
      </c>
    </row>
    <row r="11" customFormat="false" ht="15" hidden="false" customHeight="false" outlineLevel="0" collapsed="false">
      <c r="A11" s="0" t="s">
        <v>1056</v>
      </c>
      <c r="B11" s="0" t="n">
        <v>2</v>
      </c>
      <c r="C11" s="0" t="n">
        <v>20.5</v>
      </c>
      <c r="D11" s="0" t="n">
        <v>1.65</v>
      </c>
      <c r="E11" s="0" t="n">
        <v>2.1</v>
      </c>
      <c r="F11" s="10" t="n">
        <v>0.56</v>
      </c>
      <c r="G11" s="0" t="n">
        <v>21.11</v>
      </c>
    </row>
    <row r="12" customFormat="false" ht="15" hidden="false" customHeight="false" outlineLevel="0" collapsed="false">
      <c r="A12" s="0" t="s">
        <v>1056</v>
      </c>
      <c r="B12" s="0" t="n">
        <v>2</v>
      </c>
      <c r="C12" s="0" t="n">
        <v>21.5</v>
      </c>
      <c r="D12" s="0" t="n">
        <v>2</v>
      </c>
      <c r="E12" s="0" t="n">
        <v>1.72</v>
      </c>
      <c r="F12" s="10" t="n">
        <v>0.4624</v>
      </c>
      <c r="G12" s="0" t="n">
        <v>21.11</v>
      </c>
    </row>
    <row r="13" customFormat="false" ht="15" hidden="false" customHeight="false" outlineLevel="0" collapsed="false">
      <c r="A13" s="0" t="s">
        <v>1056</v>
      </c>
      <c r="B13" s="0" t="n">
        <v>2</v>
      </c>
      <c r="C13" s="0" t="n">
        <v>22.5</v>
      </c>
      <c r="D13" s="0" t="n">
        <v>2.7</v>
      </c>
      <c r="E13" s="0" t="n">
        <v>1.42</v>
      </c>
      <c r="F13" s="10" t="n">
        <v>0.3447</v>
      </c>
      <c r="G13" s="0" t="n">
        <v>21.11</v>
      </c>
    </row>
    <row r="14" customFormat="false" ht="15" hidden="false" customHeight="false" outlineLevel="0" collapsed="false">
      <c r="A14" s="0" t="s">
        <v>1056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21.22</v>
      </c>
    </row>
    <row r="15" customFormat="false" ht="15" hidden="false" customHeight="false" outlineLevel="0" collapsed="false">
      <c r="A15" s="0" t="s">
        <v>1056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21.22</v>
      </c>
    </row>
    <row r="16" customFormat="false" ht="15" hidden="false" customHeight="false" outlineLevel="0" collapsed="false">
      <c r="A16" s="0" t="s">
        <v>1056</v>
      </c>
      <c r="B16" s="0" t="n">
        <v>3</v>
      </c>
      <c r="C16" s="0" t="n">
        <v>19.5</v>
      </c>
      <c r="D16" s="0" t="n">
        <v>1.38</v>
      </c>
      <c r="E16" s="0" t="n">
        <v>2.8</v>
      </c>
      <c r="F16" s="10" t="n">
        <v>0.6699</v>
      </c>
      <c r="G16" s="0" t="n">
        <v>21.22</v>
      </c>
    </row>
    <row r="17" customFormat="false" ht="15" hidden="false" customHeight="false" outlineLevel="0" collapsed="false">
      <c r="A17" s="0" t="s">
        <v>1056</v>
      </c>
      <c r="B17" s="0" t="n">
        <v>3</v>
      </c>
      <c r="C17" s="0" t="n">
        <v>20.5</v>
      </c>
      <c r="D17" s="0" t="n">
        <v>1.62</v>
      </c>
      <c r="E17" s="0" t="n">
        <v>2.15</v>
      </c>
      <c r="F17" s="10" t="n">
        <v>0.5703</v>
      </c>
      <c r="G17" s="0" t="n">
        <v>21.22</v>
      </c>
    </row>
    <row r="18" customFormat="false" ht="15" hidden="false" customHeight="false" outlineLevel="0" collapsed="false">
      <c r="A18" s="0" t="s">
        <v>1056</v>
      </c>
      <c r="B18" s="0" t="n">
        <v>3</v>
      </c>
      <c r="C18" s="0" t="n">
        <v>21.5</v>
      </c>
      <c r="D18" s="0" t="n">
        <v>1.95</v>
      </c>
      <c r="E18" s="0" t="n">
        <v>1.75</v>
      </c>
      <c r="F18" s="10" t="n">
        <v>0.473</v>
      </c>
      <c r="G18" s="0" t="n">
        <v>21.22</v>
      </c>
    </row>
    <row r="19" customFormat="false" ht="15" hidden="false" customHeight="false" outlineLevel="0" collapsed="false">
      <c r="A19" s="0" t="s">
        <v>1056</v>
      </c>
      <c r="B19" s="0" t="n">
        <v>3</v>
      </c>
      <c r="C19" s="0" t="n">
        <v>22.5</v>
      </c>
      <c r="D19" s="0" t="n">
        <v>2.5</v>
      </c>
      <c r="E19" s="0" t="n">
        <v>1.48</v>
      </c>
      <c r="F19" s="10" t="n">
        <v>0.3719</v>
      </c>
      <c r="G19" s="0" t="n">
        <v>21.22</v>
      </c>
    </row>
    <row r="20" customFormat="false" ht="15" hidden="false" customHeight="false" outlineLevel="0" collapsed="false">
      <c r="A20" s="0" t="s">
        <v>1147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21.5</v>
      </c>
    </row>
    <row r="21" customFormat="false" ht="15" hidden="false" customHeight="false" outlineLevel="0" collapsed="false">
      <c r="A21" s="0" t="s">
        <v>1147</v>
      </c>
      <c r="B21" s="0" t="n">
        <v>1</v>
      </c>
      <c r="C21" s="0" t="n">
        <v>18.5</v>
      </c>
      <c r="D21" s="0" t="n">
        <v>1.2</v>
      </c>
      <c r="E21" s="0" t="n">
        <v>4</v>
      </c>
      <c r="F21" s="10" t="n">
        <v>0.7692</v>
      </c>
      <c r="G21" s="0" t="n">
        <v>21.5</v>
      </c>
    </row>
    <row r="22" customFormat="false" ht="15" hidden="false" customHeight="false" outlineLevel="0" collapsed="false">
      <c r="A22" s="0" t="s">
        <v>1147</v>
      </c>
      <c r="B22" s="0" t="n">
        <v>1</v>
      </c>
      <c r="C22" s="0" t="n">
        <v>19.5</v>
      </c>
      <c r="D22" s="0" t="n">
        <v>1.35</v>
      </c>
      <c r="E22" s="0" t="n">
        <v>2.9</v>
      </c>
      <c r="F22" s="10" t="n">
        <v>0.6824</v>
      </c>
      <c r="G22" s="0" t="n">
        <v>21.5</v>
      </c>
    </row>
    <row r="23" customFormat="false" ht="15" hidden="false" customHeight="false" outlineLevel="0" collapsed="false">
      <c r="A23" s="0" t="s">
        <v>1147</v>
      </c>
      <c r="B23" s="0" t="n">
        <v>1</v>
      </c>
      <c r="C23" s="0" t="n">
        <v>20.5</v>
      </c>
      <c r="D23" s="0" t="n">
        <v>1.52</v>
      </c>
      <c r="E23" s="0" t="n">
        <v>2.35</v>
      </c>
      <c r="F23" s="10" t="n">
        <v>0.6072</v>
      </c>
      <c r="G23" s="0" t="n">
        <v>21.5</v>
      </c>
    </row>
    <row r="24" customFormat="false" ht="15" hidden="false" customHeight="false" outlineLevel="0" collapsed="false">
      <c r="A24" s="0" t="s">
        <v>1147</v>
      </c>
      <c r="B24" s="0" t="n">
        <v>1</v>
      </c>
      <c r="C24" s="0" t="n">
        <v>21.5</v>
      </c>
      <c r="D24" s="0" t="n">
        <v>1.85</v>
      </c>
      <c r="E24" s="0" t="n">
        <v>1.85</v>
      </c>
      <c r="F24" s="10" t="n">
        <v>0.5</v>
      </c>
      <c r="G24" s="0" t="n">
        <v>21.5</v>
      </c>
    </row>
    <row r="25" customFormat="false" ht="15" hidden="false" customHeight="false" outlineLevel="0" collapsed="false">
      <c r="A25" s="0" t="s">
        <v>1147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21.5</v>
      </c>
    </row>
    <row r="26" customFormat="false" ht="15" hidden="false" customHeight="false" outlineLevel="0" collapsed="false">
      <c r="A26" s="0" t="s">
        <v>1147</v>
      </c>
      <c r="B26" s="0" t="n">
        <v>2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21.5</v>
      </c>
    </row>
    <row r="27" customFormat="false" ht="15" hidden="false" customHeight="false" outlineLevel="0" collapsed="false">
      <c r="A27" s="0" t="s">
        <v>1147</v>
      </c>
      <c r="B27" s="0" t="n">
        <v>2</v>
      </c>
      <c r="C27" s="0" t="n">
        <v>18.5</v>
      </c>
      <c r="D27" s="0" t="n">
        <v>1.2</v>
      </c>
      <c r="E27" s="0" t="n">
        <v>4</v>
      </c>
      <c r="F27" s="10" t="n">
        <v>0.7692</v>
      </c>
      <c r="G27" s="0" t="n">
        <v>21.5</v>
      </c>
    </row>
    <row r="28" customFormat="false" ht="15" hidden="false" customHeight="false" outlineLevel="0" collapsed="false">
      <c r="A28" s="0" t="s">
        <v>1147</v>
      </c>
      <c r="B28" s="0" t="n">
        <v>2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21.5</v>
      </c>
    </row>
    <row r="29" customFormat="false" ht="15" hidden="false" customHeight="false" outlineLevel="0" collapsed="false">
      <c r="A29" s="0" t="s">
        <v>1147</v>
      </c>
      <c r="B29" s="0" t="n">
        <v>2</v>
      </c>
      <c r="C29" s="0" t="n">
        <v>20.5</v>
      </c>
      <c r="D29" s="0" t="n">
        <v>1.52</v>
      </c>
      <c r="E29" s="0" t="n">
        <v>2.35</v>
      </c>
      <c r="F29" s="10" t="n">
        <v>0.6072</v>
      </c>
      <c r="G29" s="0" t="n">
        <v>21.5</v>
      </c>
    </row>
    <row r="30" customFormat="false" ht="15" hidden="false" customHeight="false" outlineLevel="0" collapsed="false">
      <c r="A30" s="0" t="s">
        <v>1147</v>
      </c>
      <c r="B30" s="0" t="n">
        <v>2</v>
      </c>
      <c r="C30" s="0" t="n">
        <v>21.5</v>
      </c>
      <c r="D30" s="0" t="n">
        <v>1.85</v>
      </c>
      <c r="E30" s="0" t="n">
        <v>1.85</v>
      </c>
      <c r="F30" s="10" t="n">
        <v>0.5</v>
      </c>
      <c r="G30" s="0" t="n">
        <v>21.5</v>
      </c>
    </row>
    <row r="31" customFormat="false" ht="15" hidden="false" customHeight="false" outlineLevel="0" collapsed="false">
      <c r="A31" s="0" t="s">
        <v>1147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21.5</v>
      </c>
    </row>
    <row r="32" customFormat="false" ht="15" hidden="false" customHeight="false" outlineLevel="0" collapsed="false">
      <c r="A32" s="0" t="s">
        <v>1147</v>
      </c>
      <c r="B32" s="0" t="n">
        <v>3</v>
      </c>
      <c r="C32" s="0" t="n">
        <v>17.5</v>
      </c>
      <c r="D32" s="0" t="n">
        <v>1.1</v>
      </c>
      <c r="E32" s="0" t="n">
        <v>5.8</v>
      </c>
      <c r="F32" s="10" t="n">
        <v>0.8406</v>
      </c>
      <c r="G32" s="0" t="n">
        <v>21.5</v>
      </c>
    </row>
    <row r="33" customFormat="false" ht="15" hidden="false" customHeight="false" outlineLevel="0" collapsed="false">
      <c r="A33" s="0" t="s">
        <v>1147</v>
      </c>
      <c r="B33" s="0" t="n">
        <v>3</v>
      </c>
      <c r="C33" s="0" t="n">
        <v>18.5</v>
      </c>
      <c r="D33" s="0" t="n">
        <v>1.2</v>
      </c>
      <c r="E33" s="0" t="n">
        <v>4</v>
      </c>
      <c r="F33" s="10" t="n">
        <v>0.7692</v>
      </c>
      <c r="G33" s="0" t="n">
        <v>21.5</v>
      </c>
    </row>
    <row r="34" customFormat="false" ht="15" hidden="false" customHeight="false" outlineLevel="0" collapsed="false">
      <c r="A34" s="0" t="s">
        <v>1147</v>
      </c>
      <c r="B34" s="0" t="n">
        <v>3</v>
      </c>
      <c r="C34" s="0" t="n">
        <v>19.5</v>
      </c>
      <c r="D34" s="0" t="n">
        <v>1.35</v>
      </c>
      <c r="E34" s="0" t="n">
        <v>2.9</v>
      </c>
      <c r="F34" s="10" t="n">
        <v>0.6824</v>
      </c>
      <c r="G34" s="0" t="n">
        <v>21.5</v>
      </c>
    </row>
    <row r="35" customFormat="false" ht="15" hidden="false" customHeight="false" outlineLevel="0" collapsed="false">
      <c r="A35" s="0" t="s">
        <v>1147</v>
      </c>
      <c r="B35" s="0" t="n">
        <v>3</v>
      </c>
      <c r="C35" s="0" t="n">
        <v>20.5</v>
      </c>
      <c r="D35" s="0" t="n">
        <v>1.52</v>
      </c>
      <c r="E35" s="0" t="n">
        <v>2.35</v>
      </c>
      <c r="F35" s="10" t="n">
        <v>0.6072</v>
      </c>
      <c r="G35" s="0" t="n">
        <v>21.5</v>
      </c>
    </row>
    <row r="36" customFormat="false" ht="15" hidden="false" customHeight="false" outlineLevel="0" collapsed="false">
      <c r="A36" s="0" t="s">
        <v>1147</v>
      </c>
      <c r="B36" s="0" t="n">
        <v>3</v>
      </c>
      <c r="C36" s="0" t="n">
        <v>21.5</v>
      </c>
      <c r="D36" s="0" t="n">
        <v>1.85</v>
      </c>
      <c r="E36" s="0" t="n">
        <v>1.85</v>
      </c>
      <c r="F36" s="10" t="n">
        <v>0.5</v>
      </c>
      <c r="G36" s="0" t="n">
        <v>21.5</v>
      </c>
    </row>
    <row r="37" customFormat="false" ht="15" hidden="false" customHeight="false" outlineLevel="0" collapsed="false">
      <c r="A37" s="0" t="s">
        <v>1147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21.5</v>
      </c>
    </row>
    <row r="38" customFormat="false" ht="15" hidden="false" customHeight="false" outlineLevel="0" collapsed="false">
      <c r="A38" s="0" t="s">
        <v>1154</v>
      </c>
      <c r="B38" s="0" t="n">
        <v>1</v>
      </c>
      <c r="C38" s="0" t="n">
        <v>17.5</v>
      </c>
      <c r="D38" s="0" t="n">
        <v>1.1</v>
      </c>
      <c r="E38" s="0" t="n">
        <v>5.8</v>
      </c>
      <c r="F38" s="10" t="n">
        <v>0.8406</v>
      </c>
      <c r="G38" s="0" t="n">
        <v>21.5</v>
      </c>
    </row>
    <row r="39" customFormat="false" ht="15" hidden="false" customHeight="false" outlineLevel="0" collapsed="false">
      <c r="A39" s="0" t="s">
        <v>1154</v>
      </c>
      <c r="B39" s="0" t="n">
        <v>1</v>
      </c>
      <c r="C39" s="0" t="n">
        <v>18.5</v>
      </c>
      <c r="D39" s="0" t="n">
        <v>1.2</v>
      </c>
      <c r="E39" s="0" t="n">
        <v>4</v>
      </c>
      <c r="F39" s="10" t="n">
        <v>0.7692</v>
      </c>
      <c r="G39" s="0" t="n">
        <v>21.5</v>
      </c>
    </row>
    <row r="40" customFormat="false" ht="15" hidden="false" customHeight="false" outlineLevel="0" collapsed="false">
      <c r="A40" s="0" t="s">
        <v>1154</v>
      </c>
      <c r="B40" s="0" t="n">
        <v>1</v>
      </c>
      <c r="C40" s="0" t="n">
        <v>19.5</v>
      </c>
      <c r="D40" s="0" t="n">
        <v>1.32</v>
      </c>
      <c r="E40" s="0" t="n">
        <v>3.1</v>
      </c>
      <c r="F40" s="10" t="n">
        <v>0.7014</v>
      </c>
      <c r="G40" s="0" t="n">
        <v>21.5</v>
      </c>
    </row>
    <row r="41" customFormat="false" ht="15" hidden="false" customHeight="false" outlineLevel="0" collapsed="false">
      <c r="A41" s="0" t="s">
        <v>1154</v>
      </c>
      <c r="B41" s="0" t="n">
        <v>1</v>
      </c>
      <c r="C41" s="0" t="n">
        <v>20.5</v>
      </c>
      <c r="D41" s="0" t="n">
        <v>1.52</v>
      </c>
      <c r="E41" s="0" t="n">
        <v>2.35</v>
      </c>
      <c r="F41" s="10" t="n">
        <v>0.6072</v>
      </c>
      <c r="G41" s="0" t="n">
        <v>21.5</v>
      </c>
    </row>
    <row r="42" customFormat="false" ht="15" hidden="false" customHeight="false" outlineLevel="0" collapsed="false">
      <c r="A42" s="0" t="s">
        <v>1154</v>
      </c>
      <c r="B42" s="0" t="n">
        <v>1</v>
      </c>
      <c r="C42" s="0" t="n">
        <v>21.5</v>
      </c>
      <c r="D42" s="0" t="n">
        <v>1.85</v>
      </c>
      <c r="E42" s="0" t="n">
        <v>1.85</v>
      </c>
      <c r="F42" s="10" t="n">
        <v>0.5</v>
      </c>
      <c r="G42" s="0" t="n">
        <v>21.5</v>
      </c>
    </row>
    <row r="43" customFormat="false" ht="15" hidden="false" customHeight="false" outlineLevel="0" collapsed="false">
      <c r="A43" s="0" t="s">
        <v>1154</v>
      </c>
      <c r="B43" s="0" t="n">
        <v>1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21.5</v>
      </c>
    </row>
    <row r="44" customFormat="false" ht="15" hidden="false" customHeight="false" outlineLevel="0" collapsed="false">
      <c r="A44" s="0" t="s">
        <v>1154</v>
      </c>
      <c r="B44" s="0" t="n">
        <v>2</v>
      </c>
      <c r="C44" s="0" t="n">
        <v>17.5</v>
      </c>
      <c r="D44" s="0" t="n">
        <v>1.1</v>
      </c>
      <c r="E44" s="0" t="n">
        <v>5.8</v>
      </c>
      <c r="F44" s="10" t="n">
        <v>0.8406</v>
      </c>
      <c r="G44" s="0" t="n">
        <v>21.42</v>
      </c>
    </row>
    <row r="45" customFormat="false" ht="15" hidden="false" customHeight="false" outlineLevel="0" collapsed="false">
      <c r="A45" s="0" t="s">
        <v>1154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21.42</v>
      </c>
    </row>
    <row r="46" customFormat="false" ht="15" hidden="false" customHeight="false" outlineLevel="0" collapsed="false">
      <c r="A46" s="0" t="s">
        <v>1154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21.42</v>
      </c>
    </row>
    <row r="47" customFormat="false" ht="15" hidden="false" customHeight="false" outlineLevel="0" collapsed="false">
      <c r="A47" s="0" t="s">
        <v>1154</v>
      </c>
      <c r="B47" s="0" t="n">
        <v>2</v>
      </c>
      <c r="C47" s="0" t="n">
        <v>20.5</v>
      </c>
      <c r="D47" s="0" t="n">
        <v>1.55</v>
      </c>
      <c r="E47" s="0" t="n">
        <v>2.3</v>
      </c>
      <c r="F47" s="10" t="n">
        <v>0.5974</v>
      </c>
      <c r="G47" s="0" t="n">
        <v>21.42</v>
      </c>
    </row>
    <row r="48" customFormat="false" ht="15" hidden="false" customHeight="false" outlineLevel="0" collapsed="false">
      <c r="A48" s="0" t="s">
        <v>1154</v>
      </c>
      <c r="B48" s="0" t="n">
        <v>2</v>
      </c>
      <c r="C48" s="0" t="n">
        <v>21.5</v>
      </c>
      <c r="D48" s="0" t="n">
        <v>1.88</v>
      </c>
      <c r="E48" s="0" t="n">
        <v>1.82</v>
      </c>
      <c r="F48" s="10" t="n">
        <v>0.4919</v>
      </c>
      <c r="G48" s="0" t="n">
        <v>21.42</v>
      </c>
    </row>
    <row r="49" customFormat="false" ht="15" hidden="false" customHeight="false" outlineLevel="0" collapsed="false">
      <c r="A49" s="0" t="s">
        <v>1154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21.42</v>
      </c>
    </row>
    <row r="50" customFormat="false" ht="15" hidden="false" customHeight="false" outlineLevel="0" collapsed="false">
      <c r="A50" s="0" t="s">
        <v>1154</v>
      </c>
      <c r="B50" s="0" t="n">
        <v>3</v>
      </c>
      <c r="C50" s="0" t="n">
        <v>17.5</v>
      </c>
      <c r="D50" s="0" t="n">
        <v>1.1</v>
      </c>
      <c r="E50" s="0" t="n">
        <v>5.8</v>
      </c>
      <c r="F50" s="10" t="n">
        <v>0.8406</v>
      </c>
      <c r="G50" s="0" t="n">
        <v>21.5</v>
      </c>
    </row>
    <row r="51" customFormat="false" ht="15" hidden="false" customHeight="false" outlineLevel="0" collapsed="false">
      <c r="A51" s="0" t="s">
        <v>1154</v>
      </c>
      <c r="B51" s="0" t="n">
        <v>3</v>
      </c>
      <c r="C51" s="0" t="n">
        <v>18.5</v>
      </c>
      <c r="D51" s="0" t="n">
        <v>1.2</v>
      </c>
      <c r="E51" s="0" t="n">
        <v>4</v>
      </c>
      <c r="F51" s="10" t="n">
        <v>0.7692</v>
      </c>
      <c r="G51" s="0" t="n">
        <v>21.5</v>
      </c>
    </row>
    <row r="52" customFormat="false" ht="15" hidden="false" customHeight="false" outlineLevel="0" collapsed="false">
      <c r="A52" s="0" t="s">
        <v>1154</v>
      </c>
      <c r="B52" s="0" t="n">
        <v>3</v>
      </c>
      <c r="C52" s="0" t="n">
        <v>19.5</v>
      </c>
      <c r="D52" s="0" t="n">
        <v>1.32</v>
      </c>
      <c r="E52" s="0" t="n">
        <v>3.1</v>
      </c>
      <c r="F52" s="10" t="n">
        <v>0.7014</v>
      </c>
      <c r="G52" s="0" t="n">
        <v>21.5</v>
      </c>
    </row>
    <row r="53" customFormat="false" ht="15" hidden="false" customHeight="false" outlineLevel="0" collapsed="false">
      <c r="A53" s="0" t="s">
        <v>1154</v>
      </c>
      <c r="B53" s="0" t="n">
        <v>3</v>
      </c>
      <c r="C53" s="0" t="n">
        <v>20.5</v>
      </c>
      <c r="D53" s="0" t="n">
        <v>1.52</v>
      </c>
      <c r="E53" s="0" t="n">
        <v>2.35</v>
      </c>
      <c r="F53" s="10" t="n">
        <v>0.6072</v>
      </c>
      <c r="G53" s="0" t="n">
        <v>21.5</v>
      </c>
    </row>
    <row r="54" customFormat="false" ht="15" hidden="false" customHeight="false" outlineLevel="0" collapsed="false">
      <c r="A54" s="0" t="s">
        <v>1154</v>
      </c>
      <c r="B54" s="0" t="n">
        <v>3</v>
      </c>
      <c r="C54" s="0" t="n">
        <v>21.5</v>
      </c>
      <c r="D54" s="0" t="n">
        <v>1.85</v>
      </c>
      <c r="E54" s="0" t="n">
        <v>1.85</v>
      </c>
      <c r="F54" s="10" t="n">
        <v>0.5</v>
      </c>
      <c r="G54" s="0" t="n">
        <v>21.5</v>
      </c>
    </row>
    <row r="55" customFormat="false" ht="15" hidden="false" customHeight="false" outlineLevel="0" collapsed="false">
      <c r="A55" s="0" t="s">
        <v>1154</v>
      </c>
      <c r="B55" s="0" t="n">
        <v>3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21.5</v>
      </c>
    </row>
    <row r="56" customFormat="false" ht="15" hidden="false" customHeight="false" outlineLevel="0" collapsed="false">
      <c r="A56" s="0" t="s">
        <v>1161</v>
      </c>
      <c r="B56" s="0" t="n">
        <v>1</v>
      </c>
      <c r="C56" s="0" t="n">
        <v>17.5</v>
      </c>
      <c r="D56" s="0" t="n">
        <v>1.12</v>
      </c>
      <c r="E56" s="0" t="n">
        <v>5.3</v>
      </c>
      <c r="F56" s="10" t="n">
        <v>0.8255</v>
      </c>
      <c r="G56" s="0" t="n">
        <v>21.36</v>
      </c>
    </row>
    <row r="57" customFormat="false" ht="15" hidden="false" customHeight="false" outlineLevel="0" collapsed="false">
      <c r="A57" s="0" t="s">
        <v>1161</v>
      </c>
      <c r="B57" s="0" t="n">
        <v>1</v>
      </c>
      <c r="C57" s="0" t="n">
        <v>18.5</v>
      </c>
      <c r="D57" s="0" t="n">
        <v>1.22</v>
      </c>
      <c r="E57" s="0" t="n">
        <v>3.8</v>
      </c>
      <c r="F57" s="10" t="n">
        <v>0.757</v>
      </c>
      <c r="G57" s="0" t="n">
        <v>21.36</v>
      </c>
    </row>
    <row r="58" customFormat="false" ht="15" hidden="false" customHeight="false" outlineLevel="0" collapsed="false">
      <c r="A58" s="0" t="s">
        <v>1161</v>
      </c>
      <c r="B58" s="0" t="n">
        <v>1</v>
      </c>
      <c r="C58" s="0" t="n">
        <v>19.5</v>
      </c>
      <c r="D58" s="0" t="n">
        <v>1.38</v>
      </c>
      <c r="E58" s="0" t="n">
        <v>2.8</v>
      </c>
      <c r="F58" s="10" t="n">
        <v>0.6699</v>
      </c>
      <c r="G58" s="0" t="n">
        <v>21.36</v>
      </c>
    </row>
    <row r="59" customFormat="false" ht="15" hidden="false" customHeight="false" outlineLevel="0" collapsed="false">
      <c r="A59" s="0" t="s">
        <v>1161</v>
      </c>
      <c r="B59" s="0" t="n">
        <v>1</v>
      </c>
      <c r="C59" s="0" t="n">
        <v>20.5</v>
      </c>
      <c r="D59" s="0" t="n">
        <v>1.58</v>
      </c>
      <c r="E59" s="0" t="n">
        <v>2.2</v>
      </c>
      <c r="F59" s="10" t="n">
        <v>0.582</v>
      </c>
      <c r="G59" s="0" t="n">
        <v>21.36</v>
      </c>
    </row>
    <row r="60" customFormat="false" ht="15" hidden="false" customHeight="false" outlineLevel="0" collapsed="false">
      <c r="A60" s="0" t="s">
        <v>1161</v>
      </c>
      <c r="B60" s="0" t="n">
        <v>1</v>
      </c>
      <c r="C60" s="0" t="n">
        <v>21.5</v>
      </c>
      <c r="D60" s="0" t="n">
        <v>1.9</v>
      </c>
      <c r="E60" s="0" t="n">
        <v>1.8</v>
      </c>
      <c r="F60" s="10" t="n">
        <v>0.4865</v>
      </c>
      <c r="G60" s="0" t="n">
        <v>21.36</v>
      </c>
    </row>
    <row r="61" customFormat="false" ht="15" hidden="false" customHeight="false" outlineLevel="0" collapsed="false">
      <c r="A61" s="0" t="s">
        <v>1161</v>
      </c>
      <c r="B61" s="0" t="n">
        <v>1</v>
      </c>
      <c r="C61" s="0" t="n">
        <v>22.5</v>
      </c>
      <c r="D61" s="0" t="n">
        <v>2.4</v>
      </c>
      <c r="E61" s="0" t="n">
        <v>1.5</v>
      </c>
      <c r="F61" s="10" t="n">
        <v>0.3846</v>
      </c>
      <c r="G61" s="0" t="n">
        <v>21.36</v>
      </c>
    </row>
    <row r="62" customFormat="false" ht="15" hidden="false" customHeight="false" outlineLevel="0" collapsed="false">
      <c r="A62" s="0" t="s">
        <v>1161</v>
      </c>
      <c r="B62" s="0" t="n">
        <v>2</v>
      </c>
      <c r="C62" s="0" t="n">
        <v>17.5</v>
      </c>
      <c r="D62" s="0" t="n">
        <v>1.13</v>
      </c>
      <c r="E62" s="0" t="n">
        <v>5</v>
      </c>
      <c r="F62" s="10" t="n">
        <v>0.8157</v>
      </c>
      <c r="G62" s="0" t="n">
        <v>21.11</v>
      </c>
    </row>
    <row r="63" customFormat="false" ht="15" hidden="false" customHeight="false" outlineLevel="0" collapsed="false">
      <c r="A63" s="0" t="s">
        <v>1161</v>
      </c>
      <c r="B63" s="0" t="n">
        <v>2</v>
      </c>
      <c r="C63" s="0" t="n">
        <v>18.5</v>
      </c>
      <c r="D63" s="0" t="n">
        <v>1.25</v>
      </c>
      <c r="E63" s="0" t="n">
        <v>3.5</v>
      </c>
      <c r="F63" s="10" t="n">
        <v>0.7368</v>
      </c>
      <c r="G63" s="0" t="n">
        <v>21.11</v>
      </c>
    </row>
    <row r="64" customFormat="false" ht="15" hidden="false" customHeight="false" outlineLevel="0" collapsed="false">
      <c r="A64" s="0" t="s">
        <v>1161</v>
      </c>
      <c r="B64" s="0" t="n">
        <v>2</v>
      </c>
      <c r="C64" s="0" t="n">
        <v>19.5</v>
      </c>
      <c r="D64" s="0" t="n">
        <v>1.4</v>
      </c>
      <c r="E64" s="0" t="n">
        <v>2.7</v>
      </c>
      <c r="F64" s="10" t="n">
        <v>0.6585</v>
      </c>
      <c r="G64" s="0" t="n">
        <v>21.11</v>
      </c>
    </row>
    <row r="65" customFormat="false" ht="15" hidden="false" customHeight="false" outlineLevel="0" collapsed="false">
      <c r="A65" s="0" t="s">
        <v>1161</v>
      </c>
      <c r="B65" s="0" t="n">
        <v>2</v>
      </c>
      <c r="C65" s="0" t="n">
        <v>20.5</v>
      </c>
      <c r="D65" s="0" t="n">
        <v>1.65</v>
      </c>
      <c r="E65" s="0" t="n">
        <v>2.1</v>
      </c>
      <c r="F65" s="10" t="n">
        <v>0.56</v>
      </c>
      <c r="G65" s="0" t="n">
        <v>21.11</v>
      </c>
    </row>
    <row r="66" customFormat="false" ht="15" hidden="false" customHeight="false" outlineLevel="0" collapsed="false">
      <c r="A66" s="0" t="s">
        <v>1161</v>
      </c>
      <c r="B66" s="0" t="n">
        <v>2</v>
      </c>
      <c r="C66" s="0" t="n">
        <v>21.5</v>
      </c>
      <c r="D66" s="0" t="n">
        <v>2</v>
      </c>
      <c r="E66" s="0" t="n">
        <v>1.72</v>
      </c>
      <c r="F66" s="10" t="n">
        <v>0.4624</v>
      </c>
      <c r="G66" s="0" t="n">
        <v>21.11</v>
      </c>
    </row>
    <row r="67" customFormat="false" ht="15" hidden="false" customHeight="false" outlineLevel="0" collapsed="false">
      <c r="A67" s="0" t="s">
        <v>1161</v>
      </c>
      <c r="B67" s="0" t="n">
        <v>2</v>
      </c>
      <c r="C67" s="0" t="n">
        <v>22.5</v>
      </c>
      <c r="D67" s="0" t="n">
        <v>2.6</v>
      </c>
      <c r="E67" s="0" t="n">
        <v>1.45</v>
      </c>
      <c r="F67" s="10" t="n">
        <v>0.358</v>
      </c>
      <c r="G67" s="0" t="n">
        <v>21.11</v>
      </c>
    </row>
    <row r="68" customFormat="false" ht="15" hidden="false" customHeight="false" outlineLevel="0" collapsed="false">
      <c r="A68" s="0" t="s">
        <v>1161</v>
      </c>
      <c r="B68" s="0" t="n">
        <v>3</v>
      </c>
      <c r="C68" s="0" t="n">
        <v>17.5</v>
      </c>
      <c r="D68" s="0" t="n">
        <v>1.12</v>
      </c>
      <c r="E68" s="0" t="n">
        <v>5.3</v>
      </c>
      <c r="F68" s="10" t="n">
        <v>0.8255</v>
      </c>
      <c r="G68" s="0" t="n">
        <v>21.22</v>
      </c>
    </row>
    <row r="69" customFormat="false" ht="15" hidden="false" customHeight="false" outlineLevel="0" collapsed="false">
      <c r="A69" s="0" t="s">
        <v>1161</v>
      </c>
      <c r="B69" s="0" t="n">
        <v>3</v>
      </c>
      <c r="C69" s="0" t="n">
        <v>18.5</v>
      </c>
      <c r="D69" s="0" t="n">
        <v>1.22</v>
      </c>
      <c r="E69" s="0" t="n">
        <v>3.8</v>
      </c>
      <c r="F69" s="10" t="n">
        <v>0.757</v>
      </c>
      <c r="G69" s="0" t="n">
        <v>21.22</v>
      </c>
    </row>
    <row r="70" customFormat="false" ht="15" hidden="false" customHeight="false" outlineLevel="0" collapsed="false">
      <c r="A70" s="0" t="s">
        <v>1161</v>
      </c>
      <c r="B70" s="0" t="n">
        <v>3</v>
      </c>
      <c r="C70" s="0" t="n">
        <v>19.5</v>
      </c>
      <c r="D70" s="0" t="n">
        <v>1.38</v>
      </c>
      <c r="E70" s="0" t="n">
        <v>2.8</v>
      </c>
      <c r="F70" s="10" t="n">
        <v>0.6699</v>
      </c>
      <c r="G70" s="0" t="n">
        <v>21.22</v>
      </c>
    </row>
    <row r="71" customFormat="false" ht="15" hidden="false" customHeight="false" outlineLevel="0" collapsed="false">
      <c r="A71" s="0" t="s">
        <v>1161</v>
      </c>
      <c r="B71" s="0" t="n">
        <v>3</v>
      </c>
      <c r="C71" s="0" t="n">
        <v>20.5</v>
      </c>
      <c r="D71" s="0" t="n">
        <v>1.62</v>
      </c>
      <c r="E71" s="0" t="n">
        <v>2.15</v>
      </c>
      <c r="F71" s="10" t="n">
        <v>0.5703</v>
      </c>
      <c r="G71" s="0" t="n">
        <v>21.22</v>
      </c>
    </row>
    <row r="72" customFormat="false" ht="15" hidden="false" customHeight="false" outlineLevel="0" collapsed="false">
      <c r="A72" s="0" t="s">
        <v>1161</v>
      </c>
      <c r="B72" s="0" t="n">
        <v>3</v>
      </c>
      <c r="C72" s="0" t="n">
        <v>21.5</v>
      </c>
      <c r="D72" s="0" t="n">
        <v>1.95</v>
      </c>
      <c r="E72" s="0" t="n">
        <v>1.75</v>
      </c>
      <c r="F72" s="10" t="n">
        <v>0.473</v>
      </c>
      <c r="G72" s="0" t="n">
        <v>21.22</v>
      </c>
    </row>
    <row r="73" customFormat="false" ht="15" hidden="false" customHeight="false" outlineLevel="0" collapsed="false">
      <c r="A73" s="0" t="s">
        <v>1161</v>
      </c>
      <c r="B73" s="0" t="n">
        <v>3</v>
      </c>
      <c r="C73" s="0" t="n">
        <v>22.5</v>
      </c>
      <c r="D73" s="0" t="n">
        <v>2.5</v>
      </c>
      <c r="E73" s="0" t="n">
        <v>1.48</v>
      </c>
      <c r="F73" s="10" t="n">
        <v>0.3719</v>
      </c>
      <c r="G73" s="0" t="n">
        <v>21.22</v>
      </c>
    </row>
    <row r="74" customFormat="false" ht="15" hidden="false" customHeight="false" outlineLevel="0" collapsed="false">
      <c r="A74" s="0" t="s">
        <v>1167</v>
      </c>
      <c r="B74" s="0" t="n">
        <v>1</v>
      </c>
      <c r="C74" s="0" t="n">
        <v>17.5</v>
      </c>
      <c r="D74" s="0" t="n">
        <v>1.1</v>
      </c>
      <c r="E74" s="0" t="n">
        <v>5.8</v>
      </c>
      <c r="F74" s="10" t="n">
        <v>0.8406</v>
      </c>
      <c r="G74" s="0" t="n">
        <v>21.42</v>
      </c>
    </row>
    <row r="75" customFormat="false" ht="15" hidden="false" customHeight="false" outlineLevel="0" collapsed="false">
      <c r="A75" s="0" t="s">
        <v>1167</v>
      </c>
      <c r="B75" s="0" t="n">
        <v>1</v>
      </c>
      <c r="C75" s="0" t="n">
        <v>18.5</v>
      </c>
      <c r="D75" s="0" t="n">
        <v>1.22</v>
      </c>
      <c r="E75" s="0" t="n">
        <v>3.8</v>
      </c>
      <c r="F75" s="10" t="n">
        <v>0.757</v>
      </c>
      <c r="G75" s="0" t="n">
        <v>21.42</v>
      </c>
    </row>
    <row r="76" customFormat="false" ht="15" hidden="false" customHeight="false" outlineLevel="0" collapsed="false">
      <c r="A76" s="0" t="s">
        <v>1167</v>
      </c>
      <c r="B76" s="0" t="n">
        <v>1</v>
      </c>
      <c r="C76" s="0" t="n">
        <v>19.5</v>
      </c>
      <c r="D76" s="0" t="n">
        <v>1.35</v>
      </c>
      <c r="E76" s="0" t="n">
        <v>2.9</v>
      </c>
      <c r="F76" s="10" t="n">
        <v>0.6824</v>
      </c>
      <c r="G76" s="0" t="n">
        <v>21.42</v>
      </c>
    </row>
    <row r="77" customFormat="false" ht="15" hidden="false" customHeight="false" outlineLevel="0" collapsed="false">
      <c r="A77" s="0" t="s">
        <v>1167</v>
      </c>
      <c r="B77" s="0" t="n">
        <v>1</v>
      </c>
      <c r="C77" s="0" t="n">
        <v>20.5</v>
      </c>
      <c r="D77" s="0" t="n">
        <v>1.55</v>
      </c>
      <c r="E77" s="0" t="n">
        <v>2.3</v>
      </c>
      <c r="F77" s="10" t="n">
        <v>0.5974</v>
      </c>
      <c r="G77" s="0" t="n">
        <v>21.42</v>
      </c>
    </row>
    <row r="78" customFormat="false" ht="15" hidden="false" customHeight="false" outlineLevel="0" collapsed="false">
      <c r="A78" s="0" t="s">
        <v>1167</v>
      </c>
      <c r="B78" s="0" t="n">
        <v>1</v>
      </c>
      <c r="C78" s="0" t="n">
        <v>21.5</v>
      </c>
      <c r="D78" s="0" t="n">
        <v>1.88</v>
      </c>
      <c r="E78" s="0" t="n">
        <v>1.82</v>
      </c>
      <c r="F78" s="10" t="n">
        <v>0.4919</v>
      </c>
      <c r="G78" s="0" t="n">
        <v>21.42</v>
      </c>
    </row>
    <row r="79" customFormat="false" ht="15" hidden="false" customHeight="false" outlineLevel="0" collapsed="false">
      <c r="A79" s="0" t="s">
        <v>1167</v>
      </c>
      <c r="B79" s="0" t="n">
        <v>1</v>
      </c>
      <c r="C79" s="0" t="n">
        <v>22.5</v>
      </c>
      <c r="D79" s="0" t="n">
        <v>2.4</v>
      </c>
      <c r="E79" s="0" t="n">
        <v>1.5</v>
      </c>
      <c r="F79" s="10" t="n">
        <v>0.3846</v>
      </c>
      <c r="G79" s="0" t="n">
        <v>21.42</v>
      </c>
    </row>
    <row r="80" customFormat="false" ht="15" hidden="false" customHeight="false" outlineLevel="0" collapsed="false">
      <c r="A80" s="0" t="s">
        <v>1167</v>
      </c>
      <c r="B80" s="0" t="n">
        <v>2</v>
      </c>
      <c r="C80" s="0" t="n">
        <v>17.5</v>
      </c>
      <c r="D80" s="0" t="n">
        <v>1.1</v>
      </c>
      <c r="E80" s="0" t="n">
        <v>5.8</v>
      </c>
      <c r="F80" s="10" t="n">
        <v>0.8406</v>
      </c>
      <c r="G80" s="0" t="n">
        <v>21.42</v>
      </c>
    </row>
    <row r="81" customFormat="false" ht="15" hidden="false" customHeight="false" outlineLevel="0" collapsed="false">
      <c r="A81" s="0" t="s">
        <v>1167</v>
      </c>
      <c r="B81" s="0" t="n">
        <v>2</v>
      </c>
      <c r="C81" s="0" t="n">
        <v>18.5</v>
      </c>
      <c r="D81" s="0" t="n">
        <v>1.22</v>
      </c>
      <c r="E81" s="0" t="n">
        <v>3.8</v>
      </c>
      <c r="F81" s="10" t="n">
        <v>0.757</v>
      </c>
      <c r="G81" s="0" t="n">
        <v>21.42</v>
      </c>
    </row>
    <row r="82" customFormat="false" ht="15" hidden="false" customHeight="false" outlineLevel="0" collapsed="false">
      <c r="A82" s="0" t="s">
        <v>1167</v>
      </c>
      <c r="B82" s="0" t="n">
        <v>2</v>
      </c>
      <c r="C82" s="0" t="n">
        <v>19.5</v>
      </c>
      <c r="D82" s="0" t="n">
        <v>1.35</v>
      </c>
      <c r="E82" s="0" t="n">
        <v>2.9</v>
      </c>
      <c r="F82" s="10" t="n">
        <v>0.6824</v>
      </c>
      <c r="G82" s="0" t="n">
        <v>21.42</v>
      </c>
    </row>
    <row r="83" customFormat="false" ht="15" hidden="false" customHeight="false" outlineLevel="0" collapsed="false">
      <c r="A83" s="0" t="s">
        <v>1167</v>
      </c>
      <c r="B83" s="0" t="n">
        <v>2</v>
      </c>
      <c r="C83" s="0" t="n">
        <v>20.5</v>
      </c>
      <c r="D83" s="0" t="n">
        <v>1.55</v>
      </c>
      <c r="E83" s="0" t="n">
        <v>2.3</v>
      </c>
      <c r="F83" s="10" t="n">
        <v>0.5974</v>
      </c>
      <c r="G83" s="0" t="n">
        <v>21.42</v>
      </c>
    </row>
    <row r="84" customFormat="false" ht="15" hidden="false" customHeight="false" outlineLevel="0" collapsed="false">
      <c r="A84" s="0" t="s">
        <v>1167</v>
      </c>
      <c r="B84" s="0" t="n">
        <v>2</v>
      </c>
      <c r="C84" s="0" t="n">
        <v>21.5</v>
      </c>
      <c r="D84" s="0" t="n">
        <v>1.88</v>
      </c>
      <c r="E84" s="0" t="n">
        <v>1.82</v>
      </c>
      <c r="F84" s="10" t="n">
        <v>0.4919</v>
      </c>
      <c r="G84" s="0" t="n">
        <v>21.42</v>
      </c>
    </row>
    <row r="85" customFormat="false" ht="15" hidden="false" customHeight="false" outlineLevel="0" collapsed="false">
      <c r="A85" s="0" t="s">
        <v>1167</v>
      </c>
      <c r="B85" s="0" t="n">
        <v>2</v>
      </c>
      <c r="C85" s="0" t="n">
        <v>22.5</v>
      </c>
      <c r="D85" s="0" t="n">
        <v>2.4</v>
      </c>
      <c r="E85" s="0" t="n">
        <v>1.5</v>
      </c>
      <c r="F85" s="10" t="n">
        <v>0.3846</v>
      </c>
      <c r="G85" s="0" t="n">
        <v>21.42</v>
      </c>
    </row>
    <row r="86" customFormat="false" ht="15" hidden="false" customHeight="false" outlineLevel="0" collapsed="false">
      <c r="A86" s="0" t="s">
        <v>1167</v>
      </c>
      <c r="B86" s="0" t="n">
        <v>3</v>
      </c>
      <c r="C86" s="0" t="n">
        <v>17.5</v>
      </c>
      <c r="D86" s="0" t="n">
        <v>1.1</v>
      </c>
      <c r="E86" s="0" t="n">
        <v>5.8</v>
      </c>
      <c r="F86" s="10" t="n">
        <v>0.8406</v>
      </c>
      <c r="G86" s="0" t="n">
        <v>21.42</v>
      </c>
    </row>
    <row r="87" customFormat="false" ht="15" hidden="false" customHeight="false" outlineLevel="0" collapsed="false">
      <c r="A87" s="0" t="s">
        <v>1167</v>
      </c>
      <c r="B87" s="0" t="n">
        <v>3</v>
      </c>
      <c r="C87" s="0" t="n">
        <v>18.5</v>
      </c>
      <c r="D87" s="0" t="n">
        <v>1.22</v>
      </c>
      <c r="E87" s="0" t="n">
        <v>3.8</v>
      </c>
      <c r="F87" s="10" t="n">
        <v>0.757</v>
      </c>
      <c r="G87" s="0" t="n">
        <v>21.42</v>
      </c>
    </row>
    <row r="88" customFormat="false" ht="15" hidden="false" customHeight="false" outlineLevel="0" collapsed="false">
      <c r="A88" s="0" t="s">
        <v>1167</v>
      </c>
      <c r="B88" s="0" t="n">
        <v>3</v>
      </c>
      <c r="C88" s="0" t="n">
        <v>19.5</v>
      </c>
      <c r="D88" s="0" t="n">
        <v>1.35</v>
      </c>
      <c r="E88" s="0" t="n">
        <v>2.9</v>
      </c>
      <c r="F88" s="10" t="n">
        <v>0.6824</v>
      </c>
      <c r="G88" s="0" t="n">
        <v>21.42</v>
      </c>
    </row>
    <row r="89" customFormat="false" ht="15" hidden="false" customHeight="false" outlineLevel="0" collapsed="false">
      <c r="A89" s="0" t="s">
        <v>1167</v>
      </c>
      <c r="B89" s="0" t="n">
        <v>3</v>
      </c>
      <c r="C89" s="0" t="n">
        <v>20.5</v>
      </c>
      <c r="D89" s="0" t="n">
        <v>1.55</v>
      </c>
      <c r="E89" s="0" t="n">
        <v>2.3</v>
      </c>
      <c r="F89" s="10" t="n">
        <v>0.5974</v>
      </c>
      <c r="G89" s="0" t="n">
        <v>21.42</v>
      </c>
    </row>
    <row r="90" customFormat="false" ht="15" hidden="false" customHeight="false" outlineLevel="0" collapsed="false">
      <c r="A90" s="0" t="s">
        <v>1167</v>
      </c>
      <c r="B90" s="0" t="n">
        <v>3</v>
      </c>
      <c r="C90" s="0" t="n">
        <v>21.5</v>
      </c>
      <c r="D90" s="0" t="n">
        <v>1.88</v>
      </c>
      <c r="E90" s="0" t="n">
        <v>1.82</v>
      </c>
      <c r="F90" s="10" t="n">
        <v>0.4919</v>
      </c>
      <c r="G90" s="0" t="n">
        <v>21.42</v>
      </c>
    </row>
    <row r="91" customFormat="false" ht="15" hidden="false" customHeight="false" outlineLevel="0" collapsed="false">
      <c r="A91" s="0" t="s">
        <v>1167</v>
      </c>
      <c r="B91" s="0" t="n">
        <v>3</v>
      </c>
      <c r="C91" s="0" t="n">
        <v>22.5</v>
      </c>
      <c r="D91" s="0" t="n">
        <v>2.4</v>
      </c>
      <c r="E91" s="0" t="n">
        <v>1.5</v>
      </c>
      <c r="F91" s="10" t="n">
        <v>0.3846</v>
      </c>
      <c r="G91" s="0" t="n">
        <v>21.42</v>
      </c>
    </row>
    <row r="92" customFormat="false" ht="15" hidden="false" customHeight="false" outlineLevel="0" collapsed="false">
      <c r="A92" s="0" t="s">
        <v>1174</v>
      </c>
      <c r="B92" s="0" t="n">
        <v>1</v>
      </c>
      <c r="C92" s="0" t="n">
        <v>17.5</v>
      </c>
      <c r="D92" s="0" t="n">
        <v>1.1</v>
      </c>
      <c r="E92" s="0" t="n">
        <v>5.8</v>
      </c>
      <c r="F92" s="10" t="n">
        <v>0.8406</v>
      </c>
      <c r="G92" s="0" t="n">
        <v>21.5</v>
      </c>
    </row>
    <row r="93" customFormat="false" ht="15" hidden="false" customHeight="false" outlineLevel="0" collapsed="false">
      <c r="A93" s="0" t="s">
        <v>1174</v>
      </c>
      <c r="B93" s="0" t="n">
        <v>1</v>
      </c>
      <c r="C93" s="0" t="n">
        <v>18.5</v>
      </c>
      <c r="D93" s="0" t="n">
        <v>1.2</v>
      </c>
      <c r="E93" s="0" t="n">
        <v>4</v>
      </c>
      <c r="F93" s="10" t="n">
        <v>0.7692</v>
      </c>
      <c r="G93" s="0" t="n">
        <v>21.5</v>
      </c>
    </row>
    <row r="94" customFormat="false" ht="15" hidden="false" customHeight="false" outlineLevel="0" collapsed="false">
      <c r="A94" s="0" t="s">
        <v>1174</v>
      </c>
      <c r="B94" s="0" t="n">
        <v>1</v>
      </c>
      <c r="C94" s="0" t="n">
        <v>19.5</v>
      </c>
      <c r="D94" s="0" t="n">
        <v>1.35</v>
      </c>
      <c r="E94" s="0" t="n">
        <v>2.9</v>
      </c>
      <c r="F94" s="10" t="n">
        <v>0.6824</v>
      </c>
      <c r="G94" s="0" t="n">
        <v>21.5</v>
      </c>
    </row>
    <row r="95" customFormat="false" ht="15" hidden="false" customHeight="false" outlineLevel="0" collapsed="false">
      <c r="A95" s="0" t="s">
        <v>1174</v>
      </c>
      <c r="B95" s="0" t="n">
        <v>1</v>
      </c>
      <c r="C95" s="0" t="n">
        <v>20.5</v>
      </c>
      <c r="D95" s="0" t="n">
        <v>1.52</v>
      </c>
      <c r="E95" s="0" t="n">
        <v>2.35</v>
      </c>
      <c r="F95" s="10" t="n">
        <v>0.6072</v>
      </c>
      <c r="G95" s="0" t="n">
        <v>21.5</v>
      </c>
    </row>
    <row r="96" customFormat="false" ht="15" hidden="false" customHeight="false" outlineLevel="0" collapsed="false">
      <c r="A96" s="0" t="s">
        <v>1174</v>
      </c>
      <c r="B96" s="0" t="n">
        <v>1</v>
      </c>
      <c r="C96" s="0" t="n">
        <v>21.5</v>
      </c>
      <c r="D96" s="0" t="n">
        <v>1.85</v>
      </c>
      <c r="E96" s="0" t="n">
        <v>1.85</v>
      </c>
      <c r="F96" s="10" t="n">
        <v>0.5</v>
      </c>
      <c r="G96" s="0" t="n">
        <v>21.5</v>
      </c>
    </row>
    <row r="97" customFormat="false" ht="15" hidden="false" customHeight="false" outlineLevel="0" collapsed="false">
      <c r="A97" s="0" t="s">
        <v>1174</v>
      </c>
      <c r="B97" s="0" t="n">
        <v>1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21.5</v>
      </c>
    </row>
    <row r="98" customFormat="false" ht="15" hidden="false" customHeight="false" outlineLevel="0" collapsed="false">
      <c r="A98" s="0" t="s">
        <v>1174</v>
      </c>
      <c r="B98" s="0" t="n">
        <v>2</v>
      </c>
      <c r="C98" s="0" t="n">
        <v>17.5</v>
      </c>
      <c r="D98" s="0" t="n">
        <v>1.12</v>
      </c>
      <c r="E98" s="0" t="n">
        <v>5.3</v>
      </c>
      <c r="F98" s="10" t="n">
        <v>0.8255</v>
      </c>
      <c r="G98" s="0" t="n">
        <v>21.36</v>
      </c>
    </row>
    <row r="99" customFormat="false" ht="15" hidden="false" customHeight="false" outlineLevel="0" collapsed="false">
      <c r="A99" s="0" t="s">
        <v>1174</v>
      </c>
      <c r="B99" s="0" t="n">
        <v>2</v>
      </c>
      <c r="C99" s="0" t="n">
        <v>18.5</v>
      </c>
      <c r="D99" s="0" t="n">
        <v>1.22</v>
      </c>
      <c r="E99" s="0" t="n">
        <v>3.8</v>
      </c>
      <c r="F99" s="10" t="n">
        <v>0.757</v>
      </c>
      <c r="G99" s="0" t="n">
        <v>21.36</v>
      </c>
    </row>
    <row r="100" customFormat="false" ht="15" hidden="false" customHeight="false" outlineLevel="0" collapsed="false">
      <c r="A100" s="0" t="s">
        <v>1174</v>
      </c>
      <c r="B100" s="0" t="n">
        <v>2</v>
      </c>
      <c r="C100" s="0" t="n">
        <v>19.5</v>
      </c>
      <c r="D100" s="0" t="n">
        <v>1.38</v>
      </c>
      <c r="E100" s="0" t="n">
        <v>2.8</v>
      </c>
      <c r="F100" s="10" t="n">
        <v>0.6699</v>
      </c>
      <c r="G100" s="0" t="n">
        <v>21.36</v>
      </c>
    </row>
    <row r="101" customFormat="false" ht="15" hidden="false" customHeight="false" outlineLevel="0" collapsed="false">
      <c r="A101" s="0" t="s">
        <v>1174</v>
      </c>
      <c r="B101" s="0" t="n">
        <v>2</v>
      </c>
      <c r="C101" s="0" t="n">
        <v>20.5</v>
      </c>
      <c r="D101" s="0" t="n">
        <v>1.58</v>
      </c>
      <c r="E101" s="0" t="n">
        <v>2.2</v>
      </c>
      <c r="F101" s="10" t="n">
        <v>0.582</v>
      </c>
      <c r="G101" s="0" t="n">
        <v>21.36</v>
      </c>
    </row>
    <row r="102" customFormat="false" ht="15" hidden="false" customHeight="false" outlineLevel="0" collapsed="false">
      <c r="A102" s="0" t="s">
        <v>1174</v>
      </c>
      <c r="B102" s="0" t="n">
        <v>2</v>
      </c>
      <c r="C102" s="0" t="n">
        <v>21.5</v>
      </c>
      <c r="D102" s="0" t="n">
        <v>1.9</v>
      </c>
      <c r="E102" s="0" t="n">
        <v>1.8</v>
      </c>
      <c r="F102" s="10" t="n">
        <v>0.4865</v>
      </c>
      <c r="G102" s="0" t="n">
        <v>21.36</v>
      </c>
    </row>
    <row r="103" customFormat="false" ht="15" hidden="false" customHeight="false" outlineLevel="0" collapsed="false">
      <c r="A103" s="0" t="s">
        <v>1174</v>
      </c>
      <c r="B103" s="0" t="n">
        <v>2</v>
      </c>
      <c r="C103" s="0" t="n">
        <v>22.5</v>
      </c>
      <c r="D103" s="0" t="n">
        <v>2.5</v>
      </c>
      <c r="E103" s="0" t="n">
        <v>1.48</v>
      </c>
      <c r="F103" s="10" t="n">
        <v>0.3719</v>
      </c>
      <c r="G103" s="0" t="n">
        <v>21.36</v>
      </c>
    </row>
    <row r="104" customFormat="false" ht="15" hidden="false" customHeight="false" outlineLevel="0" collapsed="false">
      <c r="A104" s="0" t="s">
        <v>1174</v>
      </c>
      <c r="B104" s="0" t="n">
        <v>3</v>
      </c>
      <c r="C104" s="0" t="n">
        <v>17.5</v>
      </c>
      <c r="D104" s="0" t="n">
        <v>1.1</v>
      </c>
      <c r="E104" s="0" t="n">
        <v>5.8</v>
      </c>
      <c r="F104" s="10" t="n">
        <v>0.8406</v>
      </c>
      <c r="G104" s="0" t="n">
        <v>21.42</v>
      </c>
    </row>
    <row r="105" customFormat="false" ht="15" hidden="false" customHeight="false" outlineLevel="0" collapsed="false">
      <c r="A105" s="0" t="s">
        <v>1174</v>
      </c>
      <c r="B105" s="0" t="n">
        <v>3</v>
      </c>
      <c r="C105" s="0" t="n">
        <v>18.5</v>
      </c>
      <c r="D105" s="0" t="n">
        <v>1.22</v>
      </c>
      <c r="E105" s="0" t="n">
        <v>3.8</v>
      </c>
      <c r="F105" s="10" t="n">
        <v>0.757</v>
      </c>
      <c r="G105" s="0" t="n">
        <v>21.42</v>
      </c>
    </row>
    <row r="106" customFormat="false" ht="15" hidden="false" customHeight="false" outlineLevel="0" collapsed="false">
      <c r="A106" s="0" t="s">
        <v>1174</v>
      </c>
      <c r="B106" s="0" t="n">
        <v>3</v>
      </c>
      <c r="C106" s="0" t="n">
        <v>19.5</v>
      </c>
      <c r="D106" s="0" t="n">
        <v>1.35</v>
      </c>
      <c r="E106" s="0" t="n">
        <v>2.9</v>
      </c>
      <c r="F106" s="10" t="n">
        <v>0.6824</v>
      </c>
      <c r="G106" s="0" t="n">
        <v>21.42</v>
      </c>
    </row>
    <row r="107" customFormat="false" ht="15" hidden="false" customHeight="false" outlineLevel="0" collapsed="false">
      <c r="A107" s="0" t="s">
        <v>1174</v>
      </c>
      <c r="B107" s="0" t="n">
        <v>3</v>
      </c>
      <c r="C107" s="0" t="n">
        <v>20.5</v>
      </c>
      <c r="D107" s="0" t="n">
        <v>1.55</v>
      </c>
      <c r="E107" s="0" t="n">
        <v>2.3</v>
      </c>
      <c r="F107" s="10" t="n">
        <v>0.5974</v>
      </c>
      <c r="G107" s="0" t="n">
        <v>21.42</v>
      </c>
    </row>
    <row r="108" customFormat="false" ht="15" hidden="false" customHeight="false" outlineLevel="0" collapsed="false">
      <c r="A108" s="0" t="s">
        <v>1174</v>
      </c>
      <c r="B108" s="0" t="n">
        <v>3</v>
      </c>
      <c r="C108" s="0" t="n">
        <v>21.5</v>
      </c>
      <c r="D108" s="0" t="n">
        <v>1.88</v>
      </c>
      <c r="E108" s="0" t="n">
        <v>1.82</v>
      </c>
      <c r="F108" s="10" t="n">
        <v>0.4919</v>
      </c>
      <c r="G108" s="0" t="n">
        <v>21.42</v>
      </c>
    </row>
    <row r="109" customFormat="false" ht="15" hidden="false" customHeight="false" outlineLevel="0" collapsed="false">
      <c r="A109" s="0" t="s">
        <v>1174</v>
      </c>
      <c r="B109" s="0" t="n">
        <v>3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21.42</v>
      </c>
    </row>
    <row r="110" customFormat="false" ht="15" hidden="false" customHeight="false" outlineLevel="0" collapsed="false">
      <c r="A110" s="0" t="s">
        <v>1180</v>
      </c>
      <c r="B110" s="0" t="n">
        <v>1</v>
      </c>
      <c r="C110" s="0" t="n">
        <v>17.5</v>
      </c>
      <c r="D110" s="0" t="n">
        <v>1.52</v>
      </c>
      <c r="E110" s="0" t="n">
        <v>2.33</v>
      </c>
      <c r="F110" s="10" t="n">
        <v>0.6052</v>
      </c>
      <c r="G110" s="0" t="n">
        <v>18.56</v>
      </c>
    </row>
    <row r="111" customFormat="false" ht="15" hidden="false" customHeight="false" outlineLevel="0" collapsed="false">
      <c r="A111" s="0" t="s">
        <v>1180</v>
      </c>
      <c r="B111" s="0" t="n">
        <v>1</v>
      </c>
      <c r="C111" s="0" t="n">
        <v>18.5</v>
      </c>
      <c r="D111" s="0" t="n">
        <v>1.82</v>
      </c>
      <c r="E111" s="0" t="n">
        <v>1.86</v>
      </c>
      <c r="F111" s="10" t="n">
        <v>0.5054</v>
      </c>
      <c r="G111" s="0" t="n">
        <v>18.56</v>
      </c>
    </row>
    <row r="112" customFormat="false" ht="15" hidden="false" customHeight="false" outlineLevel="0" collapsed="false">
      <c r="A112" s="0" t="s">
        <v>1180</v>
      </c>
      <c r="B112" s="0" t="n">
        <v>1</v>
      </c>
      <c r="C112" s="0" t="n">
        <v>19.5</v>
      </c>
      <c r="D112" s="0" t="n">
        <v>2.24</v>
      </c>
      <c r="E112" s="0" t="n">
        <v>1.57</v>
      </c>
      <c r="F112" s="10" t="n">
        <v>0.4121</v>
      </c>
      <c r="G112" s="0" t="n">
        <v>18.56</v>
      </c>
    </row>
    <row r="113" customFormat="false" ht="15" hidden="false" customHeight="false" outlineLevel="0" collapsed="false">
      <c r="A113" s="0" t="s">
        <v>1180</v>
      </c>
      <c r="B113" s="0" t="n">
        <v>2</v>
      </c>
      <c r="C113" s="0" t="n">
        <v>17.5</v>
      </c>
      <c r="D113" s="0" t="n">
        <v>1.52</v>
      </c>
      <c r="E113" s="0" t="n">
        <v>2.34</v>
      </c>
      <c r="F113" s="10" t="n">
        <v>0.6062</v>
      </c>
      <c r="G113" s="0" t="n">
        <v>18.57</v>
      </c>
    </row>
    <row r="114" customFormat="false" ht="15" hidden="false" customHeight="false" outlineLevel="0" collapsed="false">
      <c r="A114" s="0" t="s">
        <v>1180</v>
      </c>
      <c r="B114" s="0" t="n">
        <v>2</v>
      </c>
      <c r="C114" s="0" t="n">
        <v>18.5</v>
      </c>
      <c r="D114" s="0" t="n">
        <v>1.82</v>
      </c>
      <c r="E114" s="0" t="n">
        <v>1.87</v>
      </c>
      <c r="F114" s="10" t="n">
        <v>0.5068</v>
      </c>
      <c r="G114" s="0" t="n">
        <v>18.57</v>
      </c>
    </row>
    <row r="115" customFormat="false" ht="15" hidden="false" customHeight="false" outlineLevel="0" collapsed="false">
      <c r="A115" s="0" t="s">
        <v>1180</v>
      </c>
      <c r="B115" s="0" t="n">
        <v>2</v>
      </c>
      <c r="C115" s="0" t="n">
        <v>19.5</v>
      </c>
      <c r="D115" s="0" t="n">
        <v>2.23</v>
      </c>
      <c r="E115" s="0" t="n">
        <v>1.57</v>
      </c>
      <c r="F115" s="10" t="n">
        <v>0.4132</v>
      </c>
      <c r="G115" s="0" t="n">
        <v>18.57</v>
      </c>
    </row>
    <row r="116" customFormat="false" ht="15" hidden="false" customHeight="false" outlineLevel="0" collapsed="false">
      <c r="A116" s="0" t="s">
        <v>1192</v>
      </c>
      <c r="B116" s="0" t="n">
        <v>1</v>
      </c>
      <c r="C116" s="0" t="n">
        <v>17.5</v>
      </c>
      <c r="D116" s="0" t="n">
        <v>1.1</v>
      </c>
      <c r="E116" s="0" t="n">
        <v>5.8</v>
      </c>
      <c r="F116" s="10" t="n">
        <v>0.8406</v>
      </c>
      <c r="G116" s="0" t="n">
        <v>21.5</v>
      </c>
    </row>
    <row r="117" customFormat="false" ht="15" hidden="false" customHeight="false" outlineLevel="0" collapsed="false">
      <c r="A117" s="0" t="s">
        <v>1192</v>
      </c>
      <c r="B117" s="0" t="n">
        <v>1</v>
      </c>
      <c r="C117" s="0" t="n">
        <v>18.5</v>
      </c>
      <c r="D117" s="0" t="n">
        <v>1.2</v>
      </c>
      <c r="E117" s="0" t="n">
        <v>4</v>
      </c>
      <c r="F117" s="10" t="n">
        <v>0.7692</v>
      </c>
      <c r="G117" s="0" t="n">
        <v>21.5</v>
      </c>
    </row>
    <row r="118" customFormat="false" ht="15" hidden="false" customHeight="false" outlineLevel="0" collapsed="false">
      <c r="A118" s="0" t="s">
        <v>1192</v>
      </c>
      <c r="B118" s="0" t="n">
        <v>1</v>
      </c>
      <c r="C118" s="0" t="n">
        <v>19.5</v>
      </c>
      <c r="D118" s="0" t="n">
        <v>1.35</v>
      </c>
      <c r="E118" s="0" t="n">
        <v>2.9</v>
      </c>
      <c r="F118" s="10" t="n">
        <v>0.6824</v>
      </c>
      <c r="G118" s="0" t="n">
        <v>21.5</v>
      </c>
    </row>
    <row r="119" customFormat="false" ht="15" hidden="false" customHeight="false" outlineLevel="0" collapsed="false">
      <c r="A119" s="0" t="s">
        <v>1192</v>
      </c>
      <c r="B119" s="0" t="n">
        <v>1</v>
      </c>
      <c r="C119" s="0" t="n">
        <v>20.5</v>
      </c>
      <c r="D119" s="0" t="n">
        <v>1.52</v>
      </c>
      <c r="E119" s="0" t="n">
        <v>2.35</v>
      </c>
      <c r="F119" s="10" t="n">
        <v>0.6072</v>
      </c>
      <c r="G119" s="0" t="n">
        <v>21.5</v>
      </c>
    </row>
    <row r="120" customFormat="false" ht="15" hidden="false" customHeight="false" outlineLevel="0" collapsed="false">
      <c r="A120" s="0" t="s">
        <v>1192</v>
      </c>
      <c r="B120" s="0" t="n">
        <v>1</v>
      </c>
      <c r="C120" s="0" t="n">
        <v>21.5</v>
      </c>
      <c r="D120" s="0" t="n">
        <v>1.85</v>
      </c>
      <c r="E120" s="0" t="n">
        <v>1.85</v>
      </c>
      <c r="F120" s="10" t="n">
        <v>0.5</v>
      </c>
      <c r="G120" s="0" t="n">
        <v>21.5</v>
      </c>
    </row>
    <row r="121" customFormat="false" ht="15" hidden="false" customHeight="false" outlineLevel="0" collapsed="false">
      <c r="A121" s="0" t="s">
        <v>1192</v>
      </c>
      <c r="B121" s="0" t="n">
        <v>1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21.5</v>
      </c>
    </row>
    <row r="122" customFormat="false" ht="15" hidden="false" customHeight="false" outlineLevel="0" collapsed="false">
      <c r="A122" s="0" t="s">
        <v>1192</v>
      </c>
      <c r="B122" s="0" t="n">
        <v>2</v>
      </c>
      <c r="C122" s="0" t="n">
        <v>17.5</v>
      </c>
      <c r="D122" s="0" t="n">
        <v>1.1</v>
      </c>
      <c r="E122" s="0" t="n">
        <v>5.8</v>
      </c>
      <c r="F122" s="10" t="n">
        <v>0.8406</v>
      </c>
      <c r="G122" s="0" t="n">
        <v>21.5</v>
      </c>
    </row>
    <row r="123" customFormat="false" ht="15" hidden="false" customHeight="false" outlineLevel="0" collapsed="false">
      <c r="A123" s="0" t="s">
        <v>1192</v>
      </c>
      <c r="B123" s="0" t="n">
        <v>2</v>
      </c>
      <c r="C123" s="0" t="n">
        <v>18.5</v>
      </c>
      <c r="D123" s="0" t="n">
        <v>1.2</v>
      </c>
      <c r="E123" s="0" t="n">
        <v>4</v>
      </c>
      <c r="F123" s="10" t="n">
        <v>0.7692</v>
      </c>
      <c r="G123" s="0" t="n">
        <v>21.5</v>
      </c>
    </row>
    <row r="124" customFormat="false" ht="15" hidden="false" customHeight="false" outlineLevel="0" collapsed="false">
      <c r="A124" s="0" t="s">
        <v>1192</v>
      </c>
      <c r="B124" s="0" t="n">
        <v>2</v>
      </c>
      <c r="C124" s="0" t="n">
        <v>19.5</v>
      </c>
      <c r="D124" s="0" t="n">
        <v>1.32</v>
      </c>
      <c r="E124" s="0" t="n">
        <v>3.1</v>
      </c>
      <c r="F124" s="10" t="n">
        <v>0.7014</v>
      </c>
      <c r="G124" s="0" t="n">
        <v>21.5</v>
      </c>
    </row>
    <row r="125" customFormat="false" ht="15" hidden="false" customHeight="false" outlineLevel="0" collapsed="false">
      <c r="A125" s="0" t="s">
        <v>1192</v>
      </c>
      <c r="B125" s="0" t="n">
        <v>2</v>
      </c>
      <c r="C125" s="0" t="n">
        <v>20.5</v>
      </c>
      <c r="D125" s="0" t="n">
        <v>1.52</v>
      </c>
      <c r="E125" s="0" t="n">
        <v>2.35</v>
      </c>
      <c r="F125" s="10" t="n">
        <v>0.6072</v>
      </c>
      <c r="G125" s="0" t="n">
        <v>21.5</v>
      </c>
    </row>
    <row r="126" customFormat="false" ht="15" hidden="false" customHeight="false" outlineLevel="0" collapsed="false">
      <c r="A126" s="0" t="s">
        <v>1192</v>
      </c>
      <c r="B126" s="0" t="n">
        <v>2</v>
      </c>
      <c r="C126" s="0" t="n">
        <v>21.5</v>
      </c>
      <c r="D126" s="0" t="n">
        <v>1.85</v>
      </c>
      <c r="E126" s="0" t="n">
        <v>1.85</v>
      </c>
      <c r="F126" s="10" t="n">
        <v>0.5</v>
      </c>
      <c r="G126" s="0" t="n">
        <v>21.5</v>
      </c>
    </row>
    <row r="127" customFormat="false" ht="15" hidden="false" customHeight="false" outlineLevel="0" collapsed="false">
      <c r="A127" s="0" t="s">
        <v>1192</v>
      </c>
      <c r="B127" s="0" t="n">
        <v>2</v>
      </c>
      <c r="C127" s="0" t="n">
        <v>22.5</v>
      </c>
      <c r="D127" s="0" t="n">
        <v>2.4</v>
      </c>
      <c r="E127" s="0" t="n">
        <v>1.5</v>
      </c>
      <c r="F127" s="10" t="n">
        <v>0.3846</v>
      </c>
      <c r="G127" s="0" t="n">
        <v>21.5</v>
      </c>
    </row>
    <row r="128" customFormat="false" ht="15" hidden="false" customHeight="false" outlineLevel="0" collapsed="false">
      <c r="A128" s="0" t="s">
        <v>1192</v>
      </c>
      <c r="B128" s="0" t="n">
        <v>3</v>
      </c>
      <c r="C128" s="0" t="n">
        <v>17.5</v>
      </c>
      <c r="D128" s="0" t="n">
        <v>1.1</v>
      </c>
      <c r="E128" s="0" t="n">
        <v>5.8</v>
      </c>
      <c r="F128" s="10" t="n">
        <v>0.8406</v>
      </c>
      <c r="G128" s="0" t="n">
        <v>21.5</v>
      </c>
    </row>
    <row r="129" customFormat="false" ht="15" hidden="false" customHeight="false" outlineLevel="0" collapsed="false">
      <c r="A129" s="0" t="s">
        <v>1192</v>
      </c>
      <c r="B129" s="0" t="n">
        <v>3</v>
      </c>
      <c r="C129" s="0" t="n">
        <v>18.5</v>
      </c>
      <c r="D129" s="0" t="n">
        <v>1.2</v>
      </c>
      <c r="E129" s="0" t="n">
        <v>4</v>
      </c>
      <c r="F129" s="10" t="n">
        <v>0.7692</v>
      </c>
      <c r="G129" s="0" t="n">
        <v>21.5</v>
      </c>
    </row>
    <row r="130" customFormat="false" ht="15" hidden="false" customHeight="false" outlineLevel="0" collapsed="false">
      <c r="A130" s="0" t="s">
        <v>1192</v>
      </c>
      <c r="B130" s="0" t="n">
        <v>3</v>
      </c>
      <c r="C130" s="0" t="n">
        <v>19.5</v>
      </c>
      <c r="D130" s="0" t="n">
        <v>1.32</v>
      </c>
      <c r="E130" s="0" t="n">
        <v>3.1</v>
      </c>
      <c r="F130" s="10" t="n">
        <v>0.7014</v>
      </c>
      <c r="G130" s="0" t="n">
        <v>21.5</v>
      </c>
    </row>
    <row r="131" customFormat="false" ht="15" hidden="false" customHeight="false" outlineLevel="0" collapsed="false">
      <c r="A131" s="0" t="s">
        <v>1192</v>
      </c>
      <c r="B131" s="0" t="n">
        <v>3</v>
      </c>
      <c r="C131" s="0" t="n">
        <v>20.5</v>
      </c>
      <c r="D131" s="0" t="n">
        <v>1.52</v>
      </c>
      <c r="E131" s="0" t="n">
        <v>2.35</v>
      </c>
      <c r="F131" s="10" t="n">
        <v>0.6072</v>
      </c>
      <c r="G131" s="0" t="n">
        <v>21.5</v>
      </c>
    </row>
    <row r="132" customFormat="false" ht="15" hidden="false" customHeight="false" outlineLevel="0" collapsed="false">
      <c r="A132" s="0" t="s">
        <v>1192</v>
      </c>
      <c r="B132" s="0" t="n">
        <v>3</v>
      </c>
      <c r="C132" s="0" t="n">
        <v>21.5</v>
      </c>
      <c r="D132" s="0" t="n">
        <v>1.85</v>
      </c>
      <c r="E132" s="0" t="n">
        <v>1.85</v>
      </c>
      <c r="F132" s="10" t="n">
        <v>0.5</v>
      </c>
      <c r="G132" s="0" t="n">
        <v>21.5</v>
      </c>
    </row>
    <row r="133" customFormat="false" ht="15" hidden="false" customHeight="false" outlineLevel="0" collapsed="false">
      <c r="A133" s="0" t="s">
        <v>1192</v>
      </c>
      <c r="B133" s="0" t="n">
        <v>3</v>
      </c>
      <c r="C133" s="0" t="n">
        <v>22.5</v>
      </c>
      <c r="D133" s="0" t="n">
        <v>2.4</v>
      </c>
      <c r="E133" s="0" t="n">
        <v>1.5</v>
      </c>
      <c r="F133" s="10" t="n">
        <v>0.3846</v>
      </c>
      <c r="G133" s="0" t="n">
        <v>21.5</v>
      </c>
    </row>
    <row r="134" customFormat="false" ht="15" hidden="false" customHeight="false" outlineLevel="0" collapsed="false">
      <c r="A134" s="0" t="s">
        <v>1199</v>
      </c>
      <c r="B134" s="0" t="n">
        <v>1</v>
      </c>
      <c r="C134" s="0" t="n">
        <v>17.5</v>
      </c>
      <c r="D134" s="0" t="n">
        <v>1.12</v>
      </c>
      <c r="E134" s="0" t="n">
        <v>5.3</v>
      </c>
      <c r="F134" s="10" t="n">
        <v>0.8255</v>
      </c>
      <c r="G134" s="0" t="n">
        <v>21.36</v>
      </c>
    </row>
    <row r="135" customFormat="false" ht="15" hidden="false" customHeight="false" outlineLevel="0" collapsed="false">
      <c r="A135" s="0" t="s">
        <v>1199</v>
      </c>
      <c r="B135" s="0" t="n">
        <v>1</v>
      </c>
      <c r="C135" s="0" t="n">
        <v>18.5</v>
      </c>
      <c r="D135" s="0" t="n">
        <v>1.22</v>
      </c>
      <c r="E135" s="0" t="n">
        <v>3.8</v>
      </c>
      <c r="F135" s="10" t="n">
        <v>0.757</v>
      </c>
      <c r="G135" s="0" t="n">
        <v>21.36</v>
      </c>
    </row>
    <row r="136" customFormat="false" ht="15" hidden="false" customHeight="false" outlineLevel="0" collapsed="false">
      <c r="A136" s="0" t="s">
        <v>1199</v>
      </c>
      <c r="B136" s="0" t="n">
        <v>1</v>
      </c>
      <c r="C136" s="0" t="n">
        <v>19.5</v>
      </c>
      <c r="D136" s="0" t="n">
        <v>1.38</v>
      </c>
      <c r="E136" s="0" t="n">
        <v>2.8</v>
      </c>
      <c r="F136" s="10" t="n">
        <v>0.6699</v>
      </c>
      <c r="G136" s="0" t="n">
        <v>21.36</v>
      </c>
    </row>
    <row r="137" customFormat="false" ht="15" hidden="false" customHeight="false" outlineLevel="0" collapsed="false">
      <c r="A137" s="0" t="s">
        <v>1199</v>
      </c>
      <c r="B137" s="0" t="n">
        <v>1</v>
      </c>
      <c r="C137" s="0" t="n">
        <v>20.5</v>
      </c>
      <c r="D137" s="0" t="n">
        <v>1.58</v>
      </c>
      <c r="E137" s="0" t="n">
        <v>2.2</v>
      </c>
      <c r="F137" s="10" t="n">
        <v>0.582</v>
      </c>
      <c r="G137" s="0" t="n">
        <v>21.36</v>
      </c>
    </row>
    <row r="138" customFormat="false" ht="15" hidden="false" customHeight="false" outlineLevel="0" collapsed="false">
      <c r="A138" s="0" t="s">
        <v>1199</v>
      </c>
      <c r="B138" s="0" t="n">
        <v>1</v>
      </c>
      <c r="C138" s="0" t="n">
        <v>21.5</v>
      </c>
      <c r="D138" s="0" t="n">
        <v>1.9</v>
      </c>
      <c r="E138" s="0" t="n">
        <v>1.8</v>
      </c>
      <c r="F138" s="10" t="n">
        <v>0.4865</v>
      </c>
      <c r="G138" s="0" t="n">
        <v>21.36</v>
      </c>
    </row>
    <row r="139" customFormat="false" ht="15" hidden="false" customHeight="false" outlineLevel="0" collapsed="false">
      <c r="A139" s="0" t="s">
        <v>1199</v>
      </c>
      <c r="B139" s="0" t="n">
        <v>1</v>
      </c>
      <c r="C139" s="0" t="n">
        <v>22.5</v>
      </c>
      <c r="D139" s="0" t="n">
        <v>2.4</v>
      </c>
      <c r="E139" s="0" t="n">
        <v>1.5</v>
      </c>
      <c r="F139" s="10" t="n">
        <v>0.3846</v>
      </c>
      <c r="G139" s="0" t="n">
        <v>21.36</v>
      </c>
    </row>
    <row r="140" customFormat="false" ht="15" hidden="false" customHeight="false" outlineLevel="0" collapsed="false">
      <c r="A140" s="0" t="s">
        <v>1199</v>
      </c>
      <c r="B140" s="0" t="n">
        <v>2</v>
      </c>
      <c r="C140" s="0" t="n">
        <v>17.5</v>
      </c>
      <c r="D140" s="0" t="n">
        <v>1.1</v>
      </c>
      <c r="E140" s="0" t="n">
        <v>5.8</v>
      </c>
      <c r="F140" s="10" t="n">
        <v>0.8406</v>
      </c>
      <c r="G140" s="0" t="n">
        <v>21.5</v>
      </c>
    </row>
    <row r="141" customFormat="false" ht="15" hidden="false" customHeight="false" outlineLevel="0" collapsed="false">
      <c r="A141" s="0" t="s">
        <v>1199</v>
      </c>
      <c r="B141" s="0" t="n">
        <v>2</v>
      </c>
      <c r="C141" s="0" t="n">
        <v>18.5</v>
      </c>
      <c r="D141" s="0" t="n">
        <v>1.2</v>
      </c>
      <c r="E141" s="0" t="n">
        <v>4</v>
      </c>
      <c r="F141" s="10" t="n">
        <v>0.7692</v>
      </c>
      <c r="G141" s="0" t="n">
        <v>21.5</v>
      </c>
    </row>
    <row r="142" customFormat="false" ht="15" hidden="false" customHeight="false" outlineLevel="0" collapsed="false">
      <c r="A142" s="0" t="s">
        <v>1199</v>
      </c>
      <c r="B142" s="0" t="n">
        <v>2</v>
      </c>
      <c r="C142" s="0" t="n">
        <v>19.5</v>
      </c>
      <c r="D142" s="0" t="n">
        <v>1.32</v>
      </c>
      <c r="E142" s="0" t="n">
        <v>3.1</v>
      </c>
      <c r="F142" s="10" t="n">
        <v>0.7014</v>
      </c>
      <c r="G142" s="0" t="n">
        <v>21.5</v>
      </c>
    </row>
    <row r="143" customFormat="false" ht="15" hidden="false" customHeight="false" outlineLevel="0" collapsed="false">
      <c r="A143" s="0" t="s">
        <v>1199</v>
      </c>
      <c r="B143" s="0" t="n">
        <v>2</v>
      </c>
      <c r="C143" s="0" t="n">
        <v>20.5</v>
      </c>
      <c r="D143" s="0" t="n">
        <v>1.52</v>
      </c>
      <c r="E143" s="0" t="n">
        <v>2.35</v>
      </c>
      <c r="F143" s="10" t="n">
        <v>0.6072</v>
      </c>
      <c r="G143" s="0" t="n">
        <v>21.5</v>
      </c>
    </row>
    <row r="144" customFormat="false" ht="15" hidden="false" customHeight="false" outlineLevel="0" collapsed="false">
      <c r="A144" s="0" t="s">
        <v>1199</v>
      </c>
      <c r="B144" s="0" t="n">
        <v>2</v>
      </c>
      <c r="C144" s="0" t="n">
        <v>21.5</v>
      </c>
      <c r="D144" s="0" t="n">
        <v>1.85</v>
      </c>
      <c r="E144" s="0" t="n">
        <v>1.85</v>
      </c>
      <c r="F144" s="10" t="n">
        <v>0.5</v>
      </c>
      <c r="G144" s="0" t="n">
        <v>21.5</v>
      </c>
    </row>
    <row r="145" customFormat="false" ht="15" hidden="false" customHeight="false" outlineLevel="0" collapsed="false">
      <c r="A145" s="0" t="s">
        <v>1199</v>
      </c>
      <c r="B145" s="0" t="n">
        <v>2</v>
      </c>
      <c r="C145" s="0" t="n">
        <v>22.5</v>
      </c>
      <c r="D145" s="0" t="n">
        <v>2.4</v>
      </c>
      <c r="E145" s="0" t="n">
        <v>1.5</v>
      </c>
      <c r="F145" s="10" t="n">
        <v>0.3846</v>
      </c>
      <c r="G145" s="0" t="n">
        <v>21.5</v>
      </c>
    </row>
    <row r="146" customFormat="false" ht="15" hidden="false" customHeight="false" outlineLevel="0" collapsed="false">
      <c r="A146" s="0" t="s">
        <v>1199</v>
      </c>
      <c r="B146" s="0" t="n">
        <v>3</v>
      </c>
      <c r="C146" s="0" t="n">
        <v>17.5</v>
      </c>
      <c r="D146" s="0" t="n">
        <v>1.1</v>
      </c>
      <c r="E146" s="0" t="n">
        <v>5.8</v>
      </c>
      <c r="F146" s="10" t="n">
        <v>0.8406</v>
      </c>
      <c r="G146" s="0" t="n">
        <v>21.42</v>
      </c>
    </row>
    <row r="147" customFormat="false" ht="15" hidden="false" customHeight="false" outlineLevel="0" collapsed="false">
      <c r="A147" s="0" t="s">
        <v>1199</v>
      </c>
      <c r="B147" s="0" t="n">
        <v>3</v>
      </c>
      <c r="C147" s="0" t="n">
        <v>18.5</v>
      </c>
      <c r="D147" s="0" t="n">
        <v>1.22</v>
      </c>
      <c r="E147" s="0" t="n">
        <v>3.8</v>
      </c>
      <c r="F147" s="10" t="n">
        <v>0.757</v>
      </c>
      <c r="G147" s="0" t="n">
        <v>21.42</v>
      </c>
    </row>
    <row r="148" customFormat="false" ht="15" hidden="false" customHeight="false" outlineLevel="0" collapsed="false">
      <c r="A148" s="0" t="s">
        <v>1199</v>
      </c>
      <c r="B148" s="0" t="n">
        <v>3</v>
      </c>
      <c r="C148" s="0" t="n">
        <v>19.5</v>
      </c>
      <c r="D148" s="0" t="n">
        <v>1.35</v>
      </c>
      <c r="E148" s="0" t="n">
        <v>2.9</v>
      </c>
      <c r="F148" s="10" t="n">
        <v>0.6824</v>
      </c>
      <c r="G148" s="0" t="n">
        <v>21.42</v>
      </c>
    </row>
    <row r="149" customFormat="false" ht="15" hidden="false" customHeight="false" outlineLevel="0" collapsed="false">
      <c r="A149" s="0" t="s">
        <v>1199</v>
      </c>
      <c r="B149" s="0" t="n">
        <v>3</v>
      </c>
      <c r="C149" s="0" t="n">
        <v>20.5</v>
      </c>
      <c r="D149" s="0" t="n">
        <v>1.55</v>
      </c>
      <c r="E149" s="0" t="n">
        <v>2.3</v>
      </c>
      <c r="F149" s="10" t="n">
        <v>0.5974</v>
      </c>
      <c r="G149" s="0" t="n">
        <v>21.42</v>
      </c>
    </row>
    <row r="150" customFormat="false" ht="15" hidden="false" customHeight="false" outlineLevel="0" collapsed="false">
      <c r="A150" s="0" t="s">
        <v>1199</v>
      </c>
      <c r="B150" s="0" t="n">
        <v>3</v>
      </c>
      <c r="C150" s="0" t="n">
        <v>21.5</v>
      </c>
      <c r="D150" s="0" t="n">
        <v>1.88</v>
      </c>
      <c r="E150" s="0" t="n">
        <v>1.82</v>
      </c>
      <c r="F150" s="10" t="n">
        <v>0.4919</v>
      </c>
      <c r="G150" s="0" t="n">
        <v>21.42</v>
      </c>
    </row>
    <row r="151" customFormat="false" ht="15" hidden="false" customHeight="false" outlineLevel="0" collapsed="false">
      <c r="A151" s="0" t="s">
        <v>1199</v>
      </c>
      <c r="B151" s="0" t="n">
        <v>3</v>
      </c>
      <c r="C151" s="0" t="n">
        <v>22.5</v>
      </c>
      <c r="D151" s="0" t="n">
        <v>2.4</v>
      </c>
      <c r="E151" s="0" t="n">
        <v>1.5</v>
      </c>
      <c r="F151" s="10" t="n">
        <v>0.3846</v>
      </c>
      <c r="G151" s="0" t="n">
        <v>21.42</v>
      </c>
    </row>
    <row r="152" customFormat="false" ht="15" hidden="false" customHeight="false" outlineLevel="0" collapsed="false">
      <c r="A152" s="0" t="s">
        <v>1210</v>
      </c>
      <c r="B152" s="0" t="n">
        <v>1</v>
      </c>
      <c r="C152" s="0" t="n">
        <v>17.5</v>
      </c>
      <c r="D152" s="0" t="n">
        <v>1.53</v>
      </c>
      <c r="E152" s="0" t="n">
        <v>2.32</v>
      </c>
      <c r="F152" s="10" t="n">
        <v>0.6026</v>
      </c>
      <c r="G152" s="0" t="n">
        <v>18.53</v>
      </c>
    </row>
    <row r="153" customFormat="false" ht="15" hidden="false" customHeight="false" outlineLevel="0" collapsed="false">
      <c r="A153" s="0" t="s">
        <v>1210</v>
      </c>
      <c r="B153" s="0" t="n">
        <v>1</v>
      </c>
      <c r="C153" s="0" t="n">
        <v>18.5</v>
      </c>
      <c r="D153" s="0" t="n">
        <v>1.83</v>
      </c>
      <c r="E153" s="0" t="n">
        <v>1.85</v>
      </c>
      <c r="F153" s="10" t="n">
        <v>0.5027</v>
      </c>
      <c r="G153" s="0" t="n">
        <v>18.53</v>
      </c>
    </row>
    <row r="154" customFormat="false" ht="15" hidden="false" customHeight="false" outlineLevel="0" collapsed="false">
      <c r="A154" s="0" t="s">
        <v>1210</v>
      </c>
      <c r="B154" s="0" t="n">
        <v>1</v>
      </c>
      <c r="C154" s="0" t="n">
        <v>19.5</v>
      </c>
      <c r="D154" s="0" t="n">
        <v>2.25</v>
      </c>
      <c r="E154" s="0" t="n">
        <v>1.56</v>
      </c>
      <c r="F154" s="10" t="n">
        <v>0.4094</v>
      </c>
      <c r="G154" s="0" t="n">
        <v>18.53</v>
      </c>
    </row>
    <row r="155" customFormat="false" ht="15" hidden="false" customHeight="false" outlineLevel="0" collapsed="false">
      <c r="A155" s="0" t="s">
        <v>1210</v>
      </c>
      <c r="B155" s="0" t="n">
        <v>2</v>
      </c>
      <c r="C155" s="0" t="n">
        <v>17.5</v>
      </c>
      <c r="D155" s="0" t="n">
        <v>1.53</v>
      </c>
      <c r="E155" s="0" t="n">
        <v>2.33</v>
      </c>
      <c r="F155" s="10" t="n">
        <v>0.6036</v>
      </c>
      <c r="G155" s="0" t="n">
        <v>18.54</v>
      </c>
    </row>
    <row r="156" customFormat="false" ht="15" hidden="false" customHeight="false" outlineLevel="0" collapsed="false">
      <c r="A156" s="0" t="s">
        <v>1210</v>
      </c>
      <c r="B156" s="0" t="n">
        <v>2</v>
      </c>
      <c r="C156" s="0" t="n">
        <v>18.5</v>
      </c>
      <c r="D156" s="0" t="n">
        <v>1.83</v>
      </c>
      <c r="E156" s="0" t="n">
        <v>1.86</v>
      </c>
      <c r="F156" s="10" t="n">
        <v>0.5041</v>
      </c>
      <c r="G156" s="0" t="n">
        <v>18.54</v>
      </c>
    </row>
    <row r="157" customFormat="false" ht="15" hidden="false" customHeight="false" outlineLevel="0" collapsed="false">
      <c r="A157" s="0" t="s">
        <v>1210</v>
      </c>
      <c r="B157" s="0" t="n">
        <v>2</v>
      </c>
      <c r="C157" s="0" t="n">
        <v>19.5</v>
      </c>
      <c r="D157" s="0" t="n">
        <v>2.25</v>
      </c>
      <c r="E157" s="0" t="n">
        <v>1.56</v>
      </c>
      <c r="F157" s="10" t="n">
        <v>0.4094</v>
      </c>
      <c r="G157" s="0" t="n">
        <v>18.54</v>
      </c>
    </row>
    <row r="158" customFormat="false" ht="15" hidden="false" customHeight="false" outlineLevel="0" collapsed="false">
      <c r="A158" s="0" t="s">
        <v>1215</v>
      </c>
      <c r="B158" s="0" t="n">
        <v>1</v>
      </c>
      <c r="C158" s="0" t="n">
        <v>17.5</v>
      </c>
      <c r="D158" s="0" t="n">
        <v>1.1</v>
      </c>
      <c r="E158" s="0" t="n">
        <v>5.8</v>
      </c>
      <c r="F158" s="10" t="n">
        <v>0.8406</v>
      </c>
      <c r="G158" s="0" t="n">
        <v>21.42</v>
      </c>
    </row>
    <row r="159" customFormat="false" ht="15" hidden="false" customHeight="false" outlineLevel="0" collapsed="false">
      <c r="A159" s="0" t="s">
        <v>1215</v>
      </c>
      <c r="B159" s="0" t="n">
        <v>1</v>
      </c>
      <c r="C159" s="0" t="n">
        <v>18.5</v>
      </c>
      <c r="D159" s="0" t="n">
        <v>1.22</v>
      </c>
      <c r="E159" s="0" t="n">
        <v>3.8</v>
      </c>
      <c r="F159" s="10" t="n">
        <v>0.757</v>
      </c>
      <c r="G159" s="0" t="n">
        <v>21.42</v>
      </c>
    </row>
    <row r="160" customFormat="false" ht="15" hidden="false" customHeight="false" outlineLevel="0" collapsed="false">
      <c r="A160" s="0" t="s">
        <v>1215</v>
      </c>
      <c r="B160" s="0" t="n">
        <v>1</v>
      </c>
      <c r="C160" s="0" t="n">
        <v>19.5</v>
      </c>
      <c r="D160" s="0" t="n">
        <v>1.35</v>
      </c>
      <c r="E160" s="0" t="n">
        <v>2.9</v>
      </c>
      <c r="F160" s="10" t="n">
        <v>0.6824</v>
      </c>
      <c r="G160" s="0" t="n">
        <v>21.42</v>
      </c>
    </row>
    <row r="161" customFormat="false" ht="15" hidden="false" customHeight="false" outlineLevel="0" collapsed="false">
      <c r="A161" s="0" t="s">
        <v>1215</v>
      </c>
      <c r="B161" s="0" t="n">
        <v>1</v>
      </c>
      <c r="C161" s="0" t="n">
        <v>20.5</v>
      </c>
      <c r="D161" s="0" t="n">
        <v>1.55</v>
      </c>
      <c r="E161" s="0" t="n">
        <v>2.3</v>
      </c>
      <c r="F161" s="10" t="n">
        <v>0.5974</v>
      </c>
      <c r="G161" s="0" t="n">
        <v>21.42</v>
      </c>
    </row>
    <row r="162" customFormat="false" ht="15" hidden="false" customHeight="false" outlineLevel="0" collapsed="false">
      <c r="A162" s="0" t="s">
        <v>1215</v>
      </c>
      <c r="B162" s="0" t="n">
        <v>1</v>
      </c>
      <c r="C162" s="0" t="n">
        <v>21.5</v>
      </c>
      <c r="D162" s="0" t="n">
        <v>1.88</v>
      </c>
      <c r="E162" s="0" t="n">
        <v>1.82</v>
      </c>
      <c r="F162" s="10" t="n">
        <v>0.4919</v>
      </c>
      <c r="G162" s="0" t="n">
        <v>21.42</v>
      </c>
    </row>
    <row r="163" customFormat="false" ht="15" hidden="false" customHeight="false" outlineLevel="0" collapsed="false">
      <c r="A163" s="0" t="s">
        <v>1215</v>
      </c>
      <c r="B163" s="0" t="n">
        <v>1</v>
      </c>
      <c r="C163" s="0" t="n">
        <v>22.5</v>
      </c>
      <c r="D163" s="0" t="n">
        <v>2.4</v>
      </c>
      <c r="E163" s="0" t="n">
        <v>1.5</v>
      </c>
      <c r="F163" s="10" t="n">
        <v>0.3846</v>
      </c>
      <c r="G163" s="0" t="n">
        <v>21.42</v>
      </c>
    </row>
    <row r="164" customFormat="false" ht="15" hidden="false" customHeight="false" outlineLevel="0" collapsed="false">
      <c r="A164" s="0" t="s">
        <v>1215</v>
      </c>
      <c r="B164" s="0" t="n">
        <v>2</v>
      </c>
      <c r="C164" s="0" t="n">
        <v>17.5</v>
      </c>
      <c r="D164" s="0" t="n">
        <v>1.1</v>
      </c>
      <c r="E164" s="0" t="n">
        <v>5.8</v>
      </c>
      <c r="F164" s="10" t="n">
        <v>0.8406</v>
      </c>
      <c r="G164" s="0" t="n">
        <v>21.5</v>
      </c>
    </row>
    <row r="165" customFormat="false" ht="15" hidden="false" customHeight="false" outlineLevel="0" collapsed="false">
      <c r="A165" s="0" t="s">
        <v>1215</v>
      </c>
      <c r="B165" s="0" t="n">
        <v>2</v>
      </c>
      <c r="C165" s="0" t="n">
        <v>18.5</v>
      </c>
      <c r="D165" s="0" t="n">
        <v>1.2</v>
      </c>
      <c r="E165" s="0" t="n">
        <v>4</v>
      </c>
      <c r="F165" s="10" t="n">
        <v>0.7692</v>
      </c>
      <c r="G165" s="0" t="n">
        <v>21.5</v>
      </c>
    </row>
    <row r="166" customFormat="false" ht="15" hidden="false" customHeight="false" outlineLevel="0" collapsed="false">
      <c r="A166" s="0" t="s">
        <v>1215</v>
      </c>
      <c r="B166" s="0" t="n">
        <v>2</v>
      </c>
      <c r="C166" s="0" t="n">
        <v>19.5</v>
      </c>
      <c r="D166" s="0" t="n">
        <v>1.32</v>
      </c>
      <c r="E166" s="0" t="n">
        <v>3.1</v>
      </c>
      <c r="F166" s="10" t="n">
        <v>0.7014</v>
      </c>
      <c r="G166" s="0" t="n">
        <v>21.5</v>
      </c>
    </row>
    <row r="167" customFormat="false" ht="15" hidden="false" customHeight="false" outlineLevel="0" collapsed="false">
      <c r="A167" s="0" t="s">
        <v>1215</v>
      </c>
      <c r="B167" s="0" t="n">
        <v>2</v>
      </c>
      <c r="C167" s="0" t="n">
        <v>20.5</v>
      </c>
      <c r="D167" s="0" t="n">
        <v>1.52</v>
      </c>
      <c r="E167" s="0" t="n">
        <v>2.35</v>
      </c>
      <c r="F167" s="10" t="n">
        <v>0.6072</v>
      </c>
      <c r="G167" s="0" t="n">
        <v>21.5</v>
      </c>
    </row>
    <row r="168" customFormat="false" ht="15" hidden="false" customHeight="false" outlineLevel="0" collapsed="false">
      <c r="A168" s="0" t="s">
        <v>1215</v>
      </c>
      <c r="B168" s="0" t="n">
        <v>2</v>
      </c>
      <c r="C168" s="0" t="n">
        <v>21.5</v>
      </c>
      <c r="D168" s="0" t="n">
        <v>1.85</v>
      </c>
      <c r="E168" s="0" t="n">
        <v>1.85</v>
      </c>
      <c r="F168" s="10" t="n">
        <v>0.5</v>
      </c>
      <c r="G168" s="0" t="n">
        <v>21.5</v>
      </c>
    </row>
    <row r="169" customFormat="false" ht="15" hidden="false" customHeight="false" outlineLevel="0" collapsed="false">
      <c r="A169" s="0" t="s">
        <v>1215</v>
      </c>
      <c r="B169" s="0" t="n">
        <v>2</v>
      </c>
      <c r="C169" s="0" t="n">
        <v>22.5</v>
      </c>
      <c r="D169" s="0" t="n">
        <v>2.4</v>
      </c>
      <c r="E169" s="0" t="n">
        <v>1.5</v>
      </c>
      <c r="F169" s="10" t="n">
        <v>0.3846</v>
      </c>
      <c r="G169" s="0" t="n">
        <v>21.5</v>
      </c>
    </row>
    <row r="170" customFormat="false" ht="15" hidden="false" customHeight="false" outlineLevel="0" collapsed="false">
      <c r="A170" s="0" t="s">
        <v>1215</v>
      </c>
      <c r="B170" s="0" t="n">
        <v>3</v>
      </c>
      <c r="C170" s="0" t="n">
        <v>17.5</v>
      </c>
      <c r="D170" s="0" t="n">
        <v>1.1</v>
      </c>
      <c r="E170" s="0" t="n">
        <v>5.8</v>
      </c>
      <c r="F170" s="10" t="n">
        <v>0.8406</v>
      </c>
      <c r="G170" s="0" t="n">
        <v>21.5</v>
      </c>
    </row>
    <row r="171" customFormat="false" ht="15" hidden="false" customHeight="false" outlineLevel="0" collapsed="false">
      <c r="A171" s="0" t="s">
        <v>1215</v>
      </c>
      <c r="B171" s="0" t="n">
        <v>3</v>
      </c>
      <c r="C171" s="0" t="n">
        <v>18.5</v>
      </c>
      <c r="D171" s="0" t="n">
        <v>1.2</v>
      </c>
      <c r="E171" s="0" t="n">
        <v>4</v>
      </c>
      <c r="F171" s="10" t="n">
        <v>0.7692</v>
      </c>
      <c r="G171" s="0" t="n">
        <v>21.5</v>
      </c>
    </row>
    <row r="172" customFormat="false" ht="15" hidden="false" customHeight="false" outlineLevel="0" collapsed="false">
      <c r="A172" s="0" t="s">
        <v>1215</v>
      </c>
      <c r="B172" s="0" t="n">
        <v>3</v>
      </c>
      <c r="C172" s="0" t="n">
        <v>19.5</v>
      </c>
      <c r="D172" s="0" t="n">
        <v>1.32</v>
      </c>
      <c r="E172" s="0" t="n">
        <v>3.1</v>
      </c>
      <c r="F172" s="10" t="n">
        <v>0.7014</v>
      </c>
      <c r="G172" s="0" t="n">
        <v>21.5</v>
      </c>
    </row>
    <row r="173" customFormat="false" ht="15" hidden="false" customHeight="false" outlineLevel="0" collapsed="false">
      <c r="A173" s="0" t="s">
        <v>1215</v>
      </c>
      <c r="B173" s="0" t="n">
        <v>3</v>
      </c>
      <c r="C173" s="0" t="n">
        <v>20.5</v>
      </c>
      <c r="D173" s="0" t="n">
        <v>1.52</v>
      </c>
      <c r="E173" s="0" t="n">
        <v>2.35</v>
      </c>
      <c r="F173" s="10" t="n">
        <v>0.6072</v>
      </c>
      <c r="G173" s="0" t="n">
        <v>21.5</v>
      </c>
    </row>
    <row r="174" customFormat="false" ht="15" hidden="false" customHeight="false" outlineLevel="0" collapsed="false">
      <c r="A174" s="0" t="s">
        <v>1215</v>
      </c>
      <c r="B174" s="0" t="n">
        <v>3</v>
      </c>
      <c r="C174" s="0" t="n">
        <v>21.5</v>
      </c>
      <c r="D174" s="0" t="n">
        <v>1.85</v>
      </c>
      <c r="E174" s="0" t="n">
        <v>1.85</v>
      </c>
      <c r="F174" s="10" t="n">
        <v>0.5</v>
      </c>
      <c r="G174" s="0" t="n">
        <v>21.5</v>
      </c>
    </row>
    <row r="175" customFormat="false" ht="15" hidden="false" customHeight="false" outlineLevel="0" collapsed="false">
      <c r="A175" s="0" t="s">
        <v>1215</v>
      </c>
      <c r="B175" s="0" t="n">
        <v>3</v>
      </c>
      <c r="C175" s="0" t="n">
        <v>22.5</v>
      </c>
      <c r="D175" s="0" t="n">
        <v>2.4</v>
      </c>
      <c r="E175" s="0" t="n">
        <v>1.5</v>
      </c>
      <c r="F175" s="10" t="n">
        <v>0.3846</v>
      </c>
      <c r="G175" s="0" t="n">
        <v>21.5</v>
      </c>
    </row>
    <row r="176" customFormat="false" ht="15" hidden="false" customHeight="false" outlineLevel="0" collapsed="false">
      <c r="A176" s="0" t="s">
        <v>1235</v>
      </c>
      <c r="B176" s="0" t="n">
        <v>1</v>
      </c>
      <c r="C176" s="0" t="n">
        <v>18.5</v>
      </c>
      <c r="D176" s="0" t="n">
        <v>1.6</v>
      </c>
      <c r="E176" s="0" t="n">
        <v>2.18</v>
      </c>
      <c r="F176" s="10" t="n">
        <v>0.5767</v>
      </c>
      <c r="G176" s="0" t="n">
        <v>19.34</v>
      </c>
    </row>
    <row r="177" customFormat="false" ht="15" hidden="false" customHeight="false" outlineLevel="0" collapsed="false">
      <c r="A177" s="0" t="s">
        <v>1235</v>
      </c>
      <c r="B177" s="0" t="n">
        <v>1</v>
      </c>
      <c r="C177" s="0" t="n">
        <v>19.5</v>
      </c>
      <c r="D177" s="0" t="n">
        <v>1.9</v>
      </c>
      <c r="E177" s="0" t="n">
        <v>1.79</v>
      </c>
      <c r="F177" s="10" t="n">
        <v>0.4851</v>
      </c>
      <c r="G177" s="0" t="n">
        <v>19.34</v>
      </c>
    </row>
    <row r="178" customFormat="false" ht="15" hidden="false" customHeight="false" outlineLevel="0" collapsed="false">
      <c r="A178" s="0" t="s">
        <v>1235</v>
      </c>
      <c r="B178" s="0" t="n">
        <v>1</v>
      </c>
      <c r="C178" s="0" t="n">
        <v>20.5</v>
      </c>
      <c r="D178" s="0" t="n">
        <v>2.34</v>
      </c>
      <c r="E178" s="0" t="n">
        <v>1.52</v>
      </c>
      <c r="F178" s="10" t="n">
        <v>0.3938</v>
      </c>
      <c r="G178" s="0" t="n">
        <v>19.34</v>
      </c>
    </row>
    <row r="179" customFormat="false" ht="15" hidden="false" customHeight="false" outlineLevel="0" collapsed="false">
      <c r="A179" s="0" t="s">
        <v>1235</v>
      </c>
      <c r="B179" s="0" t="n">
        <v>2</v>
      </c>
      <c r="C179" s="0" t="n">
        <v>18.5</v>
      </c>
      <c r="D179" s="0" t="n">
        <v>1.6</v>
      </c>
      <c r="E179" s="0" t="n">
        <v>2.18</v>
      </c>
      <c r="F179" s="10" t="n">
        <v>0.5767</v>
      </c>
      <c r="G179" s="0" t="n">
        <v>19.34</v>
      </c>
    </row>
    <row r="180" customFormat="false" ht="15" hidden="false" customHeight="false" outlineLevel="0" collapsed="false">
      <c r="A180" s="0" t="s">
        <v>1235</v>
      </c>
      <c r="B180" s="0" t="n">
        <v>2</v>
      </c>
      <c r="C180" s="0" t="n">
        <v>19.5</v>
      </c>
      <c r="D180" s="0" t="n">
        <v>1.9</v>
      </c>
      <c r="E180" s="0" t="n">
        <v>1.79</v>
      </c>
      <c r="F180" s="10" t="n">
        <v>0.4851</v>
      </c>
      <c r="G180" s="0" t="n">
        <v>19.34</v>
      </c>
    </row>
    <row r="181" customFormat="false" ht="15" hidden="false" customHeight="false" outlineLevel="0" collapsed="false">
      <c r="A181" s="0" t="s">
        <v>1235</v>
      </c>
      <c r="B181" s="0" t="n">
        <v>2</v>
      </c>
      <c r="C181" s="0" t="n">
        <v>20.5</v>
      </c>
      <c r="D181" s="0" t="n">
        <v>2.34</v>
      </c>
      <c r="E181" s="0" t="n">
        <v>1.52</v>
      </c>
      <c r="F181" s="10" t="n">
        <v>0.3938</v>
      </c>
      <c r="G181" s="0" t="n">
        <v>19.34</v>
      </c>
    </row>
    <row r="182" customFormat="false" ht="15" hidden="false" customHeight="false" outlineLevel="0" collapsed="false">
      <c r="A182" s="0" t="s">
        <v>1239</v>
      </c>
      <c r="B182" s="0" t="n">
        <v>1</v>
      </c>
      <c r="C182" s="0" t="n">
        <v>20.5</v>
      </c>
      <c r="D182" s="0" t="n">
        <v>1.74</v>
      </c>
      <c r="E182" s="0" t="n">
        <v>1.96</v>
      </c>
      <c r="F182" s="10" t="n">
        <v>0.5297</v>
      </c>
      <c r="G182" s="0" t="n">
        <v>20.8</v>
      </c>
    </row>
    <row r="183" customFormat="false" ht="15" hidden="false" customHeight="false" outlineLevel="0" collapsed="false">
      <c r="A183" s="0" t="s">
        <v>1239</v>
      </c>
      <c r="B183" s="0" t="n">
        <v>1</v>
      </c>
      <c r="C183" s="0" t="n">
        <v>21.5</v>
      </c>
      <c r="D183" s="0" t="n">
        <v>2.13</v>
      </c>
      <c r="E183" s="0" t="n">
        <v>1.62</v>
      </c>
      <c r="F183" s="10" t="n">
        <v>0.432</v>
      </c>
      <c r="G183" s="0" t="n">
        <v>20.8</v>
      </c>
    </row>
    <row r="184" customFormat="false" ht="15" hidden="false" customHeight="false" outlineLevel="0" collapsed="false">
      <c r="A184" s="0" t="s">
        <v>1239</v>
      </c>
      <c r="B184" s="0" t="n">
        <v>2</v>
      </c>
      <c r="C184" s="0" t="n">
        <v>20.5</v>
      </c>
      <c r="D184" s="0" t="n">
        <v>1.74</v>
      </c>
      <c r="E184" s="0" t="n">
        <v>1.96</v>
      </c>
      <c r="F184" s="10" t="n">
        <v>0.5297</v>
      </c>
      <c r="G184" s="0" t="n">
        <v>20.8</v>
      </c>
    </row>
    <row r="185" customFormat="false" ht="15" hidden="false" customHeight="false" outlineLevel="0" collapsed="false">
      <c r="A185" s="0" t="s">
        <v>1239</v>
      </c>
      <c r="B185" s="0" t="n">
        <v>2</v>
      </c>
      <c r="C185" s="0" t="n">
        <v>21.5</v>
      </c>
      <c r="D185" s="0" t="n">
        <v>2.13</v>
      </c>
      <c r="E185" s="0" t="n">
        <v>1.62</v>
      </c>
      <c r="F185" s="10" t="n">
        <v>0.432</v>
      </c>
      <c r="G185" s="0" t="n">
        <v>20.8</v>
      </c>
    </row>
    <row r="186" customFormat="false" ht="15" hidden="false" customHeight="false" outlineLevel="0" collapsed="false">
      <c r="A186" s="0" t="s">
        <v>1246</v>
      </c>
      <c r="B186" s="0" t="n">
        <v>1</v>
      </c>
      <c r="C186" s="0" t="n">
        <v>20.5</v>
      </c>
      <c r="D186" s="0" t="n">
        <v>1.55</v>
      </c>
      <c r="E186" s="0" t="n">
        <v>2.27</v>
      </c>
      <c r="F186" s="10" t="n">
        <v>0.5942</v>
      </c>
      <c r="G186" s="0" t="n">
        <v>21.4</v>
      </c>
    </row>
    <row r="187" customFormat="false" ht="15" hidden="false" customHeight="false" outlineLevel="0" collapsed="false">
      <c r="A187" s="0" t="s">
        <v>1246</v>
      </c>
      <c r="B187" s="0" t="n">
        <v>1</v>
      </c>
      <c r="C187" s="0" t="n">
        <v>21.5</v>
      </c>
      <c r="D187" s="0" t="n">
        <v>1.88</v>
      </c>
      <c r="E187" s="0" t="n">
        <v>1.8</v>
      </c>
      <c r="F187" s="10" t="n">
        <v>0.4891</v>
      </c>
      <c r="G187" s="0" t="n">
        <v>21.4</v>
      </c>
    </row>
    <row r="188" customFormat="false" ht="15" hidden="false" customHeight="false" outlineLevel="0" collapsed="false">
      <c r="A188" s="0" t="s">
        <v>1246</v>
      </c>
      <c r="B188" s="0" t="n">
        <v>1</v>
      </c>
      <c r="C188" s="0" t="n">
        <v>22.5</v>
      </c>
      <c r="D188" s="0" t="n">
        <v>2.43</v>
      </c>
      <c r="E188" s="0" t="n">
        <v>1.48</v>
      </c>
      <c r="F188" s="10" t="n">
        <v>0.3785</v>
      </c>
      <c r="G188" s="0" t="n">
        <v>21.4</v>
      </c>
    </row>
    <row r="189" customFormat="false" ht="15" hidden="false" customHeight="false" outlineLevel="0" collapsed="false">
      <c r="A189" s="0" t="s">
        <v>1246</v>
      </c>
      <c r="B189" s="0" t="n">
        <v>2</v>
      </c>
      <c r="C189" s="0" t="n">
        <v>19.5</v>
      </c>
      <c r="D189" s="0" t="n">
        <v>1.35</v>
      </c>
      <c r="E189" s="0" t="n">
        <v>2.92</v>
      </c>
      <c r="F189" s="10" t="n">
        <v>0.6838</v>
      </c>
      <c r="G189" s="0" t="n">
        <v>21.36</v>
      </c>
    </row>
    <row r="190" customFormat="false" ht="15" hidden="false" customHeight="false" outlineLevel="0" collapsed="false">
      <c r="A190" s="0" t="s">
        <v>1246</v>
      </c>
      <c r="B190" s="0" t="n">
        <v>2</v>
      </c>
      <c r="C190" s="0" t="n">
        <v>20.5</v>
      </c>
      <c r="D190" s="0" t="n">
        <v>1.56</v>
      </c>
      <c r="E190" s="0" t="n">
        <v>2.25</v>
      </c>
      <c r="F190" s="10" t="n">
        <v>0.5906</v>
      </c>
      <c r="G190" s="0" t="n">
        <v>21.36</v>
      </c>
    </row>
    <row r="191" customFormat="false" ht="15" hidden="false" customHeight="false" outlineLevel="0" collapsed="false">
      <c r="A191" s="0" t="s">
        <v>1246</v>
      </c>
      <c r="B191" s="0" t="n">
        <v>2</v>
      </c>
      <c r="C191" s="0" t="n">
        <v>21.5</v>
      </c>
      <c r="D191" s="0" t="n">
        <v>1.9</v>
      </c>
      <c r="E191" s="0" t="n">
        <v>1.79</v>
      </c>
      <c r="F191" s="10" t="n">
        <v>0.4851</v>
      </c>
      <c r="G191" s="0" t="n">
        <v>21.36</v>
      </c>
    </row>
    <row r="192" customFormat="false" ht="15" hidden="false" customHeight="false" outlineLevel="0" collapsed="false">
      <c r="A192" s="0" t="s">
        <v>1246</v>
      </c>
      <c r="B192" s="0" t="n">
        <v>2</v>
      </c>
      <c r="C192" s="0" t="n">
        <v>22.5</v>
      </c>
      <c r="D192" s="0" t="n">
        <v>2.45</v>
      </c>
      <c r="E192" s="0" t="n">
        <v>1.48</v>
      </c>
      <c r="F192" s="10" t="n">
        <v>0.3766</v>
      </c>
      <c r="G192" s="0" t="n">
        <v>21.36</v>
      </c>
    </row>
    <row r="193" customFormat="false" ht="15" hidden="false" customHeight="false" outlineLevel="0" collapsed="false">
      <c r="A193" s="0" t="s">
        <v>1255</v>
      </c>
      <c r="B193" s="0" t="n">
        <v>1</v>
      </c>
      <c r="C193" s="0" t="n">
        <v>19.5</v>
      </c>
      <c r="D193" s="0" t="n">
        <v>1.37</v>
      </c>
      <c r="E193" s="0" t="n">
        <v>2.84</v>
      </c>
      <c r="F193" s="10" t="n">
        <v>0.6746</v>
      </c>
      <c r="G193" s="0" t="n">
        <v>21.28</v>
      </c>
    </row>
    <row r="194" customFormat="false" ht="15" hidden="false" customHeight="false" outlineLevel="0" collapsed="false">
      <c r="A194" s="0" t="s">
        <v>1255</v>
      </c>
      <c r="B194" s="0" t="n">
        <v>1</v>
      </c>
      <c r="C194" s="0" t="n">
        <v>20.5</v>
      </c>
      <c r="D194" s="0" t="n">
        <v>1.59</v>
      </c>
      <c r="E194" s="0" t="n">
        <v>2.2</v>
      </c>
      <c r="F194" s="10" t="n">
        <v>0.5805</v>
      </c>
      <c r="G194" s="0" t="n">
        <v>21.28</v>
      </c>
    </row>
    <row r="195" customFormat="false" ht="15" hidden="false" customHeight="false" outlineLevel="0" collapsed="false">
      <c r="A195" s="0" t="s">
        <v>1255</v>
      </c>
      <c r="B195" s="0" t="n">
        <v>1</v>
      </c>
      <c r="C195" s="0" t="n">
        <v>21.5</v>
      </c>
      <c r="D195" s="0" t="n">
        <v>1.93</v>
      </c>
      <c r="E195" s="0" t="n">
        <v>1.76</v>
      </c>
      <c r="F195" s="10" t="n">
        <v>0.477</v>
      </c>
      <c r="G195" s="0" t="n">
        <v>21.28</v>
      </c>
    </row>
    <row r="196" customFormat="false" ht="15" hidden="false" customHeight="false" outlineLevel="0" collapsed="false">
      <c r="A196" s="0" t="s">
        <v>1255</v>
      </c>
      <c r="B196" s="0" t="n">
        <v>1</v>
      </c>
      <c r="C196" s="0" t="n">
        <v>22.5</v>
      </c>
      <c r="D196" s="0" t="n">
        <v>2.5</v>
      </c>
      <c r="E196" s="0" t="n">
        <v>1.46</v>
      </c>
      <c r="F196" s="10" t="n">
        <v>0.3687</v>
      </c>
      <c r="G196" s="0" t="n">
        <v>21.28</v>
      </c>
    </row>
    <row r="197" customFormat="false" ht="15" hidden="false" customHeight="false" outlineLevel="0" collapsed="false">
      <c r="A197" s="0" t="s">
        <v>1255</v>
      </c>
      <c r="B197" s="0" t="n">
        <v>2</v>
      </c>
      <c r="C197" s="0" t="n">
        <v>19.5</v>
      </c>
      <c r="D197" s="0" t="n">
        <v>1.37</v>
      </c>
      <c r="E197" s="0" t="n">
        <v>2.8</v>
      </c>
      <c r="F197" s="10" t="n">
        <v>0.6715</v>
      </c>
      <c r="G197" s="0" t="n">
        <v>21.24</v>
      </c>
    </row>
    <row r="198" customFormat="false" ht="15" hidden="false" customHeight="false" outlineLevel="0" collapsed="false">
      <c r="A198" s="0" t="s">
        <v>1255</v>
      </c>
      <c r="B198" s="0" t="n">
        <v>2</v>
      </c>
      <c r="C198" s="0" t="n">
        <v>20.5</v>
      </c>
      <c r="D198" s="0" t="n">
        <v>1.6</v>
      </c>
      <c r="E198" s="0" t="n">
        <v>2.17</v>
      </c>
      <c r="F198" s="10" t="n">
        <v>0.5756</v>
      </c>
      <c r="G198" s="0" t="n">
        <v>21.24</v>
      </c>
    </row>
    <row r="199" customFormat="false" ht="15" hidden="false" customHeight="false" outlineLevel="0" collapsed="false">
      <c r="A199" s="0" t="s">
        <v>1255</v>
      </c>
      <c r="B199" s="0" t="n">
        <v>2</v>
      </c>
      <c r="C199" s="0" t="n">
        <v>21.5</v>
      </c>
      <c r="D199" s="0" t="n">
        <v>1.95</v>
      </c>
      <c r="E199" s="0" t="n">
        <v>1.75</v>
      </c>
      <c r="F199" s="10" t="n">
        <v>0.473</v>
      </c>
      <c r="G199" s="0" t="n">
        <v>21.24</v>
      </c>
    </row>
    <row r="200" customFormat="false" ht="15" hidden="false" customHeight="false" outlineLevel="0" collapsed="false">
      <c r="A200" s="0" t="s">
        <v>1255</v>
      </c>
      <c r="B200" s="0" t="n">
        <v>2</v>
      </c>
      <c r="C200" s="0" t="n">
        <v>22.5</v>
      </c>
      <c r="D200" s="0" t="n">
        <v>2.53</v>
      </c>
      <c r="E200" s="0" t="n">
        <v>1.45</v>
      </c>
      <c r="F200" s="10" t="n">
        <v>0.3643</v>
      </c>
      <c r="G200" s="0" t="n">
        <v>21.24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1607</v>
      </c>
      <c r="B1" s="12" t="s">
        <v>1101</v>
      </c>
      <c r="C1" s="12" t="s">
        <v>1640</v>
      </c>
      <c r="D1" s="12" t="s">
        <v>2919</v>
      </c>
      <c r="E1" s="12" t="s">
        <v>2920</v>
      </c>
      <c r="F1" s="12" t="s">
        <v>2921</v>
      </c>
      <c r="G1" s="12" t="s">
        <v>2922</v>
      </c>
      <c r="H1" s="12" t="s">
        <v>2923</v>
      </c>
      <c r="I1" s="12" t="s">
        <v>2924</v>
      </c>
      <c r="J1" s="12" t="s">
        <v>2925</v>
      </c>
      <c r="K1" s="12" t="s">
        <v>2926</v>
      </c>
      <c r="L1" s="12" t="s">
        <v>2927</v>
      </c>
      <c r="M1" s="12" t="s">
        <v>2928</v>
      </c>
      <c r="N1" s="12" t="s">
        <v>2929</v>
      </c>
    </row>
    <row r="2" customFormat="false" ht="15" hidden="false" customHeight="false" outlineLevel="0" collapsed="false">
      <c r="A2" s="0" t="s">
        <v>2930</v>
      </c>
      <c r="B2" s="0" t="s">
        <v>1056</v>
      </c>
      <c r="C2" s="0" t="s">
        <v>2931</v>
      </c>
      <c r="D2" s="0" t="s">
        <v>1145</v>
      </c>
      <c r="F2" s="0" t="n">
        <v>8.17</v>
      </c>
      <c r="G2" s="0" t="n">
        <v>9.11</v>
      </c>
      <c r="H2" s="10" t="n">
        <v>0.364</v>
      </c>
      <c r="I2" s="10" t="n">
        <v>0.455</v>
      </c>
      <c r="J2" s="10" t="n">
        <v>0.182</v>
      </c>
      <c r="K2" s="10" t="n">
        <v>0</v>
      </c>
      <c r="L2" s="10" t="n">
        <v>0</v>
      </c>
      <c r="M2" s="10" t="n">
        <f aca="false">IFERROR((2*H2+2*I2+K2)/(2*H2+3*I2+2*J2+3*K2),"")</f>
        <v>0.666666666666667</v>
      </c>
      <c r="N2" s="10" t="n">
        <f aca="false">IFERROR((M2*13+(1-M2)*G2)/((M2*13+(1-M2)*G2)+(M2*F2+(1-M2)*13)),"")</f>
        <v>0.544763382467029</v>
      </c>
    </row>
    <row r="3" customFormat="false" ht="15" hidden="false" customHeight="false" outlineLevel="0" collapsed="false">
      <c r="A3" s="0" t="s">
        <v>2932</v>
      </c>
      <c r="B3" s="0" t="s">
        <v>1056</v>
      </c>
      <c r="C3" s="0" t="s">
        <v>2933</v>
      </c>
      <c r="D3" s="0" t="s">
        <v>2934</v>
      </c>
      <c r="F3" s="0" t="n">
        <v>8.64</v>
      </c>
      <c r="G3" s="0" t="n">
        <v>8.71</v>
      </c>
      <c r="H3" s="10" t="n">
        <v>0.522</v>
      </c>
      <c r="I3" s="10" t="n">
        <v>0.196</v>
      </c>
      <c r="J3" s="10" t="n">
        <v>0.174</v>
      </c>
      <c r="K3" s="10" t="n">
        <v>0.109</v>
      </c>
      <c r="L3" s="10" t="n">
        <v>0.065</v>
      </c>
      <c r="M3" s="10" t="n">
        <f aca="false">IFERROR((2*H3+2*I3+K3)/(2*H3+3*I3+2*J3+3*K3),"")</f>
        <v>0.669700910273082</v>
      </c>
      <c r="N3" s="10" t="n">
        <f aca="false">IFERROR((M3*13+(1-M3)*G3)/((M3*13+(1-M3)*G3)+(M3*F3+(1-M3)*13)),"")</f>
        <v>0.534688281487298</v>
      </c>
    </row>
    <row r="4" customFormat="false" ht="15" hidden="false" customHeight="false" outlineLevel="0" collapsed="false">
      <c r="A4" s="0" t="s">
        <v>2935</v>
      </c>
      <c r="B4" s="0" t="s">
        <v>1147</v>
      </c>
      <c r="C4" s="0" t="s">
        <v>2931</v>
      </c>
      <c r="D4" s="0" t="s">
        <v>1152</v>
      </c>
      <c r="F4" s="0" t="n">
        <v>7.57</v>
      </c>
      <c r="G4" s="0" t="n">
        <v>8.71</v>
      </c>
      <c r="H4" s="10" t="n">
        <v>0.353</v>
      </c>
      <c r="I4" s="10" t="n">
        <v>0.294</v>
      </c>
      <c r="J4" s="10" t="n">
        <v>0.294</v>
      </c>
      <c r="K4" s="10" t="n">
        <v>0.059</v>
      </c>
      <c r="L4" s="10" t="n">
        <v>0</v>
      </c>
      <c r="M4" s="10" t="n">
        <f aca="false">IFERROR((2*H4+2*I4+K4)/(2*H4+3*I4+2*J4+3*K4),"")</f>
        <v>0.575010624734382</v>
      </c>
      <c r="N4" s="10" t="n">
        <f aca="false">IFERROR((M4*13+(1-M4)*G4)/((M4*13+(1-M4)*G4)+(M4*F4+(1-M4)*13)),"")</f>
        <v>0.530850982444716</v>
      </c>
    </row>
    <row r="5" customFormat="false" ht="15" hidden="false" customHeight="false" outlineLevel="0" collapsed="false">
      <c r="A5" s="0" t="s">
        <v>2936</v>
      </c>
      <c r="B5" s="0" t="s">
        <v>1147</v>
      </c>
      <c r="C5" s="0" t="s">
        <v>2933</v>
      </c>
      <c r="D5" s="0" t="s">
        <v>1153</v>
      </c>
      <c r="F5" s="0" t="n">
        <v>7.37</v>
      </c>
      <c r="G5" s="0" t="n">
        <v>7.91</v>
      </c>
      <c r="H5" s="10" t="n">
        <v>0.487</v>
      </c>
      <c r="I5" s="10" t="n">
        <v>0.205</v>
      </c>
      <c r="J5" s="10" t="n">
        <v>0.103</v>
      </c>
      <c r="K5" s="10" t="n">
        <v>0.205</v>
      </c>
      <c r="L5" s="10" t="n">
        <v>0.043</v>
      </c>
      <c r="M5" s="10" t="n">
        <f aca="false">IFERROR((2*H5+2*I5+K5)/(2*H5+3*I5+2*J5+3*K5),"")</f>
        <v>0.659336099585062</v>
      </c>
      <c r="N5" s="10" t="n">
        <f aca="false">IFERROR((M5*13+(1-M5)*G5)/((M5*13+(1-M5)*G5)+(M5*F5+(1-M5)*13)),"")</f>
        <v>0.548119270722301</v>
      </c>
    </row>
    <row r="6" customFormat="false" ht="15" hidden="false" customHeight="false" outlineLevel="0" collapsed="false">
      <c r="A6" s="0" t="s">
        <v>2937</v>
      </c>
      <c r="B6" s="0" t="s">
        <v>1154</v>
      </c>
      <c r="C6" s="0" t="s">
        <v>2931</v>
      </c>
      <c r="D6" s="0" t="s">
        <v>2938</v>
      </c>
      <c r="F6" s="0" t="n">
        <v>8.72</v>
      </c>
      <c r="G6" s="0" t="n">
        <v>8.79</v>
      </c>
      <c r="H6" s="10" t="n">
        <v>0.308</v>
      </c>
      <c r="I6" s="10" t="n">
        <v>0.333</v>
      </c>
      <c r="J6" s="10" t="n">
        <v>0.179</v>
      </c>
      <c r="K6" s="10" t="n">
        <v>0.179</v>
      </c>
      <c r="L6" s="10" t="n">
        <v>0.071</v>
      </c>
      <c r="M6" s="10" t="n">
        <f aca="false">IFERROR((2*H6+2*I6+K6)/(2*H6+3*I6+2*J6+3*K6),"")</f>
        <v>0.58207171314741</v>
      </c>
      <c r="N6" s="10" t="n">
        <f aca="false">IFERROR((M6*13+(1-M6)*G6)/((M6*13+(1-M6)*G6)+(M6*F6+(1-M6)*13)),"")</f>
        <v>0.516823308322326</v>
      </c>
    </row>
    <row r="7" customFormat="false" ht="15" hidden="false" customHeight="false" outlineLevel="0" collapsed="false">
      <c r="A7" s="0" t="s">
        <v>2939</v>
      </c>
      <c r="B7" s="0" t="s">
        <v>1154</v>
      </c>
      <c r="C7" s="0" t="s">
        <v>2933</v>
      </c>
      <c r="D7" s="0" t="s">
        <v>1160</v>
      </c>
      <c r="F7" s="0" t="n">
        <v>7.7</v>
      </c>
      <c r="G7" s="0" t="n">
        <v>8</v>
      </c>
      <c r="H7" s="10" t="n">
        <v>0.333</v>
      </c>
      <c r="I7" s="10" t="n">
        <v>0.143</v>
      </c>
      <c r="J7" s="10" t="n">
        <v>0.19</v>
      </c>
      <c r="K7" s="10" t="n">
        <v>0.333</v>
      </c>
      <c r="L7" s="10" t="n">
        <v>0.019</v>
      </c>
      <c r="M7" s="10" t="n">
        <f aca="false">IFERROR((2*H7+2*I7+K7)/(2*H7+3*I7+2*J7+3*K7),"")</f>
        <v>0.519401778496362</v>
      </c>
      <c r="N7" s="10" t="n">
        <f aca="false">IFERROR((M7*13+(1-M7)*G7)/((M7*13+(1-M7)*G7)+(M7*F7+(1-M7)*13)),"")</f>
        <v>0.508391750778091</v>
      </c>
    </row>
    <row r="8" customFormat="false" ht="15" hidden="false" customHeight="false" outlineLevel="0" collapsed="false">
      <c r="A8" s="0" t="s">
        <v>2940</v>
      </c>
      <c r="B8" s="0" t="s">
        <v>1161</v>
      </c>
      <c r="C8" s="0" t="s">
        <v>2931</v>
      </c>
      <c r="D8" s="0" t="s">
        <v>2941</v>
      </c>
      <c r="F8" s="0" t="n">
        <v>6.97</v>
      </c>
      <c r="G8" s="0" t="n">
        <v>8.12</v>
      </c>
      <c r="H8" s="10" t="n">
        <v>0.522</v>
      </c>
      <c r="I8" s="10" t="n">
        <v>0.217</v>
      </c>
      <c r="J8" s="10" t="n">
        <v>0.087</v>
      </c>
      <c r="K8" s="10" t="n">
        <v>0.174</v>
      </c>
      <c r="L8" s="10" t="n">
        <v>0</v>
      </c>
      <c r="M8" s="10" t="n">
        <f aca="false">IFERROR((2*H8+2*I8+K8)/(2*H8+3*I8+2*J8+3*K8),"")</f>
        <v>0.690924299456294</v>
      </c>
      <c r="N8" s="10" t="n">
        <f aca="false">IFERROR((M8*13+(1-M8)*G8)/((M8*13+(1-M8)*G8)+(M8*F8+(1-M8)*13)),"")</f>
        <v>0.565385656893724</v>
      </c>
    </row>
    <row r="9" customFormat="false" ht="15" hidden="false" customHeight="false" outlineLevel="0" collapsed="false">
      <c r="A9" s="0" t="s">
        <v>2942</v>
      </c>
      <c r="B9" s="0" t="s">
        <v>1161</v>
      </c>
      <c r="C9" s="0" t="s">
        <v>2933</v>
      </c>
      <c r="D9" s="0" t="s">
        <v>2943</v>
      </c>
      <c r="F9" s="0" t="n">
        <v>7.79</v>
      </c>
      <c r="G9" s="0" t="n">
        <v>7.5</v>
      </c>
      <c r="H9" s="10" t="n">
        <v>0.294</v>
      </c>
      <c r="I9" s="10" t="n">
        <v>0.118</v>
      </c>
      <c r="J9" s="10" t="n">
        <v>0.294</v>
      </c>
      <c r="K9" s="10" t="n">
        <v>0.294</v>
      </c>
      <c r="L9" s="10" t="n">
        <v>0.049</v>
      </c>
      <c r="M9" s="10" t="n">
        <f aca="false">IFERROR((2*H9+2*I9+K9)/(2*H9+3*I9+2*J9+3*K9),"")</f>
        <v>0.463515754560531</v>
      </c>
      <c r="N9" s="10" t="n">
        <f aca="false">IFERROR((M9*13+(1-M9)*G9)/((M9*13+(1-M9)*G9)+(M9*F9+(1-M9)*13)),"")</f>
        <v>0.487018140566789</v>
      </c>
    </row>
    <row r="10" customFormat="false" ht="15" hidden="false" customHeight="false" outlineLevel="0" collapsed="false">
      <c r="A10" s="0" t="s">
        <v>2944</v>
      </c>
      <c r="B10" s="0" t="s">
        <v>1167</v>
      </c>
      <c r="C10" s="0" t="s">
        <v>2931</v>
      </c>
      <c r="D10" s="0" t="s">
        <v>1172</v>
      </c>
      <c r="F10" s="0" t="n">
        <v>8.38</v>
      </c>
      <c r="G10" s="0" t="n">
        <v>10.14</v>
      </c>
      <c r="H10" s="10" t="n">
        <v>0.263</v>
      </c>
      <c r="I10" s="10" t="n">
        <v>0.316</v>
      </c>
      <c r="J10" s="10" t="n">
        <v>0.211</v>
      </c>
      <c r="K10" s="10" t="n">
        <v>0.211</v>
      </c>
      <c r="L10" s="10" t="n">
        <v>0.062</v>
      </c>
      <c r="M10" s="10" t="n">
        <f aca="false">IFERROR((2*H10+2*I10+K10)/(2*H10+3*I10+2*J10+3*K10),"")</f>
        <v>0.541320680110716</v>
      </c>
      <c r="N10" s="10" t="n">
        <f aca="false">IFERROR((M10*13+(1-M10)*G10)/((M10*13+(1-M10)*G10)+(M10*F10+(1-M10)*13)),"")</f>
        <v>0.526796410440476</v>
      </c>
    </row>
    <row r="11" customFormat="false" ht="15" hidden="false" customHeight="false" outlineLevel="0" collapsed="false">
      <c r="A11" s="0" t="s">
        <v>2945</v>
      </c>
      <c r="B11" s="0" t="s">
        <v>1167</v>
      </c>
      <c r="C11" s="0" t="s">
        <v>2933</v>
      </c>
      <c r="D11" s="0" t="s">
        <v>2946</v>
      </c>
      <c r="F11" s="0" t="n">
        <v>8.71</v>
      </c>
      <c r="G11" s="0" t="n">
        <v>8.5</v>
      </c>
      <c r="H11" s="10" t="n">
        <v>0.389</v>
      </c>
      <c r="I11" s="10" t="n">
        <v>0.111</v>
      </c>
      <c r="J11" s="10" t="n">
        <v>0.167</v>
      </c>
      <c r="K11" s="10" t="n">
        <v>0.333</v>
      </c>
      <c r="L11" s="10" t="n">
        <v>0.068</v>
      </c>
      <c r="M11" s="10" t="n">
        <f aca="false">IFERROR((2*H11+2*I11+K11)/(2*H11+3*I11+2*J11+3*K11),"")</f>
        <v>0.545417348608838</v>
      </c>
      <c r="N11" s="10" t="n">
        <f aca="false">IFERROR((M11*13+(1-M11)*G11)/((M11*13+(1-M11)*G11)+(M11*F11+(1-M11)*13)),"")</f>
        <v>0.506806032567718</v>
      </c>
    </row>
    <row r="12" customFormat="false" ht="15" hidden="false" customHeight="false" outlineLevel="0" collapsed="false">
      <c r="A12" s="0" t="s">
        <v>2947</v>
      </c>
      <c r="B12" s="0" t="s">
        <v>1174</v>
      </c>
      <c r="C12" s="0" t="s">
        <v>2931</v>
      </c>
      <c r="D12" s="0" t="s">
        <v>2948</v>
      </c>
      <c r="F12" s="0" t="n">
        <v>7.58</v>
      </c>
      <c r="G12" s="0" t="n">
        <v>7.64</v>
      </c>
      <c r="H12" s="10" t="n">
        <v>0.263</v>
      </c>
      <c r="I12" s="10" t="n">
        <v>0.158</v>
      </c>
      <c r="J12" s="10" t="n">
        <v>0.211</v>
      </c>
      <c r="K12" s="10" t="n">
        <v>0.368</v>
      </c>
      <c r="L12" s="10" t="n">
        <v>0.061</v>
      </c>
      <c r="M12" s="10" t="n">
        <f aca="false">IFERROR((2*H12+2*I12+K12)/(2*H12+3*I12+2*J12+3*K12),"")</f>
        <v>0.47901821060966</v>
      </c>
      <c r="N12" s="10" t="n">
        <f aca="false">IFERROR((M12*13+(1-M12)*G12)/((M12*13+(1-M12)*G12)+(M12*F12+(1-M12)*13)),"")</f>
        <v>0.495240861062645</v>
      </c>
    </row>
    <row r="13" customFormat="false" ht="15" hidden="false" customHeight="false" outlineLevel="0" collapsed="false">
      <c r="A13" s="0" t="s">
        <v>2949</v>
      </c>
      <c r="B13" s="0" t="s">
        <v>1174</v>
      </c>
      <c r="C13" s="0" t="s">
        <v>2933</v>
      </c>
      <c r="D13" s="0" t="s">
        <v>2950</v>
      </c>
      <c r="F13" s="0" t="n">
        <v>7.76</v>
      </c>
      <c r="G13" s="0" t="n">
        <v>7.59</v>
      </c>
      <c r="H13" s="10" t="n">
        <v>0.364</v>
      </c>
      <c r="I13" s="10" t="n">
        <v>0.152</v>
      </c>
      <c r="J13" s="10" t="n">
        <v>0.303</v>
      </c>
      <c r="K13" s="10" t="n">
        <v>0.182</v>
      </c>
      <c r="L13" s="10" t="n">
        <v>0.038</v>
      </c>
      <c r="M13" s="10" t="n">
        <f aca="false">IFERROR((2*H13+2*I13+K13)/(2*H13+3*I13+2*J13+3*K13),"")</f>
        <v>0.519691780821918</v>
      </c>
      <c r="N13" s="10" t="n">
        <f aca="false">IFERROR((M13*13+(1-M13)*G13)/((M13*13+(1-M13)*G13)+(M13*F13+(1-M13)*13)),"")</f>
        <v>0.503015653575165</v>
      </c>
    </row>
    <row r="14" customFormat="false" ht="15" hidden="false" customHeight="false" outlineLevel="0" collapsed="false">
      <c r="A14" s="0" t="s">
        <v>2951</v>
      </c>
      <c r="B14" s="0" t="s">
        <v>1180</v>
      </c>
      <c r="C14" s="0" t="s">
        <v>2931</v>
      </c>
      <c r="D14" s="0" t="s">
        <v>2952</v>
      </c>
      <c r="F14" s="0" t="n">
        <v>7.44</v>
      </c>
      <c r="G14" s="0" t="n">
        <v>9.21</v>
      </c>
      <c r="H14" s="10" t="n">
        <v>0.5</v>
      </c>
      <c r="I14" s="10" t="n">
        <v>0.263</v>
      </c>
      <c r="J14" s="10" t="n">
        <v>0.132</v>
      </c>
      <c r="K14" s="10" t="n">
        <v>0.105</v>
      </c>
      <c r="L14" s="10" t="n">
        <v>0.022</v>
      </c>
      <c r="M14" s="10" t="n">
        <f aca="false">IFERROR((2*H14+2*I14+K14)/(2*H14+3*I14+2*J14+3*K14),"")</f>
        <v>0.688766891891892</v>
      </c>
      <c r="N14" s="10" t="n">
        <f aca="false">IFERROR((M14*13+(1-M14)*G14)/((M14*13+(1-M14)*G14)+(M14*F14+(1-M14)*13)),"")</f>
        <v>0.563121939403791</v>
      </c>
    </row>
    <row r="15" customFormat="false" ht="15" hidden="false" customHeight="false" outlineLevel="0" collapsed="false">
      <c r="A15" s="0" t="s">
        <v>2953</v>
      </c>
      <c r="B15" s="0" t="s">
        <v>1180</v>
      </c>
      <c r="C15" s="0" t="s">
        <v>2933</v>
      </c>
      <c r="D15" s="0" t="s">
        <v>2954</v>
      </c>
      <c r="F15" s="0" t="n">
        <v>8.04</v>
      </c>
      <c r="G15" s="0" t="n">
        <v>7.45</v>
      </c>
      <c r="H15" s="10" t="n">
        <v>0.45</v>
      </c>
      <c r="I15" s="10" t="n">
        <v>0.1</v>
      </c>
      <c r="J15" s="10" t="n">
        <v>0.2</v>
      </c>
      <c r="K15" s="10" t="n">
        <v>0.25</v>
      </c>
      <c r="L15" s="10" t="n">
        <v>0.021</v>
      </c>
      <c r="M15" s="10" t="n">
        <f aca="false">IFERROR((2*H15+2*I15+K15)/(2*H15+3*I15+2*J15+3*K15),"")</f>
        <v>0.574468085106383</v>
      </c>
      <c r="N15" s="10" t="n">
        <f aca="false">IFERROR((M15*13+(1-M15)*G15)/((M15*13+(1-M15)*G15)+(M15*F15+(1-M15)*13)),"")</f>
        <v>0.511728824661236</v>
      </c>
    </row>
    <row r="16" customFormat="false" ht="15" hidden="false" customHeight="false" outlineLevel="0" collapsed="false">
      <c r="A16" s="0" t="s">
        <v>2955</v>
      </c>
      <c r="B16" s="0" t="s">
        <v>1186</v>
      </c>
      <c r="C16" s="0" t="s">
        <v>2931</v>
      </c>
      <c r="D16" s="0" t="s">
        <v>2956</v>
      </c>
      <c r="F16" s="0" t="n">
        <v>7.2</v>
      </c>
      <c r="G16" s="0" t="n">
        <v>7.6</v>
      </c>
      <c r="H16" s="10" t="n">
        <v>0.478</v>
      </c>
      <c r="I16" s="10" t="n">
        <v>0.174</v>
      </c>
      <c r="J16" s="10" t="n">
        <v>0.13</v>
      </c>
      <c r="K16" s="10" t="n">
        <v>0.217</v>
      </c>
      <c r="L16" s="10" t="n">
        <v>0.036</v>
      </c>
      <c r="M16" s="10" t="n">
        <f aca="false">IFERROR((2*H16+2*I16+K16)/(2*H16+3*I16+2*J16+3*K16),"")</f>
        <v>0.636668061950607</v>
      </c>
      <c r="N16" s="10" t="n">
        <f aca="false">IFERROR((M16*13+(1-M16)*G16)/((M16*13+(1-M16)*G16)+(M16*F16+(1-M16)*13)),"")</f>
        <v>0.542532661248843</v>
      </c>
    </row>
    <row r="17" customFormat="false" ht="15" hidden="false" customHeight="false" outlineLevel="0" collapsed="false">
      <c r="A17" s="0" t="s">
        <v>2957</v>
      </c>
      <c r="B17" s="0" t="s">
        <v>1186</v>
      </c>
      <c r="C17" s="0" t="s">
        <v>2933</v>
      </c>
      <c r="D17" s="0" t="s">
        <v>1191</v>
      </c>
      <c r="H17" s="10"/>
      <c r="I17" s="10"/>
      <c r="J17" s="10"/>
      <c r="K17" s="10"/>
      <c r="L17" s="10"/>
      <c r="M17" s="10" t="str">
        <f aca="false">IFERROR((2*H17+2*I17+K17)/(2*H17+3*I17+2*J17+3*K17),"")</f>
        <v/>
      </c>
      <c r="N17" s="10" t="str">
        <f aca="false">IFERROR((M17*13+(1-M17)*G17)/((M17*13+(1-M17)*G17)+(M17*F17+(1-M17)*13)),"")</f>
        <v/>
      </c>
    </row>
    <row r="18" customFormat="false" ht="15" hidden="false" customHeight="false" outlineLevel="0" collapsed="false">
      <c r="A18" s="0" t="s">
        <v>2958</v>
      </c>
      <c r="B18" s="0" t="s">
        <v>1192</v>
      </c>
      <c r="C18" s="0" t="s">
        <v>2931</v>
      </c>
      <c r="D18" s="0" t="s">
        <v>2959</v>
      </c>
      <c r="F18" s="0" t="n">
        <v>7.47</v>
      </c>
      <c r="G18" s="0" t="n">
        <v>10.21</v>
      </c>
      <c r="H18" s="10" t="n">
        <v>0.136</v>
      </c>
      <c r="I18" s="10" t="n">
        <v>0.455</v>
      </c>
      <c r="J18" s="10" t="n">
        <v>0.136</v>
      </c>
      <c r="K18" s="10" t="n">
        <v>0.273</v>
      </c>
      <c r="L18" s="10" t="n">
        <v>0.05</v>
      </c>
      <c r="M18" s="10" t="n">
        <f aca="false">IFERROR((2*H18+2*I18+K18)/(2*H18+3*I18+2*J18+3*K18),"")</f>
        <v>0.533357771260997</v>
      </c>
      <c r="N18" s="10" t="n">
        <f aca="false">IFERROR((M18*13+(1-M18)*G18)/((M18*13+(1-M18)*G18)+(M18*F18+(1-M18)*13)),"")</f>
        <v>0.537876844466004</v>
      </c>
    </row>
    <row r="19" customFormat="false" ht="15" hidden="false" customHeight="false" outlineLevel="0" collapsed="false">
      <c r="A19" s="0" t="s">
        <v>2960</v>
      </c>
      <c r="B19" s="0" t="s">
        <v>1192</v>
      </c>
      <c r="C19" s="0" t="s">
        <v>2933</v>
      </c>
      <c r="D19" s="0" t="s">
        <v>2961</v>
      </c>
      <c r="F19" s="0" t="n">
        <v>6.06</v>
      </c>
      <c r="G19" s="0" t="n">
        <v>7.95</v>
      </c>
      <c r="H19" s="10" t="n">
        <v>0.312</v>
      </c>
      <c r="I19" s="10" t="n">
        <v>0.125</v>
      </c>
      <c r="J19" s="10" t="n">
        <v>0.438</v>
      </c>
      <c r="K19" s="10" t="n">
        <v>0.125</v>
      </c>
      <c r="L19" s="10" t="n">
        <v>0</v>
      </c>
      <c r="M19" s="10" t="n">
        <f aca="false">IFERROR((2*H19+2*I19+K19)/(2*H19+3*I19+2*J19+3*K19),"")</f>
        <v>0.444</v>
      </c>
      <c r="N19" s="10" t="n">
        <f aca="false">IFERROR((M19*13+(1-M19)*G19)/((M19*13+(1-M19)*G19)+(M19*F19+(1-M19)*13)),"")</f>
        <v>0.506801307155743</v>
      </c>
    </row>
    <row r="20" customFormat="false" ht="15" hidden="false" customHeight="false" outlineLevel="0" collapsed="false">
      <c r="A20" s="0" t="s">
        <v>2962</v>
      </c>
      <c r="B20" s="0" t="s">
        <v>1199</v>
      </c>
      <c r="C20" s="0" t="s">
        <v>2931</v>
      </c>
      <c r="D20" s="0" t="s">
        <v>1202</v>
      </c>
      <c r="F20" s="0" t="n">
        <v>8.24</v>
      </c>
      <c r="G20" s="0" t="n">
        <v>8.88</v>
      </c>
      <c r="H20" s="10" t="n">
        <v>0.455</v>
      </c>
      <c r="I20" s="10" t="n">
        <v>0.318</v>
      </c>
      <c r="J20" s="10" t="n">
        <v>0.045</v>
      </c>
      <c r="K20" s="10" t="n">
        <v>0.182</v>
      </c>
      <c r="L20" s="10" t="n">
        <v>0.055</v>
      </c>
      <c r="M20" s="10" t="n">
        <f aca="false">IFERROR((2*H20+2*I20+K20)/(2*H20+3*I20+2*J20+3*K20),"")</f>
        <v>0.6912</v>
      </c>
      <c r="N20" s="10" t="n">
        <f aca="false">IFERROR((M20*13+(1-M20)*G20)/((M20*13+(1-M20)*G20)+(M20*F20+(1-M20)*13)),"")</f>
        <v>0.547063407003162</v>
      </c>
    </row>
    <row r="21" customFormat="false" ht="15" hidden="false" customHeight="false" outlineLevel="0" collapsed="false">
      <c r="A21" s="0" t="s">
        <v>2963</v>
      </c>
      <c r="B21" s="0" t="s">
        <v>1199</v>
      </c>
      <c r="C21" s="0" t="s">
        <v>2933</v>
      </c>
      <c r="D21" s="0" t="s">
        <v>2964</v>
      </c>
      <c r="F21" s="0" t="n">
        <v>8.65</v>
      </c>
      <c r="G21" s="0" t="n">
        <v>8.05</v>
      </c>
      <c r="H21" s="10" t="n">
        <v>0.5</v>
      </c>
      <c r="I21" s="10" t="n">
        <v>0.192</v>
      </c>
      <c r="J21" s="10" t="n">
        <v>0.154</v>
      </c>
      <c r="K21" s="10" t="n">
        <v>0.154</v>
      </c>
      <c r="L21" s="10" t="n">
        <v>0.049</v>
      </c>
      <c r="M21" s="10" t="n">
        <f aca="false">IFERROR((2*H21+2*I21+K21)/(2*H21+3*I21+2*J21+3*K21),"")</f>
        <v>0.655583972719523</v>
      </c>
      <c r="N21" s="10" t="n">
        <f aca="false">IFERROR((M21*13+(1-M21)*G21)/((M21*13+(1-M21)*G21)+(M21*F21+(1-M21)*13)),"")</f>
        <v>0.526743277654201</v>
      </c>
    </row>
    <row r="22" customFormat="false" ht="15" hidden="false" customHeight="false" outlineLevel="0" collapsed="false">
      <c r="A22" s="0" t="s">
        <v>2965</v>
      </c>
      <c r="B22" s="0" t="s">
        <v>1204</v>
      </c>
      <c r="C22" s="0" t="s">
        <v>2931</v>
      </c>
      <c r="D22" s="0" t="s">
        <v>2966</v>
      </c>
      <c r="F22" s="0" t="n">
        <v>7.88</v>
      </c>
      <c r="G22" s="0" t="n">
        <v>8.14</v>
      </c>
      <c r="H22" s="10" t="n">
        <v>0.36</v>
      </c>
      <c r="I22" s="10" t="n">
        <v>0.16</v>
      </c>
      <c r="J22" s="10" t="n">
        <v>0.24</v>
      </c>
      <c r="K22" s="10" t="n">
        <v>0.24</v>
      </c>
      <c r="L22" s="10" t="n">
        <v>0.033</v>
      </c>
      <c r="M22" s="10" t="n">
        <f aca="false">IFERROR((2*H22+2*I22+K22)/(2*H22+3*I22+2*J22+3*K22),"")</f>
        <v>0.533333333333333</v>
      </c>
      <c r="N22" s="10" t="n">
        <f aca="false">IFERROR((M22*13+(1-M22)*G22)/((M22*13+(1-M22)*G22)+(M22*F22+(1-M22)*13)),"")</f>
        <v>0.511015173639769</v>
      </c>
    </row>
    <row r="23" customFormat="false" ht="15" hidden="false" customHeight="false" outlineLevel="0" collapsed="false">
      <c r="A23" s="0" t="s">
        <v>2967</v>
      </c>
      <c r="B23" s="0" t="s">
        <v>1204</v>
      </c>
      <c r="C23" s="0" t="s">
        <v>2933</v>
      </c>
      <c r="D23" s="0" t="s">
        <v>1209</v>
      </c>
      <c r="F23" s="0" t="n">
        <v>7.71</v>
      </c>
      <c r="G23" s="0" t="n">
        <v>8.71</v>
      </c>
      <c r="H23" s="10" t="n">
        <v>0</v>
      </c>
      <c r="I23" s="10" t="n">
        <v>0.6</v>
      </c>
      <c r="J23" s="10" t="n">
        <v>0.2</v>
      </c>
      <c r="K23" s="10" t="n">
        <v>0.2</v>
      </c>
      <c r="L23" s="10" t="n">
        <v>0</v>
      </c>
      <c r="M23" s="10" t="n">
        <f aca="false">IFERROR((2*H23+2*I23+K23)/(2*H23+3*I23+2*J23+3*K23),"")</f>
        <v>0.5</v>
      </c>
      <c r="N23" s="10" t="n">
        <f aca="false">IFERROR((M23*13+(1-M23)*G23)/((M23*13+(1-M23)*G23)+(M23*F23+(1-M23)*13)),"")</f>
        <v>0.511786892975012</v>
      </c>
    </row>
    <row r="24" customFormat="false" ht="15" hidden="false" customHeight="false" outlineLevel="0" collapsed="false">
      <c r="A24" s="0" t="s">
        <v>2968</v>
      </c>
      <c r="B24" s="0" t="s">
        <v>1210</v>
      </c>
      <c r="C24" s="0" t="s">
        <v>2931</v>
      </c>
      <c r="D24" s="0" t="s">
        <v>1213</v>
      </c>
      <c r="F24" s="0" t="n">
        <v>9</v>
      </c>
      <c r="G24" s="0" t="n">
        <v>8.26</v>
      </c>
      <c r="H24" s="10" t="n">
        <v>0.238</v>
      </c>
      <c r="I24" s="10" t="n">
        <v>0.238</v>
      </c>
      <c r="J24" s="10" t="n">
        <v>0.333</v>
      </c>
      <c r="K24" s="10" t="n">
        <v>0.19</v>
      </c>
      <c r="L24" s="10" t="n">
        <v>0.039</v>
      </c>
      <c r="M24" s="10" t="n">
        <f aca="false">IFERROR((2*H24+2*I24+K24)/(2*H24+3*I24+2*J24+3*K24),"")</f>
        <v>0.470733718054411</v>
      </c>
      <c r="N24" s="10" t="n">
        <f aca="false">IFERROR((M24*13+(1-M24)*G24)/((M24*13+(1-M24)*G24)+(M24*F24+(1-M24)*13)),"")</f>
        <v>0.485519775727063</v>
      </c>
    </row>
    <row r="25" customFormat="false" ht="15" hidden="false" customHeight="false" outlineLevel="0" collapsed="false">
      <c r="A25" s="0" t="s">
        <v>2969</v>
      </c>
      <c r="B25" s="0" t="s">
        <v>1210</v>
      </c>
      <c r="C25" s="0" t="s">
        <v>2933</v>
      </c>
      <c r="D25" s="0" t="s">
        <v>2970</v>
      </c>
      <c r="F25" s="0" t="n">
        <v>5.6</v>
      </c>
      <c r="G25" s="0" t="n">
        <v>7.12</v>
      </c>
      <c r="H25" s="10" t="n">
        <v>0.6</v>
      </c>
      <c r="I25" s="10" t="n">
        <v>0</v>
      </c>
      <c r="J25" s="10" t="n">
        <v>0.2</v>
      </c>
      <c r="K25" s="10" t="n">
        <v>0.2</v>
      </c>
      <c r="L25" s="10" t="n">
        <v>0</v>
      </c>
      <c r="M25" s="10" t="n">
        <f aca="false">IFERROR((2*H25+2*I25+K25)/(2*H25+3*I25+2*J25+3*K25),"")</f>
        <v>0.636363636363636</v>
      </c>
      <c r="N25" s="10" t="n">
        <f aca="false">IFERROR((M25*13+(1-M25)*G25)/((M25*13+(1-M25)*G25)+(M25*F25+(1-M25)*13)),"")</f>
        <v>0.567116005316119</v>
      </c>
    </row>
    <row r="26" customFormat="false" ht="15" hidden="false" customHeight="false" outlineLevel="0" collapsed="false">
      <c r="A26" s="0" t="s">
        <v>2971</v>
      </c>
      <c r="B26" s="0" t="s">
        <v>1215</v>
      </c>
      <c r="C26" s="0" t="s">
        <v>2931</v>
      </c>
      <c r="D26" s="0" t="s">
        <v>2972</v>
      </c>
      <c r="F26" s="0" t="n">
        <v>9.41</v>
      </c>
      <c r="G26" s="0" t="n">
        <v>8.56</v>
      </c>
      <c r="H26" s="10" t="n">
        <v>0.375</v>
      </c>
      <c r="I26" s="10" t="n">
        <v>0.25</v>
      </c>
      <c r="J26" s="10" t="n">
        <v>0.25</v>
      </c>
      <c r="K26" s="10" t="n">
        <v>0.125</v>
      </c>
      <c r="L26" s="10" t="n">
        <v>0</v>
      </c>
      <c r="M26" s="10" t="n">
        <f aca="false">IFERROR((2*H26+2*I26+K26)/(2*H26+3*I26+2*J26+3*K26),"")</f>
        <v>0.578947368421053</v>
      </c>
      <c r="N26" s="10" t="n">
        <f aca="false">IFERROR((M26*13+(1-M26)*G26)/((M26*13+(1-M26)*G26)+(M26*F26+(1-M26)*13)),"")</f>
        <v>0.504737583235877</v>
      </c>
    </row>
    <row r="27" customFormat="false" ht="15" hidden="false" customHeight="false" outlineLevel="0" collapsed="false">
      <c r="A27" s="0" t="s">
        <v>2973</v>
      </c>
      <c r="B27" s="0" t="s">
        <v>1215</v>
      </c>
      <c r="C27" s="0" t="s">
        <v>2933</v>
      </c>
      <c r="D27" s="0" t="s">
        <v>1221</v>
      </c>
      <c r="F27" s="0" t="n">
        <v>7.19</v>
      </c>
      <c r="G27" s="0" t="n">
        <v>8.68</v>
      </c>
      <c r="H27" s="10" t="n">
        <v>0.344</v>
      </c>
      <c r="I27" s="10" t="n">
        <v>0.25</v>
      </c>
      <c r="J27" s="10" t="n">
        <v>0.25</v>
      </c>
      <c r="K27" s="10" t="n">
        <v>0.156</v>
      </c>
      <c r="L27" s="10" t="n">
        <v>0.013</v>
      </c>
      <c r="M27" s="10" t="n">
        <f aca="false">IFERROR((2*H27+2*I27+K27)/(2*H27+3*I27+2*J27+3*K27),"")</f>
        <v>0.55860349127182</v>
      </c>
      <c r="N27" s="10" t="n">
        <f aca="false">IFERROR((M27*13+(1-M27)*G27)/((M27*13+(1-M27)*G27)+(M27*F27+(1-M27)*13)),"")</f>
        <v>0.532105570388234</v>
      </c>
    </row>
    <row r="28" customFormat="false" ht="15" hidden="false" customHeight="false" outlineLevel="0" collapsed="false">
      <c r="A28" s="0" t="s">
        <v>2974</v>
      </c>
      <c r="B28" s="0" t="s">
        <v>1222</v>
      </c>
      <c r="C28" s="0" t="s">
        <v>2931</v>
      </c>
      <c r="D28" s="0" t="s">
        <v>2975</v>
      </c>
      <c r="F28" s="0" t="n">
        <v>7.54</v>
      </c>
      <c r="G28" s="0" t="n">
        <v>9.18</v>
      </c>
      <c r="H28" s="10" t="n">
        <v>0.447</v>
      </c>
      <c r="I28" s="10" t="n">
        <v>0.17</v>
      </c>
      <c r="J28" s="10" t="n">
        <v>0.191</v>
      </c>
      <c r="K28" s="10" t="n">
        <v>0.191</v>
      </c>
      <c r="L28" s="10" t="n">
        <v>0.045</v>
      </c>
      <c r="M28" s="10" t="n">
        <f aca="false">IFERROR((2*H28+2*I28+K28)/(2*H28+3*I28+2*J28+3*K28),"")</f>
        <v>0.604069520983468</v>
      </c>
      <c r="N28" s="10" t="n">
        <f aca="false">IFERROR((M28*13+(1-M28)*G28)/((M28*13+(1-M28)*G28)+(M28*F28+(1-M28)*13)),"")</f>
        <v>0.542138318980539</v>
      </c>
    </row>
    <row r="29" customFormat="false" ht="15" hidden="false" customHeight="false" outlineLevel="0" collapsed="false">
      <c r="A29" s="0" t="s">
        <v>2976</v>
      </c>
      <c r="B29" s="0" t="s">
        <v>1222</v>
      </c>
      <c r="C29" s="0" t="s">
        <v>2933</v>
      </c>
      <c r="D29" s="0" t="s">
        <v>2977</v>
      </c>
      <c r="F29" s="0" t="n">
        <v>6.88</v>
      </c>
      <c r="G29" s="0" t="n">
        <v>7.39</v>
      </c>
      <c r="H29" s="10" t="n">
        <v>0.433</v>
      </c>
      <c r="I29" s="10" t="n">
        <v>0.2</v>
      </c>
      <c r="J29" s="10" t="n">
        <v>0.233</v>
      </c>
      <c r="K29" s="10" t="n">
        <v>0.133</v>
      </c>
      <c r="L29" s="10" t="n">
        <v>0.014</v>
      </c>
      <c r="M29" s="10" t="n">
        <f aca="false">IFERROR((2*H29+2*I29+K29)/(2*H29+3*I29+2*J29+3*K29),"")</f>
        <v>0.6001716001716</v>
      </c>
      <c r="N29" s="10" t="n">
        <f aca="false">IFERROR((M29*13+(1-M29)*G29)/((M29*13+(1-M29)*G29)+(M29*F29+(1-M29)*13)),"")</f>
        <v>0.535600953528311</v>
      </c>
    </row>
    <row r="30" customFormat="false" ht="15" hidden="false" customHeight="false" outlineLevel="0" collapsed="false">
      <c r="A30" s="0" t="s">
        <v>2978</v>
      </c>
      <c r="B30" s="0" t="s">
        <v>1229</v>
      </c>
      <c r="C30" s="0" t="s">
        <v>2931</v>
      </c>
      <c r="D30" s="0" t="s">
        <v>1233</v>
      </c>
      <c r="F30" s="0" t="n">
        <v>7</v>
      </c>
      <c r="G30" s="0" t="n">
        <v>8.22</v>
      </c>
      <c r="H30" s="10" t="n">
        <v>0.389</v>
      </c>
      <c r="I30" s="10" t="n">
        <v>0.222</v>
      </c>
      <c r="J30" s="10" t="n">
        <v>0.222</v>
      </c>
      <c r="K30" s="10" t="n">
        <v>0.167</v>
      </c>
      <c r="L30" s="10" t="n">
        <v>0.023</v>
      </c>
      <c r="M30" s="10" t="n">
        <f aca="false">IFERROR((2*H30+2*I30+K30)/(2*H30+3*I30+2*J30+3*K30),"")</f>
        <v>0.581414817915446</v>
      </c>
      <c r="N30" s="10" t="n">
        <f aca="false">IFERROR((M30*13+(1-M30)*G30)/((M30*13+(1-M30)*G30)+(M30*F30+(1-M30)*13)),"")</f>
        <v>0.536265306122449</v>
      </c>
    </row>
    <row r="31" customFormat="false" ht="15" hidden="false" customHeight="false" outlineLevel="0" collapsed="false">
      <c r="A31" s="0" t="s">
        <v>2979</v>
      </c>
      <c r="B31" s="0" t="s">
        <v>1229</v>
      </c>
      <c r="C31" s="0" t="s">
        <v>2933</v>
      </c>
      <c r="D31" s="0" t="s">
        <v>1234</v>
      </c>
      <c r="H31" s="10"/>
      <c r="I31" s="10"/>
      <c r="J31" s="10"/>
      <c r="K31" s="10"/>
      <c r="L31" s="10"/>
      <c r="M31" s="10" t="str">
        <f aca="false">IFERROR((2*H31+2*I31+K31)/(2*H31+3*I31+2*J31+3*K31),"")</f>
        <v/>
      </c>
      <c r="N31" s="10" t="str">
        <f aca="false">IFERROR((M31*13+(1-M31)*G31)/((M31*13+(1-M31)*G31)+(M31*F31+(1-M31)*13)),"")</f>
        <v/>
      </c>
    </row>
    <row r="32" customFormat="false" ht="15" hidden="false" customHeight="false" outlineLevel="0" collapsed="false">
      <c r="A32" s="0" t="s">
        <v>2980</v>
      </c>
      <c r="B32" s="0" t="s">
        <v>1235</v>
      </c>
      <c r="C32" s="0" t="s">
        <v>2931</v>
      </c>
      <c r="D32" s="0" t="s">
        <v>2981</v>
      </c>
      <c r="F32" s="0" t="n">
        <v>7.26</v>
      </c>
      <c r="G32" s="0" t="n">
        <v>9.17</v>
      </c>
      <c r="H32" s="10" t="n">
        <v>0.35</v>
      </c>
      <c r="I32" s="10" t="n">
        <v>0.1</v>
      </c>
      <c r="J32" s="10" t="n">
        <v>0.3</v>
      </c>
      <c r="K32" s="10" t="n">
        <v>0.25</v>
      </c>
      <c r="L32" s="10" t="n">
        <v>0.043</v>
      </c>
      <c r="M32" s="10" t="n">
        <f aca="false">IFERROR((2*H32+2*I32+K32)/(2*H32+3*I32+2*J32+3*K32),"")</f>
        <v>0.48936170212766</v>
      </c>
      <c r="N32" s="10" t="n">
        <f aca="false">IFERROR((M32*13+(1-M32)*G32)/((M32*13+(1-M32)*G32)+(M32*F32+(1-M32)*13)),"")</f>
        <v>0.520088972606857</v>
      </c>
    </row>
    <row r="33" customFormat="false" ht="15" hidden="false" customHeight="false" outlineLevel="0" collapsed="false">
      <c r="A33" s="0" t="s">
        <v>2982</v>
      </c>
      <c r="B33" s="0" t="s">
        <v>1235</v>
      </c>
      <c r="C33" s="0" t="s">
        <v>2933</v>
      </c>
      <c r="D33" s="0" t="s">
        <v>2983</v>
      </c>
      <c r="H33" s="10"/>
      <c r="I33" s="10"/>
      <c r="J33" s="10"/>
      <c r="K33" s="10"/>
      <c r="L33" s="10"/>
      <c r="M33" s="10" t="str">
        <f aca="false">IFERROR((2*H33+2*I33+K33)/(2*H33+3*I33+2*J33+3*K33),"")</f>
        <v/>
      </c>
      <c r="N33" s="10" t="str">
        <f aca="false">IFERROR((M33*13+(1-M33)*G33)/((M33*13+(1-M33)*G33)+(M33*F33+(1-M33)*13)),"")</f>
        <v/>
      </c>
    </row>
    <row r="34" customFormat="false" ht="15" hidden="false" customHeight="false" outlineLevel="0" collapsed="false">
      <c r="A34" s="0" t="s">
        <v>2984</v>
      </c>
      <c r="B34" s="0" t="s">
        <v>1239</v>
      </c>
      <c r="C34" s="0" t="s">
        <v>2931</v>
      </c>
      <c r="D34" s="0" t="s">
        <v>2985</v>
      </c>
      <c r="F34" s="0" t="n">
        <v>8.15</v>
      </c>
      <c r="G34" s="0" t="n">
        <v>8.62</v>
      </c>
      <c r="H34" s="10" t="n">
        <v>0.323</v>
      </c>
      <c r="I34" s="10" t="n">
        <v>0.258</v>
      </c>
      <c r="J34" s="10" t="n">
        <v>0.258</v>
      </c>
      <c r="K34" s="10" t="n">
        <v>0.161</v>
      </c>
      <c r="L34" s="10" t="n">
        <v>0.027</v>
      </c>
      <c r="M34" s="10" t="n">
        <f aca="false">IFERROR((2*H34+2*I34+K34)/(2*H34+3*I34+2*J34+3*K34),"")</f>
        <v>0.546920214964862</v>
      </c>
      <c r="N34" s="10" t="n">
        <f aca="false">IFERROR((M34*13+(1-M34)*G34)/((M34*13+(1-M34)*G34)+(M34*F34+(1-M34)*13)),"")</f>
        <v>0.515636268922114</v>
      </c>
    </row>
    <row r="35" customFormat="false" ht="15" hidden="false" customHeight="false" outlineLevel="0" collapsed="false">
      <c r="A35" s="0" t="s">
        <v>2986</v>
      </c>
      <c r="B35" s="0" t="s">
        <v>1239</v>
      </c>
      <c r="C35" s="0" t="s">
        <v>2933</v>
      </c>
      <c r="D35" s="0" t="s">
        <v>1245</v>
      </c>
      <c r="F35" s="0" t="n">
        <v>8.65</v>
      </c>
      <c r="G35" s="0" t="n">
        <v>7.49</v>
      </c>
      <c r="H35" s="10" t="n">
        <v>0.324</v>
      </c>
      <c r="I35" s="10" t="n">
        <v>0.206</v>
      </c>
      <c r="J35" s="10" t="n">
        <v>0.265</v>
      </c>
      <c r="K35" s="10" t="n">
        <v>0.206</v>
      </c>
      <c r="L35" s="10" t="n">
        <v>0.049</v>
      </c>
      <c r="M35" s="10" t="n">
        <f aca="false">IFERROR((2*H35+2*I35+K35)/(2*H35+3*I35+2*J35+3*K35),"")</f>
        <v>0.524440762220381</v>
      </c>
      <c r="N35" s="10" t="n">
        <f aca="false">IFERROR((M35*13+(1-M35)*G35)/((M35*13+(1-M35)*G35)+(M35*F35+(1-M35)*13)),"")</f>
        <v>0.491965863115539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2987</v>
      </c>
      <c r="B1" s="12" t="s">
        <v>1797</v>
      </c>
    </row>
    <row r="2" customFormat="false" ht="15" hidden="false" customHeight="false" outlineLevel="0" collapsed="false">
      <c r="A2" s="0" t="s">
        <v>2988</v>
      </c>
      <c r="B2" s="0" t="n">
        <v>8.17</v>
      </c>
    </row>
    <row r="3" customFormat="false" ht="15" hidden="false" customHeight="false" outlineLevel="0" collapsed="false">
      <c r="A3" s="0" t="s">
        <v>2989</v>
      </c>
      <c r="B3" s="0" t="n">
        <v>9.11</v>
      </c>
    </row>
    <row r="4" customFormat="false" ht="15" hidden="false" customHeight="false" outlineLevel="0" collapsed="false">
      <c r="A4" s="0" t="s">
        <v>2990</v>
      </c>
      <c r="B4" s="0" t="n">
        <v>5</v>
      </c>
    </row>
    <row r="5" customFormat="false" ht="15" hidden="false" customHeight="false" outlineLevel="0" collapsed="false">
      <c r="A5" s="0" t="s">
        <v>2991</v>
      </c>
      <c r="B5" s="0" t="n">
        <v>11</v>
      </c>
    </row>
    <row r="6" customFormat="false" ht="15" hidden="false" customHeight="false" outlineLevel="0" collapsed="false">
      <c r="A6" s="0" t="s">
        <v>2992</v>
      </c>
      <c r="B6" s="0" t="n">
        <v>9.67</v>
      </c>
    </row>
    <row r="7" customFormat="false" ht="15" hidden="false" customHeight="false" outlineLevel="0" collapsed="false">
      <c r="A7" s="0" t="s">
        <v>2993</v>
      </c>
      <c r="B7" s="0" t="n">
        <v>9.33</v>
      </c>
    </row>
    <row r="8" customFormat="false" ht="15" hidden="false" customHeight="false" outlineLevel="0" collapsed="false">
      <c r="A8" s="0" t="s">
        <v>2994</v>
      </c>
      <c r="B8" s="0" t="n">
        <v>9</v>
      </c>
    </row>
    <row r="9" customFormat="false" ht="15" hidden="false" customHeight="false" outlineLevel="0" collapsed="false">
      <c r="A9" s="0" t="s">
        <v>2995</v>
      </c>
      <c r="B9" s="0" t="n">
        <v>7.5</v>
      </c>
    </row>
    <row r="10" customFormat="false" ht="15" hidden="false" customHeight="false" outlineLevel="0" collapsed="false">
      <c r="A10" s="0" t="s">
        <v>2996</v>
      </c>
      <c r="B10" s="0" t="n">
        <v>9</v>
      </c>
    </row>
    <row r="11" customFormat="false" ht="15" hidden="false" customHeight="false" outlineLevel="0" collapsed="false">
      <c r="A11" s="0" t="s">
        <v>2997</v>
      </c>
      <c r="B11" s="0" t="n">
        <v>7</v>
      </c>
    </row>
    <row r="12" customFormat="false" ht="15" hidden="false" customHeight="false" outlineLevel="0" collapsed="false">
      <c r="A12" s="0" t="s">
        <v>2998</v>
      </c>
      <c r="B12" s="0" t="n">
        <v>9.5</v>
      </c>
    </row>
    <row r="13" customFormat="false" ht="15" hidden="false" customHeight="false" outlineLevel="0" collapsed="false">
      <c r="A13" s="0" t="s">
        <v>2999</v>
      </c>
      <c r="B13" s="0" t="n">
        <v>6.67</v>
      </c>
    </row>
    <row r="14" customFormat="false" ht="15" hidden="false" customHeight="false" outlineLevel="0" collapsed="false">
      <c r="A14" s="0" t="s">
        <v>3000</v>
      </c>
      <c r="B14" s="0" t="n">
        <v>7</v>
      </c>
    </row>
    <row r="15" customFormat="false" ht="15" hidden="false" customHeight="false" outlineLevel="0" collapsed="false">
      <c r="A15" s="0" t="s">
        <v>3001</v>
      </c>
      <c r="B15" s="0" t="n">
        <v>8.64</v>
      </c>
    </row>
    <row r="16" customFormat="false" ht="15" hidden="false" customHeight="false" outlineLevel="0" collapsed="false">
      <c r="A16" s="0" t="s">
        <v>3002</v>
      </c>
      <c r="B16" s="0" t="n">
        <v>8.71</v>
      </c>
    </row>
    <row r="17" customFormat="false" ht="15" hidden="false" customHeight="false" outlineLevel="0" collapsed="false">
      <c r="A17" s="0" t="s">
        <v>3003</v>
      </c>
      <c r="B17" s="0" t="n">
        <v>7.55</v>
      </c>
    </row>
    <row r="18" customFormat="false" ht="15" hidden="false" customHeight="false" outlineLevel="0" collapsed="false">
      <c r="A18" s="0" t="s">
        <v>3004</v>
      </c>
      <c r="B18" s="0" t="n">
        <v>9</v>
      </c>
    </row>
    <row r="19" customFormat="false" ht="15" hidden="false" customHeight="false" outlineLevel="0" collapsed="false">
      <c r="A19" s="0" t="s">
        <v>3005</v>
      </c>
      <c r="B19" s="0" t="n">
        <v>7.83</v>
      </c>
    </row>
    <row r="20" customFormat="false" ht="15" hidden="false" customHeight="false" outlineLevel="0" collapsed="false">
      <c r="A20" s="0" t="s">
        <v>3006</v>
      </c>
      <c r="B20" s="0" t="n">
        <v>7.5</v>
      </c>
    </row>
    <row r="21" customFormat="false" ht="15" hidden="false" customHeight="false" outlineLevel="0" collapsed="false">
      <c r="A21" s="0" t="s">
        <v>3007</v>
      </c>
      <c r="B21" s="0" t="n">
        <v>11.18</v>
      </c>
    </row>
    <row r="22" customFormat="false" ht="15" hidden="false" customHeight="false" outlineLevel="0" collapsed="false">
      <c r="A22" s="0" t="s">
        <v>3008</v>
      </c>
      <c r="B22" s="0" t="n">
        <v>11.2</v>
      </c>
    </row>
    <row r="23" customFormat="false" ht="15" hidden="false" customHeight="false" outlineLevel="0" collapsed="false">
      <c r="A23" s="0" t="s">
        <v>3009</v>
      </c>
      <c r="B23" s="0" t="n">
        <v>7</v>
      </c>
    </row>
    <row r="24" customFormat="false" ht="15" hidden="false" customHeight="false" outlineLevel="0" collapsed="false">
      <c r="A24" s="0" t="s">
        <v>3010</v>
      </c>
      <c r="B24" s="0" t="n">
        <v>8.45</v>
      </c>
    </row>
    <row r="25" customFormat="false" ht="15" hidden="false" customHeight="false" outlineLevel="0" collapsed="false">
      <c r="A25" s="0" t="s">
        <v>3011</v>
      </c>
      <c r="B25" s="0" t="n">
        <v>8.5</v>
      </c>
    </row>
    <row r="26" customFormat="false" ht="15" hidden="false" customHeight="false" outlineLevel="0" collapsed="false">
      <c r="A26" s="0" t="s">
        <v>3012</v>
      </c>
      <c r="B26" s="0" t="n">
        <v>8.79</v>
      </c>
    </row>
    <row r="27" customFormat="false" ht="15" hidden="false" customHeight="false" outlineLevel="0" collapsed="false">
      <c r="A27" s="0" t="s">
        <v>3013</v>
      </c>
      <c r="B27" s="0" t="n">
        <v>9.67</v>
      </c>
    </row>
    <row r="28" customFormat="false" ht="15" hidden="false" customHeight="false" outlineLevel="0" collapsed="false">
      <c r="A28" s="0" t="s">
        <v>3014</v>
      </c>
      <c r="B28" s="0" t="n">
        <v>9</v>
      </c>
    </row>
    <row r="29" customFormat="false" ht="15" hidden="false" customHeight="false" outlineLevel="0" collapsed="false">
      <c r="A29" s="0" t="s">
        <v>3015</v>
      </c>
      <c r="B29" s="0" t="n">
        <v>8.2</v>
      </c>
    </row>
    <row r="30" customFormat="false" ht="15" hidden="false" customHeight="false" outlineLevel="0" collapsed="false">
      <c r="A30" s="0" t="s">
        <v>3016</v>
      </c>
      <c r="B30" s="0" t="n">
        <v>7.57</v>
      </c>
    </row>
    <row r="31" customFormat="false" ht="15" hidden="false" customHeight="false" outlineLevel="0" collapsed="false">
      <c r="A31" s="0" t="s">
        <v>3017</v>
      </c>
      <c r="B31" s="0" t="n">
        <v>8.71</v>
      </c>
    </row>
    <row r="32" customFormat="false" ht="15" hidden="false" customHeight="false" outlineLevel="0" collapsed="false">
      <c r="A32" s="0" t="s">
        <v>3018</v>
      </c>
      <c r="B32" s="0" t="n">
        <v>5</v>
      </c>
    </row>
    <row r="33" customFormat="false" ht="15" hidden="false" customHeight="false" outlineLevel="0" collapsed="false">
      <c r="A33" s="0" t="s">
        <v>3019</v>
      </c>
      <c r="B33" s="0" t="n">
        <v>9</v>
      </c>
    </row>
    <row r="34" customFormat="false" ht="15" hidden="false" customHeight="false" outlineLevel="0" collapsed="false">
      <c r="A34" s="0" t="s">
        <v>3020</v>
      </c>
      <c r="B34" s="0" t="n">
        <v>7.67</v>
      </c>
    </row>
    <row r="35" customFormat="false" ht="15" hidden="false" customHeight="false" outlineLevel="0" collapsed="false">
      <c r="A35" s="0" t="s">
        <v>3021</v>
      </c>
      <c r="B35" s="0" t="n">
        <v>5.67</v>
      </c>
    </row>
    <row r="36" customFormat="false" ht="15" hidden="false" customHeight="false" outlineLevel="0" collapsed="false">
      <c r="A36" s="0" t="s">
        <v>3022</v>
      </c>
      <c r="B36" s="0" t="n">
        <v>6.43</v>
      </c>
    </row>
    <row r="37" customFormat="false" ht="15" hidden="false" customHeight="false" outlineLevel="0" collapsed="false">
      <c r="A37" s="0" t="s">
        <v>3023</v>
      </c>
      <c r="B37" s="0" t="n">
        <v>9.83</v>
      </c>
    </row>
    <row r="38" customFormat="false" ht="15" hidden="false" customHeight="false" outlineLevel="0" collapsed="false">
      <c r="A38" s="0" t="s">
        <v>3024</v>
      </c>
      <c r="B38" s="0" t="n">
        <v>10.33</v>
      </c>
    </row>
    <row r="39" customFormat="false" ht="15" hidden="false" customHeight="false" outlineLevel="0" collapsed="false">
      <c r="A39" s="0" t="s">
        <v>3025</v>
      </c>
      <c r="B39" s="0" t="n">
        <v>11.25</v>
      </c>
    </row>
    <row r="40" customFormat="false" ht="15" hidden="false" customHeight="false" outlineLevel="0" collapsed="false">
      <c r="A40" s="0" t="s">
        <v>3026</v>
      </c>
      <c r="B40" s="0" t="n">
        <v>9</v>
      </c>
    </row>
    <row r="41" customFormat="false" ht="15" hidden="false" customHeight="false" outlineLevel="0" collapsed="false">
      <c r="A41" s="0" t="s">
        <v>3027</v>
      </c>
      <c r="B41" s="0" t="n">
        <v>4.5</v>
      </c>
    </row>
    <row r="42" customFormat="false" ht="15" hidden="false" customHeight="false" outlineLevel="0" collapsed="false">
      <c r="A42" s="0" t="s">
        <v>3028</v>
      </c>
      <c r="B42" s="0" t="n">
        <v>7.25</v>
      </c>
    </row>
    <row r="43" customFormat="false" ht="15" hidden="false" customHeight="false" outlineLevel="0" collapsed="false">
      <c r="A43" s="0" t="s">
        <v>3029</v>
      </c>
      <c r="B43" s="0" t="n">
        <v>9</v>
      </c>
    </row>
    <row r="44" customFormat="false" ht="15" hidden="false" customHeight="false" outlineLevel="0" collapsed="false">
      <c r="A44" s="0" t="s">
        <v>3030</v>
      </c>
      <c r="B44" s="0" t="n">
        <v>7.37</v>
      </c>
    </row>
    <row r="45" customFormat="false" ht="15" hidden="false" customHeight="false" outlineLevel="0" collapsed="false">
      <c r="A45" s="0" t="s">
        <v>3031</v>
      </c>
      <c r="B45" s="0" t="n">
        <v>7.91</v>
      </c>
    </row>
    <row r="46" customFormat="false" ht="15" hidden="false" customHeight="false" outlineLevel="0" collapsed="false">
      <c r="A46" s="0" t="s">
        <v>3032</v>
      </c>
      <c r="B46" s="0" t="n">
        <v>7.64</v>
      </c>
    </row>
    <row r="47" customFormat="false" ht="15" hidden="false" customHeight="false" outlineLevel="0" collapsed="false">
      <c r="A47" s="0" t="s">
        <v>3033</v>
      </c>
      <c r="B47" s="0" t="n">
        <v>8.29</v>
      </c>
    </row>
    <row r="48" customFormat="false" ht="15" hidden="false" customHeight="false" outlineLevel="0" collapsed="false">
      <c r="A48" s="0" t="s">
        <v>3034</v>
      </c>
      <c r="B48" s="0" t="n">
        <v>6.2</v>
      </c>
    </row>
    <row r="49" customFormat="false" ht="15" hidden="false" customHeight="false" outlineLevel="0" collapsed="false">
      <c r="A49" s="0" t="s">
        <v>3035</v>
      </c>
      <c r="B49" s="0" t="n">
        <v>9.17</v>
      </c>
    </row>
    <row r="50" customFormat="false" ht="15" hidden="false" customHeight="false" outlineLevel="0" collapsed="false">
      <c r="A50" s="0" t="s">
        <v>3036</v>
      </c>
      <c r="B50" s="0" t="n">
        <v>7.88</v>
      </c>
    </row>
    <row r="51" customFormat="false" ht="15" hidden="false" customHeight="false" outlineLevel="0" collapsed="false">
      <c r="A51" s="0" t="s">
        <v>3037</v>
      </c>
      <c r="B51" s="0" t="n">
        <v>9</v>
      </c>
    </row>
    <row r="52" customFormat="false" ht="15" hidden="false" customHeight="false" outlineLevel="0" collapsed="false">
      <c r="A52" s="0" t="s">
        <v>3038</v>
      </c>
      <c r="B52" s="0" t="n">
        <v>7</v>
      </c>
    </row>
    <row r="53" customFormat="false" ht="15" hidden="false" customHeight="false" outlineLevel="0" collapsed="false">
      <c r="A53" s="0" t="s">
        <v>3039</v>
      </c>
      <c r="B53" s="0" t="n">
        <v>6.43</v>
      </c>
    </row>
    <row r="54" customFormat="false" ht="15" hidden="false" customHeight="false" outlineLevel="0" collapsed="false">
      <c r="A54" s="0" t="s">
        <v>3040</v>
      </c>
      <c r="B54" s="0" t="n">
        <v>7.4</v>
      </c>
    </row>
    <row r="55" customFormat="false" ht="15" hidden="false" customHeight="false" outlineLevel="0" collapsed="false">
      <c r="A55" s="0" t="s">
        <v>3041</v>
      </c>
      <c r="B55" s="0" t="n">
        <v>7.5</v>
      </c>
    </row>
    <row r="56" customFormat="false" ht="15" hidden="false" customHeight="false" outlineLevel="0" collapsed="false">
      <c r="A56" s="0" t="s">
        <v>3042</v>
      </c>
      <c r="B56" s="0" t="n">
        <v>7.8</v>
      </c>
    </row>
    <row r="57" customFormat="false" ht="15" hidden="false" customHeight="false" outlineLevel="0" collapsed="false">
      <c r="A57" s="0" t="s">
        <v>3043</v>
      </c>
      <c r="B57" s="0" t="n">
        <v>9.89</v>
      </c>
    </row>
    <row r="58" customFormat="false" ht="15" hidden="false" customHeight="false" outlineLevel="0" collapsed="false">
      <c r="A58" s="0" t="s">
        <v>3044</v>
      </c>
      <c r="B58" s="0" t="n">
        <v>6.5</v>
      </c>
    </row>
    <row r="59" customFormat="false" ht="15" hidden="false" customHeight="false" outlineLevel="0" collapsed="false">
      <c r="A59" s="0" t="s">
        <v>3045</v>
      </c>
      <c r="B59" s="0" t="n">
        <v>8.72</v>
      </c>
    </row>
    <row r="60" customFormat="false" ht="15" hidden="false" customHeight="false" outlineLevel="0" collapsed="false">
      <c r="A60" s="0" t="s">
        <v>3046</v>
      </c>
      <c r="B60" s="0" t="n">
        <v>8.79</v>
      </c>
    </row>
    <row r="61" customFormat="false" ht="15" hidden="false" customHeight="false" outlineLevel="0" collapsed="false">
      <c r="A61" s="0" t="s">
        <v>3047</v>
      </c>
      <c r="B61" s="0" t="n">
        <v>9.45</v>
      </c>
    </row>
    <row r="62" customFormat="false" ht="15" hidden="false" customHeight="false" outlineLevel="0" collapsed="false">
      <c r="A62" s="0" t="s">
        <v>3048</v>
      </c>
      <c r="B62" s="0" t="n">
        <v>10.11</v>
      </c>
    </row>
    <row r="63" customFormat="false" ht="15" hidden="false" customHeight="false" outlineLevel="0" collapsed="false">
      <c r="A63" s="0" t="s">
        <v>3049</v>
      </c>
      <c r="B63" s="0" t="n">
        <v>8.17</v>
      </c>
    </row>
    <row r="64" customFormat="false" ht="15" hidden="false" customHeight="false" outlineLevel="0" collapsed="false">
      <c r="A64" s="0" t="s">
        <v>3050</v>
      </c>
      <c r="B64" s="0" t="n">
        <v>8.75</v>
      </c>
    </row>
    <row r="65" customFormat="false" ht="15" hidden="false" customHeight="false" outlineLevel="0" collapsed="false">
      <c r="A65" s="0" t="s">
        <v>3051</v>
      </c>
      <c r="B65" s="0" t="n">
        <v>9.43</v>
      </c>
    </row>
    <row r="66" customFormat="false" ht="15" hidden="false" customHeight="false" outlineLevel="0" collapsed="false">
      <c r="A66" s="0" t="s">
        <v>3052</v>
      </c>
      <c r="B66" s="0" t="n">
        <v>8.82</v>
      </c>
    </row>
    <row r="67" customFormat="false" ht="15" hidden="false" customHeight="false" outlineLevel="0" collapsed="false">
      <c r="A67" s="0" t="s">
        <v>3053</v>
      </c>
      <c r="B67" s="0" t="n">
        <v>4</v>
      </c>
    </row>
    <row r="68" customFormat="false" ht="15" hidden="false" customHeight="false" outlineLevel="0" collapsed="false">
      <c r="A68" s="0" t="s">
        <v>3054</v>
      </c>
      <c r="B68" s="0" t="n">
        <v>7.33</v>
      </c>
    </row>
    <row r="69" customFormat="false" ht="15" hidden="false" customHeight="false" outlineLevel="0" collapsed="false">
      <c r="A69" s="0" t="s">
        <v>3055</v>
      </c>
      <c r="B69" s="0" t="n">
        <v>9.5</v>
      </c>
    </row>
    <row r="70" customFormat="false" ht="15" hidden="false" customHeight="false" outlineLevel="0" collapsed="false">
      <c r="A70" s="0" t="s">
        <v>3056</v>
      </c>
      <c r="B70" s="0" t="n">
        <v>10</v>
      </c>
    </row>
    <row r="71" customFormat="false" ht="15" hidden="false" customHeight="false" outlineLevel="0" collapsed="false">
      <c r="A71" s="0" t="s">
        <v>3057</v>
      </c>
      <c r="B71" s="0" t="n">
        <v>10.29</v>
      </c>
    </row>
    <row r="72" customFormat="false" ht="15" hidden="false" customHeight="false" outlineLevel="0" collapsed="false">
      <c r="A72" s="0" t="s">
        <v>3058</v>
      </c>
      <c r="B72" s="0" t="n">
        <v>8.4</v>
      </c>
    </row>
    <row r="73" customFormat="false" ht="15" hidden="false" customHeight="false" outlineLevel="0" collapsed="false">
      <c r="A73" s="0" t="s">
        <v>3059</v>
      </c>
      <c r="B73" s="0" t="n">
        <v>7.7</v>
      </c>
    </row>
    <row r="74" customFormat="false" ht="15" hidden="false" customHeight="false" outlineLevel="0" collapsed="false">
      <c r="A74" s="0" t="s">
        <v>3060</v>
      </c>
      <c r="B74" s="0" t="n">
        <v>8</v>
      </c>
    </row>
    <row r="75" customFormat="false" ht="15" hidden="false" customHeight="false" outlineLevel="0" collapsed="false">
      <c r="A75" s="0" t="s">
        <v>3061</v>
      </c>
      <c r="B75" s="0" t="n">
        <v>7</v>
      </c>
    </row>
    <row r="76" customFormat="false" ht="15" hidden="false" customHeight="false" outlineLevel="0" collapsed="false">
      <c r="A76" s="0" t="s">
        <v>3062</v>
      </c>
      <c r="B76" s="0" t="n">
        <v>8.17</v>
      </c>
    </row>
    <row r="77" customFormat="false" ht="15" hidden="false" customHeight="false" outlineLevel="0" collapsed="false">
      <c r="A77" s="0" t="s">
        <v>3063</v>
      </c>
      <c r="B77" s="0" t="n">
        <v>8.5</v>
      </c>
    </row>
    <row r="78" customFormat="false" ht="15" hidden="false" customHeight="false" outlineLevel="0" collapsed="false">
      <c r="A78" s="0" t="s">
        <v>3064</v>
      </c>
      <c r="B78" s="0" t="n">
        <v>8.5</v>
      </c>
    </row>
    <row r="79" customFormat="false" ht="15" hidden="false" customHeight="false" outlineLevel="0" collapsed="false">
      <c r="A79" s="0" t="s">
        <v>3065</v>
      </c>
      <c r="B79" s="0" t="n">
        <v>8.67</v>
      </c>
    </row>
    <row r="80" customFormat="false" ht="15" hidden="false" customHeight="false" outlineLevel="0" collapsed="false">
      <c r="A80" s="0" t="s">
        <v>3066</v>
      </c>
      <c r="B80" s="0" t="n">
        <v>7.67</v>
      </c>
    </row>
    <row r="81" customFormat="false" ht="15" hidden="false" customHeight="false" outlineLevel="0" collapsed="false">
      <c r="A81" s="0" t="s">
        <v>3067</v>
      </c>
      <c r="B81" s="0" t="n">
        <v>8.17</v>
      </c>
    </row>
    <row r="82" customFormat="false" ht="15" hidden="false" customHeight="false" outlineLevel="0" collapsed="false">
      <c r="A82" s="0" t="s">
        <v>3068</v>
      </c>
      <c r="B82" s="0" t="n">
        <v>6</v>
      </c>
    </row>
    <row r="83" customFormat="false" ht="15" hidden="false" customHeight="false" outlineLevel="0" collapsed="false">
      <c r="A83" s="0" t="s">
        <v>3069</v>
      </c>
      <c r="B83" s="0" t="n">
        <v>6</v>
      </c>
    </row>
    <row r="84" customFormat="false" ht="15" hidden="false" customHeight="false" outlineLevel="0" collapsed="false">
      <c r="A84" s="0" t="s">
        <v>3070</v>
      </c>
      <c r="B84" s="0" t="n">
        <v>9</v>
      </c>
    </row>
    <row r="85" customFormat="false" ht="15" hidden="false" customHeight="false" outlineLevel="0" collapsed="false">
      <c r="A85" s="0" t="s">
        <v>3071</v>
      </c>
      <c r="B85" s="0" t="n">
        <v>7.33</v>
      </c>
    </row>
    <row r="86" customFormat="false" ht="15" hidden="false" customHeight="false" outlineLevel="0" collapsed="false">
      <c r="A86" s="0" t="s">
        <v>3072</v>
      </c>
      <c r="B86" s="0" t="n">
        <v>9.17</v>
      </c>
    </row>
    <row r="87" customFormat="false" ht="15" hidden="false" customHeight="false" outlineLevel="0" collapsed="false">
      <c r="A87" s="0" t="s">
        <v>3073</v>
      </c>
      <c r="B87" s="0" t="n">
        <v>6.97</v>
      </c>
    </row>
    <row r="88" customFormat="false" ht="15" hidden="false" customHeight="false" outlineLevel="0" collapsed="false">
      <c r="A88" s="0" t="s">
        <v>3074</v>
      </c>
      <c r="B88" s="0" t="n">
        <v>8.12</v>
      </c>
    </row>
    <row r="89" customFormat="false" ht="15" hidden="false" customHeight="false" outlineLevel="0" collapsed="false">
      <c r="A89" s="0" t="s">
        <v>3075</v>
      </c>
      <c r="B89" s="0" t="n">
        <v>6.71</v>
      </c>
    </row>
    <row r="90" customFormat="false" ht="15" hidden="false" customHeight="false" outlineLevel="0" collapsed="false">
      <c r="A90" s="0" t="s">
        <v>3076</v>
      </c>
      <c r="B90" s="0" t="n">
        <v>13</v>
      </c>
    </row>
    <row r="91" customFormat="false" ht="15" hidden="false" customHeight="false" outlineLevel="0" collapsed="false">
      <c r="A91" s="0" t="s">
        <v>3077</v>
      </c>
      <c r="B91" s="0" t="n">
        <v>6.08</v>
      </c>
    </row>
    <row r="92" customFormat="false" ht="15" hidden="false" customHeight="false" outlineLevel="0" collapsed="false">
      <c r="A92" s="0" t="s">
        <v>3078</v>
      </c>
      <c r="B92" s="0" t="n">
        <v>8</v>
      </c>
    </row>
    <row r="93" customFormat="false" ht="15" hidden="false" customHeight="false" outlineLevel="0" collapsed="false">
      <c r="A93" s="0" t="s">
        <v>3079</v>
      </c>
      <c r="B93" s="0" t="n">
        <v>8.12</v>
      </c>
    </row>
    <row r="94" customFormat="false" ht="15" hidden="false" customHeight="false" outlineLevel="0" collapsed="false">
      <c r="A94" s="0" t="s">
        <v>3080</v>
      </c>
      <c r="B94" s="0" t="n">
        <v>6.33</v>
      </c>
    </row>
    <row r="95" customFormat="false" ht="15" hidden="false" customHeight="false" outlineLevel="0" collapsed="false">
      <c r="A95" s="0" t="s">
        <v>3081</v>
      </c>
      <c r="B95" s="0" t="n">
        <v>5.2</v>
      </c>
    </row>
    <row r="96" customFormat="false" ht="15" hidden="false" customHeight="false" outlineLevel="0" collapsed="false">
      <c r="A96" s="0" t="s">
        <v>3082</v>
      </c>
      <c r="B96" s="0" t="n">
        <v>11</v>
      </c>
    </row>
    <row r="97" customFormat="false" ht="15" hidden="false" customHeight="false" outlineLevel="0" collapsed="false">
      <c r="A97" s="0" t="s">
        <v>3083</v>
      </c>
      <c r="B97" s="0" t="n">
        <v>11.33</v>
      </c>
    </row>
    <row r="98" customFormat="false" ht="15" hidden="false" customHeight="false" outlineLevel="0" collapsed="false">
      <c r="A98" s="0" t="s">
        <v>3084</v>
      </c>
      <c r="B98" s="0" t="n">
        <v>6.33</v>
      </c>
    </row>
    <row r="99" customFormat="false" ht="15" hidden="false" customHeight="false" outlineLevel="0" collapsed="false">
      <c r="A99" s="0" t="s">
        <v>3085</v>
      </c>
      <c r="B99" s="0" t="n">
        <v>6.67</v>
      </c>
    </row>
    <row r="100" customFormat="false" ht="15" hidden="false" customHeight="false" outlineLevel="0" collapsed="false">
      <c r="A100" s="0" t="s">
        <v>3086</v>
      </c>
      <c r="B100" s="0" t="n">
        <v>8.67</v>
      </c>
    </row>
    <row r="101" customFormat="false" ht="15" hidden="false" customHeight="false" outlineLevel="0" collapsed="false">
      <c r="A101" s="0" t="s">
        <v>3087</v>
      </c>
      <c r="B101" s="0" t="n">
        <v>7.79</v>
      </c>
    </row>
    <row r="102" customFormat="false" ht="15" hidden="false" customHeight="false" outlineLevel="0" collapsed="false">
      <c r="A102" s="0" t="s">
        <v>3088</v>
      </c>
      <c r="B102" s="0" t="n">
        <v>7.5</v>
      </c>
    </row>
    <row r="103" customFormat="false" ht="15" hidden="false" customHeight="false" outlineLevel="0" collapsed="false">
      <c r="A103" s="0" t="s">
        <v>3089</v>
      </c>
      <c r="B103" s="0" t="n">
        <v>6.25</v>
      </c>
    </row>
    <row r="104" customFormat="false" ht="15" hidden="false" customHeight="false" outlineLevel="0" collapsed="false">
      <c r="A104" s="0" t="s">
        <v>3090</v>
      </c>
      <c r="B104" s="0" t="n">
        <v>10</v>
      </c>
    </row>
    <row r="105" customFormat="false" ht="15" hidden="false" customHeight="false" outlineLevel="0" collapsed="false">
      <c r="A105" s="0" t="s">
        <v>3091</v>
      </c>
      <c r="B105" s="0" t="n">
        <v>12</v>
      </c>
    </row>
    <row r="106" customFormat="false" ht="15" hidden="false" customHeight="false" outlineLevel="0" collapsed="false">
      <c r="A106" s="0" t="s">
        <v>3092</v>
      </c>
      <c r="B106" s="0" t="n">
        <v>9.67</v>
      </c>
    </row>
    <row r="107" customFormat="false" ht="15" hidden="false" customHeight="false" outlineLevel="0" collapsed="false">
      <c r="A107" s="0" t="s">
        <v>3093</v>
      </c>
      <c r="B107" s="0" t="n">
        <v>9.5</v>
      </c>
    </row>
    <row r="108" customFormat="false" ht="15" hidden="false" customHeight="false" outlineLevel="0" collapsed="false">
      <c r="A108" s="0" t="s">
        <v>3094</v>
      </c>
      <c r="B108" s="0" t="n">
        <v>7.33</v>
      </c>
    </row>
    <row r="109" customFormat="false" ht="15" hidden="false" customHeight="false" outlineLevel="0" collapsed="false">
      <c r="A109" s="0" t="s">
        <v>3095</v>
      </c>
      <c r="B109" s="0" t="n">
        <v>5.67</v>
      </c>
    </row>
    <row r="110" customFormat="false" ht="15" hidden="false" customHeight="false" outlineLevel="0" collapsed="false">
      <c r="A110" s="0" t="s">
        <v>3096</v>
      </c>
      <c r="B110" s="0" t="n">
        <v>7.17</v>
      </c>
    </row>
    <row r="111" customFormat="false" ht="15" hidden="false" customHeight="false" outlineLevel="0" collapsed="false">
      <c r="A111" s="0" t="s">
        <v>3097</v>
      </c>
      <c r="B111" s="0" t="n">
        <v>7.75</v>
      </c>
    </row>
    <row r="112" customFormat="false" ht="15" hidden="false" customHeight="false" outlineLevel="0" collapsed="false">
      <c r="A112" s="0" t="s">
        <v>3098</v>
      </c>
      <c r="B112" s="0" t="n">
        <v>8.5</v>
      </c>
    </row>
    <row r="113" customFormat="false" ht="15" hidden="false" customHeight="false" outlineLevel="0" collapsed="false">
      <c r="A113" s="0" t="s">
        <v>3099</v>
      </c>
      <c r="B113" s="0" t="n">
        <v>10</v>
      </c>
    </row>
    <row r="114" customFormat="false" ht="15" hidden="false" customHeight="false" outlineLevel="0" collapsed="false">
      <c r="A114" s="0" t="s">
        <v>3100</v>
      </c>
      <c r="B114" s="0" t="n">
        <v>5.67</v>
      </c>
    </row>
    <row r="115" customFormat="false" ht="15" hidden="false" customHeight="false" outlineLevel="0" collapsed="false">
      <c r="A115" s="0" t="s">
        <v>3101</v>
      </c>
      <c r="B115" s="0" t="n">
        <v>7.33</v>
      </c>
    </row>
    <row r="116" customFormat="false" ht="15" hidden="false" customHeight="false" outlineLevel="0" collapsed="false">
      <c r="A116" s="0" t="s">
        <v>3102</v>
      </c>
      <c r="B116" s="0" t="n">
        <v>5</v>
      </c>
    </row>
    <row r="117" customFormat="false" ht="15" hidden="false" customHeight="false" outlineLevel="0" collapsed="false">
      <c r="A117" s="0" t="s">
        <v>3103</v>
      </c>
      <c r="B117" s="0" t="n">
        <v>8.38</v>
      </c>
    </row>
    <row r="118" customFormat="false" ht="15" hidden="false" customHeight="false" outlineLevel="0" collapsed="false">
      <c r="A118" s="0" t="s">
        <v>3104</v>
      </c>
      <c r="B118" s="0" t="n">
        <v>10.14</v>
      </c>
    </row>
    <row r="119" customFormat="false" ht="15" hidden="false" customHeight="false" outlineLevel="0" collapsed="false">
      <c r="A119" s="0" t="s">
        <v>3105</v>
      </c>
      <c r="B119" s="0" t="n">
        <v>9.25</v>
      </c>
    </row>
    <row r="120" customFormat="false" ht="15" hidden="false" customHeight="false" outlineLevel="0" collapsed="false">
      <c r="A120" s="0" t="s">
        <v>3106</v>
      </c>
      <c r="B120" s="0" t="n">
        <v>10.33</v>
      </c>
    </row>
    <row r="121" customFormat="false" ht="15" hidden="false" customHeight="false" outlineLevel="0" collapsed="false">
      <c r="A121" s="0" t="s">
        <v>3107</v>
      </c>
      <c r="B121" s="0" t="n">
        <v>11.67</v>
      </c>
    </row>
    <row r="122" customFormat="false" ht="15" hidden="false" customHeight="false" outlineLevel="0" collapsed="false">
      <c r="A122" s="0" t="s">
        <v>3108</v>
      </c>
      <c r="B122" s="0" t="n">
        <v>9.5</v>
      </c>
    </row>
    <row r="123" customFormat="false" ht="15" hidden="false" customHeight="false" outlineLevel="0" collapsed="false">
      <c r="A123" s="0" t="s">
        <v>3109</v>
      </c>
      <c r="B123" s="0" t="n">
        <v>7.5</v>
      </c>
    </row>
    <row r="124" customFormat="false" ht="15" hidden="false" customHeight="false" outlineLevel="0" collapsed="false">
      <c r="A124" s="0" t="s">
        <v>3110</v>
      </c>
      <c r="B124" s="0" t="n">
        <v>9.5</v>
      </c>
    </row>
    <row r="125" customFormat="false" ht="15" hidden="false" customHeight="false" outlineLevel="0" collapsed="false">
      <c r="A125" s="0" t="s">
        <v>3111</v>
      </c>
      <c r="B125" s="0" t="n">
        <v>8.14</v>
      </c>
    </row>
    <row r="126" customFormat="false" ht="15" hidden="false" customHeight="false" outlineLevel="0" collapsed="false">
      <c r="A126" s="0" t="s">
        <v>3112</v>
      </c>
      <c r="B126" s="0" t="n">
        <v>13.5</v>
      </c>
    </row>
    <row r="127" customFormat="false" ht="15" hidden="false" customHeight="false" outlineLevel="0" collapsed="false">
      <c r="A127" s="0" t="s">
        <v>3113</v>
      </c>
      <c r="B127" s="0" t="n">
        <v>7</v>
      </c>
    </row>
    <row r="128" customFormat="false" ht="15" hidden="false" customHeight="false" outlineLevel="0" collapsed="false">
      <c r="A128" s="0" t="s">
        <v>3114</v>
      </c>
      <c r="B128" s="0" t="n">
        <v>9.67</v>
      </c>
    </row>
    <row r="129" customFormat="false" ht="15" hidden="false" customHeight="false" outlineLevel="0" collapsed="false">
      <c r="A129" s="0" t="s">
        <v>3115</v>
      </c>
      <c r="B129" s="0" t="n">
        <v>8</v>
      </c>
    </row>
    <row r="130" customFormat="false" ht="15" hidden="false" customHeight="false" outlineLevel="0" collapsed="false">
      <c r="A130" s="0" t="s">
        <v>3116</v>
      </c>
      <c r="B130" s="0" t="n">
        <v>10.33</v>
      </c>
    </row>
    <row r="131" customFormat="false" ht="15" hidden="false" customHeight="false" outlineLevel="0" collapsed="false">
      <c r="A131" s="0" t="s">
        <v>3117</v>
      </c>
      <c r="B131" s="0" t="n">
        <v>8.71</v>
      </c>
    </row>
    <row r="132" customFormat="false" ht="15" hidden="false" customHeight="false" outlineLevel="0" collapsed="false">
      <c r="A132" s="0" t="s">
        <v>3118</v>
      </c>
      <c r="B132" s="0" t="n">
        <v>8.5</v>
      </c>
    </row>
    <row r="133" customFormat="false" ht="15" hidden="false" customHeight="false" outlineLevel="0" collapsed="false">
      <c r="A133" s="0" t="s">
        <v>3119</v>
      </c>
      <c r="B133" s="0" t="n">
        <v>10.12</v>
      </c>
    </row>
    <row r="134" customFormat="false" ht="15" hidden="false" customHeight="false" outlineLevel="0" collapsed="false">
      <c r="A134" s="0" t="s">
        <v>3120</v>
      </c>
      <c r="B134" s="0" t="n">
        <v>8</v>
      </c>
    </row>
    <row r="135" customFormat="false" ht="15" hidden="false" customHeight="false" outlineLevel="0" collapsed="false">
      <c r="A135" s="0" t="s">
        <v>3121</v>
      </c>
      <c r="B135" s="0" t="n">
        <v>3.67</v>
      </c>
    </row>
    <row r="136" customFormat="false" ht="15" hidden="false" customHeight="false" outlineLevel="0" collapsed="false">
      <c r="A136" s="0" t="s">
        <v>3122</v>
      </c>
      <c r="B136" s="0" t="n">
        <v>8.4</v>
      </c>
    </row>
    <row r="137" customFormat="false" ht="15" hidden="false" customHeight="false" outlineLevel="0" collapsed="false">
      <c r="A137" s="0" t="s">
        <v>3123</v>
      </c>
      <c r="B137" s="0" t="n">
        <v>10.5</v>
      </c>
    </row>
    <row r="138" customFormat="false" ht="15" hidden="false" customHeight="false" outlineLevel="0" collapsed="false">
      <c r="A138" s="0" t="s">
        <v>3124</v>
      </c>
      <c r="B138" s="0" t="n">
        <v>9</v>
      </c>
    </row>
    <row r="139" customFormat="false" ht="15" hidden="false" customHeight="false" outlineLevel="0" collapsed="false">
      <c r="A139" s="0" t="s">
        <v>3125</v>
      </c>
      <c r="B139" s="0" t="n">
        <v>8</v>
      </c>
    </row>
    <row r="140" customFormat="false" ht="15" hidden="false" customHeight="false" outlineLevel="0" collapsed="false">
      <c r="A140" s="0" t="s">
        <v>3126</v>
      </c>
      <c r="B140" s="0" t="n">
        <v>5</v>
      </c>
    </row>
    <row r="141" customFormat="false" ht="15" hidden="false" customHeight="false" outlineLevel="0" collapsed="false">
      <c r="A141" s="0" t="s">
        <v>3127</v>
      </c>
      <c r="B141" s="0" t="n">
        <v>8</v>
      </c>
    </row>
    <row r="142" customFormat="false" ht="15" hidden="false" customHeight="false" outlineLevel="0" collapsed="false">
      <c r="A142" s="0" t="s">
        <v>3128</v>
      </c>
      <c r="B142" s="0" t="n">
        <v>8</v>
      </c>
    </row>
    <row r="143" customFormat="false" ht="15" hidden="false" customHeight="false" outlineLevel="0" collapsed="false">
      <c r="A143" s="0" t="s">
        <v>3129</v>
      </c>
      <c r="B143" s="0" t="n">
        <v>9.33</v>
      </c>
    </row>
    <row r="144" customFormat="false" ht="15" hidden="false" customHeight="false" outlineLevel="0" collapsed="false">
      <c r="A144" s="0" t="s">
        <v>3130</v>
      </c>
      <c r="B144" s="0" t="n">
        <v>10.25</v>
      </c>
    </row>
    <row r="145" customFormat="false" ht="15" hidden="false" customHeight="false" outlineLevel="0" collapsed="false">
      <c r="A145" s="0" t="s">
        <v>3131</v>
      </c>
      <c r="B145" s="0" t="n">
        <v>7.58</v>
      </c>
    </row>
    <row r="146" customFormat="false" ht="15" hidden="false" customHeight="false" outlineLevel="0" collapsed="false">
      <c r="A146" s="0" t="s">
        <v>3132</v>
      </c>
      <c r="B146" s="0" t="n">
        <v>7.64</v>
      </c>
    </row>
    <row r="147" customFormat="false" ht="15" hidden="false" customHeight="false" outlineLevel="0" collapsed="false">
      <c r="A147" s="0" t="s">
        <v>3133</v>
      </c>
      <c r="B147" s="0" t="n">
        <v>9.33</v>
      </c>
    </row>
    <row r="148" customFormat="false" ht="15" hidden="false" customHeight="false" outlineLevel="0" collapsed="false">
      <c r="A148" s="0" t="s">
        <v>3134</v>
      </c>
      <c r="B148" s="0" t="n">
        <v>8</v>
      </c>
    </row>
    <row r="149" customFormat="false" ht="15" hidden="false" customHeight="false" outlineLevel="0" collapsed="false">
      <c r="A149" s="0" t="s">
        <v>3135</v>
      </c>
      <c r="B149" s="0" t="n">
        <v>5.67</v>
      </c>
    </row>
    <row r="150" customFormat="false" ht="15" hidden="false" customHeight="false" outlineLevel="0" collapsed="false">
      <c r="A150" s="0" t="s">
        <v>3136</v>
      </c>
      <c r="B150" s="0" t="n">
        <v>8.83</v>
      </c>
    </row>
    <row r="151" customFormat="false" ht="15" hidden="false" customHeight="false" outlineLevel="0" collapsed="false">
      <c r="A151" s="0" t="s">
        <v>3137</v>
      </c>
      <c r="B151" s="0" t="n">
        <v>9.33</v>
      </c>
    </row>
    <row r="152" customFormat="false" ht="15" hidden="false" customHeight="false" outlineLevel="0" collapsed="false">
      <c r="A152" s="0" t="s">
        <v>3138</v>
      </c>
      <c r="B152" s="0" t="n">
        <v>9.5</v>
      </c>
    </row>
    <row r="153" customFormat="false" ht="15" hidden="false" customHeight="false" outlineLevel="0" collapsed="false">
      <c r="A153" s="0" t="s">
        <v>3139</v>
      </c>
      <c r="B153" s="0" t="n">
        <v>6.8</v>
      </c>
    </row>
    <row r="154" customFormat="false" ht="15" hidden="false" customHeight="false" outlineLevel="0" collapsed="false">
      <c r="A154" s="0" t="s">
        <v>3140</v>
      </c>
      <c r="B154" s="0" t="n">
        <v>8</v>
      </c>
    </row>
    <row r="155" customFormat="false" ht="15" hidden="false" customHeight="false" outlineLevel="0" collapsed="false">
      <c r="A155" s="0" t="s">
        <v>3141</v>
      </c>
      <c r="B155" s="0" t="n">
        <v>5.5</v>
      </c>
    </row>
    <row r="156" customFormat="false" ht="15" hidden="false" customHeight="false" outlineLevel="0" collapsed="false">
      <c r="A156" s="0" t="s">
        <v>3142</v>
      </c>
      <c r="B156" s="0" t="n">
        <v>5</v>
      </c>
    </row>
    <row r="157" customFormat="false" ht="15" hidden="false" customHeight="false" outlineLevel="0" collapsed="false">
      <c r="A157" s="0" t="s">
        <v>3143</v>
      </c>
      <c r="B157" s="0" t="n">
        <v>10.6</v>
      </c>
    </row>
    <row r="158" customFormat="false" ht="15" hidden="false" customHeight="false" outlineLevel="0" collapsed="false">
      <c r="A158" s="0" t="s">
        <v>3144</v>
      </c>
      <c r="B158" s="0" t="n">
        <v>5.67</v>
      </c>
    </row>
    <row r="159" customFormat="false" ht="15" hidden="false" customHeight="false" outlineLevel="0" collapsed="false">
      <c r="A159" s="0" t="s">
        <v>3145</v>
      </c>
      <c r="B159" s="0" t="n">
        <v>7.76</v>
      </c>
    </row>
    <row r="160" customFormat="false" ht="15" hidden="false" customHeight="false" outlineLevel="0" collapsed="false">
      <c r="A160" s="0" t="s">
        <v>3146</v>
      </c>
      <c r="B160" s="0" t="n">
        <v>7.59</v>
      </c>
    </row>
    <row r="161" customFormat="false" ht="15" hidden="false" customHeight="false" outlineLevel="0" collapsed="false">
      <c r="A161" s="0" t="s">
        <v>3147</v>
      </c>
      <c r="B161" s="0" t="n">
        <v>8.5</v>
      </c>
    </row>
    <row r="162" customFormat="false" ht="15" hidden="false" customHeight="false" outlineLevel="0" collapsed="false">
      <c r="A162" s="0" t="s">
        <v>3148</v>
      </c>
      <c r="B162" s="0" t="n">
        <v>7.75</v>
      </c>
    </row>
    <row r="163" customFormat="false" ht="15" hidden="false" customHeight="false" outlineLevel="0" collapsed="false">
      <c r="A163" s="0" t="s">
        <v>3149</v>
      </c>
      <c r="B163" s="0" t="n">
        <v>6.5</v>
      </c>
    </row>
    <row r="164" customFormat="false" ht="15" hidden="false" customHeight="false" outlineLevel="0" collapsed="false">
      <c r="A164" s="0" t="s">
        <v>3150</v>
      </c>
      <c r="B164" s="0" t="n">
        <v>6.25</v>
      </c>
    </row>
    <row r="165" customFormat="false" ht="15" hidden="false" customHeight="false" outlineLevel="0" collapsed="false">
      <c r="A165" s="0" t="s">
        <v>3151</v>
      </c>
      <c r="B165" s="0" t="n">
        <v>7.22</v>
      </c>
    </row>
    <row r="166" customFormat="false" ht="15" hidden="false" customHeight="false" outlineLevel="0" collapsed="false">
      <c r="A166" s="0" t="s">
        <v>3152</v>
      </c>
      <c r="B166" s="0" t="n">
        <v>7.43</v>
      </c>
    </row>
    <row r="167" customFormat="false" ht="15" hidden="false" customHeight="false" outlineLevel="0" collapsed="false">
      <c r="A167" s="0" t="s">
        <v>3153</v>
      </c>
      <c r="B167" s="0" t="n">
        <v>8.67</v>
      </c>
    </row>
    <row r="168" customFormat="false" ht="15" hidden="false" customHeight="false" outlineLevel="0" collapsed="false">
      <c r="A168" s="0" t="s">
        <v>3154</v>
      </c>
      <c r="B168" s="0" t="n">
        <v>4.62</v>
      </c>
    </row>
    <row r="169" customFormat="false" ht="15" hidden="false" customHeight="false" outlineLevel="0" collapsed="false">
      <c r="A169" s="0" t="s">
        <v>3155</v>
      </c>
      <c r="B169" s="0" t="n">
        <v>7.4</v>
      </c>
    </row>
    <row r="170" customFormat="false" ht="15" hidden="false" customHeight="false" outlineLevel="0" collapsed="false">
      <c r="A170" s="0" t="s">
        <v>3156</v>
      </c>
      <c r="B170" s="0" t="n">
        <v>11.25</v>
      </c>
    </row>
    <row r="171" customFormat="false" ht="15" hidden="false" customHeight="false" outlineLevel="0" collapsed="false">
      <c r="A171" s="0" t="s">
        <v>3157</v>
      </c>
      <c r="B171" s="0" t="n">
        <v>10</v>
      </c>
    </row>
    <row r="172" customFormat="false" ht="15" hidden="false" customHeight="false" outlineLevel="0" collapsed="false">
      <c r="A172" s="0" t="s">
        <v>3158</v>
      </c>
      <c r="B172" s="0" t="n">
        <v>7.5</v>
      </c>
    </row>
    <row r="173" customFormat="false" ht="15" hidden="false" customHeight="false" outlineLevel="0" collapsed="false">
      <c r="A173" s="0" t="s">
        <v>3159</v>
      </c>
      <c r="B173" s="0" t="n">
        <v>7.44</v>
      </c>
    </row>
    <row r="174" customFormat="false" ht="15" hidden="false" customHeight="false" outlineLevel="0" collapsed="false">
      <c r="A174" s="0" t="s">
        <v>3160</v>
      </c>
      <c r="B174" s="0" t="n">
        <v>9.21</v>
      </c>
    </row>
    <row r="175" customFormat="false" ht="15" hidden="false" customHeight="false" outlineLevel="0" collapsed="false">
      <c r="A175" s="0" t="s">
        <v>3161</v>
      </c>
      <c r="B175" s="0" t="n">
        <v>7.5</v>
      </c>
    </row>
    <row r="176" customFormat="false" ht="15" hidden="false" customHeight="false" outlineLevel="0" collapsed="false">
      <c r="A176" s="0" t="s">
        <v>3162</v>
      </c>
      <c r="B176" s="0" t="n">
        <v>12</v>
      </c>
    </row>
    <row r="177" customFormat="false" ht="15" hidden="false" customHeight="false" outlineLevel="0" collapsed="false">
      <c r="A177" s="0" t="s">
        <v>3163</v>
      </c>
      <c r="B177" s="0" t="n">
        <v>7.91</v>
      </c>
    </row>
    <row r="178" customFormat="false" ht="15" hidden="false" customHeight="false" outlineLevel="0" collapsed="false">
      <c r="A178" s="0" t="s">
        <v>3164</v>
      </c>
      <c r="B178" s="0" t="n">
        <v>9.25</v>
      </c>
    </row>
    <row r="179" customFormat="false" ht="15" hidden="false" customHeight="false" outlineLevel="0" collapsed="false">
      <c r="A179" s="0" t="s">
        <v>3165</v>
      </c>
      <c r="B179" s="0" t="n">
        <v>8.75</v>
      </c>
    </row>
    <row r="180" customFormat="false" ht="15" hidden="false" customHeight="false" outlineLevel="0" collapsed="false">
      <c r="A180" s="0" t="s">
        <v>3166</v>
      </c>
      <c r="B180" s="0" t="n">
        <v>8.33</v>
      </c>
    </row>
    <row r="181" customFormat="false" ht="15" hidden="false" customHeight="false" outlineLevel="0" collapsed="false">
      <c r="A181" s="0" t="s">
        <v>3167</v>
      </c>
      <c r="B181" s="0" t="n">
        <v>6.08</v>
      </c>
    </row>
    <row r="182" customFormat="false" ht="15" hidden="false" customHeight="false" outlineLevel="0" collapsed="false">
      <c r="A182" s="0" t="s">
        <v>3168</v>
      </c>
      <c r="B182" s="0" t="n">
        <v>8.44</v>
      </c>
    </row>
    <row r="183" customFormat="false" ht="15" hidden="false" customHeight="false" outlineLevel="0" collapsed="false">
      <c r="A183" s="0" t="s">
        <v>3169</v>
      </c>
      <c r="B183" s="0" t="n">
        <v>6.69</v>
      </c>
    </row>
    <row r="184" customFormat="false" ht="15" hidden="false" customHeight="false" outlineLevel="0" collapsed="false">
      <c r="A184" s="0" t="s">
        <v>3170</v>
      </c>
      <c r="B184" s="0" t="n">
        <v>10.5</v>
      </c>
    </row>
    <row r="185" customFormat="false" ht="15" hidden="false" customHeight="false" outlineLevel="0" collapsed="false">
      <c r="A185" s="0" t="s">
        <v>3171</v>
      </c>
      <c r="B185" s="0" t="n">
        <v>8.17</v>
      </c>
    </row>
    <row r="186" customFormat="false" ht="15" hidden="false" customHeight="false" outlineLevel="0" collapsed="false">
      <c r="A186" s="0" t="s">
        <v>3172</v>
      </c>
      <c r="B186" s="0" t="n">
        <v>9.67</v>
      </c>
    </row>
    <row r="187" customFormat="false" ht="15" hidden="false" customHeight="false" outlineLevel="0" collapsed="false">
      <c r="A187" s="0" t="s">
        <v>3173</v>
      </c>
      <c r="B187" s="0" t="n">
        <v>8.04</v>
      </c>
    </row>
    <row r="188" customFormat="false" ht="15" hidden="false" customHeight="false" outlineLevel="0" collapsed="false">
      <c r="A188" s="0" t="s">
        <v>3174</v>
      </c>
      <c r="B188" s="0" t="n">
        <v>7.45</v>
      </c>
    </row>
    <row r="189" customFormat="false" ht="15" hidden="false" customHeight="false" outlineLevel="0" collapsed="false">
      <c r="A189" s="0" t="s">
        <v>3175</v>
      </c>
      <c r="B189" s="0" t="n">
        <v>10.5</v>
      </c>
    </row>
    <row r="190" customFormat="false" ht="15" hidden="false" customHeight="false" outlineLevel="0" collapsed="false">
      <c r="A190" s="0" t="s">
        <v>3176</v>
      </c>
      <c r="B190" s="0" t="n">
        <v>6</v>
      </c>
    </row>
    <row r="191" customFormat="false" ht="15" hidden="false" customHeight="false" outlineLevel="0" collapsed="false">
      <c r="A191" s="0" t="s">
        <v>3177</v>
      </c>
      <c r="B191" s="0" t="n">
        <v>7</v>
      </c>
    </row>
    <row r="192" customFormat="false" ht="15" hidden="false" customHeight="false" outlineLevel="0" collapsed="false">
      <c r="A192" s="0" t="s">
        <v>3178</v>
      </c>
      <c r="B192" s="0" t="n">
        <v>8.2</v>
      </c>
    </row>
    <row r="193" customFormat="false" ht="15" hidden="false" customHeight="false" outlineLevel="0" collapsed="false">
      <c r="A193" s="0" t="s">
        <v>3179</v>
      </c>
      <c r="B193" s="0" t="n">
        <v>6</v>
      </c>
    </row>
    <row r="194" customFormat="false" ht="15" hidden="false" customHeight="false" outlineLevel="0" collapsed="false">
      <c r="A194" s="0" t="s">
        <v>3180</v>
      </c>
      <c r="B194" s="0" t="n">
        <v>6</v>
      </c>
    </row>
    <row r="195" customFormat="false" ht="15" hidden="false" customHeight="false" outlineLevel="0" collapsed="false">
      <c r="A195" s="0" t="s">
        <v>3181</v>
      </c>
      <c r="B195" s="0" t="n">
        <v>10.5</v>
      </c>
    </row>
    <row r="196" customFormat="false" ht="15" hidden="false" customHeight="false" outlineLevel="0" collapsed="false">
      <c r="A196" s="0" t="s">
        <v>3182</v>
      </c>
      <c r="B196" s="0" t="n">
        <v>8</v>
      </c>
    </row>
    <row r="197" customFormat="false" ht="15" hidden="false" customHeight="false" outlineLevel="0" collapsed="false">
      <c r="A197" s="0" t="s">
        <v>3183</v>
      </c>
      <c r="B197" s="0" t="n">
        <v>7</v>
      </c>
    </row>
    <row r="198" customFormat="false" ht="15" hidden="false" customHeight="false" outlineLevel="0" collapsed="false">
      <c r="A198" s="0" t="s">
        <v>3184</v>
      </c>
      <c r="B198" s="0" t="n">
        <v>6.67</v>
      </c>
    </row>
    <row r="199" customFormat="false" ht="15" hidden="false" customHeight="false" outlineLevel="0" collapsed="false">
      <c r="A199" s="0" t="s">
        <v>3185</v>
      </c>
      <c r="B199" s="0" t="n">
        <v>7.29</v>
      </c>
    </row>
    <row r="200" customFormat="false" ht="15" hidden="false" customHeight="false" outlineLevel="0" collapsed="false">
      <c r="A200" s="0" t="s">
        <v>3186</v>
      </c>
      <c r="B200" s="0" t="n">
        <v>7</v>
      </c>
    </row>
    <row r="201" customFormat="false" ht="15" hidden="false" customHeight="false" outlineLevel="0" collapsed="false">
      <c r="A201" s="0" t="s">
        <v>3187</v>
      </c>
      <c r="B201" s="0" t="n">
        <v>8.5</v>
      </c>
    </row>
    <row r="202" customFormat="false" ht="15" hidden="false" customHeight="false" outlineLevel="0" collapsed="false">
      <c r="A202" s="0" t="s">
        <v>3188</v>
      </c>
      <c r="B202" s="0" t="n">
        <v>7.2</v>
      </c>
    </row>
    <row r="203" customFormat="false" ht="15" hidden="false" customHeight="false" outlineLevel="0" collapsed="false">
      <c r="A203" s="0" t="s">
        <v>3189</v>
      </c>
      <c r="B203" s="0" t="n">
        <v>7.6</v>
      </c>
    </row>
    <row r="204" customFormat="false" ht="15" hidden="false" customHeight="false" outlineLevel="0" collapsed="false">
      <c r="A204" s="0" t="s">
        <v>3190</v>
      </c>
      <c r="B204" s="0" t="n">
        <v>8</v>
      </c>
    </row>
    <row r="205" customFormat="false" ht="15" hidden="false" customHeight="false" outlineLevel="0" collapsed="false">
      <c r="A205" s="0" t="s">
        <v>3191</v>
      </c>
      <c r="B205" s="0" t="n">
        <v>5</v>
      </c>
    </row>
    <row r="206" customFormat="false" ht="15" hidden="false" customHeight="false" outlineLevel="0" collapsed="false">
      <c r="A206" s="0" t="s">
        <v>3192</v>
      </c>
      <c r="B206" s="0" t="n">
        <v>6.08</v>
      </c>
    </row>
    <row r="207" customFormat="false" ht="15" hidden="false" customHeight="false" outlineLevel="0" collapsed="false">
      <c r="A207" s="0" t="s">
        <v>3193</v>
      </c>
      <c r="B207" s="0" t="n">
        <v>5</v>
      </c>
    </row>
    <row r="208" customFormat="false" ht="15" hidden="false" customHeight="false" outlineLevel="0" collapsed="false">
      <c r="A208" s="0" t="s">
        <v>3194</v>
      </c>
      <c r="B208" s="0" t="n">
        <v>6.4</v>
      </c>
    </row>
    <row r="209" customFormat="false" ht="15" hidden="false" customHeight="false" outlineLevel="0" collapsed="false">
      <c r="A209" s="0" t="s">
        <v>3195</v>
      </c>
      <c r="B209" s="0" t="n">
        <v>9.67</v>
      </c>
    </row>
    <row r="210" customFormat="false" ht="15" hidden="false" customHeight="false" outlineLevel="0" collapsed="false">
      <c r="A210" s="0" t="s">
        <v>3196</v>
      </c>
      <c r="B210" s="0" t="n">
        <v>10.5</v>
      </c>
    </row>
    <row r="211" customFormat="false" ht="15" hidden="false" customHeight="false" outlineLevel="0" collapsed="false">
      <c r="A211" s="0" t="s">
        <v>3197</v>
      </c>
      <c r="B211" s="0" t="n">
        <v>7</v>
      </c>
    </row>
    <row r="212" customFormat="false" ht="15" hidden="false" customHeight="false" outlineLevel="0" collapsed="false">
      <c r="A212" s="0" t="s">
        <v>3198</v>
      </c>
      <c r="B212" s="0" t="n">
        <v>7</v>
      </c>
    </row>
    <row r="213" customFormat="false" ht="15" hidden="false" customHeight="false" outlineLevel="0" collapsed="false">
      <c r="A213" s="0" t="s">
        <v>3199</v>
      </c>
      <c r="B213" s="0" t="n">
        <v>7.33</v>
      </c>
    </row>
    <row r="214" customFormat="false" ht="15" hidden="false" customHeight="false" outlineLevel="0" collapsed="false">
      <c r="A214" s="0" t="s">
        <v>3200</v>
      </c>
      <c r="B214" s="0" t="n">
        <v>7.75</v>
      </c>
    </row>
    <row r="215" customFormat="false" ht="15" hidden="false" customHeight="false" outlineLevel="0" collapsed="false">
      <c r="A215" s="0" t="s">
        <v>3201</v>
      </c>
      <c r="B215" s="0" t="n">
        <v>8.2</v>
      </c>
    </row>
    <row r="216" customFormat="false" ht="15" hidden="false" customHeight="false" outlineLevel="0" collapsed="false">
      <c r="A216" s="0" t="s">
        <v>3202</v>
      </c>
      <c r="B216" s="0" t="n">
        <v>8</v>
      </c>
    </row>
    <row r="217" customFormat="false" ht="15" hidden="false" customHeight="false" outlineLevel="0" collapsed="false">
      <c r="A217" s="0" t="s">
        <v>3203</v>
      </c>
      <c r="B217" s="0" t="n">
        <v>7.33</v>
      </c>
    </row>
    <row r="218" customFormat="false" ht="15" hidden="false" customHeight="false" outlineLevel="0" collapsed="false">
      <c r="A218" s="0" t="s">
        <v>3204</v>
      </c>
      <c r="B218" s="0" t="n">
        <v>7.47</v>
      </c>
    </row>
    <row r="219" customFormat="false" ht="15" hidden="false" customHeight="false" outlineLevel="0" collapsed="false">
      <c r="A219" s="0" t="s">
        <v>3205</v>
      </c>
      <c r="B219" s="0" t="n">
        <v>10.21</v>
      </c>
    </row>
    <row r="220" customFormat="false" ht="15" hidden="false" customHeight="false" outlineLevel="0" collapsed="false">
      <c r="A220" s="0" t="s">
        <v>3206</v>
      </c>
      <c r="B220" s="0" t="n">
        <v>6.38</v>
      </c>
    </row>
    <row r="221" customFormat="false" ht="15" hidden="false" customHeight="false" outlineLevel="0" collapsed="false">
      <c r="A221" s="0" t="s">
        <v>3207</v>
      </c>
      <c r="B221" s="0" t="n">
        <v>10.5</v>
      </c>
    </row>
    <row r="222" customFormat="false" ht="15" hidden="false" customHeight="false" outlineLevel="0" collapsed="false">
      <c r="A222" s="0" t="s">
        <v>3208</v>
      </c>
      <c r="B222" s="0" t="n">
        <v>6.5</v>
      </c>
    </row>
    <row r="223" customFormat="false" ht="15" hidden="false" customHeight="false" outlineLevel="0" collapsed="false">
      <c r="A223" s="0" t="s">
        <v>3209</v>
      </c>
      <c r="B223" s="0" t="n">
        <v>8</v>
      </c>
    </row>
    <row r="224" customFormat="false" ht="15" hidden="false" customHeight="false" outlineLevel="0" collapsed="false">
      <c r="A224" s="0" t="s">
        <v>3210</v>
      </c>
      <c r="B224" s="0" t="n">
        <v>8</v>
      </c>
    </row>
    <row r="225" customFormat="false" ht="15" hidden="false" customHeight="false" outlineLevel="0" collapsed="false">
      <c r="A225" s="0" t="s">
        <v>3211</v>
      </c>
      <c r="B225" s="0" t="n">
        <v>11.5</v>
      </c>
    </row>
    <row r="226" customFormat="false" ht="15" hidden="false" customHeight="false" outlineLevel="0" collapsed="false">
      <c r="A226" s="0" t="s">
        <v>3212</v>
      </c>
      <c r="B226" s="0" t="n">
        <v>10</v>
      </c>
    </row>
    <row r="227" customFormat="false" ht="15" hidden="false" customHeight="false" outlineLevel="0" collapsed="false">
      <c r="A227" s="0" t="s">
        <v>3213</v>
      </c>
      <c r="B227" s="0" t="n">
        <v>10.33</v>
      </c>
    </row>
    <row r="228" customFormat="false" ht="15" hidden="false" customHeight="false" outlineLevel="0" collapsed="false">
      <c r="A228" s="0" t="s">
        <v>3214</v>
      </c>
      <c r="B228" s="0" t="n">
        <v>7.25</v>
      </c>
    </row>
    <row r="229" customFormat="false" ht="15" hidden="false" customHeight="false" outlineLevel="0" collapsed="false">
      <c r="A229" s="0" t="s">
        <v>3215</v>
      </c>
      <c r="B229" s="0" t="n">
        <v>12.4</v>
      </c>
    </row>
    <row r="230" customFormat="false" ht="15" hidden="false" customHeight="false" outlineLevel="0" collapsed="false">
      <c r="A230" s="0" t="s">
        <v>3216</v>
      </c>
      <c r="B230" s="0" t="n">
        <v>7.67</v>
      </c>
    </row>
    <row r="231" customFormat="false" ht="15" hidden="false" customHeight="false" outlineLevel="0" collapsed="false">
      <c r="A231" s="0" t="s">
        <v>3217</v>
      </c>
      <c r="B231" s="0" t="n">
        <v>9</v>
      </c>
    </row>
    <row r="232" customFormat="false" ht="15" hidden="false" customHeight="false" outlineLevel="0" collapsed="false">
      <c r="A232" s="0" t="s">
        <v>3218</v>
      </c>
      <c r="B232" s="0" t="n">
        <v>7.5</v>
      </c>
    </row>
    <row r="233" customFormat="false" ht="15" hidden="false" customHeight="false" outlineLevel="0" collapsed="false">
      <c r="A233" s="0" t="s">
        <v>3219</v>
      </c>
      <c r="B233" s="0" t="n">
        <v>6.06</v>
      </c>
    </row>
    <row r="234" customFormat="false" ht="15" hidden="false" customHeight="false" outlineLevel="0" collapsed="false">
      <c r="A234" s="0" t="s">
        <v>3220</v>
      </c>
      <c r="B234" s="0" t="n">
        <v>7.95</v>
      </c>
    </row>
    <row r="235" customFormat="false" ht="15" hidden="false" customHeight="false" outlineLevel="0" collapsed="false">
      <c r="A235" s="0" t="s">
        <v>3221</v>
      </c>
      <c r="B235" s="0" t="n">
        <v>10</v>
      </c>
    </row>
    <row r="236" customFormat="false" ht="15" hidden="false" customHeight="false" outlineLevel="0" collapsed="false">
      <c r="A236" s="0" t="s">
        <v>3222</v>
      </c>
      <c r="B236" s="0" t="n">
        <v>7</v>
      </c>
    </row>
    <row r="237" customFormat="false" ht="15" hidden="false" customHeight="false" outlineLevel="0" collapsed="false">
      <c r="A237" s="0" t="s">
        <v>3223</v>
      </c>
      <c r="B237" s="0" t="n">
        <v>8.5</v>
      </c>
    </row>
    <row r="238" customFormat="false" ht="15" hidden="false" customHeight="false" outlineLevel="0" collapsed="false">
      <c r="A238" s="0" t="s">
        <v>3224</v>
      </c>
      <c r="B238" s="0" t="n">
        <v>10.25</v>
      </c>
    </row>
    <row r="239" customFormat="false" ht="15" hidden="false" customHeight="false" outlineLevel="0" collapsed="false">
      <c r="A239" s="0" t="s">
        <v>3225</v>
      </c>
      <c r="B239" s="0" t="n">
        <v>2.5</v>
      </c>
    </row>
    <row r="240" customFormat="false" ht="15" hidden="false" customHeight="false" outlineLevel="0" collapsed="false">
      <c r="A240" s="0" t="s">
        <v>3226</v>
      </c>
      <c r="B240" s="0" t="n">
        <v>7.67</v>
      </c>
    </row>
    <row r="241" customFormat="false" ht="15" hidden="false" customHeight="false" outlineLevel="0" collapsed="false">
      <c r="A241" s="0" t="s">
        <v>3227</v>
      </c>
      <c r="B241" s="0" t="n">
        <v>4</v>
      </c>
    </row>
    <row r="242" customFormat="false" ht="15" hidden="false" customHeight="false" outlineLevel="0" collapsed="false">
      <c r="A242" s="0" t="s">
        <v>3228</v>
      </c>
      <c r="B242" s="0" t="n">
        <v>7.25</v>
      </c>
    </row>
    <row r="243" customFormat="false" ht="15" hidden="false" customHeight="false" outlineLevel="0" collapsed="false">
      <c r="A243" s="0" t="s">
        <v>3229</v>
      </c>
      <c r="B243" s="0" t="n">
        <v>6.25</v>
      </c>
    </row>
    <row r="244" customFormat="false" ht="15" hidden="false" customHeight="false" outlineLevel="0" collapsed="false">
      <c r="A244" s="0" t="s">
        <v>3230</v>
      </c>
      <c r="B244" s="0" t="n">
        <v>6.25</v>
      </c>
    </row>
    <row r="245" customFormat="false" ht="15" hidden="false" customHeight="false" outlineLevel="0" collapsed="false">
      <c r="A245" s="0" t="s">
        <v>3231</v>
      </c>
      <c r="B245" s="0" t="n">
        <v>8.5</v>
      </c>
    </row>
    <row r="246" customFormat="false" ht="15" hidden="false" customHeight="false" outlineLevel="0" collapsed="false">
      <c r="A246" s="0" t="s">
        <v>3232</v>
      </c>
      <c r="B246" s="0" t="n">
        <v>9</v>
      </c>
    </row>
    <row r="247" customFormat="false" ht="15" hidden="false" customHeight="false" outlineLevel="0" collapsed="false">
      <c r="A247" s="0" t="s">
        <v>3233</v>
      </c>
      <c r="B247" s="0" t="n">
        <v>8.24</v>
      </c>
    </row>
    <row r="248" customFormat="false" ht="15" hidden="false" customHeight="false" outlineLevel="0" collapsed="false">
      <c r="A248" s="0" t="s">
        <v>3234</v>
      </c>
      <c r="B248" s="0" t="n">
        <v>8.88</v>
      </c>
    </row>
    <row r="249" customFormat="false" ht="15" hidden="false" customHeight="false" outlineLevel="0" collapsed="false">
      <c r="A249" s="0" t="s">
        <v>3235</v>
      </c>
      <c r="B249" s="0" t="n">
        <v>5.67</v>
      </c>
    </row>
    <row r="250" customFormat="false" ht="15" hidden="false" customHeight="false" outlineLevel="0" collapsed="false">
      <c r="A250" s="0" t="s">
        <v>3236</v>
      </c>
      <c r="B250" s="0" t="n">
        <v>9.67</v>
      </c>
    </row>
    <row r="251" customFormat="false" ht="15" hidden="false" customHeight="false" outlineLevel="0" collapsed="false">
      <c r="A251" s="0" t="s">
        <v>3237</v>
      </c>
      <c r="B251" s="0" t="n">
        <v>7</v>
      </c>
    </row>
    <row r="252" customFormat="false" ht="15" hidden="false" customHeight="false" outlineLevel="0" collapsed="false">
      <c r="A252" s="0" t="s">
        <v>3238</v>
      </c>
      <c r="B252" s="0" t="n">
        <v>11</v>
      </c>
    </row>
    <row r="253" customFormat="false" ht="15" hidden="false" customHeight="false" outlineLevel="0" collapsed="false">
      <c r="A253" s="0" t="s">
        <v>3239</v>
      </c>
      <c r="B253" s="0" t="n">
        <v>9.36</v>
      </c>
    </row>
    <row r="254" customFormat="false" ht="15" hidden="false" customHeight="false" outlineLevel="0" collapsed="false">
      <c r="A254" s="0" t="s">
        <v>3240</v>
      </c>
      <c r="B254" s="0" t="n">
        <v>9</v>
      </c>
    </row>
    <row r="255" customFormat="false" ht="15" hidden="false" customHeight="false" outlineLevel="0" collapsed="false">
      <c r="A255" s="0" t="s">
        <v>3241</v>
      </c>
      <c r="B255" s="0" t="n">
        <v>6.17</v>
      </c>
    </row>
    <row r="256" customFormat="false" ht="15" hidden="false" customHeight="false" outlineLevel="0" collapsed="false">
      <c r="A256" s="0" t="s">
        <v>3242</v>
      </c>
      <c r="B256" s="0" t="n">
        <v>12</v>
      </c>
    </row>
    <row r="257" customFormat="false" ht="15" hidden="false" customHeight="false" outlineLevel="0" collapsed="false">
      <c r="A257" s="0" t="s">
        <v>3243</v>
      </c>
      <c r="B257" s="0" t="n">
        <v>10.5</v>
      </c>
    </row>
    <row r="258" customFormat="false" ht="15" hidden="false" customHeight="false" outlineLevel="0" collapsed="false">
      <c r="A258" s="0" t="s">
        <v>3244</v>
      </c>
      <c r="B258" s="0" t="n">
        <v>4.67</v>
      </c>
    </row>
    <row r="259" customFormat="false" ht="15" hidden="false" customHeight="false" outlineLevel="0" collapsed="false">
      <c r="A259" s="0" t="s">
        <v>3245</v>
      </c>
      <c r="B259" s="0" t="n">
        <v>7.67</v>
      </c>
    </row>
    <row r="260" customFormat="false" ht="15" hidden="false" customHeight="false" outlineLevel="0" collapsed="false">
      <c r="A260" s="0" t="s">
        <v>3246</v>
      </c>
      <c r="B260" s="0" t="n">
        <v>9</v>
      </c>
    </row>
    <row r="261" customFormat="false" ht="15" hidden="false" customHeight="false" outlineLevel="0" collapsed="false">
      <c r="A261" s="0" t="s">
        <v>3247</v>
      </c>
      <c r="B261" s="0" t="n">
        <v>8.65</v>
      </c>
    </row>
    <row r="262" customFormat="false" ht="15" hidden="false" customHeight="false" outlineLevel="0" collapsed="false">
      <c r="A262" s="0" t="s">
        <v>3248</v>
      </c>
      <c r="B262" s="0" t="n">
        <v>8.05</v>
      </c>
    </row>
    <row r="263" customFormat="false" ht="15" hidden="false" customHeight="false" outlineLevel="0" collapsed="false">
      <c r="A263" s="0" t="s">
        <v>3249</v>
      </c>
      <c r="B263" s="0" t="n">
        <v>9.17</v>
      </c>
    </row>
    <row r="264" customFormat="false" ht="15" hidden="false" customHeight="false" outlineLevel="0" collapsed="false">
      <c r="A264" s="0" t="s">
        <v>3250</v>
      </c>
      <c r="B264" s="0" t="n">
        <v>7</v>
      </c>
    </row>
    <row r="265" customFormat="false" ht="15" hidden="false" customHeight="false" outlineLevel="0" collapsed="false">
      <c r="A265" s="0" t="s">
        <v>3251</v>
      </c>
      <c r="B265" s="0" t="n">
        <v>8</v>
      </c>
    </row>
    <row r="266" customFormat="false" ht="15" hidden="false" customHeight="false" outlineLevel="0" collapsed="false">
      <c r="A266" s="0" t="s">
        <v>3252</v>
      </c>
      <c r="B266" s="0" t="n">
        <v>8.75</v>
      </c>
    </row>
    <row r="267" customFormat="false" ht="15" hidden="false" customHeight="false" outlineLevel="0" collapsed="false">
      <c r="A267" s="0" t="s">
        <v>3253</v>
      </c>
      <c r="B267" s="0" t="n">
        <v>9.89</v>
      </c>
    </row>
    <row r="268" customFormat="false" ht="15" hidden="false" customHeight="false" outlineLevel="0" collapsed="false">
      <c r="A268" s="0" t="s">
        <v>3254</v>
      </c>
      <c r="B268" s="0" t="n">
        <v>5.5</v>
      </c>
    </row>
    <row r="269" customFormat="false" ht="15" hidden="false" customHeight="false" outlineLevel="0" collapsed="false">
      <c r="A269" s="0" t="s">
        <v>3255</v>
      </c>
      <c r="B269" s="0" t="n">
        <v>8.8</v>
      </c>
    </row>
    <row r="270" customFormat="false" ht="15" hidden="false" customHeight="false" outlineLevel="0" collapsed="false">
      <c r="A270" s="0" t="s">
        <v>3256</v>
      </c>
      <c r="B270" s="0" t="n">
        <v>10.67</v>
      </c>
    </row>
    <row r="271" customFormat="false" ht="15" hidden="false" customHeight="false" outlineLevel="0" collapsed="false">
      <c r="A271" s="0" t="s">
        <v>3257</v>
      </c>
      <c r="B271" s="0" t="n">
        <v>9.6</v>
      </c>
    </row>
    <row r="272" customFormat="false" ht="15" hidden="false" customHeight="false" outlineLevel="0" collapsed="false">
      <c r="A272" s="0" t="s">
        <v>3258</v>
      </c>
      <c r="B272" s="0" t="n">
        <v>3.33</v>
      </c>
    </row>
    <row r="273" customFormat="false" ht="15" hidden="false" customHeight="false" outlineLevel="0" collapsed="false">
      <c r="A273" s="0" t="s">
        <v>3259</v>
      </c>
      <c r="B273" s="0" t="n">
        <v>11</v>
      </c>
    </row>
    <row r="274" customFormat="false" ht="15" hidden="false" customHeight="false" outlineLevel="0" collapsed="false">
      <c r="A274" s="0" t="s">
        <v>3260</v>
      </c>
      <c r="B274" s="0" t="n">
        <v>6.89</v>
      </c>
    </row>
    <row r="275" customFormat="false" ht="15" hidden="false" customHeight="false" outlineLevel="0" collapsed="false">
      <c r="A275" s="0" t="s">
        <v>3261</v>
      </c>
      <c r="B275" s="0" t="n">
        <v>10</v>
      </c>
    </row>
    <row r="276" customFormat="false" ht="15" hidden="false" customHeight="false" outlineLevel="0" collapsed="false">
      <c r="A276" s="0" t="s">
        <v>3262</v>
      </c>
      <c r="B276" s="0" t="n">
        <v>7.88</v>
      </c>
    </row>
    <row r="277" customFormat="false" ht="15" hidden="false" customHeight="false" outlineLevel="0" collapsed="false">
      <c r="A277" s="0" t="s">
        <v>3263</v>
      </c>
      <c r="B277" s="0" t="n">
        <v>8.14</v>
      </c>
    </row>
    <row r="278" customFormat="false" ht="15" hidden="false" customHeight="false" outlineLevel="0" collapsed="false">
      <c r="A278" s="0" t="s">
        <v>3264</v>
      </c>
      <c r="B278" s="0" t="n">
        <v>8.33</v>
      </c>
    </row>
    <row r="279" customFormat="false" ht="15" hidden="false" customHeight="false" outlineLevel="0" collapsed="false">
      <c r="A279" s="0" t="s">
        <v>3265</v>
      </c>
      <c r="B279" s="0" t="n">
        <v>6</v>
      </c>
    </row>
    <row r="280" customFormat="false" ht="15" hidden="false" customHeight="false" outlineLevel="0" collapsed="false">
      <c r="A280" s="0" t="s">
        <v>3266</v>
      </c>
      <c r="B280" s="0" t="n">
        <v>10</v>
      </c>
    </row>
    <row r="281" customFormat="false" ht="15" hidden="false" customHeight="false" outlineLevel="0" collapsed="false">
      <c r="A281" s="0" t="s">
        <v>3267</v>
      </c>
      <c r="B281" s="0" t="n">
        <v>7</v>
      </c>
    </row>
    <row r="282" customFormat="false" ht="15" hidden="false" customHeight="false" outlineLevel="0" collapsed="false">
      <c r="A282" s="0" t="s">
        <v>3268</v>
      </c>
      <c r="B282" s="0" t="n">
        <v>5.43</v>
      </c>
    </row>
    <row r="283" customFormat="false" ht="15" hidden="false" customHeight="false" outlineLevel="0" collapsed="false">
      <c r="A283" s="0" t="s">
        <v>3269</v>
      </c>
      <c r="B283" s="0" t="n">
        <v>8.75</v>
      </c>
    </row>
    <row r="284" customFormat="false" ht="15" hidden="false" customHeight="false" outlineLevel="0" collapsed="false">
      <c r="A284" s="0" t="s">
        <v>3270</v>
      </c>
      <c r="B284" s="0" t="n">
        <v>9.12</v>
      </c>
    </row>
    <row r="285" customFormat="false" ht="15" hidden="false" customHeight="false" outlineLevel="0" collapsed="false">
      <c r="A285" s="0" t="s">
        <v>3271</v>
      </c>
      <c r="B285" s="0" t="n">
        <v>12.5</v>
      </c>
    </row>
    <row r="286" customFormat="false" ht="15" hidden="false" customHeight="false" outlineLevel="0" collapsed="false">
      <c r="A286" s="0" t="s">
        <v>3272</v>
      </c>
      <c r="B286" s="0" t="n">
        <v>7.71</v>
      </c>
    </row>
    <row r="287" customFormat="false" ht="15" hidden="false" customHeight="false" outlineLevel="0" collapsed="false">
      <c r="A287" s="0" t="s">
        <v>3273</v>
      </c>
      <c r="B287" s="0" t="n">
        <v>9</v>
      </c>
    </row>
    <row r="288" customFormat="false" ht="15" hidden="false" customHeight="false" outlineLevel="0" collapsed="false">
      <c r="A288" s="0" t="s">
        <v>3274</v>
      </c>
      <c r="B288" s="0" t="n">
        <v>6</v>
      </c>
    </row>
    <row r="289" customFormat="false" ht="15" hidden="false" customHeight="false" outlineLevel="0" collapsed="false">
      <c r="A289" s="0" t="s">
        <v>3275</v>
      </c>
      <c r="B289" s="0" t="n">
        <v>11</v>
      </c>
    </row>
    <row r="290" customFormat="false" ht="15" hidden="false" customHeight="false" outlineLevel="0" collapsed="false">
      <c r="A290" s="0" t="s">
        <v>3276</v>
      </c>
      <c r="B290" s="0" t="n">
        <v>7.71</v>
      </c>
    </row>
    <row r="291" customFormat="false" ht="15" hidden="false" customHeight="false" outlineLevel="0" collapsed="false">
      <c r="A291" s="0" t="s">
        <v>3277</v>
      </c>
      <c r="B291" s="0" t="n">
        <v>8.71</v>
      </c>
    </row>
    <row r="292" customFormat="false" ht="15" hidden="false" customHeight="false" outlineLevel="0" collapsed="false">
      <c r="A292" s="0" t="s">
        <v>3278</v>
      </c>
      <c r="B292" s="0" t="n">
        <v>7</v>
      </c>
    </row>
    <row r="293" customFormat="false" ht="15" hidden="false" customHeight="false" outlineLevel="0" collapsed="false">
      <c r="A293" s="0" t="s">
        <v>3279</v>
      </c>
      <c r="B293" s="0" t="n">
        <v>13</v>
      </c>
    </row>
    <row r="294" customFormat="false" ht="15" hidden="false" customHeight="false" outlineLevel="0" collapsed="false">
      <c r="A294" s="0" t="s">
        <v>3280</v>
      </c>
      <c r="B294" s="0" t="n">
        <v>6</v>
      </c>
    </row>
    <row r="295" customFormat="false" ht="15" hidden="false" customHeight="false" outlineLevel="0" collapsed="false">
      <c r="A295" s="0" t="s">
        <v>3281</v>
      </c>
      <c r="B295" s="0" t="n">
        <v>9</v>
      </c>
    </row>
    <row r="296" customFormat="false" ht="15" hidden="false" customHeight="false" outlineLevel="0" collapsed="false">
      <c r="A296" s="0" t="s">
        <v>3282</v>
      </c>
      <c r="B296" s="0" t="n">
        <v>6.5</v>
      </c>
    </row>
    <row r="297" customFormat="false" ht="15" hidden="false" customHeight="false" outlineLevel="0" collapsed="false">
      <c r="A297" s="0" t="s">
        <v>3283</v>
      </c>
      <c r="B297" s="0" t="n">
        <v>13</v>
      </c>
    </row>
    <row r="298" customFormat="false" ht="15" hidden="false" customHeight="false" outlineLevel="0" collapsed="false">
      <c r="A298" s="0" t="s">
        <v>3284</v>
      </c>
      <c r="B298" s="0" t="n">
        <v>11</v>
      </c>
    </row>
    <row r="299" customFormat="false" ht="15" hidden="false" customHeight="false" outlineLevel="0" collapsed="false">
      <c r="A299" s="0" t="s">
        <v>3285</v>
      </c>
      <c r="B299" s="0" t="n">
        <v>8</v>
      </c>
    </row>
    <row r="300" customFormat="false" ht="15" hidden="false" customHeight="false" outlineLevel="0" collapsed="false">
      <c r="A300" s="0" t="s">
        <v>3286</v>
      </c>
      <c r="B300" s="0" t="n">
        <v>9</v>
      </c>
    </row>
    <row r="301" customFormat="false" ht="15" hidden="false" customHeight="false" outlineLevel="0" collapsed="false">
      <c r="A301" s="0" t="s">
        <v>3287</v>
      </c>
      <c r="B301" s="0" t="n">
        <v>4</v>
      </c>
    </row>
    <row r="302" customFormat="false" ht="15" hidden="false" customHeight="false" outlineLevel="0" collapsed="false">
      <c r="A302" s="0" t="s">
        <v>3288</v>
      </c>
      <c r="B302" s="0" t="n">
        <v>9</v>
      </c>
    </row>
    <row r="303" customFormat="false" ht="15" hidden="false" customHeight="false" outlineLevel="0" collapsed="false">
      <c r="A303" s="0" t="s">
        <v>3289</v>
      </c>
      <c r="B303" s="0" t="n">
        <v>8.26</v>
      </c>
    </row>
    <row r="304" customFormat="false" ht="15" hidden="false" customHeight="false" outlineLevel="0" collapsed="false">
      <c r="A304" s="0" t="s">
        <v>3290</v>
      </c>
      <c r="B304" s="0" t="n">
        <v>8</v>
      </c>
    </row>
    <row r="305" customFormat="false" ht="15" hidden="false" customHeight="false" outlineLevel="0" collapsed="false">
      <c r="A305" s="0" t="s">
        <v>3291</v>
      </c>
      <c r="B305" s="0" t="n">
        <v>8.2</v>
      </c>
    </row>
    <row r="306" customFormat="false" ht="15" hidden="false" customHeight="false" outlineLevel="0" collapsed="false">
      <c r="A306" s="0" t="s">
        <v>3292</v>
      </c>
      <c r="B306" s="0" t="n">
        <v>9.5</v>
      </c>
    </row>
    <row r="307" customFormat="false" ht="15" hidden="false" customHeight="false" outlineLevel="0" collapsed="false">
      <c r="A307" s="0" t="s">
        <v>3293</v>
      </c>
      <c r="B307" s="0" t="n">
        <v>8</v>
      </c>
    </row>
    <row r="308" customFormat="false" ht="15" hidden="false" customHeight="false" outlineLevel="0" collapsed="false">
      <c r="A308" s="0" t="s">
        <v>3294</v>
      </c>
      <c r="B308" s="0" t="n">
        <v>9.2</v>
      </c>
    </row>
    <row r="309" customFormat="false" ht="15" hidden="false" customHeight="false" outlineLevel="0" collapsed="false">
      <c r="A309" s="0" t="s">
        <v>3295</v>
      </c>
      <c r="B309" s="0" t="n">
        <v>9.2</v>
      </c>
    </row>
    <row r="310" customFormat="false" ht="15" hidden="false" customHeight="false" outlineLevel="0" collapsed="false">
      <c r="A310" s="0" t="s">
        <v>3296</v>
      </c>
      <c r="B310" s="0" t="n">
        <v>7.44</v>
      </c>
    </row>
    <row r="311" customFormat="false" ht="15" hidden="false" customHeight="false" outlineLevel="0" collapsed="false">
      <c r="A311" s="0" t="s">
        <v>3297</v>
      </c>
      <c r="B311" s="0" t="n">
        <v>6.5</v>
      </c>
    </row>
    <row r="312" customFormat="false" ht="15" hidden="false" customHeight="false" outlineLevel="0" collapsed="false">
      <c r="A312" s="0" t="s">
        <v>3298</v>
      </c>
      <c r="B312" s="0" t="n">
        <v>9</v>
      </c>
    </row>
    <row r="313" customFormat="false" ht="15" hidden="false" customHeight="false" outlineLevel="0" collapsed="false">
      <c r="A313" s="0" t="s">
        <v>3299</v>
      </c>
      <c r="B313" s="0" t="n">
        <v>9.5</v>
      </c>
    </row>
    <row r="314" customFormat="false" ht="15" hidden="false" customHeight="false" outlineLevel="0" collapsed="false">
      <c r="A314" s="0" t="s">
        <v>3300</v>
      </c>
      <c r="B314" s="0" t="n">
        <v>8.5</v>
      </c>
    </row>
    <row r="315" customFormat="false" ht="15" hidden="false" customHeight="false" outlineLevel="0" collapsed="false">
      <c r="A315" s="0" t="s">
        <v>3301</v>
      </c>
      <c r="B315" s="0" t="n">
        <v>5.6</v>
      </c>
    </row>
    <row r="316" customFormat="false" ht="15" hidden="false" customHeight="false" outlineLevel="0" collapsed="false">
      <c r="A316" s="0" t="s">
        <v>3302</v>
      </c>
      <c r="B316" s="0" t="n">
        <v>7.12</v>
      </c>
    </row>
    <row r="317" customFormat="false" ht="15" hidden="false" customHeight="false" outlineLevel="0" collapsed="false">
      <c r="A317" s="0" t="s">
        <v>3303</v>
      </c>
      <c r="B317" s="0" t="n">
        <v>5</v>
      </c>
    </row>
    <row r="318" customFormat="false" ht="15" hidden="false" customHeight="false" outlineLevel="0" collapsed="false">
      <c r="A318" s="0" t="s">
        <v>3304</v>
      </c>
      <c r="B318" s="0" t="n">
        <v>3</v>
      </c>
    </row>
    <row r="319" customFormat="false" ht="15" hidden="false" customHeight="false" outlineLevel="0" collapsed="false">
      <c r="A319" s="0" t="s">
        <v>3305</v>
      </c>
      <c r="B319" s="0" t="n">
        <v>2</v>
      </c>
    </row>
    <row r="320" customFormat="false" ht="15" hidden="false" customHeight="false" outlineLevel="0" collapsed="false">
      <c r="A320" s="0" t="s">
        <v>3306</v>
      </c>
      <c r="B320" s="0" t="n">
        <v>6</v>
      </c>
    </row>
    <row r="321" customFormat="false" ht="15" hidden="false" customHeight="false" outlineLevel="0" collapsed="false">
      <c r="A321" s="0" t="s">
        <v>3307</v>
      </c>
      <c r="B321" s="0" t="n">
        <v>6.4</v>
      </c>
    </row>
    <row r="322" customFormat="false" ht="15" hidden="false" customHeight="false" outlineLevel="0" collapsed="false">
      <c r="A322" s="0" t="s">
        <v>3308</v>
      </c>
      <c r="B322" s="0" t="n">
        <v>10</v>
      </c>
    </row>
    <row r="323" customFormat="false" ht="15" hidden="false" customHeight="false" outlineLevel="0" collapsed="false">
      <c r="A323" s="0" t="s">
        <v>3309</v>
      </c>
      <c r="B323" s="0" t="n">
        <v>8</v>
      </c>
    </row>
    <row r="324" customFormat="false" ht="15" hidden="false" customHeight="false" outlineLevel="0" collapsed="false">
      <c r="A324" s="0" t="s">
        <v>3310</v>
      </c>
      <c r="B324" s="0" t="n">
        <v>7.67</v>
      </c>
    </row>
    <row r="325" customFormat="false" ht="15" hidden="false" customHeight="false" outlineLevel="0" collapsed="false">
      <c r="A325" s="0" t="s">
        <v>3311</v>
      </c>
      <c r="B325" s="0" t="n">
        <v>14</v>
      </c>
    </row>
    <row r="326" customFormat="false" ht="15" hidden="false" customHeight="false" outlineLevel="0" collapsed="false">
      <c r="A326" s="0" t="s">
        <v>3312</v>
      </c>
      <c r="B326" s="0" t="n">
        <v>4</v>
      </c>
    </row>
    <row r="327" customFormat="false" ht="15" hidden="false" customHeight="false" outlineLevel="0" collapsed="false">
      <c r="A327" s="0" t="s">
        <v>3313</v>
      </c>
      <c r="B327" s="0" t="n">
        <v>6</v>
      </c>
    </row>
    <row r="328" customFormat="false" ht="15" hidden="false" customHeight="false" outlineLevel="0" collapsed="false">
      <c r="A328" s="0" t="s">
        <v>3314</v>
      </c>
      <c r="B328" s="0" t="n">
        <v>9.41</v>
      </c>
    </row>
    <row r="329" customFormat="false" ht="15" hidden="false" customHeight="false" outlineLevel="0" collapsed="false">
      <c r="A329" s="0" t="s">
        <v>3315</v>
      </c>
      <c r="B329" s="0" t="n">
        <v>8.56</v>
      </c>
    </row>
    <row r="330" customFormat="false" ht="15" hidden="false" customHeight="false" outlineLevel="0" collapsed="false">
      <c r="A330" s="0" t="s">
        <v>3316</v>
      </c>
      <c r="B330" s="0" t="n">
        <v>11</v>
      </c>
    </row>
    <row r="331" customFormat="false" ht="15" hidden="false" customHeight="false" outlineLevel="0" collapsed="false">
      <c r="A331" s="0" t="s">
        <v>3317</v>
      </c>
      <c r="B331" s="0" t="n">
        <v>14</v>
      </c>
    </row>
    <row r="332" customFormat="false" ht="15" hidden="false" customHeight="false" outlineLevel="0" collapsed="false">
      <c r="A332" s="0" t="s">
        <v>3318</v>
      </c>
      <c r="B332" s="0" t="n">
        <v>12</v>
      </c>
    </row>
    <row r="333" customFormat="false" ht="15" hidden="false" customHeight="false" outlineLevel="0" collapsed="false">
      <c r="A333" s="0" t="s">
        <v>3319</v>
      </c>
      <c r="B333" s="0" t="n">
        <v>9.5</v>
      </c>
    </row>
    <row r="334" customFormat="false" ht="15" hidden="false" customHeight="false" outlineLevel="0" collapsed="false">
      <c r="A334" s="0" t="s">
        <v>3320</v>
      </c>
      <c r="B334" s="0" t="n">
        <v>9.43</v>
      </c>
    </row>
    <row r="335" customFormat="false" ht="15" hidden="false" customHeight="false" outlineLevel="0" collapsed="false">
      <c r="A335" s="0" t="s">
        <v>3321</v>
      </c>
      <c r="B335" s="0" t="n">
        <v>6.75</v>
      </c>
    </row>
    <row r="336" customFormat="false" ht="15" hidden="false" customHeight="false" outlineLevel="0" collapsed="false">
      <c r="A336" s="0" t="s">
        <v>3322</v>
      </c>
      <c r="B336" s="0" t="n">
        <v>9.5</v>
      </c>
    </row>
    <row r="337" customFormat="false" ht="15" hidden="false" customHeight="false" outlineLevel="0" collapsed="false">
      <c r="A337" s="0" t="s">
        <v>3323</v>
      </c>
      <c r="B337" s="0" t="n">
        <v>3</v>
      </c>
    </row>
    <row r="338" customFormat="false" ht="15" hidden="false" customHeight="false" outlineLevel="0" collapsed="false">
      <c r="A338" s="0" t="s">
        <v>3324</v>
      </c>
      <c r="B338" s="0" t="n">
        <v>8.5</v>
      </c>
    </row>
    <row r="339" customFormat="false" ht="15" hidden="false" customHeight="false" outlineLevel="0" collapsed="false">
      <c r="A339" s="0" t="s">
        <v>3325</v>
      </c>
      <c r="B339" s="0" t="n">
        <v>9</v>
      </c>
    </row>
    <row r="340" customFormat="false" ht="15" hidden="false" customHeight="false" outlineLevel="0" collapsed="false">
      <c r="A340" s="0" t="s">
        <v>3326</v>
      </c>
      <c r="B340" s="0" t="n">
        <v>8</v>
      </c>
    </row>
    <row r="341" customFormat="false" ht="15" hidden="false" customHeight="false" outlineLevel="0" collapsed="false">
      <c r="A341" s="0" t="s">
        <v>3327</v>
      </c>
      <c r="B341" s="0" t="n">
        <v>9.4</v>
      </c>
    </row>
    <row r="342" customFormat="false" ht="15" hidden="false" customHeight="false" outlineLevel="0" collapsed="false">
      <c r="A342" s="0" t="s">
        <v>3328</v>
      </c>
      <c r="B342" s="0" t="n">
        <v>7.19</v>
      </c>
    </row>
    <row r="343" customFormat="false" ht="15" hidden="false" customHeight="false" outlineLevel="0" collapsed="false">
      <c r="A343" s="0" t="s">
        <v>3329</v>
      </c>
      <c r="B343" s="0" t="n">
        <v>8.68</v>
      </c>
    </row>
    <row r="344" customFormat="false" ht="15" hidden="false" customHeight="false" outlineLevel="0" collapsed="false">
      <c r="A344" s="0" t="s">
        <v>3330</v>
      </c>
      <c r="B344" s="0" t="n">
        <v>9.4</v>
      </c>
    </row>
    <row r="345" customFormat="false" ht="15" hidden="false" customHeight="false" outlineLevel="0" collapsed="false">
      <c r="A345" s="0" t="s">
        <v>3331</v>
      </c>
      <c r="B345" s="0" t="n">
        <v>7.67</v>
      </c>
    </row>
    <row r="346" customFormat="false" ht="15" hidden="false" customHeight="false" outlineLevel="0" collapsed="false">
      <c r="A346" s="0" t="s">
        <v>3332</v>
      </c>
      <c r="B346" s="0" t="n">
        <v>5.67</v>
      </c>
    </row>
    <row r="347" customFormat="false" ht="15" hidden="false" customHeight="false" outlineLevel="0" collapsed="false">
      <c r="A347" s="0" t="s">
        <v>3333</v>
      </c>
      <c r="B347" s="0" t="n">
        <v>6.5</v>
      </c>
    </row>
    <row r="348" customFormat="false" ht="15" hidden="false" customHeight="false" outlineLevel="0" collapsed="false">
      <c r="A348" s="0" t="s">
        <v>3334</v>
      </c>
      <c r="B348" s="0" t="n">
        <v>6.44</v>
      </c>
    </row>
    <row r="349" customFormat="false" ht="15" hidden="false" customHeight="false" outlineLevel="0" collapsed="false">
      <c r="A349" s="0" t="s">
        <v>3335</v>
      </c>
      <c r="B349" s="0" t="n">
        <v>10.14</v>
      </c>
    </row>
    <row r="350" customFormat="false" ht="15" hidden="false" customHeight="false" outlineLevel="0" collapsed="false">
      <c r="A350" s="0" t="s">
        <v>3336</v>
      </c>
      <c r="B350" s="0" t="n">
        <v>7.5</v>
      </c>
    </row>
    <row r="351" customFormat="false" ht="15" hidden="false" customHeight="false" outlineLevel="0" collapsed="false">
      <c r="A351" s="0" t="s">
        <v>3337</v>
      </c>
      <c r="B351" s="0" t="n">
        <v>8.5</v>
      </c>
    </row>
    <row r="352" customFormat="false" ht="15" hidden="false" customHeight="false" outlineLevel="0" collapsed="false">
      <c r="A352" s="0" t="s">
        <v>3338</v>
      </c>
      <c r="B352" s="0" t="n">
        <v>7.38</v>
      </c>
    </row>
    <row r="353" customFormat="false" ht="15" hidden="false" customHeight="false" outlineLevel="0" collapsed="false">
      <c r="A353" s="0" t="s">
        <v>3339</v>
      </c>
      <c r="B353" s="0" t="n">
        <v>10</v>
      </c>
    </row>
    <row r="354" customFormat="false" ht="15" hidden="false" customHeight="false" outlineLevel="0" collapsed="false">
      <c r="A354" s="0" t="s">
        <v>3340</v>
      </c>
      <c r="B354" s="0" t="n">
        <v>7.29</v>
      </c>
    </row>
    <row r="355" customFormat="false" ht="15" hidden="false" customHeight="false" outlineLevel="0" collapsed="false">
      <c r="A355" s="0" t="s">
        <v>3341</v>
      </c>
      <c r="B355" s="0" t="n">
        <v>10.17</v>
      </c>
    </row>
    <row r="356" customFormat="false" ht="15" hidden="false" customHeight="false" outlineLevel="0" collapsed="false">
      <c r="A356" s="0" t="s">
        <v>3342</v>
      </c>
      <c r="B356" s="0" t="n">
        <v>5.5</v>
      </c>
    </row>
    <row r="357" customFormat="false" ht="15" hidden="false" customHeight="false" outlineLevel="0" collapsed="false">
      <c r="A357" s="0" t="s">
        <v>3343</v>
      </c>
      <c r="B357" s="0" t="n">
        <v>7.54</v>
      </c>
    </row>
    <row r="358" customFormat="false" ht="15" hidden="false" customHeight="false" outlineLevel="0" collapsed="false">
      <c r="A358" s="0" t="s">
        <v>3344</v>
      </c>
      <c r="B358" s="0" t="n">
        <v>9.18</v>
      </c>
    </row>
    <row r="359" customFormat="false" ht="15" hidden="false" customHeight="false" outlineLevel="0" collapsed="false">
      <c r="A359" s="0" t="s">
        <v>3345</v>
      </c>
      <c r="B359" s="0" t="n">
        <v>6.4</v>
      </c>
    </row>
    <row r="360" customFormat="false" ht="15" hidden="false" customHeight="false" outlineLevel="0" collapsed="false">
      <c r="A360" s="0" t="s">
        <v>3346</v>
      </c>
      <c r="B360" s="0" t="n">
        <v>10.67</v>
      </c>
    </row>
    <row r="361" customFormat="false" ht="15" hidden="false" customHeight="false" outlineLevel="0" collapsed="false">
      <c r="A361" s="0" t="s">
        <v>3347</v>
      </c>
      <c r="B361" s="0" t="n">
        <v>6.62</v>
      </c>
    </row>
    <row r="362" customFormat="false" ht="15" hidden="false" customHeight="false" outlineLevel="0" collapsed="false">
      <c r="A362" s="0" t="s">
        <v>3348</v>
      </c>
      <c r="B362" s="0" t="n">
        <v>9.18</v>
      </c>
    </row>
    <row r="363" customFormat="false" ht="15" hidden="false" customHeight="false" outlineLevel="0" collapsed="false">
      <c r="A363" s="0" t="s">
        <v>3349</v>
      </c>
      <c r="B363" s="0" t="n">
        <v>10</v>
      </c>
    </row>
    <row r="364" customFormat="false" ht="15" hidden="false" customHeight="false" outlineLevel="0" collapsed="false">
      <c r="A364" s="0" t="s">
        <v>3350</v>
      </c>
      <c r="B364" s="0" t="n">
        <v>7.2</v>
      </c>
    </row>
    <row r="365" customFormat="false" ht="15" hidden="false" customHeight="false" outlineLevel="0" collapsed="false">
      <c r="A365" s="0" t="s">
        <v>3351</v>
      </c>
      <c r="B365" s="0" t="n">
        <v>7.11</v>
      </c>
    </row>
    <row r="366" customFormat="false" ht="15" hidden="false" customHeight="false" outlineLevel="0" collapsed="false">
      <c r="A366" s="0" t="s">
        <v>3352</v>
      </c>
      <c r="B366" s="0" t="n">
        <v>7.33</v>
      </c>
    </row>
    <row r="367" customFormat="false" ht="15" hidden="false" customHeight="false" outlineLevel="0" collapsed="false">
      <c r="A367" s="0" t="s">
        <v>3353</v>
      </c>
      <c r="B367" s="0" t="n">
        <v>8.21</v>
      </c>
    </row>
    <row r="368" customFormat="false" ht="15" hidden="false" customHeight="false" outlineLevel="0" collapsed="false">
      <c r="A368" s="0" t="s">
        <v>3354</v>
      </c>
      <c r="B368" s="0" t="n">
        <v>12</v>
      </c>
    </row>
    <row r="369" customFormat="false" ht="15" hidden="false" customHeight="false" outlineLevel="0" collapsed="false">
      <c r="A369" s="0" t="s">
        <v>3355</v>
      </c>
      <c r="B369" s="0" t="n">
        <v>6.43</v>
      </c>
    </row>
    <row r="370" customFormat="false" ht="15" hidden="false" customHeight="false" outlineLevel="0" collapsed="false">
      <c r="A370" s="0" t="s">
        <v>3356</v>
      </c>
      <c r="B370" s="0" t="n">
        <v>8.71</v>
      </c>
    </row>
    <row r="371" customFormat="false" ht="15" hidden="false" customHeight="false" outlineLevel="0" collapsed="false">
      <c r="A371" s="0" t="s">
        <v>3357</v>
      </c>
      <c r="B371" s="0" t="n">
        <v>6.88</v>
      </c>
    </row>
    <row r="372" customFormat="false" ht="15" hidden="false" customHeight="false" outlineLevel="0" collapsed="false">
      <c r="A372" s="0" t="s">
        <v>3358</v>
      </c>
      <c r="B372" s="0" t="n">
        <v>7.39</v>
      </c>
    </row>
    <row r="373" customFormat="false" ht="15" hidden="false" customHeight="false" outlineLevel="0" collapsed="false">
      <c r="A373" s="0" t="s">
        <v>3359</v>
      </c>
      <c r="B373" s="0" t="n">
        <v>5.67</v>
      </c>
    </row>
    <row r="374" customFormat="false" ht="15" hidden="false" customHeight="false" outlineLevel="0" collapsed="false">
      <c r="A374" s="0" t="s">
        <v>3360</v>
      </c>
      <c r="B374" s="0" t="n">
        <v>8.33</v>
      </c>
    </row>
    <row r="375" customFormat="false" ht="15" hidden="false" customHeight="false" outlineLevel="0" collapsed="false">
      <c r="A375" s="0" t="s">
        <v>3361</v>
      </c>
      <c r="B375" s="0" t="n">
        <v>4</v>
      </c>
    </row>
    <row r="376" customFormat="false" ht="15" hidden="false" customHeight="false" outlineLevel="0" collapsed="false">
      <c r="A376" s="0" t="s">
        <v>3362</v>
      </c>
      <c r="B376" s="0" t="n">
        <v>11.5</v>
      </c>
    </row>
    <row r="377" customFormat="false" ht="15" hidden="false" customHeight="false" outlineLevel="0" collapsed="false">
      <c r="A377" s="0" t="s">
        <v>3363</v>
      </c>
      <c r="B377" s="0" t="n">
        <v>7.85</v>
      </c>
    </row>
    <row r="378" customFormat="false" ht="15" hidden="false" customHeight="false" outlineLevel="0" collapsed="false">
      <c r="A378" s="0" t="s">
        <v>3364</v>
      </c>
      <c r="B378" s="0" t="n">
        <v>7.17</v>
      </c>
    </row>
    <row r="379" customFormat="false" ht="15" hidden="false" customHeight="false" outlineLevel="0" collapsed="false">
      <c r="A379" s="0" t="s">
        <v>3365</v>
      </c>
      <c r="B379" s="0" t="n">
        <v>6.4</v>
      </c>
    </row>
    <row r="380" customFormat="false" ht="15" hidden="false" customHeight="false" outlineLevel="0" collapsed="false">
      <c r="A380" s="0" t="s">
        <v>3366</v>
      </c>
      <c r="B380" s="0" t="n">
        <v>5.67</v>
      </c>
    </row>
    <row r="381" customFormat="false" ht="15" hidden="false" customHeight="false" outlineLevel="0" collapsed="false">
      <c r="A381" s="0" t="s">
        <v>3367</v>
      </c>
      <c r="B381" s="0" t="n">
        <v>8</v>
      </c>
    </row>
    <row r="382" customFormat="false" ht="15" hidden="false" customHeight="false" outlineLevel="0" collapsed="false">
      <c r="A382" s="0" t="s">
        <v>3368</v>
      </c>
      <c r="B382" s="0" t="n">
        <v>6.67</v>
      </c>
    </row>
    <row r="383" customFormat="false" ht="15" hidden="false" customHeight="false" outlineLevel="0" collapsed="false">
      <c r="A383" s="0" t="s">
        <v>3369</v>
      </c>
      <c r="B383" s="0" t="n">
        <v>6.43</v>
      </c>
    </row>
    <row r="384" customFormat="false" ht="15" hidden="false" customHeight="false" outlineLevel="0" collapsed="false">
      <c r="A384" s="0" t="s">
        <v>3370</v>
      </c>
      <c r="B384" s="0" t="n">
        <v>9</v>
      </c>
    </row>
    <row r="385" customFormat="false" ht="15" hidden="false" customHeight="false" outlineLevel="0" collapsed="false">
      <c r="A385" s="0" t="s">
        <v>3371</v>
      </c>
      <c r="B385" s="0" t="n">
        <v>7</v>
      </c>
    </row>
    <row r="386" customFormat="false" ht="15" hidden="false" customHeight="false" outlineLevel="0" collapsed="false">
      <c r="A386" s="0" t="s">
        <v>3372</v>
      </c>
      <c r="B386" s="0" t="n">
        <v>8.22</v>
      </c>
    </row>
    <row r="387" customFormat="false" ht="15" hidden="false" customHeight="false" outlineLevel="0" collapsed="false">
      <c r="A387" s="0" t="s">
        <v>3373</v>
      </c>
      <c r="B387" s="0" t="n">
        <v>5</v>
      </c>
    </row>
    <row r="388" customFormat="false" ht="15" hidden="false" customHeight="false" outlineLevel="0" collapsed="false">
      <c r="A388" s="0" t="s">
        <v>3374</v>
      </c>
      <c r="B388" s="0" t="n">
        <v>7</v>
      </c>
    </row>
    <row r="389" customFormat="false" ht="15" hidden="false" customHeight="false" outlineLevel="0" collapsed="false">
      <c r="A389" s="0" t="s">
        <v>3375</v>
      </c>
      <c r="B389" s="0" t="n">
        <v>7.33</v>
      </c>
    </row>
    <row r="390" customFormat="false" ht="15" hidden="false" customHeight="false" outlineLevel="0" collapsed="false">
      <c r="A390" s="0" t="s">
        <v>3376</v>
      </c>
      <c r="B390" s="0" t="n">
        <v>9</v>
      </c>
    </row>
    <row r="391" customFormat="false" ht="15" hidden="false" customHeight="false" outlineLevel="0" collapsed="false">
      <c r="A391" s="0" t="s">
        <v>3377</v>
      </c>
      <c r="B391" s="0" t="n">
        <v>6.5</v>
      </c>
    </row>
    <row r="392" customFormat="false" ht="15" hidden="false" customHeight="false" outlineLevel="0" collapsed="false">
      <c r="A392" s="0" t="s">
        <v>3378</v>
      </c>
      <c r="B392" s="0" t="n">
        <v>12.33</v>
      </c>
    </row>
    <row r="393" customFormat="false" ht="15" hidden="false" customHeight="false" outlineLevel="0" collapsed="false">
      <c r="A393" s="0" t="s">
        <v>3379</v>
      </c>
      <c r="B393" s="0" t="n">
        <v>6.33</v>
      </c>
    </row>
    <row r="394" customFormat="false" ht="15" hidden="false" customHeight="false" outlineLevel="0" collapsed="false">
      <c r="A394" s="0" t="s">
        <v>3380</v>
      </c>
      <c r="B394" s="0" t="n">
        <v>6.5</v>
      </c>
    </row>
    <row r="395" customFormat="false" ht="15" hidden="false" customHeight="false" outlineLevel="0" collapsed="false">
      <c r="A395" s="0" t="s">
        <v>3381</v>
      </c>
      <c r="B395" s="0" t="n">
        <v>9.25</v>
      </c>
    </row>
    <row r="396" customFormat="false" ht="15" hidden="false" customHeight="false" outlineLevel="0" collapsed="false">
      <c r="A396" s="0" t="s">
        <v>3382</v>
      </c>
      <c r="B396" s="0" t="n">
        <v>9</v>
      </c>
    </row>
    <row r="397" customFormat="false" ht="15" hidden="false" customHeight="false" outlineLevel="0" collapsed="false">
      <c r="A397" s="0" t="s">
        <v>3383</v>
      </c>
      <c r="B397" s="0" t="n">
        <v>10.33</v>
      </c>
    </row>
    <row r="398" customFormat="false" ht="15" hidden="false" customHeight="false" outlineLevel="0" collapsed="false">
      <c r="A398" s="0" t="s">
        <v>3384</v>
      </c>
      <c r="B398" s="0" t="n">
        <v>7</v>
      </c>
    </row>
    <row r="399" customFormat="false" ht="15" hidden="false" customHeight="false" outlineLevel="0" collapsed="false">
      <c r="A399" s="0" t="s">
        <v>3385</v>
      </c>
      <c r="B399" s="0" t="n">
        <v>7.26</v>
      </c>
    </row>
    <row r="400" customFormat="false" ht="15" hidden="false" customHeight="false" outlineLevel="0" collapsed="false">
      <c r="A400" s="0" t="s">
        <v>3386</v>
      </c>
      <c r="B400" s="0" t="n">
        <v>9.17</v>
      </c>
    </row>
    <row r="401" customFormat="false" ht="15" hidden="false" customHeight="false" outlineLevel="0" collapsed="false">
      <c r="A401" s="0" t="s">
        <v>3387</v>
      </c>
      <c r="B401" s="0" t="n">
        <v>6</v>
      </c>
    </row>
    <row r="402" customFormat="false" ht="15" hidden="false" customHeight="false" outlineLevel="0" collapsed="false">
      <c r="A402" s="0" t="s">
        <v>3388</v>
      </c>
      <c r="B402" s="0" t="n">
        <v>8.4</v>
      </c>
    </row>
    <row r="403" customFormat="false" ht="15" hidden="false" customHeight="false" outlineLevel="0" collapsed="false">
      <c r="A403" s="0" t="s">
        <v>3389</v>
      </c>
      <c r="B403" s="0" t="n">
        <v>9.5</v>
      </c>
    </row>
    <row r="404" customFormat="false" ht="15" hidden="false" customHeight="false" outlineLevel="0" collapsed="false">
      <c r="A404" s="0" t="s">
        <v>3390</v>
      </c>
      <c r="B404" s="0" t="n">
        <v>10.83</v>
      </c>
    </row>
    <row r="405" customFormat="false" ht="15" hidden="false" customHeight="false" outlineLevel="0" collapsed="false">
      <c r="A405" s="0" t="s">
        <v>3391</v>
      </c>
      <c r="B405" s="0" t="n">
        <v>7.2</v>
      </c>
    </row>
    <row r="406" customFormat="false" ht="15" hidden="false" customHeight="false" outlineLevel="0" collapsed="false">
      <c r="A406" s="0" t="s">
        <v>3392</v>
      </c>
      <c r="B406" s="0" t="n">
        <v>11</v>
      </c>
    </row>
    <row r="407" customFormat="false" ht="15" hidden="false" customHeight="false" outlineLevel="0" collapsed="false">
      <c r="A407" s="0" t="s">
        <v>3393</v>
      </c>
      <c r="B407" s="0" t="n">
        <v>4.5</v>
      </c>
    </row>
    <row r="408" customFormat="false" ht="15" hidden="false" customHeight="false" outlineLevel="0" collapsed="false">
      <c r="A408" s="0" t="s">
        <v>3394</v>
      </c>
      <c r="B408" s="0" t="n">
        <v>6.5</v>
      </c>
    </row>
    <row r="409" customFormat="false" ht="15" hidden="false" customHeight="false" outlineLevel="0" collapsed="false">
      <c r="A409" s="0" t="s">
        <v>3395</v>
      </c>
      <c r="B409" s="0" t="n">
        <v>10.67</v>
      </c>
    </row>
    <row r="410" customFormat="false" ht="15" hidden="false" customHeight="false" outlineLevel="0" collapsed="false">
      <c r="A410" s="0" t="s">
        <v>3396</v>
      </c>
      <c r="B410" s="0" t="n">
        <v>9</v>
      </c>
    </row>
    <row r="411" customFormat="false" ht="15" hidden="false" customHeight="false" outlineLevel="0" collapsed="false">
      <c r="A411" s="0" t="s">
        <v>3397</v>
      </c>
      <c r="B411" s="0" t="n">
        <v>6.5</v>
      </c>
    </row>
    <row r="412" customFormat="false" ht="15" hidden="false" customHeight="false" outlineLevel="0" collapsed="false">
      <c r="A412" s="0" t="s">
        <v>3398</v>
      </c>
      <c r="B412" s="0" t="n">
        <v>6.5</v>
      </c>
    </row>
    <row r="413" customFormat="false" ht="15" hidden="false" customHeight="false" outlineLevel="0" collapsed="false">
      <c r="A413" s="0" t="s">
        <v>3399</v>
      </c>
      <c r="B413" s="0" t="n">
        <v>8.15</v>
      </c>
    </row>
    <row r="414" customFormat="false" ht="15" hidden="false" customHeight="false" outlineLevel="0" collapsed="false">
      <c r="A414" s="0" t="s">
        <v>3400</v>
      </c>
      <c r="B414" s="0" t="n">
        <v>8.62</v>
      </c>
    </row>
    <row r="415" customFormat="false" ht="15" hidden="false" customHeight="false" outlineLevel="0" collapsed="false">
      <c r="A415" s="0" t="s">
        <v>3401</v>
      </c>
      <c r="B415" s="0" t="n">
        <v>9</v>
      </c>
    </row>
    <row r="416" customFormat="false" ht="15" hidden="false" customHeight="false" outlineLevel="0" collapsed="false">
      <c r="A416" s="0" t="s">
        <v>3402</v>
      </c>
      <c r="B416" s="0" t="n">
        <v>14</v>
      </c>
    </row>
    <row r="417" customFormat="false" ht="15" hidden="false" customHeight="false" outlineLevel="0" collapsed="false">
      <c r="A417" s="0" t="s">
        <v>3403</v>
      </c>
      <c r="B417" s="0" t="n">
        <v>8</v>
      </c>
    </row>
    <row r="418" customFormat="false" ht="15" hidden="false" customHeight="false" outlineLevel="0" collapsed="false">
      <c r="A418" s="0" t="s">
        <v>3404</v>
      </c>
      <c r="B418" s="0" t="n">
        <v>6.5</v>
      </c>
    </row>
    <row r="419" customFormat="false" ht="15" hidden="false" customHeight="false" outlineLevel="0" collapsed="false">
      <c r="A419" s="0" t="s">
        <v>3405</v>
      </c>
      <c r="B419" s="0" t="n">
        <v>3.67</v>
      </c>
    </row>
    <row r="420" customFormat="false" ht="15" hidden="false" customHeight="false" outlineLevel="0" collapsed="false">
      <c r="A420" s="0" t="s">
        <v>3406</v>
      </c>
      <c r="B420" s="0" t="n">
        <v>9.5</v>
      </c>
    </row>
    <row r="421" customFormat="false" ht="15" hidden="false" customHeight="false" outlineLevel="0" collapsed="false">
      <c r="A421" s="0" t="s">
        <v>3407</v>
      </c>
      <c r="B421" s="0" t="n">
        <v>8.33</v>
      </c>
    </row>
    <row r="422" customFormat="false" ht="15" hidden="false" customHeight="false" outlineLevel="0" collapsed="false">
      <c r="A422" s="0" t="s">
        <v>3408</v>
      </c>
      <c r="B422" s="0" t="n">
        <v>9.5</v>
      </c>
    </row>
    <row r="423" customFormat="false" ht="15" hidden="false" customHeight="false" outlineLevel="0" collapsed="false">
      <c r="A423" s="0" t="s">
        <v>3409</v>
      </c>
      <c r="B423" s="0" t="n">
        <v>10.5</v>
      </c>
    </row>
    <row r="424" customFormat="false" ht="15" hidden="false" customHeight="false" outlineLevel="0" collapsed="false">
      <c r="A424" s="0" t="s">
        <v>3410</v>
      </c>
      <c r="B424" s="0" t="n">
        <v>11.5</v>
      </c>
    </row>
    <row r="425" customFormat="false" ht="15" hidden="false" customHeight="false" outlineLevel="0" collapsed="false">
      <c r="A425" s="0" t="s">
        <v>3411</v>
      </c>
      <c r="B425" s="0" t="n">
        <v>9</v>
      </c>
    </row>
    <row r="426" customFormat="false" ht="15" hidden="false" customHeight="false" outlineLevel="0" collapsed="false">
      <c r="A426" s="0" t="s">
        <v>3412</v>
      </c>
      <c r="B426" s="0" t="n">
        <v>9.25</v>
      </c>
    </row>
    <row r="427" customFormat="false" ht="15" hidden="false" customHeight="false" outlineLevel="0" collapsed="false">
      <c r="A427" s="0" t="s">
        <v>3413</v>
      </c>
      <c r="B427" s="0" t="n">
        <v>6.25</v>
      </c>
    </row>
    <row r="428" customFormat="false" ht="15" hidden="false" customHeight="false" outlineLevel="0" collapsed="false">
      <c r="A428" s="0" t="s">
        <v>3414</v>
      </c>
      <c r="B428" s="0" t="n">
        <v>8</v>
      </c>
    </row>
    <row r="429" customFormat="false" ht="15" hidden="false" customHeight="false" outlineLevel="0" collapsed="false">
      <c r="A429" s="0" t="s">
        <v>3415</v>
      </c>
      <c r="B429" s="0" t="n">
        <v>8.65</v>
      </c>
    </row>
    <row r="430" customFormat="false" ht="15" hidden="false" customHeight="false" outlineLevel="0" collapsed="false">
      <c r="A430" s="0" t="s">
        <v>3416</v>
      </c>
      <c r="B430" s="0" t="n">
        <v>7.49</v>
      </c>
    </row>
    <row r="431" customFormat="false" ht="15" hidden="false" customHeight="false" outlineLevel="0" collapsed="false">
      <c r="A431" s="0" t="s">
        <v>3417</v>
      </c>
      <c r="B431" s="0" t="n">
        <v>8</v>
      </c>
    </row>
    <row r="432" customFormat="false" ht="15" hidden="false" customHeight="false" outlineLevel="0" collapsed="false">
      <c r="A432" s="0" t="s">
        <v>3418</v>
      </c>
      <c r="B432" s="0" t="n">
        <v>11.33</v>
      </c>
    </row>
    <row r="433" customFormat="false" ht="15" hidden="false" customHeight="false" outlineLevel="0" collapsed="false">
      <c r="A433" s="0" t="s">
        <v>3419</v>
      </c>
      <c r="B433" s="0" t="n">
        <v>7.88</v>
      </c>
    </row>
    <row r="434" customFormat="false" ht="15" hidden="false" customHeight="false" outlineLevel="0" collapsed="false">
      <c r="A434" s="0" t="s">
        <v>3420</v>
      </c>
      <c r="B434" s="0" t="n">
        <v>6.56</v>
      </c>
    </row>
    <row r="435" customFormat="false" ht="15" hidden="false" customHeight="false" outlineLevel="0" collapsed="false">
      <c r="A435" s="0" t="s">
        <v>3421</v>
      </c>
      <c r="B435" s="0" t="n">
        <v>8.17</v>
      </c>
    </row>
    <row r="436" customFormat="false" ht="15" hidden="false" customHeight="false" outlineLevel="0" collapsed="false">
      <c r="A436" s="0" t="s">
        <v>3422</v>
      </c>
      <c r="B436" s="0" t="n">
        <v>5</v>
      </c>
    </row>
    <row r="437" customFormat="false" ht="15" hidden="false" customHeight="false" outlineLevel="0" collapsed="false">
      <c r="A437" s="0" t="s">
        <v>3423</v>
      </c>
      <c r="B437" s="0" t="n">
        <v>9.6</v>
      </c>
    </row>
    <row r="438" customFormat="false" ht="15" hidden="false" customHeight="false" outlineLevel="0" collapsed="false">
      <c r="A438" s="0" t="s">
        <v>3424</v>
      </c>
      <c r="B438" s="0" t="n">
        <v>4.5</v>
      </c>
    </row>
    <row r="439" customFormat="false" ht="15" hidden="false" customHeight="false" outlineLevel="0" collapsed="false">
      <c r="A439" s="0" t="s">
        <v>3425</v>
      </c>
      <c r="B439" s="0" t="n">
        <v>10</v>
      </c>
    </row>
    <row r="440" customFormat="false" ht="15" hidden="false" customHeight="false" outlineLevel="0" collapsed="false">
      <c r="A440" s="0" t="s">
        <v>3426</v>
      </c>
      <c r="B440" s="0" t="n">
        <v>9.8</v>
      </c>
    </row>
    <row r="441" customFormat="false" ht="15" hidden="false" customHeight="false" outlineLevel="0" collapsed="false">
      <c r="A441" s="0" t="s">
        <v>3427</v>
      </c>
      <c r="B441" s="0" t="n">
        <v>9.43</v>
      </c>
    </row>
    <row r="442" customFormat="false" ht="15" hidden="false" customHeight="false" outlineLevel="0" collapsed="false">
      <c r="A442" s="0" t="s">
        <v>3428</v>
      </c>
      <c r="B442" s="0" t="n">
        <v>8.62</v>
      </c>
    </row>
    <row r="443" customFormat="false" ht="15" hidden="false" customHeight="false" outlineLevel="0" collapsed="false">
      <c r="A443" s="0" t="s">
        <v>3429</v>
      </c>
      <c r="B443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1101</v>
      </c>
      <c r="B1" s="12" t="s">
        <v>65</v>
      </c>
      <c r="C1" s="12" t="s">
        <v>1076</v>
      </c>
      <c r="D1" s="12" t="s">
        <v>3430</v>
      </c>
      <c r="E1" s="12" t="s">
        <v>3431</v>
      </c>
      <c r="F1" s="12" t="s">
        <v>3432</v>
      </c>
      <c r="G1" s="12" t="s">
        <v>3433</v>
      </c>
    </row>
    <row r="2" customFormat="false" ht="15" hidden="false" customHeight="false" outlineLevel="0" collapsed="false">
      <c r="A2" s="0" t="s">
        <v>1056</v>
      </c>
      <c r="B2" s="0" t="s">
        <v>129</v>
      </c>
      <c r="C2" s="0" t="s">
        <v>1145</v>
      </c>
      <c r="D2" s="0" t="n">
        <v>4</v>
      </c>
      <c r="E2" s="0" t="n">
        <v>0</v>
      </c>
      <c r="F2" s="0" t="n">
        <v>100</v>
      </c>
      <c r="G2" s="0" t="n">
        <v>2</v>
      </c>
    </row>
    <row r="3" customFormat="false" ht="15" hidden="false" customHeight="false" outlineLevel="0" collapsed="false">
      <c r="A3" s="0" t="s">
        <v>1056</v>
      </c>
      <c r="B3" s="0" t="s">
        <v>129</v>
      </c>
      <c r="C3" s="0" t="s">
        <v>2934</v>
      </c>
      <c r="D3" s="0" t="n">
        <v>18</v>
      </c>
      <c r="E3" s="0" t="n">
        <v>1</v>
      </c>
      <c r="F3" s="0" t="n">
        <v>71</v>
      </c>
      <c r="G3" s="0" t="n">
        <v>17</v>
      </c>
    </row>
    <row r="4" customFormat="false" ht="15" hidden="false" customHeight="false" outlineLevel="0" collapsed="false">
      <c r="A4" s="0" t="s">
        <v>1056</v>
      </c>
      <c r="B4" s="0" t="s">
        <v>95</v>
      </c>
      <c r="C4" s="0" t="s">
        <v>1145</v>
      </c>
      <c r="D4" s="0" t="n">
        <v>7</v>
      </c>
      <c r="E4" s="0" t="n">
        <v>11</v>
      </c>
      <c r="F4" s="0" t="n">
        <v>57</v>
      </c>
      <c r="G4" s="0" t="n">
        <v>7</v>
      </c>
    </row>
    <row r="5" customFormat="false" ht="15" hidden="false" customHeight="false" outlineLevel="0" collapsed="false">
      <c r="A5" s="0" t="s">
        <v>1056</v>
      </c>
      <c r="B5" s="0" t="s">
        <v>95</v>
      </c>
      <c r="C5" s="0" t="s">
        <v>2934</v>
      </c>
      <c r="D5" s="0" t="n">
        <v>6</v>
      </c>
      <c r="E5" s="0" t="n">
        <v>13</v>
      </c>
      <c r="F5" s="0" t="n">
        <v>62</v>
      </c>
      <c r="G5" s="0" t="n">
        <v>21</v>
      </c>
    </row>
    <row r="6" customFormat="false" ht="15" hidden="false" customHeight="false" outlineLevel="0" collapsed="false">
      <c r="A6" s="0" t="s">
        <v>1056</v>
      </c>
      <c r="B6" s="0" t="s">
        <v>108</v>
      </c>
      <c r="C6" s="0" t="s">
        <v>1145</v>
      </c>
      <c r="D6" s="0" t="n">
        <v>19</v>
      </c>
      <c r="E6" s="0" t="n">
        <v>0</v>
      </c>
      <c r="F6" s="0" t="n">
        <v>80</v>
      </c>
      <c r="G6" s="0" t="n">
        <v>5</v>
      </c>
    </row>
    <row r="7" customFormat="false" ht="15" hidden="false" customHeight="false" outlineLevel="0" collapsed="false">
      <c r="A7" s="0" t="s">
        <v>1056</v>
      </c>
      <c r="B7" s="0" t="s">
        <v>108</v>
      </c>
      <c r="C7" s="0" t="s">
        <v>2934</v>
      </c>
      <c r="D7" s="0" t="n">
        <v>15</v>
      </c>
      <c r="E7" s="0" t="n">
        <v>4</v>
      </c>
      <c r="F7" s="0" t="n">
        <v>68</v>
      </c>
      <c r="G7" s="0" t="n">
        <v>19</v>
      </c>
    </row>
    <row r="8" customFormat="false" ht="15" hidden="false" customHeight="false" outlineLevel="0" collapsed="false">
      <c r="A8" s="0" t="s">
        <v>1056</v>
      </c>
      <c r="B8" s="0" t="s">
        <v>139</v>
      </c>
      <c r="C8" s="0" t="s">
        <v>1145</v>
      </c>
      <c r="D8" s="0" t="n">
        <v>0</v>
      </c>
      <c r="E8" s="0" t="n">
        <v>85</v>
      </c>
      <c r="G8" s="0" t="n">
        <v>0</v>
      </c>
    </row>
    <row r="9" customFormat="false" ht="15" hidden="false" customHeight="false" outlineLevel="0" collapsed="false">
      <c r="A9" s="0" t="s">
        <v>1056</v>
      </c>
      <c r="B9" s="0" t="s">
        <v>139</v>
      </c>
      <c r="C9" s="0" t="s">
        <v>2934</v>
      </c>
      <c r="D9" s="0" t="n">
        <v>0</v>
      </c>
      <c r="E9" s="0" t="n">
        <v>76</v>
      </c>
      <c r="F9" s="0" t="n">
        <v>100</v>
      </c>
      <c r="G9" s="0" t="n">
        <v>1</v>
      </c>
    </row>
    <row r="10" customFormat="false" ht="15" hidden="false" customHeight="false" outlineLevel="0" collapsed="false">
      <c r="A10" s="0" t="s">
        <v>1056</v>
      </c>
      <c r="B10" s="0" t="s">
        <v>145</v>
      </c>
      <c r="C10" s="0" t="s">
        <v>1145</v>
      </c>
      <c r="D10" s="0" t="n">
        <v>0</v>
      </c>
      <c r="E10" s="0" t="n">
        <v>4</v>
      </c>
      <c r="F10" s="0" t="n">
        <v>40</v>
      </c>
      <c r="G10" s="0" t="n">
        <v>5</v>
      </c>
    </row>
    <row r="11" customFormat="false" ht="15" hidden="false" customHeight="false" outlineLevel="0" collapsed="false">
      <c r="A11" s="0" t="s">
        <v>1056</v>
      </c>
      <c r="B11" s="0" t="s">
        <v>145</v>
      </c>
      <c r="C11" s="0" t="s">
        <v>2934</v>
      </c>
      <c r="D11" s="0" t="n">
        <v>9</v>
      </c>
      <c r="E11" s="0" t="n">
        <v>3</v>
      </c>
      <c r="F11" s="0" t="n">
        <v>71</v>
      </c>
      <c r="G11" s="0" t="n">
        <v>17</v>
      </c>
    </row>
    <row r="12" customFormat="false" ht="15" hidden="false" customHeight="false" outlineLevel="0" collapsed="false">
      <c r="A12" s="0" t="s">
        <v>1056</v>
      </c>
      <c r="B12" s="0" t="s">
        <v>81</v>
      </c>
      <c r="C12" s="0" t="s">
        <v>1145</v>
      </c>
      <c r="D12" s="0" t="n">
        <v>33</v>
      </c>
      <c r="E12" s="0" t="n">
        <v>0</v>
      </c>
      <c r="F12" s="0" t="n">
        <v>62</v>
      </c>
      <c r="G12" s="0" t="n">
        <v>8</v>
      </c>
    </row>
    <row r="13" customFormat="false" ht="15" hidden="false" customHeight="false" outlineLevel="0" collapsed="false">
      <c r="A13" s="0" t="s">
        <v>1056</v>
      </c>
      <c r="B13" s="0" t="s">
        <v>81</v>
      </c>
      <c r="C13" s="0" t="s">
        <v>2934</v>
      </c>
      <c r="D13" s="0" t="n">
        <v>22</v>
      </c>
      <c r="E13" s="0" t="n">
        <v>1</v>
      </c>
      <c r="F13" s="0" t="n">
        <v>65</v>
      </c>
      <c r="G13" s="0" t="n">
        <v>26</v>
      </c>
    </row>
    <row r="14" customFormat="false" ht="15" hidden="false" customHeight="false" outlineLevel="0" collapsed="false">
      <c r="A14" s="0" t="s">
        <v>1056</v>
      </c>
      <c r="B14" s="0" t="s">
        <v>121</v>
      </c>
      <c r="C14" s="0" t="s">
        <v>1145</v>
      </c>
      <c r="D14" s="0" t="n">
        <v>19</v>
      </c>
      <c r="E14" s="0" t="n">
        <v>0</v>
      </c>
      <c r="F14" s="0" t="n">
        <v>60</v>
      </c>
      <c r="G14" s="0" t="n">
        <v>5</v>
      </c>
    </row>
    <row r="15" customFormat="false" ht="15" hidden="false" customHeight="false" outlineLevel="0" collapsed="false">
      <c r="A15" s="0" t="s">
        <v>1056</v>
      </c>
      <c r="B15" s="0" t="s">
        <v>121</v>
      </c>
      <c r="C15" s="0" t="s">
        <v>2934</v>
      </c>
      <c r="D15" s="0" t="n">
        <v>25</v>
      </c>
      <c r="E15" s="0" t="n">
        <v>0</v>
      </c>
      <c r="F15" s="0" t="n">
        <v>71</v>
      </c>
      <c r="G15" s="0" t="n">
        <v>17</v>
      </c>
    </row>
    <row r="16" customFormat="false" ht="15" hidden="false" customHeight="false" outlineLevel="0" collapsed="false">
      <c r="A16" s="0" t="s">
        <v>1147</v>
      </c>
      <c r="B16" s="0" t="s">
        <v>129</v>
      </c>
      <c r="C16" s="0" t="s">
        <v>1152</v>
      </c>
      <c r="D16" s="0" t="n">
        <v>0</v>
      </c>
      <c r="E16" s="0" t="n">
        <v>2</v>
      </c>
      <c r="F16" s="0" t="n">
        <v>60</v>
      </c>
      <c r="G16" s="0" t="n">
        <v>5</v>
      </c>
    </row>
    <row r="17" customFormat="false" ht="15" hidden="false" customHeight="false" outlineLevel="0" collapsed="false">
      <c r="A17" s="0" t="s">
        <v>1147</v>
      </c>
      <c r="B17" s="0" t="s">
        <v>129</v>
      </c>
      <c r="C17" s="0" t="s">
        <v>1153</v>
      </c>
      <c r="D17" s="0" t="n">
        <v>29</v>
      </c>
      <c r="E17" s="0" t="n">
        <v>0</v>
      </c>
      <c r="F17" s="0" t="n">
        <v>67</v>
      </c>
      <c r="G17" s="0" t="n">
        <v>21</v>
      </c>
    </row>
    <row r="18" customFormat="false" ht="15" hidden="false" customHeight="false" outlineLevel="0" collapsed="false">
      <c r="A18" s="0" t="s">
        <v>1147</v>
      </c>
      <c r="B18" s="0" t="s">
        <v>95</v>
      </c>
      <c r="C18" s="0" t="s">
        <v>1152</v>
      </c>
      <c r="D18" s="0" t="n">
        <v>7</v>
      </c>
      <c r="E18" s="0" t="n">
        <v>0</v>
      </c>
      <c r="F18" s="0" t="n">
        <v>70</v>
      </c>
      <c r="G18" s="0" t="n">
        <v>10</v>
      </c>
    </row>
    <row r="19" customFormat="false" ht="15" hidden="false" customHeight="false" outlineLevel="0" collapsed="false">
      <c r="A19" s="0" t="s">
        <v>1147</v>
      </c>
      <c r="B19" s="0" t="s">
        <v>95</v>
      </c>
      <c r="C19" s="0" t="s">
        <v>1153</v>
      </c>
      <c r="D19" s="0" t="n">
        <v>30</v>
      </c>
      <c r="E19" s="0" t="n">
        <v>0</v>
      </c>
      <c r="F19" s="0" t="n">
        <v>68</v>
      </c>
      <c r="G19" s="0" t="n">
        <v>22</v>
      </c>
    </row>
    <row r="20" customFormat="false" ht="15" hidden="false" customHeight="false" outlineLevel="0" collapsed="false">
      <c r="A20" s="0" t="s">
        <v>1147</v>
      </c>
      <c r="B20" s="0" t="s">
        <v>108</v>
      </c>
      <c r="C20" s="0" t="s">
        <v>1152</v>
      </c>
      <c r="D20" s="0" t="n">
        <v>48</v>
      </c>
      <c r="E20" s="0" t="n">
        <v>2</v>
      </c>
      <c r="F20" s="0" t="n">
        <v>53</v>
      </c>
      <c r="G20" s="0" t="n">
        <v>15</v>
      </c>
    </row>
    <row r="21" customFormat="false" ht="15" hidden="false" customHeight="false" outlineLevel="0" collapsed="false">
      <c r="A21" s="0" t="s">
        <v>1147</v>
      </c>
      <c r="B21" s="0" t="s">
        <v>108</v>
      </c>
      <c r="C21" s="0" t="s">
        <v>1153</v>
      </c>
      <c r="D21" s="0" t="n">
        <v>5</v>
      </c>
      <c r="E21" s="0" t="n">
        <v>10</v>
      </c>
      <c r="F21" s="0" t="n">
        <v>80</v>
      </c>
      <c r="G21" s="0" t="n">
        <v>10</v>
      </c>
    </row>
    <row r="22" customFormat="false" ht="15" hidden="false" customHeight="false" outlineLevel="0" collapsed="false">
      <c r="A22" s="0" t="s">
        <v>1147</v>
      </c>
      <c r="B22" s="0" t="s">
        <v>139</v>
      </c>
      <c r="C22" s="0" t="s">
        <v>1152</v>
      </c>
      <c r="D22" s="0" t="n">
        <v>0</v>
      </c>
      <c r="E22" s="0" t="n">
        <v>9</v>
      </c>
      <c r="F22" s="0" t="n">
        <v>43</v>
      </c>
      <c r="G22" s="0" t="n">
        <v>7</v>
      </c>
    </row>
    <row r="23" customFormat="false" ht="15" hidden="false" customHeight="false" outlineLevel="0" collapsed="false">
      <c r="A23" s="0" t="s">
        <v>1147</v>
      </c>
      <c r="B23" s="0" t="s">
        <v>139</v>
      </c>
      <c r="C23" s="0" t="s">
        <v>1153</v>
      </c>
      <c r="D23" s="0" t="n">
        <v>0</v>
      </c>
      <c r="E23" s="0" t="n">
        <v>86</v>
      </c>
      <c r="F23" s="0" t="n">
        <v>0</v>
      </c>
      <c r="G23" s="0" t="n">
        <v>1</v>
      </c>
    </row>
    <row r="24" customFormat="false" ht="15" hidden="false" customHeight="false" outlineLevel="0" collapsed="false">
      <c r="A24" s="0" t="s">
        <v>1147</v>
      </c>
      <c r="B24" s="0" t="s">
        <v>145</v>
      </c>
      <c r="C24" s="0" t="s">
        <v>1152</v>
      </c>
      <c r="D24" s="0" t="n">
        <v>2</v>
      </c>
      <c r="E24" s="0" t="n">
        <v>7</v>
      </c>
      <c r="F24" s="0" t="n">
        <v>50</v>
      </c>
      <c r="G24" s="0" t="n">
        <v>4</v>
      </c>
    </row>
    <row r="25" customFormat="false" ht="15" hidden="false" customHeight="false" outlineLevel="0" collapsed="false">
      <c r="A25" s="0" t="s">
        <v>1147</v>
      </c>
      <c r="B25" s="0" t="s">
        <v>145</v>
      </c>
      <c r="C25" s="0" t="s">
        <v>1153</v>
      </c>
      <c r="D25" s="0" t="n">
        <v>11</v>
      </c>
      <c r="E25" s="0" t="n">
        <v>2</v>
      </c>
      <c r="F25" s="0" t="n">
        <v>58</v>
      </c>
      <c r="G25" s="0" t="n">
        <v>12</v>
      </c>
    </row>
    <row r="26" customFormat="false" ht="15" hidden="false" customHeight="false" outlineLevel="0" collapsed="false">
      <c r="A26" s="0" t="s">
        <v>1147</v>
      </c>
      <c r="B26" s="0" t="s">
        <v>81</v>
      </c>
      <c r="C26" s="0" t="s">
        <v>1152</v>
      </c>
      <c r="D26" s="0" t="n">
        <v>25</v>
      </c>
      <c r="E26" s="0" t="n">
        <v>0</v>
      </c>
      <c r="F26" s="0" t="n">
        <v>75</v>
      </c>
      <c r="G26" s="0" t="n">
        <v>8</v>
      </c>
    </row>
    <row r="27" customFormat="false" ht="15" hidden="false" customHeight="false" outlineLevel="0" collapsed="false">
      <c r="A27" s="0" t="s">
        <v>1147</v>
      </c>
      <c r="B27" s="0" t="s">
        <v>81</v>
      </c>
      <c r="C27" s="0" t="s">
        <v>1153</v>
      </c>
      <c r="D27" s="0" t="n">
        <v>5</v>
      </c>
      <c r="E27" s="0" t="n">
        <v>0</v>
      </c>
      <c r="F27" s="0" t="n">
        <v>57</v>
      </c>
      <c r="G27" s="0" t="n">
        <v>14</v>
      </c>
    </row>
    <row r="28" customFormat="false" ht="15" hidden="false" customHeight="false" outlineLevel="0" collapsed="false">
      <c r="A28" s="0" t="s">
        <v>1147</v>
      </c>
      <c r="B28" s="0" t="s">
        <v>121</v>
      </c>
      <c r="C28" s="0" t="s">
        <v>1152</v>
      </c>
      <c r="D28" s="0" t="n">
        <v>0</v>
      </c>
      <c r="E28" s="0" t="n">
        <v>80</v>
      </c>
      <c r="G28" s="0" t="n">
        <v>0</v>
      </c>
    </row>
    <row r="29" customFormat="false" ht="15" hidden="false" customHeight="false" outlineLevel="0" collapsed="false">
      <c r="A29" s="0" t="s">
        <v>1147</v>
      </c>
      <c r="B29" s="0" t="s">
        <v>121</v>
      </c>
      <c r="C29" s="0" t="s">
        <v>1153</v>
      </c>
      <c r="D29" s="0" t="n">
        <v>17</v>
      </c>
      <c r="E29" s="0" t="n">
        <v>3</v>
      </c>
      <c r="F29" s="0" t="n">
        <v>56</v>
      </c>
      <c r="G29" s="0" t="n">
        <v>16</v>
      </c>
    </row>
    <row r="30" customFormat="false" ht="15" hidden="false" customHeight="false" outlineLevel="0" collapsed="false">
      <c r="A30" s="0" t="s">
        <v>1154</v>
      </c>
      <c r="B30" s="0" t="s">
        <v>129</v>
      </c>
      <c r="C30" s="0" t="s">
        <v>2938</v>
      </c>
      <c r="D30" s="0" t="n">
        <v>24</v>
      </c>
      <c r="E30" s="0" t="n">
        <v>0</v>
      </c>
      <c r="F30" s="0" t="n">
        <v>59</v>
      </c>
      <c r="G30" s="0" t="n">
        <v>22</v>
      </c>
    </row>
    <row r="31" customFormat="false" ht="15" hidden="false" customHeight="false" outlineLevel="0" collapsed="false">
      <c r="A31" s="0" t="s">
        <v>1154</v>
      </c>
      <c r="B31" s="0" t="s">
        <v>129</v>
      </c>
      <c r="C31" s="0" t="s">
        <v>1160</v>
      </c>
      <c r="D31" s="0" t="n">
        <v>38</v>
      </c>
      <c r="E31" s="0" t="n">
        <v>0</v>
      </c>
      <c r="F31" s="0" t="n">
        <v>60</v>
      </c>
      <c r="G31" s="0" t="n">
        <v>15</v>
      </c>
    </row>
    <row r="32" customFormat="false" ht="15" hidden="false" customHeight="false" outlineLevel="0" collapsed="false">
      <c r="A32" s="0" t="s">
        <v>1154</v>
      </c>
      <c r="B32" s="0" t="s">
        <v>95</v>
      </c>
      <c r="C32" s="0" t="s">
        <v>2938</v>
      </c>
      <c r="D32" s="0" t="n">
        <v>33</v>
      </c>
      <c r="E32" s="0" t="n">
        <v>0</v>
      </c>
      <c r="F32" s="0" t="n">
        <v>76</v>
      </c>
      <c r="G32" s="0" t="n">
        <v>17</v>
      </c>
    </row>
    <row r="33" customFormat="false" ht="15" hidden="false" customHeight="false" outlineLevel="0" collapsed="false">
      <c r="A33" s="0" t="s">
        <v>1154</v>
      </c>
      <c r="B33" s="0" t="s">
        <v>95</v>
      </c>
      <c r="C33" s="0" t="s">
        <v>1160</v>
      </c>
      <c r="D33" s="0" t="n">
        <v>3</v>
      </c>
      <c r="E33" s="0" t="n">
        <v>21</v>
      </c>
      <c r="F33" s="0" t="n">
        <v>50</v>
      </c>
      <c r="G33" s="0" t="n">
        <v>4</v>
      </c>
    </row>
    <row r="34" customFormat="false" ht="15" hidden="false" customHeight="false" outlineLevel="0" collapsed="false">
      <c r="A34" s="0" t="s">
        <v>1154</v>
      </c>
      <c r="B34" s="0" t="s">
        <v>108</v>
      </c>
      <c r="C34" s="0" t="s">
        <v>2938</v>
      </c>
      <c r="D34" s="0" t="n">
        <v>5</v>
      </c>
      <c r="E34" s="0" t="n">
        <v>2</v>
      </c>
      <c r="F34" s="0" t="n">
        <v>39</v>
      </c>
      <c r="G34" s="0" t="n">
        <v>18</v>
      </c>
    </row>
    <row r="35" customFormat="false" ht="15" hidden="false" customHeight="false" outlineLevel="0" collapsed="false">
      <c r="A35" s="0" t="s">
        <v>1154</v>
      </c>
      <c r="B35" s="0" t="s">
        <v>108</v>
      </c>
      <c r="C35" s="0" t="s">
        <v>1160</v>
      </c>
      <c r="D35" s="0" t="n">
        <v>0</v>
      </c>
      <c r="E35" s="0" t="n">
        <v>12</v>
      </c>
      <c r="F35" s="0" t="n">
        <v>50</v>
      </c>
      <c r="G35" s="0" t="n">
        <v>12</v>
      </c>
    </row>
    <row r="36" customFormat="false" ht="15" hidden="false" customHeight="false" outlineLevel="0" collapsed="false">
      <c r="A36" s="0" t="s">
        <v>1154</v>
      </c>
      <c r="B36" s="0" t="s">
        <v>139</v>
      </c>
      <c r="C36" s="0" t="s">
        <v>2938</v>
      </c>
      <c r="D36" s="0" t="n">
        <v>0</v>
      </c>
      <c r="E36" s="0" t="n">
        <v>21</v>
      </c>
      <c r="F36" s="0" t="n">
        <v>50</v>
      </c>
      <c r="G36" s="0" t="n">
        <v>12</v>
      </c>
    </row>
    <row r="37" customFormat="false" ht="15" hidden="false" customHeight="false" outlineLevel="0" collapsed="false">
      <c r="A37" s="0" t="s">
        <v>1154</v>
      </c>
      <c r="B37" s="0" t="s">
        <v>139</v>
      </c>
      <c r="C37" s="0" t="s">
        <v>1160</v>
      </c>
      <c r="D37" s="0" t="n">
        <v>29</v>
      </c>
      <c r="E37" s="0" t="n">
        <v>12</v>
      </c>
      <c r="F37" s="0" t="n">
        <v>60</v>
      </c>
      <c r="G37" s="0" t="n">
        <v>10</v>
      </c>
    </row>
    <row r="38" customFormat="false" ht="15" hidden="false" customHeight="false" outlineLevel="0" collapsed="false">
      <c r="A38" s="0" t="s">
        <v>1154</v>
      </c>
      <c r="B38" s="0" t="s">
        <v>145</v>
      </c>
      <c r="C38" s="0" t="s">
        <v>2938</v>
      </c>
      <c r="D38" s="0" t="n">
        <v>0</v>
      </c>
      <c r="E38" s="0" t="n">
        <v>76</v>
      </c>
      <c r="G38" s="0" t="n">
        <v>0</v>
      </c>
    </row>
    <row r="39" customFormat="false" ht="15" hidden="false" customHeight="false" outlineLevel="0" collapsed="false">
      <c r="A39" s="0" t="s">
        <v>1154</v>
      </c>
      <c r="B39" s="0" t="s">
        <v>145</v>
      </c>
      <c r="C39" s="0" t="s">
        <v>1160</v>
      </c>
      <c r="D39" s="0" t="n">
        <v>0</v>
      </c>
      <c r="E39" s="0" t="n">
        <v>15</v>
      </c>
      <c r="F39" s="0" t="n">
        <v>67</v>
      </c>
      <c r="G39" s="0" t="n">
        <v>3</v>
      </c>
    </row>
    <row r="40" customFormat="false" ht="15" hidden="false" customHeight="false" outlineLevel="0" collapsed="false">
      <c r="A40" s="0" t="s">
        <v>1154</v>
      </c>
      <c r="B40" s="0" t="s">
        <v>81</v>
      </c>
      <c r="C40" s="0" t="s">
        <v>2938</v>
      </c>
      <c r="D40" s="0" t="n">
        <v>28</v>
      </c>
      <c r="E40" s="0" t="n">
        <v>0</v>
      </c>
      <c r="F40" s="0" t="n">
        <v>73</v>
      </c>
      <c r="G40" s="0" t="n">
        <v>22</v>
      </c>
    </row>
    <row r="41" customFormat="false" ht="15" hidden="false" customHeight="false" outlineLevel="0" collapsed="false">
      <c r="A41" s="0" t="s">
        <v>1154</v>
      </c>
      <c r="B41" s="0" t="s">
        <v>81</v>
      </c>
      <c r="C41" s="0" t="s">
        <v>1160</v>
      </c>
      <c r="D41" s="0" t="n">
        <v>6</v>
      </c>
      <c r="E41" s="0" t="n">
        <v>9</v>
      </c>
      <c r="F41" s="0" t="n">
        <v>33</v>
      </c>
      <c r="G41" s="0" t="n">
        <v>9</v>
      </c>
    </row>
    <row r="42" customFormat="false" ht="15" hidden="false" customHeight="false" outlineLevel="0" collapsed="false">
      <c r="A42" s="0" t="s">
        <v>1154</v>
      </c>
      <c r="B42" s="0" t="s">
        <v>121</v>
      </c>
      <c r="C42" s="0" t="s">
        <v>2938</v>
      </c>
      <c r="D42" s="0" t="n">
        <v>5</v>
      </c>
      <c r="E42" s="0" t="n">
        <v>0</v>
      </c>
      <c r="F42" s="0" t="n">
        <v>54</v>
      </c>
      <c r="G42" s="0" t="n">
        <v>13</v>
      </c>
    </row>
    <row r="43" customFormat="false" ht="15" hidden="false" customHeight="false" outlineLevel="0" collapsed="false">
      <c r="A43" s="0" t="s">
        <v>1154</v>
      </c>
      <c r="B43" s="0" t="s">
        <v>121</v>
      </c>
      <c r="C43" s="0" t="s">
        <v>1160</v>
      </c>
      <c r="D43" s="0" t="n">
        <v>0</v>
      </c>
      <c r="E43" s="0" t="n">
        <v>32</v>
      </c>
      <c r="G43" s="0" t="n">
        <v>0</v>
      </c>
    </row>
    <row r="44" customFormat="false" ht="15" hidden="false" customHeight="false" outlineLevel="0" collapsed="false">
      <c r="A44" s="0" t="s">
        <v>1161</v>
      </c>
      <c r="B44" s="0" t="s">
        <v>129</v>
      </c>
      <c r="C44" s="0" t="s">
        <v>2941</v>
      </c>
      <c r="D44" s="0" t="n">
        <v>15</v>
      </c>
      <c r="E44" s="0" t="n">
        <v>0</v>
      </c>
      <c r="F44" s="0" t="n">
        <v>90</v>
      </c>
      <c r="G44" s="0" t="n">
        <v>10</v>
      </c>
    </row>
    <row r="45" customFormat="false" ht="15" hidden="false" customHeight="false" outlineLevel="0" collapsed="false">
      <c r="A45" s="0" t="s">
        <v>1161</v>
      </c>
      <c r="B45" s="0" t="s">
        <v>129</v>
      </c>
      <c r="C45" s="0" t="s">
        <v>2943</v>
      </c>
      <c r="D45" s="0" t="n">
        <v>16</v>
      </c>
      <c r="E45" s="0" t="n">
        <v>9</v>
      </c>
      <c r="F45" s="0" t="n">
        <v>80</v>
      </c>
      <c r="G45" s="0" t="n">
        <v>5</v>
      </c>
    </row>
    <row r="46" customFormat="false" ht="15" hidden="false" customHeight="false" outlineLevel="0" collapsed="false">
      <c r="A46" s="0" t="s">
        <v>1161</v>
      </c>
      <c r="B46" s="0" t="s">
        <v>95</v>
      </c>
      <c r="C46" s="0" t="s">
        <v>2941</v>
      </c>
      <c r="D46" s="0" t="n">
        <v>38</v>
      </c>
      <c r="E46" s="0" t="n">
        <v>0</v>
      </c>
      <c r="F46" s="0" t="n">
        <v>81</v>
      </c>
      <c r="G46" s="0" t="n">
        <v>16</v>
      </c>
    </row>
    <row r="47" customFormat="false" ht="15" hidden="false" customHeight="false" outlineLevel="0" collapsed="false">
      <c r="A47" s="0" t="s">
        <v>1161</v>
      </c>
      <c r="B47" s="0" t="s">
        <v>95</v>
      </c>
      <c r="C47" s="0" t="s">
        <v>2943</v>
      </c>
      <c r="D47" s="0" t="n">
        <v>3</v>
      </c>
      <c r="E47" s="0" t="n">
        <v>22</v>
      </c>
      <c r="F47" s="0" t="n">
        <v>40</v>
      </c>
      <c r="G47" s="0" t="n">
        <v>5</v>
      </c>
    </row>
    <row r="48" customFormat="false" ht="15" hidden="false" customHeight="false" outlineLevel="0" collapsed="false">
      <c r="A48" s="0" t="s">
        <v>1161</v>
      </c>
      <c r="B48" s="0" t="s">
        <v>108</v>
      </c>
      <c r="C48" s="0" t="s">
        <v>2941</v>
      </c>
      <c r="D48" s="0" t="n">
        <v>2</v>
      </c>
      <c r="E48" s="0" t="n">
        <v>0</v>
      </c>
      <c r="F48" s="0" t="n">
        <v>75</v>
      </c>
      <c r="G48" s="0" t="n">
        <v>12</v>
      </c>
    </row>
    <row r="49" customFormat="false" ht="15" hidden="false" customHeight="false" outlineLevel="0" collapsed="false">
      <c r="A49" s="0" t="s">
        <v>1161</v>
      </c>
      <c r="B49" s="0" t="s">
        <v>108</v>
      </c>
      <c r="C49" s="0" t="s">
        <v>2943</v>
      </c>
      <c r="D49" s="0" t="n">
        <v>16</v>
      </c>
      <c r="E49" s="0" t="n">
        <v>3</v>
      </c>
      <c r="F49" s="0" t="n">
        <v>25</v>
      </c>
      <c r="G49" s="0" t="n">
        <v>8</v>
      </c>
    </row>
    <row r="50" customFormat="false" ht="15" hidden="false" customHeight="false" outlineLevel="0" collapsed="false">
      <c r="A50" s="0" t="s">
        <v>1161</v>
      </c>
      <c r="B50" s="0" t="s">
        <v>139</v>
      </c>
      <c r="C50" s="0" t="s">
        <v>2941</v>
      </c>
      <c r="D50" s="0" t="n">
        <v>12</v>
      </c>
      <c r="E50" s="0" t="n">
        <v>0</v>
      </c>
      <c r="F50" s="0" t="n">
        <v>75</v>
      </c>
      <c r="G50" s="0" t="n">
        <v>8</v>
      </c>
    </row>
    <row r="51" customFormat="false" ht="15" hidden="false" customHeight="false" outlineLevel="0" collapsed="false">
      <c r="A51" s="0" t="s">
        <v>1161</v>
      </c>
      <c r="B51" s="0" t="s">
        <v>139</v>
      </c>
      <c r="C51" s="0" t="s">
        <v>2943</v>
      </c>
      <c r="D51" s="0" t="n">
        <v>9</v>
      </c>
      <c r="E51" s="0" t="n">
        <v>0</v>
      </c>
      <c r="F51" s="0" t="n">
        <v>40</v>
      </c>
      <c r="G51" s="0" t="n">
        <v>10</v>
      </c>
    </row>
    <row r="52" customFormat="false" ht="15" hidden="false" customHeight="false" outlineLevel="0" collapsed="false">
      <c r="A52" s="0" t="s">
        <v>1161</v>
      </c>
      <c r="B52" s="0" t="s">
        <v>145</v>
      </c>
      <c r="C52" s="0" t="s">
        <v>2941</v>
      </c>
      <c r="D52" s="0" t="n">
        <v>18</v>
      </c>
      <c r="E52" s="0" t="n">
        <v>0</v>
      </c>
      <c r="F52" s="0" t="n">
        <v>57</v>
      </c>
      <c r="G52" s="0" t="n">
        <v>7</v>
      </c>
    </row>
    <row r="53" customFormat="false" ht="15" hidden="false" customHeight="false" outlineLevel="0" collapsed="false">
      <c r="A53" s="0" t="s">
        <v>1161</v>
      </c>
      <c r="B53" s="0" t="s">
        <v>145</v>
      </c>
      <c r="C53" s="0" t="s">
        <v>2943</v>
      </c>
      <c r="D53" s="0" t="n">
        <v>3</v>
      </c>
      <c r="E53" s="0" t="n">
        <v>9</v>
      </c>
      <c r="F53" s="0" t="n">
        <v>67</v>
      </c>
      <c r="G53" s="0" t="n">
        <v>6</v>
      </c>
    </row>
    <row r="54" customFormat="false" ht="15" hidden="false" customHeight="false" outlineLevel="0" collapsed="false">
      <c r="A54" s="0" t="s">
        <v>1161</v>
      </c>
      <c r="B54" s="0" t="s">
        <v>81</v>
      </c>
      <c r="C54" s="0" t="s">
        <v>2941</v>
      </c>
      <c r="D54" s="0" t="n">
        <v>0</v>
      </c>
      <c r="E54" s="0" t="n">
        <v>100</v>
      </c>
      <c r="G54" s="0" t="n">
        <v>0</v>
      </c>
    </row>
    <row r="55" customFormat="false" ht="15" hidden="false" customHeight="false" outlineLevel="0" collapsed="false">
      <c r="A55" s="0" t="s">
        <v>1161</v>
      </c>
      <c r="B55" s="0" t="s">
        <v>81</v>
      </c>
      <c r="C55" s="0" t="s">
        <v>2943</v>
      </c>
      <c r="D55" s="0" t="n">
        <v>38</v>
      </c>
      <c r="E55" s="0" t="n">
        <v>9</v>
      </c>
      <c r="F55" s="0" t="n">
        <v>25</v>
      </c>
      <c r="G55" s="0" t="n">
        <v>4</v>
      </c>
    </row>
    <row r="56" customFormat="false" ht="15" hidden="false" customHeight="false" outlineLevel="0" collapsed="false">
      <c r="A56" s="0" t="s">
        <v>1161</v>
      </c>
      <c r="B56" s="0" t="s">
        <v>121</v>
      </c>
      <c r="C56" s="0" t="s">
        <v>2941</v>
      </c>
      <c r="D56" s="0" t="n">
        <v>2</v>
      </c>
      <c r="E56" s="0" t="n">
        <v>0</v>
      </c>
      <c r="F56" s="0" t="n">
        <v>40</v>
      </c>
      <c r="G56" s="0" t="n">
        <v>10</v>
      </c>
    </row>
    <row r="57" customFormat="false" ht="15" hidden="false" customHeight="false" outlineLevel="0" collapsed="false">
      <c r="A57" s="0" t="s">
        <v>1161</v>
      </c>
      <c r="B57" s="0" t="s">
        <v>121</v>
      </c>
      <c r="C57" s="0" t="s">
        <v>2943</v>
      </c>
      <c r="D57" s="0" t="n">
        <v>16</v>
      </c>
      <c r="E57" s="0" t="n">
        <v>3</v>
      </c>
      <c r="F57" s="0" t="n">
        <v>75</v>
      </c>
      <c r="G57" s="0" t="n">
        <v>4</v>
      </c>
    </row>
    <row r="58" customFormat="false" ht="15" hidden="false" customHeight="false" outlineLevel="0" collapsed="false">
      <c r="A58" s="0" t="s">
        <v>1167</v>
      </c>
      <c r="B58" s="0" t="s">
        <v>129</v>
      </c>
      <c r="C58" s="0" t="s">
        <v>1172</v>
      </c>
      <c r="D58" s="0" t="n">
        <v>13</v>
      </c>
      <c r="E58" s="0" t="n">
        <v>0</v>
      </c>
      <c r="F58" s="0" t="n">
        <v>57</v>
      </c>
      <c r="G58" s="0" t="n">
        <v>7</v>
      </c>
    </row>
    <row r="59" customFormat="false" ht="15" hidden="false" customHeight="false" outlineLevel="0" collapsed="false">
      <c r="A59" s="0" t="s">
        <v>1167</v>
      </c>
      <c r="B59" s="0" t="s">
        <v>129</v>
      </c>
      <c r="C59" s="0" t="s">
        <v>2946</v>
      </c>
      <c r="D59" s="0" t="n">
        <v>17</v>
      </c>
      <c r="E59" s="0" t="n">
        <v>0</v>
      </c>
      <c r="F59" s="0" t="n">
        <v>80</v>
      </c>
      <c r="G59" s="0" t="n">
        <v>10</v>
      </c>
    </row>
    <row r="60" customFormat="false" ht="15" hidden="false" customHeight="false" outlineLevel="0" collapsed="false">
      <c r="A60" s="0" t="s">
        <v>1167</v>
      </c>
      <c r="B60" s="0" t="s">
        <v>95</v>
      </c>
      <c r="C60" s="0" t="s">
        <v>1172</v>
      </c>
      <c r="D60" s="0" t="n">
        <v>26</v>
      </c>
      <c r="E60" s="0" t="n">
        <v>3</v>
      </c>
      <c r="F60" s="0" t="n">
        <v>33</v>
      </c>
      <c r="G60" s="0" t="n">
        <v>9</v>
      </c>
    </row>
    <row r="61" customFormat="false" ht="15" hidden="false" customHeight="false" outlineLevel="0" collapsed="false">
      <c r="A61" s="0" t="s">
        <v>1167</v>
      </c>
      <c r="B61" s="0" t="s">
        <v>95</v>
      </c>
      <c r="C61" s="0" t="s">
        <v>2946</v>
      </c>
      <c r="D61" s="0" t="n">
        <v>0</v>
      </c>
      <c r="E61" s="0" t="n">
        <v>49</v>
      </c>
      <c r="F61" s="0" t="n">
        <v>44</v>
      </c>
      <c r="G61" s="0" t="n">
        <v>9</v>
      </c>
    </row>
    <row r="62" customFormat="false" ht="15" hidden="false" customHeight="false" outlineLevel="0" collapsed="false">
      <c r="A62" s="0" t="s">
        <v>1167</v>
      </c>
      <c r="B62" s="0" t="s">
        <v>108</v>
      </c>
      <c r="C62" s="0" t="s">
        <v>1172</v>
      </c>
      <c r="D62" s="0" t="n">
        <v>18</v>
      </c>
      <c r="E62" s="0" t="n">
        <v>3</v>
      </c>
      <c r="F62" s="0" t="n">
        <v>75</v>
      </c>
      <c r="G62" s="0" t="n">
        <v>8</v>
      </c>
    </row>
    <row r="63" customFormat="false" ht="15" hidden="false" customHeight="false" outlineLevel="0" collapsed="false">
      <c r="A63" s="0" t="s">
        <v>1167</v>
      </c>
      <c r="B63" s="0" t="s">
        <v>108</v>
      </c>
      <c r="C63" s="0" t="s">
        <v>2946</v>
      </c>
      <c r="D63" s="0" t="n">
        <v>10</v>
      </c>
      <c r="E63" s="0" t="n">
        <v>0</v>
      </c>
      <c r="F63" s="0" t="n">
        <v>22</v>
      </c>
      <c r="G63" s="0" t="n">
        <v>9</v>
      </c>
    </row>
    <row r="64" customFormat="false" ht="15" hidden="false" customHeight="false" outlineLevel="0" collapsed="false">
      <c r="A64" s="0" t="s">
        <v>1167</v>
      </c>
      <c r="B64" s="0" t="s">
        <v>139</v>
      </c>
      <c r="C64" s="0" t="s">
        <v>1172</v>
      </c>
      <c r="D64" s="0" t="n">
        <v>0</v>
      </c>
      <c r="E64" s="0" t="n">
        <v>89</v>
      </c>
      <c r="G64" s="0" t="n">
        <v>0</v>
      </c>
    </row>
    <row r="65" customFormat="false" ht="15" hidden="false" customHeight="false" outlineLevel="0" collapsed="false">
      <c r="A65" s="0" t="s">
        <v>1167</v>
      </c>
      <c r="B65" s="0" t="s">
        <v>139</v>
      </c>
      <c r="C65" s="0" t="s">
        <v>2946</v>
      </c>
      <c r="D65" s="0" t="n">
        <v>15</v>
      </c>
      <c r="E65" s="0" t="n">
        <v>12</v>
      </c>
      <c r="F65" s="0" t="n">
        <v>33</v>
      </c>
      <c r="G65" s="0" t="n">
        <v>3</v>
      </c>
    </row>
    <row r="66" customFormat="false" ht="15" hidden="false" customHeight="false" outlineLevel="0" collapsed="false">
      <c r="A66" s="0" t="s">
        <v>1167</v>
      </c>
      <c r="B66" s="0" t="s">
        <v>145</v>
      </c>
      <c r="C66" s="0" t="s">
        <v>1172</v>
      </c>
      <c r="D66" s="0" t="n">
        <v>24</v>
      </c>
      <c r="E66" s="0" t="n">
        <v>0</v>
      </c>
      <c r="F66" s="0" t="n">
        <v>80</v>
      </c>
      <c r="G66" s="0" t="n">
        <v>10</v>
      </c>
    </row>
    <row r="67" customFormat="false" ht="15" hidden="false" customHeight="false" outlineLevel="0" collapsed="false">
      <c r="A67" s="0" t="s">
        <v>1167</v>
      </c>
      <c r="B67" s="0" t="s">
        <v>145</v>
      </c>
      <c r="C67" s="0" t="s">
        <v>2946</v>
      </c>
      <c r="D67" s="0" t="n">
        <v>12</v>
      </c>
      <c r="E67" s="0" t="n">
        <v>0</v>
      </c>
      <c r="F67" s="0" t="n">
        <v>64</v>
      </c>
      <c r="G67" s="0" t="n">
        <v>11</v>
      </c>
    </row>
    <row r="68" customFormat="false" ht="15" hidden="false" customHeight="false" outlineLevel="0" collapsed="false">
      <c r="A68" s="0" t="s">
        <v>1167</v>
      </c>
      <c r="B68" s="0" t="s">
        <v>81</v>
      </c>
      <c r="C68" s="0" t="s">
        <v>1172</v>
      </c>
      <c r="D68" s="0" t="n">
        <v>16</v>
      </c>
      <c r="E68" s="0" t="n">
        <v>0</v>
      </c>
      <c r="F68" s="0" t="n">
        <v>40</v>
      </c>
      <c r="G68" s="0" t="n">
        <v>10</v>
      </c>
    </row>
    <row r="69" customFormat="false" ht="15" hidden="false" customHeight="false" outlineLevel="0" collapsed="false">
      <c r="A69" s="0" t="s">
        <v>1167</v>
      </c>
      <c r="B69" s="0" t="s">
        <v>81</v>
      </c>
      <c r="C69" s="0" t="s">
        <v>2946</v>
      </c>
      <c r="D69" s="0" t="n">
        <v>32</v>
      </c>
      <c r="E69" s="0" t="n">
        <v>0</v>
      </c>
      <c r="F69" s="0" t="n">
        <v>50</v>
      </c>
      <c r="G69" s="0" t="n">
        <v>12</v>
      </c>
    </row>
    <row r="70" customFormat="false" ht="15" hidden="false" customHeight="false" outlineLevel="0" collapsed="false">
      <c r="A70" s="0" t="s">
        <v>1167</v>
      </c>
      <c r="B70" s="0" t="s">
        <v>121</v>
      </c>
      <c r="C70" s="0" t="s">
        <v>1172</v>
      </c>
      <c r="D70" s="0" t="n">
        <v>3</v>
      </c>
      <c r="E70" s="0" t="n">
        <v>3</v>
      </c>
      <c r="F70" s="0" t="n">
        <v>40</v>
      </c>
      <c r="G70" s="0" t="n">
        <v>5</v>
      </c>
    </row>
    <row r="71" customFormat="false" ht="15" hidden="false" customHeight="false" outlineLevel="0" collapsed="false">
      <c r="A71" s="0" t="s">
        <v>1167</v>
      </c>
      <c r="B71" s="0" t="s">
        <v>121</v>
      </c>
      <c r="C71" s="0" t="s">
        <v>2946</v>
      </c>
      <c r="D71" s="0" t="n">
        <v>0</v>
      </c>
      <c r="E71" s="0" t="n">
        <v>39</v>
      </c>
      <c r="G71" s="0" t="n">
        <v>0</v>
      </c>
    </row>
    <row r="72" customFormat="false" ht="15" hidden="false" customHeight="false" outlineLevel="0" collapsed="false">
      <c r="A72" s="0" t="s">
        <v>1174</v>
      </c>
      <c r="B72" s="0" t="s">
        <v>129</v>
      </c>
      <c r="C72" s="0" t="s">
        <v>2948</v>
      </c>
      <c r="D72" s="0" t="n">
        <v>0</v>
      </c>
      <c r="E72" s="0" t="n">
        <v>0</v>
      </c>
      <c r="F72" s="0" t="n">
        <v>60</v>
      </c>
      <c r="G72" s="0" t="n">
        <v>5</v>
      </c>
    </row>
    <row r="73" customFormat="false" ht="15" hidden="false" customHeight="false" outlineLevel="0" collapsed="false">
      <c r="A73" s="0" t="s">
        <v>1174</v>
      </c>
      <c r="B73" s="0" t="s">
        <v>129</v>
      </c>
      <c r="C73" s="0" t="s">
        <v>2950</v>
      </c>
      <c r="D73" s="0" t="n">
        <v>30</v>
      </c>
      <c r="E73" s="0" t="n">
        <v>1</v>
      </c>
      <c r="F73" s="0" t="n">
        <v>56</v>
      </c>
      <c r="G73" s="0" t="n">
        <v>18</v>
      </c>
    </row>
    <row r="74" customFormat="false" ht="15" hidden="false" customHeight="false" outlineLevel="0" collapsed="false">
      <c r="A74" s="0" t="s">
        <v>1174</v>
      </c>
      <c r="B74" s="0" t="s">
        <v>95</v>
      </c>
      <c r="C74" s="0" t="s">
        <v>2948</v>
      </c>
      <c r="D74" s="0" t="n">
        <v>0</v>
      </c>
      <c r="E74" s="0" t="n">
        <v>0</v>
      </c>
      <c r="F74" s="0" t="n">
        <v>33</v>
      </c>
      <c r="G74" s="0" t="n">
        <v>9</v>
      </c>
    </row>
    <row r="75" customFormat="false" ht="15" hidden="false" customHeight="false" outlineLevel="0" collapsed="false">
      <c r="A75" s="0" t="s">
        <v>1174</v>
      </c>
      <c r="B75" s="0" t="s">
        <v>95</v>
      </c>
      <c r="C75" s="0" t="s">
        <v>2950</v>
      </c>
      <c r="D75" s="0" t="n">
        <v>0</v>
      </c>
      <c r="E75" s="0" t="n">
        <v>0</v>
      </c>
      <c r="F75" s="0" t="n">
        <v>60</v>
      </c>
      <c r="G75" s="0" t="n">
        <v>10</v>
      </c>
    </row>
    <row r="76" customFormat="false" ht="15" hidden="false" customHeight="false" outlineLevel="0" collapsed="false">
      <c r="A76" s="0" t="s">
        <v>1174</v>
      </c>
      <c r="B76" s="0" t="s">
        <v>108</v>
      </c>
      <c r="C76" s="0" t="s">
        <v>2948</v>
      </c>
      <c r="D76" s="0" t="n">
        <v>0</v>
      </c>
      <c r="E76" s="0" t="n">
        <v>0</v>
      </c>
      <c r="F76" s="0" t="n">
        <v>33</v>
      </c>
      <c r="G76" s="0" t="n">
        <v>9</v>
      </c>
    </row>
    <row r="77" customFormat="false" ht="15" hidden="false" customHeight="false" outlineLevel="0" collapsed="false">
      <c r="A77" s="0" t="s">
        <v>1174</v>
      </c>
      <c r="B77" s="0" t="s">
        <v>108</v>
      </c>
      <c r="C77" s="0" t="s">
        <v>2950</v>
      </c>
      <c r="D77" s="0" t="n">
        <v>25</v>
      </c>
      <c r="E77" s="0" t="n">
        <v>0</v>
      </c>
      <c r="F77" s="0" t="n">
        <v>56</v>
      </c>
      <c r="G77" s="0" t="n">
        <v>16</v>
      </c>
    </row>
    <row r="78" customFormat="false" ht="15" hidden="false" customHeight="false" outlineLevel="0" collapsed="false">
      <c r="A78" s="0" t="s">
        <v>1174</v>
      </c>
      <c r="B78" s="0" t="s">
        <v>139</v>
      </c>
      <c r="C78" s="0" t="s">
        <v>2948</v>
      </c>
      <c r="D78" s="0" t="n">
        <v>100</v>
      </c>
      <c r="E78" s="0" t="n">
        <v>0</v>
      </c>
      <c r="F78" s="0" t="n">
        <v>71</v>
      </c>
      <c r="G78" s="0" t="n">
        <v>7</v>
      </c>
    </row>
    <row r="79" customFormat="false" ht="15" hidden="false" customHeight="false" outlineLevel="0" collapsed="false">
      <c r="A79" s="0" t="s">
        <v>1174</v>
      </c>
      <c r="B79" s="0" t="s">
        <v>139</v>
      </c>
      <c r="C79" s="0" t="s">
        <v>2950</v>
      </c>
      <c r="D79" s="0" t="n">
        <v>0</v>
      </c>
      <c r="E79" s="0" t="n">
        <v>88</v>
      </c>
      <c r="G79" s="0" t="n">
        <v>0</v>
      </c>
    </row>
    <row r="80" customFormat="false" ht="15" hidden="false" customHeight="false" outlineLevel="0" collapsed="false">
      <c r="A80" s="0" t="s">
        <v>1174</v>
      </c>
      <c r="B80" s="0" t="s">
        <v>145</v>
      </c>
      <c r="C80" s="0" t="s">
        <v>2948</v>
      </c>
      <c r="D80" s="0" t="n">
        <v>0</v>
      </c>
      <c r="E80" s="0" t="n">
        <v>0</v>
      </c>
      <c r="F80" s="0" t="n">
        <v>57</v>
      </c>
      <c r="G80" s="0" t="n">
        <v>7</v>
      </c>
    </row>
    <row r="81" customFormat="false" ht="15" hidden="false" customHeight="false" outlineLevel="0" collapsed="false">
      <c r="A81" s="0" t="s">
        <v>1174</v>
      </c>
      <c r="B81" s="0" t="s">
        <v>145</v>
      </c>
      <c r="C81" s="0" t="s">
        <v>2950</v>
      </c>
      <c r="D81" s="0" t="n">
        <v>28</v>
      </c>
      <c r="E81" s="0" t="n">
        <v>0</v>
      </c>
      <c r="F81" s="0" t="n">
        <v>43</v>
      </c>
      <c r="G81" s="0" t="n">
        <v>14</v>
      </c>
    </row>
    <row r="82" customFormat="false" ht="15" hidden="false" customHeight="false" outlineLevel="0" collapsed="false">
      <c r="A82" s="0" t="s">
        <v>1174</v>
      </c>
      <c r="B82" s="0" t="s">
        <v>81</v>
      </c>
      <c r="C82" s="0" t="s">
        <v>2948</v>
      </c>
      <c r="D82" s="0" t="n">
        <v>0</v>
      </c>
      <c r="E82" s="0" t="n">
        <v>0</v>
      </c>
      <c r="F82" s="0" t="n">
        <v>42</v>
      </c>
      <c r="G82" s="0" t="n">
        <v>12</v>
      </c>
    </row>
    <row r="83" customFormat="false" ht="15" hidden="false" customHeight="false" outlineLevel="0" collapsed="false">
      <c r="A83" s="0" t="s">
        <v>1174</v>
      </c>
      <c r="B83" s="0" t="s">
        <v>81</v>
      </c>
      <c r="C83" s="0" t="s">
        <v>2950</v>
      </c>
      <c r="D83" s="0" t="n">
        <v>16</v>
      </c>
      <c r="E83" s="0" t="n">
        <v>0</v>
      </c>
      <c r="F83" s="0" t="n">
        <v>38</v>
      </c>
      <c r="G83" s="0" t="n">
        <v>13</v>
      </c>
    </row>
    <row r="84" customFormat="false" ht="15" hidden="false" customHeight="false" outlineLevel="0" collapsed="false">
      <c r="A84" s="0" t="s">
        <v>1174</v>
      </c>
      <c r="B84" s="0" t="s">
        <v>121</v>
      </c>
      <c r="C84" s="0" t="s">
        <v>2948</v>
      </c>
      <c r="D84" s="0" t="n">
        <v>0</v>
      </c>
      <c r="E84" s="0" t="n">
        <v>100</v>
      </c>
      <c r="G84" s="0" t="n">
        <v>0</v>
      </c>
    </row>
    <row r="85" customFormat="false" ht="15" hidden="false" customHeight="false" outlineLevel="0" collapsed="false">
      <c r="A85" s="0" t="s">
        <v>1174</v>
      </c>
      <c r="B85" s="0" t="s">
        <v>121</v>
      </c>
      <c r="C85" s="0" t="s">
        <v>2950</v>
      </c>
      <c r="D85" s="0" t="n">
        <v>0</v>
      </c>
      <c r="E85" s="0" t="n">
        <v>4</v>
      </c>
      <c r="F85" s="0" t="n">
        <v>67</v>
      </c>
      <c r="G85" s="0" t="n">
        <v>6</v>
      </c>
    </row>
    <row r="86" customFormat="false" ht="15" hidden="false" customHeight="false" outlineLevel="0" collapsed="false">
      <c r="A86" s="0" t="s">
        <v>1180</v>
      </c>
      <c r="B86" s="0" t="s">
        <v>129</v>
      </c>
      <c r="C86" s="0" t="s">
        <v>2952</v>
      </c>
      <c r="D86" s="0" t="n">
        <v>18</v>
      </c>
      <c r="E86" s="0" t="n">
        <v>0</v>
      </c>
      <c r="F86" s="0" t="n">
        <v>75</v>
      </c>
      <c r="G86" s="0" t="n">
        <v>12</v>
      </c>
    </row>
    <row r="87" customFormat="false" ht="15" hidden="false" customHeight="false" outlineLevel="0" collapsed="false">
      <c r="A87" s="0" t="s">
        <v>1180</v>
      </c>
      <c r="B87" s="0" t="s">
        <v>129</v>
      </c>
      <c r="C87" s="0" t="s">
        <v>2954</v>
      </c>
      <c r="D87" s="0" t="n">
        <v>33</v>
      </c>
      <c r="E87" s="0" t="n">
        <v>0</v>
      </c>
      <c r="F87" s="0" t="n">
        <v>89</v>
      </c>
      <c r="G87" s="0" t="n">
        <v>9</v>
      </c>
    </row>
    <row r="88" customFormat="false" ht="15" hidden="false" customHeight="false" outlineLevel="0" collapsed="false">
      <c r="A88" s="0" t="s">
        <v>1180</v>
      </c>
      <c r="B88" s="0" t="s">
        <v>95</v>
      </c>
      <c r="C88" s="0" t="s">
        <v>2952</v>
      </c>
      <c r="D88" s="0" t="n">
        <v>10</v>
      </c>
      <c r="E88" s="0" t="n">
        <v>5</v>
      </c>
      <c r="F88" s="0" t="n">
        <v>71</v>
      </c>
      <c r="G88" s="0" t="n">
        <v>14</v>
      </c>
    </row>
    <row r="89" customFormat="false" ht="15" hidden="false" customHeight="false" outlineLevel="0" collapsed="false">
      <c r="A89" s="0" t="s">
        <v>1180</v>
      </c>
      <c r="B89" s="0" t="s">
        <v>95</v>
      </c>
      <c r="C89" s="0" t="s">
        <v>2954</v>
      </c>
      <c r="D89" s="0" t="n">
        <v>29</v>
      </c>
      <c r="E89" s="0" t="n">
        <v>0</v>
      </c>
      <c r="F89" s="0" t="n">
        <v>55</v>
      </c>
      <c r="G89" s="0" t="n">
        <v>11</v>
      </c>
    </row>
    <row r="90" customFormat="false" ht="15" hidden="false" customHeight="false" outlineLevel="0" collapsed="false">
      <c r="A90" s="0" t="s">
        <v>1180</v>
      </c>
      <c r="B90" s="0" t="s">
        <v>108</v>
      </c>
      <c r="C90" s="0" t="s">
        <v>2952</v>
      </c>
      <c r="D90" s="0" t="n">
        <v>28</v>
      </c>
      <c r="E90" s="0" t="n">
        <v>2</v>
      </c>
      <c r="F90" s="0" t="n">
        <v>70</v>
      </c>
      <c r="G90" s="0" t="n">
        <v>20</v>
      </c>
    </row>
    <row r="91" customFormat="false" ht="15" hidden="false" customHeight="false" outlineLevel="0" collapsed="false">
      <c r="A91" s="0" t="s">
        <v>1180</v>
      </c>
      <c r="B91" s="0" t="s">
        <v>108</v>
      </c>
      <c r="C91" s="0" t="s">
        <v>2954</v>
      </c>
      <c r="D91" s="0" t="n">
        <v>33</v>
      </c>
      <c r="E91" s="0" t="n">
        <v>0</v>
      </c>
      <c r="F91" s="0" t="n">
        <v>67</v>
      </c>
      <c r="G91" s="0" t="n">
        <v>9</v>
      </c>
    </row>
    <row r="92" customFormat="false" ht="15" hidden="false" customHeight="false" outlineLevel="0" collapsed="false">
      <c r="A92" s="0" t="s">
        <v>1180</v>
      </c>
      <c r="B92" s="0" t="s">
        <v>139</v>
      </c>
      <c r="C92" s="0" t="s">
        <v>2952</v>
      </c>
      <c r="D92" s="0" t="n">
        <v>27</v>
      </c>
      <c r="E92" s="0" t="n">
        <v>0</v>
      </c>
      <c r="F92" s="0" t="n">
        <v>55</v>
      </c>
      <c r="G92" s="0" t="n">
        <v>20</v>
      </c>
    </row>
    <row r="93" customFormat="false" ht="15" hidden="false" customHeight="false" outlineLevel="0" collapsed="false">
      <c r="A93" s="0" t="s">
        <v>1180</v>
      </c>
      <c r="B93" s="0" t="s">
        <v>139</v>
      </c>
      <c r="C93" s="0" t="s">
        <v>2954</v>
      </c>
      <c r="D93" s="0" t="n">
        <v>5</v>
      </c>
      <c r="E93" s="0" t="n">
        <v>0</v>
      </c>
      <c r="F93" s="0" t="n">
        <v>50</v>
      </c>
      <c r="G93" s="0" t="n">
        <v>4</v>
      </c>
    </row>
    <row r="94" customFormat="false" ht="15" hidden="false" customHeight="false" outlineLevel="0" collapsed="false">
      <c r="A94" s="0" t="s">
        <v>1180</v>
      </c>
      <c r="B94" s="0" t="s">
        <v>145</v>
      </c>
      <c r="C94" s="0" t="s">
        <v>2952</v>
      </c>
      <c r="D94" s="0" t="n">
        <v>15</v>
      </c>
      <c r="E94" s="0" t="n">
        <v>2</v>
      </c>
      <c r="F94" s="0" t="n">
        <v>76</v>
      </c>
      <c r="G94" s="0" t="n">
        <v>17</v>
      </c>
    </row>
    <row r="95" customFormat="false" ht="15" hidden="false" customHeight="false" outlineLevel="0" collapsed="false">
      <c r="A95" s="0" t="s">
        <v>1180</v>
      </c>
      <c r="B95" s="0" t="s">
        <v>145</v>
      </c>
      <c r="C95" s="0" t="s">
        <v>2954</v>
      </c>
      <c r="D95" s="0" t="n">
        <v>0</v>
      </c>
      <c r="E95" s="0" t="n">
        <v>90</v>
      </c>
      <c r="F95" s="0" t="n">
        <v>100</v>
      </c>
      <c r="G95" s="0" t="n">
        <v>1</v>
      </c>
    </row>
    <row r="96" customFormat="false" ht="15" hidden="false" customHeight="false" outlineLevel="0" collapsed="false">
      <c r="A96" s="0" t="s">
        <v>1180</v>
      </c>
      <c r="B96" s="0" t="s">
        <v>81</v>
      </c>
      <c r="C96" s="0" t="s">
        <v>2952</v>
      </c>
      <c r="D96" s="0" t="n">
        <v>0</v>
      </c>
      <c r="E96" s="0" t="n">
        <v>90</v>
      </c>
      <c r="G96" s="0" t="n">
        <v>0</v>
      </c>
    </row>
    <row r="97" customFormat="false" ht="15" hidden="false" customHeight="false" outlineLevel="0" collapsed="false">
      <c r="A97" s="0" t="s">
        <v>1180</v>
      </c>
      <c r="B97" s="0" t="s">
        <v>81</v>
      </c>
      <c r="C97" s="0" t="s">
        <v>2954</v>
      </c>
      <c r="D97" s="0" t="n">
        <v>0</v>
      </c>
      <c r="E97" s="0" t="n">
        <v>0</v>
      </c>
      <c r="F97" s="0" t="n">
        <v>30</v>
      </c>
      <c r="G97" s="0" t="n">
        <v>10</v>
      </c>
    </row>
    <row r="98" customFormat="false" ht="15" hidden="false" customHeight="false" outlineLevel="0" collapsed="false">
      <c r="A98" s="0" t="s">
        <v>1180</v>
      </c>
      <c r="B98" s="0" t="s">
        <v>121</v>
      </c>
      <c r="C98" s="0" t="s">
        <v>2952</v>
      </c>
      <c r="D98" s="0" t="n">
        <v>2</v>
      </c>
      <c r="E98" s="0" t="n">
        <v>2</v>
      </c>
      <c r="F98" s="0" t="n">
        <v>70</v>
      </c>
      <c r="G98" s="0" t="n">
        <v>10</v>
      </c>
    </row>
    <row r="99" customFormat="false" ht="15" hidden="false" customHeight="false" outlineLevel="0" collapsed="false">
      <c r="A99" s="0" t="s">
        <v>1180</v>
      </c>
      <c r="B99" s="0" t="s">
        <v>121</v>
      </c>
      <c r="C99" s="0" t="s">
        <v>2954</v>
      </c>
      <c r="D99" s="0" t="n">
        <v>0</v>
      </c>
      <c r="E99" s="0" t="n">
        <v>10</v>
      </c>
      <c r="F99" s="0" t="n">
        <v>33</v>
      </c>
      <c r="G99" s="0" t="n">
        <v>3</v>
      </c>
    </row>
    <row r="100" customFormat="false" ht="15" hidden="false" customHeight="false" outlineLevel="0" collapsed="false">
      <c r="A100" s="0" t="s">
        <v>1186</v>
      </c>
      <c r="B100" s="0" t="s">
        <v>129</v>
      </c>
      <c r="C100" s="0" t="s">
        <v>2956</v>
      </c>
      <c r="D100" s="0" t="n">
        <v>0</v>
      </c>
      <c r="E100" s="0" t="n">
        <v>33</v>
      </c>
      <c r="F100" s="0" t="n">
        <v>67</v>
      </c>
      <c r="G100" s="0" t="n">
        <v>3</v>
      </c>
    </row>
    <row r="101" customFormat="false" ht="15" hidden="false" customHeight="false" outlineLevel="0" collapsed="false">
      <c r="A101" s="0" t="s">
        <v>1186</v>
      </c>
      <c r="B101" s="0" t="s">
        <v>129</v>
      </c>
      <c r="C101" s="0" t="s">
        <v>1191</v>
      </c>
      <c r="G101" s="0" t="n">
        <v>0</v>
      </c>
    </row>
    <row r="102" customFormat="false" ht="15" hidden="false" customHeight="false" outlineLevel="0" collapsed="false">
      <c r="A102" s="0" t="s">
        <v>1186</v>
      </c>
      <c r="B102" s="0" t="s">
        <v>95</v>
      </c>
      <c r="C102" s="0" t="s">
        <v>2956</v>
      </c>
      <c r="D102" s="0" t="n">
        <v>29</v>
      </c>
      <c r="E102" s="0" t="n">
        <v>4</v>
      </c>
      <c r="F102" s="0" t="n">
        <v>93</v>
      </c>
      <c r="G102" s="0" t="n">
        <v>14</v>
      </c>
    </row>
    <row r="103" customFormat="false" ht="15" hidden="false" customHeight="false" outlineLevel="0" collapsed="false">
      <c r="A103" s="0" t="s">
        <v>1186</v>
      </c>
      <c r="B103" s="0" t="s">
        <v>95</v>
      </c>
      <c r="C103" s="0" t="s">
        <v>1191</v>
      </c>
      <c r="G103" s="0" t="n">
        <v>0</v>
      </c>
    </row>
    <row r="104" customFormat="false" ht="15" hidden="false" customHeight="false" outlineLevel="0" collapsed="false">
      <c r="A104" s="0" t="s">
        <v>1186</v>
      </c>
      <c r="B104" s="0" t="s">
        <v>108</v>
      </c>
      <c r="C104" s="0" t="s">
        <v>2956</v>
      </c>
      <c r="D104" s="0" t="n">
        <v>12</v>
      </c>
      <c r="E104" s="0" t="n">
        <v>13</v>
      </c>
      <c r="F104" s="0" t="n">
        <v>56</v>
      </c>
      <c r="G104" s="0" t="n">
        <v>9</v>
      </c>
    </row>
    <row r="105" customFormat="false" ht="15" hidden="false" customHeight="false" outlineLevel="0" collapsed="false">
      <c r="A105" s="0" t="s">
        <v>1186</v>
      </c>
      <c r="B105" s="0" t="s">
        <v>108</v>
      </c>
      <c r="C105" s="0" t="s">
        <v>1191</v>
      </c>
      <c r="G105" s="0" t="n">
        <v>0</v>
      </c>
    </row>
    <row r="106" customFormat="false" ht="15" hidden="false" customHeight="false" outlineLevel="0" collapsed="false">
      <c r="A106" s="0" t="s">
        <v>1186</v>
      </c>
      <c r="B106" s="0" t="s">
        <v>139</v>
      </c>
      <c r="C106" s="0" t="s">
        <v>2956</v>
      </c>
      <c r="D106" s="0" t="n">
        <v>23</v>
      </c>
      <c r="E106" s="0" t="n">
        <v>4</v>
      </c>
      <c r="F106" s="0" t="n">
        <v>50</v>
      </c>
      <c r="G106" s="0" t="n">
        <v>8</v>
      </c>
    </row>
    <row r="107" customFormat="false" ht="15" hidden="false" customHeight="false" outlineLevel="0" collapsed="false">
      <c r="A107" s="0" t="s">
        <v>1186</v>
      </c>
      <c r="B107" s="0" t="s">
        <v>139</v>
      </c>
      <c r="C107" s="0" t="s">
        <v>1191</v>
      </c>
      <c r="G107" s="0" t="n">
        <v>0</v>
      </c>
    </row>
    <row r="108" customFormat="false" ht="15" hidden="false" customHeight="false" outlineLevel="0" collapsed="false">
      <c r="A108" s="0" t="s">
        <v>1186</v>
      </c>
      <c r="B108" s="0" t="s">
        <v>145</v>
      </c>
      <c r="C108" s="0" t="s">
        <v>2956</v>
      </c>
      <c r="D108" s="0" t="n">
        <v>12</v>
      </c>
      <c r="E108" s="0" t="n">
        <v>6</v>
      </c>
      <c r="F108" s="0" t="n">
        <v>60</v>
      </c>
      <c r="G108" s="0" t="n">
        <v>10</v>
      </c>
    </row>
    <row r="109" customFormat="false" ht="15" hidden="false" customHeight="false" outlineLevel="0" collapsed="false">
      <c r="A109" s="0" t="s">
        <v>1186</v>
      </c>
      <c r="B109" s="0" t="s">
        <v>145</v>
      </c>
      <c r="C109" s="0" t="s">
        <v>1191</v>
      </c>
      <c r="G109" s="0" t="n">
        <v>0</v>
      </c>
    </row>
    <row r="110" customFormat="false" ht="15" hidden="false" customHeight="false" outlineLevel="0" collapsed="false">
      <c r="A110" s="0" t="s">
        <v>1186</v>
      </c>
      <c r="B110" s="0" t="s">
        <v>81</v>
      </c>
      <c r="C110" s="0" t="s">
        <v>2956</v>
      </c>
      <c r="D110" s="0" t="n">
        <v>13</v>
      </c>
      <c r="E110" s="0" t="n">
        <v>6</v>
      </c>
      <c r="F110" s="0" t="n">
        <v>55</v>
      </c>
      <c r="G110" s="0" t="n">
        <v>11</v>
      </c>
    </row>
    <row r="111" customFormat="false" ht="15" hidden="false" customHeight="false" outlineLevel="0" collapsed="false">
      <c r="A111" s="0" t="s">
        <v>1186</v>
      </c>
      <c r="B111" s="0" t="s">
        <v>81</v>
      </c>
      <c r="C111" s="0" t="s">
        <v>1191</v>
      </c>
      <c r="G111" s="0" t="n">
        <v>0</v>
      </c>
    </row>
    <row r="112" customFormat="false" ht="15" hidden="false" customHeight="false" outlineLevel="0" collapsed="false">
      <c r="A112" s="0" t="s">
        <v>1186</v>
      </c>
      <c r="B112" s="0" t="s">
        <v>121</v>
      </c>
      <c r="C112" s="0" t="s">
        <v>2956</v>
      </c>
      <c r="D112" s="0" t="n">
        <v>8</v>
      </c>
      <c r="E112" s="0" t="n">
        <v>21</v>
      </c>
      <c r="F112" s="0" t="n">
        <v>57</v>
      </c>
      <c r="G112" s="0" t="n">
        <v>7</v>
      </c>
    </row>
    <row r="113" customFormat="false" ht="15" hidden="false" customHeight="false" outlineLevel="0" collapsed="false">
      <c r="A113" s="0" t="s">
        <v>1186</v>
      </c>
      <c r="B113" s="0" t="s">
        <v>121</v>
      </c>
      <c r="C113" s="0" t="s">
        <v>1191</v>
      </c>
      <c r="G113" s="0" t="n">
        <v>0</v>
      </c>
    </row>
    <row r="114" customFormat="false" ht="15" hidden="false" customHeight="false" outlineLevel="0" collapsed="false">
      <c r="A114" s="0" t="s">
        <v>1192</v>
      </c>
      <c r="B114" s="0" t="s">
        <v>129</v>
      </c>
      <c r="C114" s="0" t="s">
        <v>2959</v>
      </c>
      <c r="D114" s="0" t="n">
        <v>14</v>
      </c>
      <c r="E114" s="0" t="n">
        <v>0</v>
      </c>
      <c r="F114" s="0" t="n">
        <v>69</v>
      </c>
      <c r="G114" s="0" t="n">
        <v>13</v>
      </c>
    </row>
    <row r="115" customFormat="false" ht="15" hidden="false" customHeight="false" outlineLevel="0" collapsed="false">
      <c r="A115" s="0" t="s">
        <v>1192</v>
      </c>
      <c r="B115" s="0" t="s">
        <v>129</v>
      </c>
      <c r="C115" s="0" t="s">
        <v>2961</v>
      </c>
      <c r="D115" s="0" t="n">
        <v>0</v>
      </c>
      <c r="E115" s="0" t="n">
        <v>3</v>
      </c>
      <c r="F115" s="0" t="n">
        <v>67</v>
      </c>
      <c r="G115" s="0" t="n">
        <v>6</v>
      </c>
    </row>
    <row r="116" customFormat="false" ht="15" hidden="false" customHeight="false" outlineLevel="0" collapsed="false">
      <c r="A116" s="0" t="s">
        <v>1192</v>
      </c>
      <c r="B116" s="0" t="s">
        <v>95</v>
      </c>
      <c r="C116" s="0" t="s">
        <v>2959</v>
      </c>
      <c r="D116" s="0" t="n">
        <v>0</v>
      </c>
      <c r="E116" s="0" t="n">
        <v>19</v>
      </c>
      <c r="F116" s="0" t="n">
        <v>33</v>
      </c>
      <c r="G116" s="0" t="n">
        <v>6</v>
      </c>
    </row>
    <row r="117" customFormat="false" ht="15" hidden="false" customHeight="false" outlineLevel="0" collapsed="false">
      <c r="A117" s="0" t="s">
        <v>1192</v>
      </c>
      <c r="B117" s="0" t="s">
        <v>95</v>
      </c>
      <c r="C117" s="0" t="s">
        <v>2961</v>
      </c>
      <c r="D117" s="0" t="n">
        <v>47</v>
      </c>
      <c r="E117" s="0" t="n">
        <v>3</v>
      </c>
      <c r="F117" s="0" t="n">
        <v>33</v>
      </c>
      <c r="G117" s="0" t="n">
        <v>6</v>
      </c>
    </row>
    <row r="118" customFormat="false" ht="15" hidden="false" customHeight="false" outlineLevel="0" collapsed="false">
      <c r="A118" s="0" t="s">
        <v>1192</v>
      </c>
      <c r="B118" s="0" t="s">
        <v>108</v>
      </c>
      <c r="C118" s="0" t="s">
        <v>2959</v>
      </c>
      <c r="D118" s="0" t="n">
        <v>3</v>
      </c>
      <c r="E118" s="0" t="n">
        <v>0</v>
      </c>
      <c r="F118" s="0" t="n">
        <v>50</v>
      </c>
      <c r="G118" s="0" t="n">
        <v>8</v>
      </c>
    </row>
    <row r="119" customFormat="false" ht="15" hidden="false" customHeight="false" outlineLevel="0" collapsed="false">
      <c r="A119" s="0" t="s">
        <v>1192</v>
      </c>
      <c r="B119" s="0" t="s">
        <v>108</v>
      </c>
      <c r="C119" s="0" t="s">
        <v>2961</v>
      </c>
      <c r="D119" s="0" t="n">
        <v>25</v>
      </c>
      <c r="E119" s="0" t="n">
        <v>0</v>
      </c>
      <c r="F119" s="0" t="n">
        <v>62</v>
      </c>
      <c r="G119" s="0" t="n">
        <v>8</v>
      </c>
    </row>
    <row r="120" customFormat="false" ht="15" hidden="false" customHeight="false" outlineLevel="0" collapsed="false">
      <c r="A120" s="0" t="s">
        <v>1192</v>
      </c>
      <c r="B120" s="0" t="s">
        <v>139</v>
      </c>
      <c r="C120" s="0" t="s">
        <v>2959</v>
      </c>
      <c r="D120" s="0" t="n">
        <v>8</v>
      </c>
      <c r="E120" s="0" t="n">
        <v>3</v>
      </c>
      <c r="F120" s="0" t="n">
        <v>40</v>
      </c>
      <c r="G120" s="0" t="n">
        <v>10</v>
      </c>
    </row>
    <row r="121" customFormat="false" ht="15" hidden="false" customHeight="false" outlineLevel="0" collapsed="false">
      <c r="A121" s="0" t="s">
        <v>1192</v>
      </c>
      <c r="B121" s="0" t="s">
        <v>139</v>
      </c>
      <c r="C121" s="0" t="s">
        <v>2961</v>
      </c>
      <c r="D121" s="0" t="n">
        <v>0</v>
      </c>
      <c r="E121" s="0" t="n">
        <v>86</v>
      </c>
      <c r="G121" s="0" t="n">
        <v>0</v>
      </c>
    </row>
    <row r="122" customFormat="false" ht="15" hidden="false" customHeight="false" outlineLevel="0" collapsed="false">
      <c r="A122" s="0" t="s">
        <v>1192</v>
      </c>
      <c r="B122" s="0" t="s">
        <v>145</v>
      </c>
      <c r="C122" s="0" t="s">
        <v>2959</v>
      </c>
      <c r="D122" s="0" t="n">
        <v>8</v>
      </c>
      <c r="E122" s="0" t="n">
        <v>3</v>
      </c>
      <c r="F122" s="0" t="n">
        <v>50</v>
      </c>
      <c r="G122" s="0" t="n">
        <v>10</v>
      </c>
    </row>
    <row r="123" customFormat="false" ht="15" hidden="false" customHeight="false" outlineLevel="0" collapsed="false">
      <c r="A123" s="0" t="s">
        <v>1192</v>
      </c>
      <c r="B123" s="0" t="s">
        <v>145</v>
      </c>
      <c r="C123" s="0" t="s">
        <v>2961</v>
      </c>
      <c r="D123" s="0" t="n">
        <v>3</v>
      </c>
      <c r="E123" s="0" t="n">
        <v>6</v>
      </c>
      <c r="F123" s="0" t="n">
        <v>43</v>
      </c>
      <c r="G123" s="0" t="n">
        <v>7</v>
      </c>
    </row>
    <row r="124" customFormat="false" ht="15" hidden="false" customHeight="false" outlineLevel="0" collapsed="false">
      <c r="A124" s="0" t="s">
        <v>1192</v>
      </c>
      <c r="B124" s="0" t="s">
        <v>81</v>
      </c>
      <c r="C124" s="0" t="s">
        <v>2959</v>
      </c>
      <c r="D124" s="0" t="n">
        <v>57</v>
      </c>
      <c r="E124" s="0" t="n">
        <v>0</v>
      </c>
      <c r="F124" s="0" t="n">
        <v>75</v>
      </c>
      <c r="G124" s="0" t="n">
        <v>16</v>
      </c>
    </row>
    <row r="125" customFormat="false" ht="15" hidden="false" customHeight="false" outlineLevel="0" collapsed="false">
      <c r="A125" s="0" t="s">
        <v>1192</v>
      </c>
      <c r="B125" s="0" t="s">
        <v>81</v>
      </c>
      <c r="C125" s="0" t="s">
        <v>2961</v>
      </c>
      <c r="D125" s="0" t="n">
        <v>14</v>
      </c>
      <c r="E125" s="0" t="n">
        <v>3</v>
      </c>
      <c r="F125" s="0" t="n">
        <v>50</v>
      </c>
      <c r="G125" s="0" t="n">
        <v>8</v>
      </c>
    </row>
    <row r="126" customFormat="false" ht="15" hidden="false" customHeight="false" outlineLevel="0" collapsed="false">
      <c r="A126" s="0" t="s">
        <v>1192</v>
      </c>
      <c r="B126" s="0" t="s">
        <v>121</v>
      </c>
      <c r="C126" s="0" t="s">
        <v>2959</v>
      </c>
      <c r="D126" s="0" t="n">
        <v>0</v>
      </c>
      <c r="E126" s="0" t="n">
        <v>76</v>
      </c>
      <c r="F126" s="0" t="n">
        <v>0</v>
      </c>
      <c r="G126" s="0" t="n">
        <v>2</v>
      </c>
    </row>
    <row r="127" customFormat="false" ht="15" hidden="false" customHeight="false" outlineLevel="0" collapsed="false">
      <c r="A127" s="0" t="s">
        <v>1192</v>
      </c>
      <c r="B127" s="0" t="s">
        <v>121</v>
      </c>
      <c r="C127" s="0" t="s">
        <v>2961</v>
      </c>
      <c r="D127" s="0" t="n">
        <v>6</v>
      </c>
      <c r="E127" s="0" t="n">
        <v>0</v>
      </c>
      <c r="F127" s="0" t="n">
        <v>33</v>
      </c>
      <c r="G127" s="0" t="n">
        <v>6</v>
      </c>
    </row>
    <row r="128" customFormat="false" ht="15" hidden="false" customHeight="false" outlineLevel="0" collapsed="false">
      <c r="A128" s="0" t="s">
        <v>1199</v>
      </c>
      <c r="B128" s="0" t="s">
        <v>129</v>
      </c>
      <c r="C128" s="0" t="s">
        <v>1202</v>
      </c>
      <c r="D128" s="0" t="n">
        <v>0</v>
      </c>
      <c r="E128" s="0" t="n">
        <v>0</v>
      </c>
      <c r="F128" s="0" t="n">
        <v>43</v>
      </c>
      <c r="G128" s="0" t="n">
        <v>7</v>
      </c>
    </row>
    <row r="129" customFormat="false" ht="15" hidden="false" customHeight="false" outlineLevel="0" collapsed="false">
      <c r="A129" s="0" t="s">
        <v>1199</v>
      </c>
      <c r="B129" s="0" t="s">
        <v>129</v>
      </c>
      <c r="C129" s="0" t="s">
        <v>2964</v>
      </c>
      <c r="D129" s="0" t="n">
        <v>4</v>
      </c>
      <c r="E129" s="0" t="n">
        <v>0</v>
      </c>
      <c r="F129" s="0" t="n">
        <v>67</v>
      </c>
      <c r="G129" s="0" t="n">
        <v>9</v>
      </c>
    </row>
    <row r="130" customFormat="false" ht="15" hidden="false" customHeight="false" outlineLevel="0" collapsed="false">
      <c r="A130" s="0" t="s">
        <v>1199</v>
      </c>
      <c r="B130" s="0" t="s">
        <v>95</v>
      </c>
      <c r="C130" s="0" t="s">
        <v>1202</v>
      </c>
      <c r="D130" s="0" t="n">
        <v>2</v>
      </c>
      <c r="E130" s="0" t="n">
        <v>0</v>
      </c>
      <c r="F130" s="0" t="n">
        <v>64</v>
      </c>
      <c r="G130" s="0" t="n">
        <v>14</v>
      </c>
    </row>
    <row r="131" customFormat="false" ht="15" hidden="false" customHeight="false" outlineLevel="0" collapsed="false">
      <c r="A131" s="0" t="s">
        <v>1199</v>
      </c>
      <c r="B131" s="0" t="s">
        <v>95</v>
      </c>
      <c r="C131" s="0" t="s">
        <v>2964</v>
      </c>
      <c r="D131" s="0" t="n">
        <v>27</v>
      </c>
      <c r="E131" s="0" t="n">
        <v>7</v>
      </c>
      <c r="F131" s="0" t="n">
        <v>60</v>
      </c>
      <c r="G131" s="0" t="n">
        <v>10</v>
      </c>
    </row>
    <row r="132" customFormat="false" ht="15" hidden="false" customHeight="false" outlineLevel="0" collapsed="false">
      <c r="A132" s="0" t="s">
        <v>1199</v>
      </c>
      <c r="B132" s="0" t="s">
        <v>108</v>
      </c>
      <c r="C132" s="0" t="s">
        <v>1202</v>
      </c>
      <c r="D132" s="0" t="n">
        <v>36</v>
      </c>
      <c r="E132" s="0" t="n">
        <v>0</v>
      </c>
      <c r="F132" s="0" t="n">
        <v>81</v>
      </c>
      <c r="G132" s="0" t="n">
        <v>16</v>
      </c>
    </row>
    <row r="133" customFormat="false" ht="15" hidden="false" customHeight="false" outlineLevel="0" collapsed="false">
      <c r="A133" s="0" t="s">
        <v>1199</v>
      </c>
      <c r="B133" s="0" t="s">
        <v>108</v>
      </c>
      <c r="C133" s="0" t="s">
        <v>2964</v>
      </c>
      <c r="D133" s="0" t="n">
        <v>9</v>
      </c>
      <c r="E133" s="0" t="n">
        <v>0</v>
      </c>
      <c r="F133" s="0" t="n">
        <v>64</v>
      </c>
      <c r="G133" s="0" t="n">
        <v>14</v>
      </c>
    </row>
    <row r="134" customFormat="false" ht="15" hidden="false" customHeight="false" outlineLevel="0" collapsed="false">
      <c r="A134" s="0" t="s">
        <v>1199</v>
      </c>
      <c r="B134" s="0" t="s">
        <v>139</v>
      </c>
      <c r="C134" s="0" t="s">
        <v>1202</v>
      </c>
      <c r="D134" s="0" t="n">
        <v>18</v>
      </c>
      <c r="E134" s="0" t="n">
        <v>0</v>
      </c>
      <c r="F134" s="0" t="n">
        <v>75</v>
      </c>
      <c r="G134" s="0" t="n">
        <v>8</v>
      </c>
    </row>
    <row r="135" customFormat="false" ht="15" hidden="false" customHeight="false" outlineLevel="0" collapsed="false">
      <c r="A135" s="0" t="s">
        <v>1199</v>
      </c>
      <c r="B135" s="0" t="s">
        <v>139</v>
      </c>
      <c r="C135" s="0" t="s">
        <v>2964</v>
      </c>
      <c r="D135" s="0" t="n">
        <v>0</v>
      </c>
      <c r="E135" s="0" t="n">
        <v>2</v>
      </c>
      <c r="F135" s="0" t="n">
        <v>50</v>
      </c>
      <c r="G135" s="0" t="n">
        <v>12</v>
      </c>
    </row>
    <row r="136" customFormat="false" ht="15" hidden="false" customHeight="false" outlineLevel="0" collapsed="false">
      <c r="A136" s="0" t="s">
        <v>1199</v>
      </c>
      <c r="B136" s="0" t="s">
        <v>145</v>
      </c>
      <c r="C136" s="0" t="s">
        <v>1202</v>
      </c>
      <c r="D136" s="0" t="n">
        <v>33</v>
      </c>
      <c r="E136" s="0" t="n">
        <v>0</v>
      </c>
      <c r="F136" s="0" t="n">
        <v>69</v>
      </c>
      <c r="G136" s="0" t="n">
        <v>13</v>
      </c>
    </row>
    <row r="137" customFormat="false" ht="15" hidden="false" customHeight="false" outlineLevel="0" collapsed="false">
      <c r="A137" s="0" t="s">
        <v>1199</v>
      </c>
      <c r="B137" s="0" t="s">
        <v>145</v>
      </c>
      <c r="C137" s="0" t="s">
        <v>2964</v>
      </c>
      <c r="D137" s="0" t="n">
        <v>11</v>
      </c>
      <c r="E137" s="0" t="n">
        <v>0</v>
      </c>
      <c r="F137" s="0" t="n">
        <v>62</v>
      </c>
      <c r="G137" s="0" t="n">
        <v>8</v>
      </c>
    </row>
    <row r="138" customFormat="false" ht="15" hidden="false" customHeight="false" outlineLevel="0" collapsed="false">
      <c r="A138" s="0" t="s">
        <v>1199</v>
      </c>
      <c r="B138" s="0" t="s">
        <v>81</v>
      </c>
      <c r="C138" s="0" t="s">
        <v>1202</v>
      </c>
      <c r="D138" s="0" t="n">
        <v>2</v>
      </c>
      <c r="E138" s="0" t="n">
        <v>0</v>
      </c>
      <c r="F138" s="0" t="n">
        <v>33</v>
      </c>
      <c r="G138" s="0" t="n">
        <v>9</v>
      </c>
    </row>
    <row r="139" customFormat="false" ht="15" hidden="false" customHeight="false" outlineLevel="0" collapsed="false">
      <c r="A139" s="0" t="s">
        <v>1199</v>
      </c>
      <c r="B139" s="0" t="s">
        <v>81</v>
      </c>
      <c r="C139" s="0" t="s">
        <v>2964</v>
      </c>
      <c r="D139" s="0" t="n">
        <v>2</v>
      </c>
      <c r="E139" s="0" t="n">
        <v>89</v>
      </c>
      <c r="F139" s="0" t="n">
        <v>0</v>
      </c>
      <c r="G139" s="0" t="n">
        <v>1</v>
      </c>
    </row>
    <row r="140" customFormat="false" ht="15" hidden="false" customHeight="false" outlineLevel="0" collapsed="false">
      <c r="A140" s="0" t="s">
        <v>1199</v>
      </c>
      <c r="B140" s="0" t="s">
        <v>121</v>
      </c>
      <c r="C140" s="0" t="s">
        <v>1202</v>
      </c>
      <c r="D140" s="0" t="n">
        <v>0</v>
      </c>
      <c r="E140" s="0" t="n">
        <v>100</v>
      </c>
      <c r="G140" s="0" t="n">
        <v>0</v>
      </c>
    </row>
    <row r="141" customFormat="false" ht="15" hidden="false" customHeight="false" outlineLevel="0" collapsed="false">
      <c r="A141" s="0" t="s">
        <v>1199</v>
      </c>
      <c r="B141" s="0" t="s">
        <v>121</v>
      </c>
      <c r="C141" s="0" t="s">
        <v>2964</v>
      </c>
      <c r="D141" s="0" t="n">
        <v>42</v>
      </c>
      <c r="E141" s="0" t="n">
        <v>0</v>
      </c>
      <c r="F141" s="0" t="n">
        <v>75</v>
      </c>
      <c r="G141" s="0" t="n">
        <v>12</v>
      </c>
    </row>
    <row r="142" customFormat="false" ht="15" hidden="false" customHeight="false" outlineLevel="0" collapsed="false">
      <c r="A142" s="0" t="s">
        <v>1204</v>
      </c>
      <c r="B142" s="0" t="s">
        <v>129</v>
      </c>
      <c r="C142" s="0" t="s">
        <v>2966</v>
      </c>
      <c r="D142" s="0" t="n">
        <v>8</v>
      </c>
      <c r="E142" s="0" t="n">
        <v>0</v>
      </c>
      <c r="F142" s="0" t="n">
        <v>33</v>
      </c>
      <c r="G142" s="0" t="n">
        <v>9</v>
      </c>
    </row>
    <row r="143" customFormat="false" ht="15" hidden="false" customHeight="false" outlineLevel="0" collapsed="false">
      <c r="A143" s="0" t="s">
        <v>1204</v>
      </c>
      <c r="B143" s="0" t="s">
        <v>129</v>
      </c>
      <c r="C143" s="0" t="s">
        <v>1209</v>
      </c>
      <c r="D143" s="0" t="n">
        <v>0</v>
      </c>
      <c r="E143" s="0" t="n">
        <v>12</v>
      </c>
      <c r="F143" s="0" t="n">
        <v>0</v>
      </c>
      <c r="G143" s="0" t="n">
        <v>1</v>
      </c>
    </row>
    <row r="144" customFormat="false" ht="15" hidden="false" customHeight="false" outlineLevel="0" collapsed="false">
      <c r="A144" s="0" t="s">
        <v>1204</v>
      </c>
      <c r="B144" s="0" t="s">
        <v>95</v>
      </c>
      <c r="C144" s="0" t="s">
        <v>2966</v>
      </c>
      <c r="D144" s="0" t="n">
        <v>0</v>
      </c>
      <c r="E144" s="0" t="n">
        <v>96</v>
      </c>
      <c r="G144" s="0" t="n">
        <v>0</v>
      </c>
    </row>
    <row r="145" customFormat="false" ht="15" hidden="false" customHeight="false" outlineLevel="0" collapsed="false">
      <c r="A145" s="0" t="s">
        <v>1204</v>
      </c>
      <c r="B145" s="0" t="s">
        <v>95</v>
      </c>
      <c r="C145" s="0" t="s">
        <v>1209</v>
      </c>
      <c r="D145" s="0" t="n">
        <v>12</v>
      </c>
      <c r="E145" s="0" t="n">
        <v>0</v>
      </c>
      <c r="F145" s="0" t="n">
        <v>33</v>
      </c>
      <c r="G145" s="0" t="n">
        <v>3</v>
      </c>
    </row>
    <row r="146" customFormat="false" ht="15" hidden="false" customHeight="false" outlineLevel="0" collapsed="false">
      <c r="A146" s="0" t="s">
        <v>1204</v>
      </c>
      <c r="B146" s="0" t="s">
        <v>108</v>
      </c>
      <c r="C146" s="0" t="s">
        <v>2966</v>
      </c>
      <c r="D146" s="0" t="n">
        <v>4</v>
      </c>
      <c r="E146" s="0" t="n">
        <v>0</v>
      </c>
      <c r="F146" s="0" t="n">
        <v>46</v>
      </c>
      <c r="G146" s="0" t="n">
        <v>13</v>
      </c>
    </row>
    <row r="147" customFormat="false" ht="15" hidden="false" customHeight="false" outlineLevel="0" collapsed="false">
      <c r="A147" s="0" t="s">
        <v>1204</v>
      </c>
      <c r="B147" s="0" t="s">
        <v>108</v>
      </c>
      <c r="C147" s="0" t="s">
        <v>1209</v>
      </c>
      <c r="D147" s="0" t="n">
        <v>0</v>
      </c>
      <c r="E147" s="0" t="n">
        <v>25</v>
      </c>
      <c r="F147" s="0" t="n">
        <v>0</v>
      </c>
      <c r="G147" s="0" t="n">
        <v>1</v>
      </c>
    </row>
    <row r="148" customFormat="false" ht="15" hidden="false" customHeight="false" outlineLevel="0" collapsed="false">
      <c r="A148" s="0" t="s">
        <v>1204</v>
      </c>
      <c r="B148" s="0" t="s">
        <v>139</v>
      </c>
      <c r="C148" s="0" t="s">
        <v>2966</v>
      </c>
      <c r="D148" s="0" t="n">
        <v>42</v>
      </c>
      <c r="E148" s="0" t="n">
        <v>0</v>
      </c>
      <c r="F148" s="0" t="n">
        <v>67</v>
      </c>
      <c r="G148" s="0" t="n">
        <v>12</v>
      </c>
    </row>
    <row r="149" customFormat="false" ht="15" hidden="false" customHeight="false" outlineLevel="0" collapsed="false">
      <c r="A149" s="0" t="s">
        <v>1204</v>
      </c>
      <c r="B149" s="0" t="s">
        <v>139</v>
      </c>
      <c r="C149" s="0" t="s">
        <v>1209</v>
      </c>
      <c r="D149" s="0" t="n">
        <v>12</v>
      </c>
      <c r="E149" s="0" t="n">
        <v>0</v>
      </c>
      <c r="F149" s="0" t="n">
        <v>67</v>
      </c>
      <c r="G149" s="0" t="n">
        <v>3</v>
      </c>
    </row>
    <row r="150" customFormat="false" ht="15" hidden="false" customHeight="false" outlineLevel="0" collapsed="false">
      <c r="A150" s="0" t="s">
        <v>1204</v>
      </c>
      <c r="B150" s="0" t="s">
        <v>145</v>
      </c>
      <c r="C150" s="0" t="s">
        <v>2966</v>
      </c>
      <c r="D150" s="0" t="n">
        <v>31</v>
      </c>
      <c r="E150" s="0" t="n">
        <v>4</v>
      </c>
      <c r="F150" s="0" t="n">
        <v>80</v>
      </c>
      <c r="G150" s="0" t="n">
        <v>10</v>
      </c>
    </row>
    <row r="151" customFormat="false" ht="15" hidden="false" customHeight="false" outlineLevel="0" collapsed="false">
      <c r="A151" s="0" t="s">
        <v>1204</v>
      </c>
      <c r="B151" s="0" t="s">
        <v>145</v>
      </c>
      <c r="C151" s="0" t="s">
        <v>1209</v>
      </c>
      <c r="D151" s="0" t="n">
        <v>12</v>
      </c>
      <c r="E151" s="0" t="n">
        <v>50</v>
      </c>
      <c r="F151" s="0" t="n">
        <v>0</v>
      </c>
      <c r="G151" s="0" t="n">
        <v>1</v>
      </c>
    </row>
    <row r="152" customFormat="false" ht="15" hidden="false" customHeight="false" outlineLevel="0" collapsed="false">
      <c r="A152" s="0" t="s">
        <v>1204</v>
      </c>
      <c r="B152" s="0" t="s">
        <v>81</v>
      </c>
      <c r="C152" s="0" t="s">
        <v>2966</v>
      </c>
      <c r="D152" s="0" t="n">
        <v>8</v>
      </c>
      <c r="E152" s="0" t="n">
        <v>0</v>
      </c>
      <c r="F152" s="0" t="n">
        <v>47</v>
      </c>
      <c r="G152" s="0" t="n">
        <v>15</v>
      </c>
    </row>
    <row r="153" customFormat="false" ht="15" hidden="false" customHeight="false" outlineLevel="0" collapsed="false">
      <c r="A153" s="0" t="s">
        <v>1204</v>
      </c>
      <c r="B153" s="0" t="s">
        <v>81</v>
      </c>
      <c r="C153" s="0" t="s">
        <v>1209</v>
      </c>
      <c r="D153" s="0" t="n">
        <v>62</v>
      </c>
      <c r="E153" s="0" t="n">
        <v>0</v>
      </c>
      <c r="F153" s="0" t="n">
        <v>75</v>
      </c>
      <c r="G153" s="0" t="n">
        <v>4</v>
      </c>
    </row>
    <row r="154" customFormat="false" ht="15" hidden="false" customHeight="false" outlineLevel="0" collapsed="false">
      <c r="A154" s="0" t="s">
        <v>1204</v>
      </c>
      <c r="B154" s="0" t="s">
        <v>121</v>
      </c>
      <c r="C154" s="0" t="s">
        <v>2966</v>
      </c>
      <c r="D154" s="0" t="n">
        <v>4</v>
      </c>
      <c r="E154" s="0" t="n">
        <v>0</v>
      </c>
      <c r="F154" s="0" t="n">
        <v>67</v>
      </c>
      <c r="G154" s="0" t="n">
        <v>3</v>
      </c>
    </row>
    <row r="155" customFormat="false" ht="15" hidden="false" customHeight="false" outlineLevel="0" collapsed="false">
      <c r="A155" s="0" t="s">
        <v>1204</v>
      </c>
      <c r="B155" s="0" t="s">
        <v>121</v>
      </c>
      <c r="C155" s="0" t="s">
        <v>1209</v>
      </c>
      <c r="D155" s="0" t="n">
        <v>0</v>
      </c>
      <c r="E155" s="0" t="n">
        <v>12</v>
      </c>
      <c r="F155" s="0" t="n">
        <v>100</v>
      </c>
      <c r="G155" s="0" t="n">
        <v>1</v>
      </c>
    </row>
    <row r="156" customFormat="false" ht="15" hidden="false" customHeight="false" outlineLevel="0" collapsed="false">
      <c r="A156" s="0" t="s">
        <v>1210</v>
      </c>
      <c r="B156" s="0" t="s">
        <v>129</v>
      </c>
      <c r="C156" s="0" t="s">
        <v>1213</v>
      </c>
      <c r="D156" s="0" t="n">
        <v>0</v>
      </c>
      <c r="E156" s="0" t="n">
        <v>10</v>
      </c>
      <c r="F156" s="0" t="n">
        <v>30</v>
      </c>
      <c r="G156" s="0" t="n">
        <v>10</v>
      </c>
    </row>
    <row r="157" customFormat="false" ht="15" hidden="false" customHeight="false" outlineLevel="0" collapsed="false">
      <c r="A157" s="0" t="s">
        <v>1210</v>
      </c>
      <c r="B157" s="0" t="s">
        <v>129</v>
      </c>
      <c r="C157" s="0" t="s">
        <v>2970</v>
      </c>
      <c r="F157" s="0" t="n">
        <v>75</v>
      </c>
      <c r="G157" s="0" t="n">
        <v>4</v>
      </c>
    </row>
    <row r="158" customFormat="false" ht="15" hidden="false" customHeight="false" outlineLevel="0" collapsed="false">
      <c r="A158" s="0" t="s">
        <v>1210</v>
      </c>
      <c r="B158" s="0" t="s">
        <v>95</v>
      </c>
      <c r="C158" s="0" t="s">
        <v>1213</v>
      </c>
      <c r="D158" s="0" t="n">
        <v>31</v>
      </c>
      <c r="E158" s="0" t="n">
        <v>0</v>
      </c>
      <c r="F158" s="0" t="n">
        <v>83</v>
      </c>
      <c r="G158" s="0" t="n">
        <v>12</v>
      </c>
    </row>
    <row r="159" customFormat="false" ht="15" hidden="false" customHeight="false" outlineLevel="0" collapsed="false">
      <c r="A159" s="0" t="s">
        <v>1210</v>
      </c>
      <c r="B159" s="0" t="s">
        <v>95</v>
      </c>
      <c r="C159" s="0" t="s">
        <v>2970</v>
      </c>
      <c r="F159" s="0" t="n">
        <v>25</v>
      </c>
      <c r="G159" s="0" t="n">
        <v>4</v>
      </c>
    </row>
    <row r="160" customFormat="false" ht="15" hidden="false" customHeight="false" outlineLevel="0" collapsed="false">
      <c r="A160" s="0" t="s">
        <v>1210</v>
      </c>
      <c r="B160" s="0" t="s">
        <v>108</v>
      </c>
      <c r="C160" s="0" t="s">
        <v>1213</v>
      </c>
      <c r="D160" s="0" t="n">
        <v>8</v>
      </c>
      <c r="E160" s="0" t="n">
        <v>0</v>
      </c>
      <c r="F160" s="0" t="n">
        <v>45</v>
      </c>
      <c r="G160" s="0" t="n">
        <v>11</v>
      </c>
    </row>
    <row r="161" customFormat="false" ht="15" hidden="false" customHeight="false" outlineLevel="0" collapsed="false">
      <c r="A161" s="0" t="s">
        <v>1210</v>
      </c>
      <c r="B161" s="0" t="s">
        <v>108</v>
      </c>
      <c r="C161" s="0" t="s">
        <v>2970</v>
      </c>
      <c r="F161" s="0" t="n">
        <v>83</v>
      </c>
      <c r="G161" s="0" t="n">
        <v>6</v>
      </c>
    </row>
    <row r="162" customFormat="false" ht="15" hidden="false" customHeight="false" outlineLevel="0" collapsed="false">
      <c r="A162" s="0" t="s">
        <v>1210</v>
      </c>
      <c r="B162" s="0" t="s">
        <v>139</v>
      </c>
      <c r="C162" s="0" t="s">
        <v>1213</v>
      </c>
      <c r="D162" s="0" t="n">
        <v>3</v>
      </c>
      <c r="E162" s="0" t="n">
        <v>8</v>
      </c>
      <c r="F162" s="0" t="n">
        <v>0</v>
      </c>
      <c r="G162" s="0" t="n">
        <v>9</v>
      </c>
    </row>
    <row r="163" customFormat="false" ht="15" hidden="false" customHeight="false" outlineLevel="0" collapsed="false">
      <c r="A163" s="0" t="s">
        <v>1210</v>
      </c>
      <c r="B163" s="0" t="s">
        <v>139</v>
      </c>
      <c r="C163" s="0" t="s">
        <v>2970</v>
      </c>
      <c r="G163" s="0" t="n">
        <v>0</v>
      </c>
    </row>
    <row r="164" customFormat="false" ht="15" hidden="false" customHeight="false" outlineLevel="0" collapsed="false">
      <c r="A164" s="0" t="s">
        <v>1210</v>
      </c>
      <c r="B164" s="0" t="s">
        <v>145</v>
      </c>
      <c r="C164" s="0" t="s">
        <v>1213</v>
      </c>
      <c r="D164" s="0" t="n">
        <v>41</v>
      </c>
      <c r="E164" s="0" t="n">
        <v>0</v>
      </c>
      <c r="F164" s="0" t="n">
        <v>33</v>
      </c>
      <c r="G164" s="0" t="n">
        <v>6</v>
      </c>
    </row>
    <row r="165" customFormat="false" ht="15" hidden="false" customHeight="false" outlineLevel="0" collapsed="false">
      <c r="A165" s="0" t="s">
        <v>1210</v>
      </c>
      <c r="B165" s="0" t="s">
        <v>145</v>
      </c>
      <c r="C165" s="0" t="s">
        <v>2970</v>
      </c>
      <c r="F165" s="0" t="n">
        <v>100</v>
      </c>
      <c r="G165" s="0" t="n">
        <v>1</v>
      </c>
    </row>
    <row r="166" customFormat="false" ht="15" hidden="false" customHeight="false" outlineLevel="0" collapsed="false">
      <c r="A166" s="0" t="s">
        <v>1210</v>
      </c>
      <c r="B166" s="0" t="s">
        <v>81</v>
      </c>
      <c r="C166" s="0" t="s">
        <v>1213</v>
      </c>
      <c r="D166" s="0" t="n">
        <v>0</v>
      </c>
      <c r="E166" s="0" t="n">
        <v>82</v>
      </c>
      <c r="G166" s="0" t="n">
        <v>0</v>
      </c>
    </row>
    <row r="167" customFormat="false" ht="15" hidden="false" customHeight="false" outlineLevel="0" collapsed="false">
      <c r="A167" s="0" t="s">
        <v>1210</v>
      </c>
      <c r="B167" s="0" t="s">
        <v>81</v>
      </c>
      <c r="C167" s="0" t="s">
        <v>2970</v>
      </c>
      <c r="F167" s="0" t="n">
        <v>75</v>
      </c>
      <c r="G167" s="0" t="n">
        <v>4</v>
      </c>
    </row>
    <row r="168" customFormat="false" ht="15" hidden="false" customHeight="false" outlineLevel="0" collapsed="false">
      <c r="A168" s="0" t="s">
        <v>1210</v>
      </c>
      <c r="B168" s="0" t="s">
        <v>121</v>
      </c>
      <c r="C168" s="0" t="s">
        <v>1213</v>
      </c>
      <c r="D168" s="0" t="n">
        <v>18</v>
      </c>
      <c r="E168" s="0" t="n">
        <v>0</v>
      </c>
      <c r="F168" s="0" t="n">
        <v>57</v>
      </c>
      <c r="G168" s="0" t="n">
        <v>7</v>
      </c>
    </row>
    <row r="169" customFormat="false" ht="15" hidden="false" customHeight="false" outlineLevel="0" collapsed="false">
      <c r="A169" s="0" t="s">
        <v>1210</v>
      </c>
      <c r="B169" s="0" t="s">
        <v>121</v>
      </c>
      <c r="C169" s="0" t="s">
        <v>2970</v>
      </c>
      <c r="F169" s="0" t="n">
        <v>33</v>
      </c>
      <c r="G169" s="0" t="n">
        <v>3</v>
      </c>
    </row>
    <row r="170" customFormat="false" ht="15" hidden="false" customHeight="false" outlineLevel="0" collapsed="false">
      <c r="A170" s="0" t="s">
        <v>1215</v>
      </c>
      <c r="B170" s="0" t="s">
        <v>129</v>
      </c>
      <c r="C170" s="0" t="s">
        <v>2972</v>
      </c>
      <c r="D170" s="0" t="n">
        <v>0</v>
      </c>
      <c r="E170" s="0" t="n">
        <v>3</v>
      </c>
      <c r="F170" s="0" t="n">
        <v>50</v>
      </c>
      <c r="G170" s="0" t="n">
        <v>4</v>
      </c>
    </row>
    <row r="171" customFormat="false" ht="15" hidden="false" customHeight="false" outlineLevel="0" collapsed="false">
      <c r="A171" s="0" t="s">
        <v>1215</v>
      </c>
      <c r="B171" s="0" t="s">
        <v>129</v>
      </c>
      <c r="C171" s="0" t="s">
        <v>1221</v>
      </c>
      <c r="D171" s="0" t="n">
        <v>17</v>
      </c>
      <c r="E171" s="0" t="n">
        <v>0</v>
      </c>
      <c r="F171" s="0" t="n">
        <v>50</v>
      </c>
      <c r="G171" s="0" t="n">
        <v>12</v>
      </c>
    </row>
    <row r="172" customFormat="false" ht="15" hidden="false" customHeight="false" outlineLevel="0" collapsed="false">
      <c r="A172" s="0" t="s">
        <v>1215</v>
      </c>
      <c r="B172" s="0" t="s">
        <v>95</v>
      </c>
      <c r="C172" s="0" t="s">
        <v>2972</v>
      </c>
      <c r="D172" s="0" t="n">
        <v>15</v>
      </c>
      <c r="E172" s="0" t="n">
        <v>3</v>
      </c>
      <c r="F172" s="0" t="n">
        <v>40</v>
      </c>
      <c r="G172" s="0" t="n">
        <v>5</v>
      </c>
    </row>
    <row r="173" customFormat="false" ht="15" hidden="false" customHeight="false" outlineLevel="0" collapsed="false">
      <c r="A173" s="0" t="s">
        <v>1215</v>
      </c>
      <c r="B173" s="0" t="s">
        <v>95</v>
      </c>
      <c r="C173" s="0" t="s">
        <v>1221</v>
      </c>
      <c r="D173" s="0" t="n">
        <v>9</v>
      </c>
      <c r="E173" s="0" t="n">
        <v>4</v>
      </c>
      <c r="F173" s="0" t="n">
        <v>54</v>
      </c>
      <c r="G173" s="0" t="n">
        <v>13</v>
      </c>
    </row>
    <row r="174" customFormat="false" ht="15" hidden="false" customHeight="false" outlineLevel="0" collapsed="false">
      <c r="A174" s="0" t="s">
        <v>1215</v>
      </c>
      <c r="B174" s="0" t="s">
        <v>108</v>
      </c>
      <c r="C174" s="0" t="s">
        <v>2972</v>
      </c>
      <c r="D174" s="0" t="n">
        <v>12</v>
      </c>
      <c r="E174" s="0" t="n">
        <v>0</v>
      </c>
      <c r="F174" s="0" t="n">
        <v>58</v>
      </c>
      <c r="G174" s="0" t="n">
        <v>12</v>
      </c>
    </row>
    <row r="175" customFormat="false" ht="15" hidden="false" customHeight="false" outlineLevel="0" collapsed="false">
      <c r="A175" s="0" t="s">
        <v>1215</v>
      </c>
      <c r="B175" s="0" t="s">
        <v>108</v>
      </c>
      <c r="C175" s="0" t="s">
        <v>1221</v>
      </c>
      <c r="D175" s="0" t="n">
        <v>26</v>
      </c>
      <c r="E175" s="0" t="n">
        <v>2</v>
      </c>
      <c r="F175" s="0" t="n">
        <v>59</v>
      </c>
      <c r="G175" s="0" t="n">
        <v>17</v>
      </c>
    </row>
    <row r="176" customFormat="false" ht="15" hidden="false" customHeight="false" outlineLevel="0" collapsed="false">
      <c r="A176" s="0" t="s">
        <v>1215</v>
      </c>
      <c r="B176" s="0" t="s">
        <v>139</v>
      </c>
      <c r="C176" s="0" t="s">
        <v>2972</v>
      </c>
      <c r="D176" s="0" t="n">
        <v>0</v>
      </c>
      <c r="E176" s="0" t="n">
        <v>91</v>
      </c>
      <c r="G176" s="0" t="n">
        <v>0</v>
      </c>
    </row>
    <row r="177" customFormat="false" ht="15" hidden="false" customHeight="false" outlineLevel="0" collapsed="false">
      <c r="A177" s="0" t="s">
        <v>1215</v>
      </c>
      <c r="B177" s="0" t="s">
        <v>139</v>
      </c>
      <c r="C177" s="0" t="s">
        <v>1221</v>
      </c>
      <c r="D177" s="0" t="n">
        <v>15</v>
      </c>
      <c r="E177" s="0" t="n">
        <v>11</v>
      </c>
      <c r="F177" s="0" t="n">
        <v>82</v>
      </c>
      <c r="G177" s="0" t="n">
        <v>11</v>
      </c>
    </row>
    <row r="178" customFormat="false" ht="15" hidden="false" customHeight="false" outlineLevel="0" collapsed="false">
      <c r="A178" s="0" t="s">
        <v>1215</v>
      </c>
      <c r="B178" s="0" t="s">
        <v>145</v>
      </c>
      <c r="C178" s="0" t="s">
        <v>2972</v>
      </c>
      <c r="D178" s="0" t="n">
        <v>32</v>
      </c>
      <c r="E178" s="0" t="n">
        <v>0</v>
      </c>
      <c r="F178" s="0" t="n">
        <v>71</v>
      </c>
      <c r="G178" s="0" t="n">
        <v>7</v>
      </c>
    </row>
    <row r="179" customFormat="false" ht="15" hidden="false" customHeight="false" outlineLevel="0" collapsed="false">
      <c r="A179" s="0" t="s">
        <v>1215</v>
      </c>
      <c r="B179" s="0" t="s">
        <v>145</v>
      </c>
      <c r="C179" s="0" t="s">
        <v>1221</v>
      </c>
      <c r="D179" s="0" t="n">
        <v>23</v>
      </c>
      <c r="E179" s="0" t="n">
        <v>0</v>
      </c>
      <c r="F179" s="0" t="n">
        <v>57</v>
      </c>
      <c r="G179" s="0" t="n">
        <v>14</v>
      </c>
    </row>
    <row r="180" customFormat="false" ht="15" hidden="false" customHeight="false" outlineLevel="0" collapsed="false">
      <c r="A180" s="0" t="s">
        <v>1215</v>
      </c>
      <c r="B180" s="0" t="s">
        <v>81</v>
      </c>
      <c r="C180" s="0" t="s">
        <v>2972</v>
      </c>
      <c r="D180" s="0" t="n">
        <v>9</v>
      </c>
      <c r="E180" s="0" t="n">
        <v>3</v>
      </c>
      <c r="F180" s="0" t="n">
        <v>50</v>
      </c>
      <c r="G180" s="0" t="n">
        <v>6</v>
      </c>
    </row>
    <row r="181" customFormat="false" ht="15" hidden="false" customHeight="false" outlineLevel="0" collapsed="false">
      <c r="A181" s="0" t="s">
        <v>1215</v>
      </c>
      <c r="B181" s="0" t="s">
        <v>81</v>
      </c>
      <c r="C181" s="0" t="s">
        <v>1221</v>
      </c>
      <c r="D181" s="0" t="n">
        <v>0</v>
      </c>
      <c r="E181" s="0" t="n">
        <v>34</v>
      </c>
      <c r="F181" s="0" t="n">
        <v>50</v>
      </c>
      <c r="G181" s="0" t="n">
        <v>14</v>
      </c>
    </row>
    <row r="182" customFormat="false" ht="15" hidden="false" customHeight="false" outlineLevel="0" collapsed="false">
      <c r="A182" s="0" t="s">
        <v>1215</v>
      </c>
      <c r="B182" s="0" t="s">
        <v>121</v>
      </c>
      <c r="C182" s="0" t="s">
        <v>2972</v>
      </c>
      <c r="D182" s="0" t="n">
        <v>26</v>
      </c>
      <c r="E182" s="0" t="n">
        <v>0</v>
      </c>
      <c r="F182" s="0" t="n">
        <v>50</v>
      </c>
      <c r="G182" s="0" t="n">
        <v>10</v>
      </c>
    </row>
    <row r="183" customFormat="false" ht="15" hidden="false" customHeight="false" outlineLevel="0" collapsed="false">
      <c r="A183" s="0" t="s">
        <v>1215</v>
      </c>
      <c r="B183" s="0" t="s">
        <v>121</v>
      </c>
      <c r="C183" s="0" t="s">
        <v>1221</v>
      </c>
      <c r="D183" s="0" t="n">
        <v>2</v>
      </c>
      <c r="E183" s="0" t="n">
        <v>49</v>
      </c>
      <c r="F183" s="0" t="n">
        <v>0</v>
      </c>
      <c r="G183" s="0" t="n">
        <v>2</v>
      </c>
    </row>
    <row r="184" customFormat="false" ht="15" hidden="false" customHeight="false" outlineLevel="0" collapsed="false">
      <c r="A184" s="0" t="s">
        <v>1222</v>
      </c>
      <c r="B184" s="0" t="s">
        <v>129</v>
      </c>
      <c r="C184" s="0" t="s">
        <v>2975</v>
      </c>
      <c r="D184" s="0" t="n">
        <v>4</v>
      </c>
      <c r="E184" s="0" t="n">
        <v>0</v>
      </c>
      <c r="F184" s="0" t="n">
        <v>45</v>
      </c>
      <c r="G184" s="0" t="n">
        <v>11</v>
      </c>
    </row>
    <row r="185" customFormat="false" ht="15" hidden="false" customHeight="false" outlineLevel="0" collapsed="false">
      <c r="A185" s="0" t="s">
        <v>1222</v>
      </c>
      <c r="B185" s="0" t="s">
        <v>129</v>
      </c>
      <c r="C185" s="0" t="s">
        <v>2977</v>
      </c>
      <c r="D185" s="0" t="n">
        <v>0</v>
      </c>
      <c r="E185" s="0" t="n">
        <v>81</v>
      </c>
      <c r="G185" s="0" t="n">
        <v>0</v>
      </c>
    </row>
    <row r="186" customFormat="false" ht="15" hidden="false" customHeight="false" outlineLevel="0" collapsed="false">
      <c r="A186" s="0" t="s">
        <v>1222</v>
      </c>
      <c r="B186" s="0" t="s">
        <v>95</v>
      </c>
      <c r="C186" s="0" t="s">
        <v>2975</v>
      </c>
      <c r="D186" s="0" t="n">
        <v>1</v>
      </c>
      <c r="E186" s="0" t="n">
        <v>0</v>
      </c>
      <c r="F186" s="0" t="n">
        <v>54</v>
      </c>
      <c r="G186" s="0" t="n">
        <v>24</v>
      </c>
    </row>
    <row r="187" customFormat="false" ht="15" hidden="false" customHeight="false" outlineLevel="0" collapsed="false">
      <c r="A187" s="0" t="s">
        <v>1222</v>
      </c>
      <c r="B187" s="0" t="s">
        <v>95</v>
      </c>
      <c r="C187" s="0" t="s">
        <v>2977</v>
      </c>
      <c r="D187" s="0" t="n">
        <v>23</v>
      </c>
      <c r="E187" s="0" t="n">
        <v>0</v>
      </c>
      <c r="F187" s="0" t="n">
        <v>40</v>
      </c>
      <c r="G187" s="0" t="n">
        <v>15</v>
      </c>
    </row>
    <row r="188" customFormat="false" ht="15" hidden="false" customHeight="false" outlineLevel="0" collapsed="false">
      <c r="A188" s="0" t="s">
        <v>1222</v>
      </c>
      <c r="B188" s="0" t="s">
        <v>108</v>
      </c>
      <c r="C188" s="0" t="s">
        <v>2975</v>
      </c>
      <c r="D188" s="0" t="n">
        <v>1</v>
      </c>
      <c r="E188" s="0" t="n">
        <v>67</v>
      </c>
      <c r="G188" s="0" t="n">
        <v>0</v>
      </c>
    </row>
    <row r="189" customFormat="false" ht="15" hidden="false" customHeight="false" outlineLevel="0" collapsed="false">
      <c r="A189" s="0" t="s">
        <v>1222</v>
      </c>
      <c r="B189" s="0" t="s">
        <v>108</v>
      </c>
      <c r="C189" s="0" t="s">
        <v>2977</v>
      </c>
      <c r="D189" s="0" t="n">
        <v>12</v>
      </c>
      <c r="E189" s="0" t="n">
        <v>2</v>
      </c>
      <c r="F189" s="0" t="n">
        <v>60</v>
      </c>
      <c r="G189" s="0" t="n">
        <v>5</v>
      </c>
    </row>
    <row r="190" customFormat="false" ht="15" hidden="false" customHeight="false" outlineLevel="0" collapsed="false">
      <c r="A190" s="0" t="s">
        <v>1222</v>
      </c>
      <c r="B190" s="0" t="s">
        <v>139</v>
      </c>
      <c r="C190" s="0" t="s">
        <v>2975</v>
      </c>
      <c r="D190" s="0" t="n">
        <v>0</v>
      </c>
      <c r="E190" s="0" t="n">
        <v>33</v>
      </c>
      <c r="F190" s="0" t="n">
        <v>29</v>
      </c>
      <c r="G190" s="0" t="n">
        <v>14</v>
      </c>
    </row>
    <row r="191" customFormat="false" ht="15" hidden="false" customHeight="false" outlineLevel="0" collapsed="false">
      <c r="A191" s="0" t="s">
        <v>1222</v>
      </c>
      <c r="B191" s="0" t="s">
        <v>139</v>
      </c>
      <c r="C191" s="0" t="s">
        <v>2977</v>
      </c>
      <c r="D191" s="0" t="n">
        <v>44</v>
      </c>
      <c r="E191" s="0" t="n">
        <v>2</v>
      </c>
      <c r="F191" s="0" t="n">
        <v>68</v>
      </c>
      <c r="G191" s="0" t="n">
        <v>19</v>
      </c>
    </row>
    <row r="192" customFormat="false" ht="15" hidden="false" customHeight="false" outlineLevel="0" collapsed="false">
      <c r="A192" s="0" t="s">
        <v>1222</v>
      </c>
      <c r="B192" s="0" t="s">
        <v>145</v>
      </c>
      <c r="C192" s="0" t="s">
        <v>2975</v>
      </c>
      <c r="D192" s="0" t="n">
        <v>13</v>
      </c>
      <c r="E192" s="0" t="n">
        <v>0</v>
      </c>
      <c r="F192" s="0" t="n">
        <v>75</v>
      </c>
      <c r="G192" s="0" t="n">
        <v>12</v>
      </c>
    </row>
    <row r="193" customFormat="false" ht="15" hidden="false" customHeight="false" outlineLevel="0" collapsed="false">
      <c r="A193" s="0" t="s">
        <v>1222</v>
      </c>
      <c r="B193" s="0" t="s">
        <v>145</v>
      </c>
      <c r="C193" s="0" t="s">
        <v>2977</v>
      </c>
      <c r="D193" s="0" t="n">
        <v>0</v>
      </c>
      <c r="E193" s="0" t="n">
        <v>0</v>
      </c>
      <c r="F193" s="0" t="n">
        <v>62</v>
      </c>
      <c r="G193" s="0" t="n">
        <v>8</v>
      </c>
    </row>
    <row r="194" customFormat="false" ht="15" hidden="false" customHeight="false" outlineLevel="0" collapsed="false">
      <c r="A194" s="0" t="s">
        <v>1222</v>
      </c>
      <c r="B194" s="0" t="s">
        <v>81</v>
      </c>
      <c r="C194" s="0" t="s">
        <v>2975</v>
      </c>
      <c r="D194" s="0" t="n">
        <v>55</v>
      </c>
      <c r="E194" s="0" t="n">
        <v>0</v>
      </c>
      <c r="F194" s="0" t="n">
        <v>81</v>
      </c>
      <c r="G194" s="0" t="n">
        <v>36</v>
      </c>
    </row>
    <row r="195" customFormat="false" ht="15" hidden="false" customHeight="false" outlineLevel="0" collapsed="false">
      <c r="A195" s="0" t="s">
        <v>1222</v>
      </c>
      <c r="B195" s="0" t="s">
        <v>81</v>
      </c>
      <c r="C195" s="0" t="s">
        <v>2977</v>
      </c>
      <c r="D195" s="0" t="n">
        <v>7</v>
      </c>
      <c r="E195" s="0" t="n">
        <v>14</v>
      </c>
      <c r="F195" s="0" t="n">
        <v>57</v>
      </c>
      <c r="G195" s="0" t="n">
        <v>14</v>
      </c>
    </row>
    <row r="196" customFormat="false" ht="15" hidden="false" customHeight="false" outlineLevel="0" collapsed="false">
      <c r="A196" s="0" t="s">
        <v>1222</v>
      </c>
      <c r="B196" s="0" t="s">
        <v>121</v>
      </c>
      <c r="C196" s="0" t="s">
        <v>2975</v>
      </c>
      <c r="D196" s="0" t="n">
        <v>12</v>
      </c>
      <c r="E196" s="0" t="n">
        <v>0</v>
      </c>
      <c r="F196" s="0" t="n">
        <v>50</v>
      </c>
      <c r="G196" s="0" t="n">
        <v>14</v>
      </c>
    </row>
    <row r="197" customFormat="false" ht="15" hidden="false" customHeight="false" outlineLevel="0" collapsed="false">
      <c r="A197" s="0" t="s">
        <v>1222</v>
      </c>
      <c r="B197" s="0" t="s">
        <v>121</v>
      </c>
      <c r="C197" s="0" t="s">
        <v>2977</v>
      </c>
      <c r="D197" s="0" t="n">
        <v>14</v>
      </c>
      <c r="E197" s="0" t="n">
        <v>0</v>
      </c>
      <c r="F197" s="0" t="n">
        <v>88</v>
      </c>
      <c r="G197" s="0" t="n">
        <v>8</v>
      </c>
    </row>
    <row r="198" customFormat="false" ht="15" hidden="false" customHeight="false" outlineLevel="0" collapsed="false">
      <c r="A198" s="0" t="s">
        <v>1229</v>
      </c>
      <c r="B198" s="0" t="s">
        <v>129</v>
      </c>
      <c r="C198" s="0" t="s">
        <v>1233</v>
      </c>
      <c r="D198" s="0" t="n">
        <v>42</v>
      </c>
      <c r="E198" s="0" t="n">
        <v>0</v>
      </c>
      <c r="F198" s="0" t="n">
        <v>62</v>
      </c>
      <c r="G198" s="0" t="n">
        <v>13</v>
      </c>
    </row>
    <row r="199" customFormat="false" ht="15" hidden="false" customHeight="false" outlineLevel="0" collapsed="false">
      <c r="A199" s="0" t="s">
        <v>1229</v>
      </c>
      <c r="B199" s="0" t="s">
        <v>129</v>
      </c>
      <c r="C199" s="0" t="s">
        <v>1234</v>
      </c>
      <c r="G199" s="0" t="n">
        <v>0</v>
      </c>
    </row>
    <row r="200" customFormat="false" ht="15" hidden="false" customHeight="false" outlineLevel="0" collapsed="false">
      <c r="A200" s="0" t="s">
        <v>1229</v>
      </c>
      <c r="B200" s="0" t="s">
        <v>95</v>
      </c>
      <c r="C200" s="0" t="s">
        <v>1233</v>
      </c>
      <c r="D200" s="0" t="n">
        <v>13</v>
      </c>
      <c r="E200" s="0" t="n">
        <v>19</v>
      </c>
      <c r="F200" s="0" t="n">
        <v>67</v>
      </c>
      <c r="G200" s="0" t="n">
        <v>6</v>
      </c>
    </row>
    <row r="201" customFormat="false" ht="15" hidden="false" customHeight="false" outlineLevel="0" collapsed="false">
      <c r="A201" s="0" t="s">
        <v>1229</v>
      </c>
      <c r="B201" s="0" t="s">
        <v>95</v>
      </c>
      <c r="C201" s="0" t="s">
        <v>1234</v>
      </c>
      <c r="G201" s="0" t="n">
        <v>0</v>
      </c>
    </row>
    <row r="202" customFormat="false" ht="15" hidden="false" customHeight="false" outlineLevel="0" collapsed="false">
      <c r="A202" s="0" t="s">
        <v>1229</v>
      </c>
      <c r="B202" s="0" t="s">
        <v>108</v>
      </c>
      <c r="C202" s="0" t="s">
        <v>1233</v>
      </c>
      <c r="D202" s="0" t="n">
        <v>6</v>
      </c>
      <c r="E202" s="0" t="n">
        <v>3</v>
      </c>
      <c r="F202" s="0" t="n">
        <v>44</v>
      </c>
      <c r="G202" s="0" t="n">
        <v>9</v>
      </c>
    </row>
    <row r="203" customFormat="false" ht="15" hidden="false" customHeight="false" outlineLevel="0" collapsed="false">
      <c r="A203" s="0" t="s">
        <v>1229</v>
      </c>
      <c r="B203" s="0" t="s">
        <v>108</v>
      </c>
      <c r="C203" s="0" t="s">
        <v>1234</v>
      </c>
      <c r="G203" s="0" t="n">
        <v>0</v>
      </c>
    </row>
    <row r="204" customFormat="false" ht="15" hidden="false" customHeight="false" outlineLevel="0" collapsed="false">
      <c r="A204" s="0" t="s">
        <v>1229</v>
      </c>
      <c r="B204" s="0" t="s">
        <v>139</v>
      </c>
      <c r="C204" s="0" t="s">
        <v>1233</v>
      </c>
      <c r="D204" s="0" t="n">
        <v>3</v>
      </c>
      <c r="E204" s="0" t="n">
        <v>0</v>
      </c>
      <c r="F204" s="0" t="n">
        <v>38</v>
      </c>
      <c r="G204" s="0" t="n">
        <v>8</v>
      </c>
    </row>
    <row r="205" customFormat="false" ht="15" hidden="false" customHeight="false" outlineLevel="0" collapsed="false">
      <c r="A205" s="0" t="s">
        <v>1229</v>
      </c>
      <c r="B205" s="0" t="s">
        <v>139</v>
      </c>
      <c r="C205" s="0" t="s">
        <v>1234</v>
      </c>
      <c r="G205" s="0" t="n">
        <v>0</v>
      </c>
    </row>
    <row r="206" customFormat="false" ht="15" hidden="false" customHeight="false" outlineLevel="0" collapsed="false">
      <c r="A206" s="0" t="s">
        <v>1229</v>
      </c>
      <c r="B206" s="0" t="s">
        <v>145</v>
      </c>
      <c r="C206" s="0" t="s">
        <v>1233</v>
      </c>
      <c r="D206" s="0" t="n">
        <v>10</v>
      </c>
      <c r="E206" s="0" t="n">
        <v>0</v>
      </c>
      <c r="F206" s="0" t="n">
        <v>75</v>
      </c>
      <c r="G206" s="0" t="n">
        <v>8</v>
      </c>
    </row>
    <row r="207" customFormat="false" ht="15" hidden="false" customHeight="false" outlineLevel="0" collapsed="false">
      <c r="A207" s="0" t="s">
        <v>1229</v>
      </c>
      <c r="B207" s="0" t="s">
        <v>145</v>
      </c>
      <c r="C207" s="0" t="s">
        <v>1234</v>
      </c>
      <c r="G207" s="0" t="n">
        <v>0</v>
      </c>
    </row>
    <row r="208" customFormat="false" ht="15" hidden="false" customHeight="false" outlineLevel="0" collapsed="false">
      <c r="A208" s="0" t="s">
        <v>1229</v>
      </c>
      <c r="B208" s="0" t="s">
        <v>81</v>
      </c>
      <c r="C208" s="0" t="s">
        <v>1233</v>
      </c>
      <c r="D208" s="0" t="n">
        <v>16</v>
      </c>
      <c r="E208" s="0" t="n">
        <v>0</v>
      </c>
      <c r="F208" s="0" t="n">
        <v>50</v>
      </c>
      <c r="G208" s="0" t="n">
        <v>6</v>
      </c>
    </row>
    <row r="209" customFormat="false" ht="15" hidden="false" customHeight="false" outlineLevel="0" collapsed="false">
      <c r="A209" s="0" t="s">
        <v>1229</v>
      </c>
      <c r="B209" s="0" t="s">
        <v>81</v>
      </c>
      <c r="C209" s="0" t="s">
        <v>1234</v>
      </c>
      <c r="G209" s="0" t="n">
        <v>0</v>
      </c>
    </row>
    <row r="210" customFormat="false" ht="15" hidden="false" customHeight="false" outlineLevel="0" collapsed="false">
      <c r="A210" s="0" t="s">
        <v>1229</v>
      </c>
      <c r="B210" s="0" t="s">
        <v>121</v>
      </c>
      <c r="C210" s="0" t="s">
        <v>1233</v>
      </c>
      <c r="D210" s="0" t="n">
        <v>0</v>
      </c>
      <c r="E210" s="0" t="n">
        <v>71</v>
      </c>
      <c r="G210" s="0" t="n">
        <v>0</v>
      </c>
    </row>
    <row r="211" customFormat="false" ht="15" hidden="false" customHeight="false" outlineLevel="0" collapsed="false">
      <c r="A211" s="0" t="s">
        <v>1229</v>
      </c>
      <c r="B211" s="0" t="s">
        <v>121</v>
      </c>
      <c r="C211" s="0" t="s">
        <v>1234</v>
      </c>
      <c r="G211" s="0" t="n">
        <v>0</v>
      </c>
    </row>
    <row r="212" customFormat="false" ht="15" hidden="false" customHeight="false" outlineLevel="0" collapsed="false">
      <c r="A212" s="0" t="s">
        <v>1235</v>
      </c>
      <c r="B212" s="0" t="s">
        <v>129</v>
      </c>
      <c r="C212" s="0" t="s">
        <v>2981</v>
      </c>
      <c r="D212" s="0" t="n">
        <v>38</v>
      </c>
      <c r="E212" s="0" t="n">
        <v>0</v>
      </c>
      <c r="F212" s="0" t="n">
        <v>58</v>
      </c>
      <c r="G212" s="0" t="n">
        <v>12</v>
      </c>
    </row>
    <row r="213" customFormat="false" ht="15" hidden="false" customHeight="false" outlineLevel="0" collapsed="false">
      <c r="A213" s="0" t="s">
        <v>1235</v>
      </c>
      <c r="B213" s="0" t="s">
        <v>129</v>
      </c>
      <c r="C213" s="0" t="s">
        <v>2983</v>
      </c>
      <c r="D213" s="0" t="n">
        <v>0</v>
      </c>
      <c r="E213" s="0" t="n">
        <v>20</v>
      </c>
      <c r="G213" s="0" t="n">
        <v>0</v>
      </c>
    </row>
    <row r="214" customFormat="false" ht="15" hidden="false" customHeight="false" outlineLevel="0" collapsed="false">
      <c r="A214" s="0" t="s">
        <v>1235</v>
      </c>
      <c r="B214" s="0" t="s">
        <v>95</v>
      </c>
      <c r="C214" s="0" t="s">
        <v>2981</v>
      </c>
      <c r="D214" s="0" t="n">
        <v>0</v>
      </c>
      <c r="E214" s="0" t="n">
        <v>100</v>
      </c>
      <c r="G214" s="0" t="n">
        <v>0</v>
      </c>
    </row>
    <row r="215" customFormat="false" ht="15" hidden="false" customHeight="false" outlineLevel="0" collapsed="false">
      <c r="A215" s="0" t="s">
        <v>1235</v>
      </c>
      <c r="B215" s="0" t="s">
        <v>95</v>
      </c>
      <c r="C215" s="0" t="s">
        <v>2983</v>
      </c>
      <c r="D215" s="0" t="n">
        <v>40</v>
      </c>
      <c r="E215" s="0" t="n">
        <v>0</v>
      </c>
      <c r="G215" s="0" t="n">
        <v>0</v>
      </c>
    </row>
    <row r="216" customFormat="false" ht="15" hidden="false" customHeight="false" outlineLevel="0" collapsed="false">
      <c r="A216" s="0" t="s">
        <v>1235</v>
      </c>
      <c r="B216" s="0" t="s">
        <v>108</v>
      </c>
      <c r="C216" s="0" t="s">
        <v>2981</v>
      </c>
      <c r="D216" s="0" t="n">
        <v>4</v>
      </c>
      <c r="E216" s="0" t="n">
        <v>0</v>
      </c>
      <c r="F216" s="0" t="n">
        <v>50</v>
      </c>
      <c r="G216" s="0" t="n">
        <v>12</v>
      </c>
    </row>
    <row r="217" customFormat="false" ht="15" hidden="false" customHeight="false" outlineLevel="0" collapsed="false">
      <c r="A217" s="0" t="s">
        <v>1235</v>
      </c>
      <c r="B217" s="0" t="s">
        <v>108</v>
      </c>
      <c r="C217" s="0" t="s">
        <v>2983</v>
      </c>
      <c r="D217" s="0" t="n">
        <v>60</v>
      </c>
      <c r="E217" s="0" t="n">
        <v>0</v>
      </c>
      <c r="G217" s="0" t="n">
        <v>0</v>
      </c>
    </row>
    <row r="218" customFormat="false" ht="15" hidden="false" customHeight="false" outlineLevel="0" collapsed="false">
      <c r="A218" s="0" t="s">
        <v>1235</v>
      </c>
      <c r="B218" s="0" t="s">
        <v>139</v>
      </c>
      <c r="C218" s="0" t="s">
        <v>2981</v>
      </c>
      <c r="D218" s="0" t="n">
        <v>4</v>
      </c>
      <c r="E218" s="0" t="n">
        <v>0</v>
      </c>
      <c r="F218" s="0" t="n">
        <v>67</v>
      </c>
      <c r="G218" s="0" t="n">
        <v>9</v>
      </c>
    </row>
    <row r="219" customFormat="false" ht="15" hidden="false" customHeight="false" outlineLevel="0" collapsed="false">
      <c r="A219" s="0" t="s">
        <v>1235</v>
      </c>
      <c r="B219" s="0" t="s">
        <v>139</v>
      </c>
      <c r="C219" s="0" t="s">
        <v>2983</v>
      </c>
      <c r="D219" s="0" t="n">
        <v>0</v>
      </c>
      <c r="E219" s="0" t="n">
        <v>40</v>
      </c>
      <c r="G219" s="0" t="n">
        <v>0</v>
      </c>
    </row>
    <row r="220" customFormat="false" ht="15" hidden="false" customHeight="false" outlineLevel="0" collapsed="false">
      <c r="A220" s="0" t="s">
        <v>1235</v>
      </c>
      <c r="B220" s="0" t="s">
        <v>145</v>
      </c>
      <c r="C220" s="0" t="s">
        <v>2981</v>
      </c>
      <c r="D220" s="0" t="n">
        <v>29</v>
      </c>
      <c r="E220" s="0" t="n">
        <v>0</v>
      </c>
      <c r="F220" s="0" t="n">
        <v>50</v>
      </c>
      <c r="G220" s="0" t="n">
        <v>8</v>
      </c>
    </row>
    <row r="221" customFormat="false" ht="15" hidden="false" customHeight="false" outlineLevel="0" collapsed="false">
      <c r="A221" s="0" t="s">
        <v>1235</v>
      </c>
      <c r="B221" s="0" t="s">
        <v>145</v>
      </c>
      <c r="C221" s="0" t="s">
        <v>2983</v>
      </c>
      <c r="D221" s="0" t="n">
        <v>0</v>
      </c>
      <c r="E221" s="0" t="n">
        <v>0</v>
      </c>
      <c r="G221" s="0" t="n">
        <v>0</v>
      </c>
    </row>
    <row r="222" customFormat="false" ht="15" hidden="false" customHeight="false" outlineLevel="0" collapsed="false">
      <c r="A222" s="0" t="s">
        <v>1235</v>
      </c>
      <c r="B222" s="0" t="s">
        <v>81</v>
      </c>
      <c r="C222" s="0" t="s">
        <v>2981</v>
      </c>
      <c r="D222" s="0" t="n">
        <v>8</v>
      </c>
      <c r="E222" s="0" t="n">
        <v>0</v>
      </c>
      <c r="F222" s="0" t="n">
        <v>40</v>
      </c>
      <c r="G222" s="0" t="n">
        <v>10</v>
      </c>
    </row>
    <row r="223" customFormat="false" ht="15" hidden="false" customHeight="false" outlineLevel="0" collapsed="false">
      <c r="A223" s="0" t="s">
        <v>1235</v>
      </c>
      <c r="B223" s="0" t="s">
        <v>81</v>
      </c>
      <c r="C223" s="0" t="s">
        <v>2983</v>
      </c>
      <c r="D223" s="0" t="n">
        <v>0</v>
      </c>
      <c r="E223" s="0" t="n">
        <v>0</v>
      </c>
      <c r="G223" s="0" t="n">
        <v>0</v>
      </c>
    </row>
    <row r="224" customFormat="false" ht="15" hidden="false" customHeight="false" outlineLevel="0" collapsed="false">
      <c r="A224" s="0" t="s">
        <v>1235</v>
      </c>
      <c r="B224" s="0" t="s">
        <v>121</v>
      </c>
      <c r="C224" s="0" t="s">
        <v>2981</v>
      </c>
      <c r="D224" s="0" t="n">
        <v>17</v>
      </c>
      <c r="E224" s="0" t="n">
        <v>0</v>
      </c>
      <c r="F224" s="0" t="n">
        <v>50</v>
      </c>
      <c r="G224" s="0" t="n">
        <v>6</v>
      </c>
    </row>
    <row r="225" customFormat="false" ht="15" hidden="false" customHeight="false" outlineLevel="0" collapsed="false">
      <c r="A225" s="0" t="s">
        <v>1235</v>
      </c>
      <c r="B225" s="0" t="s">
        <v>121</v>
      </c>
      <c r="C225" s="0" t="s">
        <v>2983</v>
      </c>
      <c r="D225" s="0" t="n">
        <v>0</v>
      </c>
      <c r="E225" s="0" t="n">
        <v>40</v>
      </c>
      <c r="G225" s="0" t="n">
        <v>0</v>
      </c>
    </row>
    <row r="226" customFormat="false" ht="15" hidden="false" customHeight="false" outlineLevel="0" collapsed="false">
      <c r="A226" s="0" t="s">
        <v>1239</v>
      </c>
      <c r="B226" s="0" t="s">
        <v>129</v>
      </c>
      <c r="C226" s="0" t="s">
        <v>2985</v>
      </c>
      <c r="D226" s="0" t="n">
        <v>0</v>
      </c>
      <c r="E226" s="0" t="n">
        <v>26</v>
      </c>
      <c r="F226" s="0" t="n">
        <v>67</v>
      </c>
      <c r="G226" s="0" t="n">
        <v>3</v>
      </c>
    </row>
    <row r="227" customFormat="false" ht="15" hidden="false" customHeight="false" outlineLevel="0" collapsed="false">
      <c r="A227" s="0" t="s">
        <v>1239</v>
      </c>
      <c r="B227" s="0" t="s">
        <v>129</v>
      </c>
      <c r="C227" s="0" t="s">
        <v>1245</v>
      </c>
      <c r="D227" s="0" t="n">
        <v>4</v>
      </c>
      <c r="E227" s="0" t="n">
        <v>4</v>
      </c>
      <c r="F227" s="0" t="n">
        <v>50</v>
      </c>
      <c r="G227" s="0" t="n">
        <v>6</v>
      </c>
    </row>
    <row r="228" customFormat="false" ht="15" hidden="false" customHeight="false" outlineLevel="0" collapsed="false">
      <c r="A228" s="0" t="s">
        <v>1239</v>
      </c>
      <c r="B228" s="0" t="s">
        <v>95</v>
      </c>
      <c r="C228" s="0" t="s">
        <v>2985</v>
      </c>
      <c r="D228" s="0" t="n">
        <v>24</v>
      </c>
      <c r="E228" s="0" t="n">
        <v>0</v>
      </c>
      <c r="F228" s="0" t="n">
        <v>47</v>
      </c>
      <c r="G228" s="0" t="n">
        <v>19</v>
      </c>
    </row>
    <row r="229" customFormat="false" ht="15" hidden="false" customHeight="false" outlineLevel="0" collapsed="false">
      <c r="A229" s="0" t="s">
        <v>1239</v>
      </c>
      <c r="B229" s="0" t="s">
        <v>95</v>
      </c>
      <c r="C229" s="0" t="s">
        <v>1245</v>
      </c>
      <c r="D229" s="0" t="n">
        <v>51</v>
      </c>
      <c r="E229" s="0" t="n">
        <v>0</v>
      </c>
      <c r="F229" s="0" t="n">
        <v>64</v>
      </c>
      <c r="G229" s="0" t="n">
        <v>25</v>
      </c>
    </row>
    <row r="230" customFormat="false" ht="15" hidden="false" customHeight="false" outlineLevel="0" collapsed="false">
      <c r="A230" s="0" t="s">
        <v>1239</v>
      </c>
      <c r="B230" s="0" t="s">
        <v>108</v>
      </c>
      <c r="C230" s="0" t="s">
        <v>2985</v>
      </c>
      <c r="D230" s="0" t="n">
        <v>0</v>
      </c>
      <c r="E230" s="0" t="n">
        <v>58</v>
      </c>
      <c r="F230" s="0" t="n">
        <v>60</v>
      </c>
      <c r="G230" s="0" t="n">
        <v>5</v>
      </c>
    </row>
    <row r="231" customFormat="false" ht="15" hidden="false" customHeight="false" outlineLevel="0" collapsed="false">
      <c r="A231" s="0" t="s">
        <v>1239</v>
      </c>
      <c r="B231" s="0" t="s">
        <v>108</v>
      </c>
      <c r="C231" s="0" t="s">
        <v>1245</v>
      </c>
      <c r="D231" s="0" t="n">
        <v>2</v>
      </c>
      <c r="E231" s="0" t="n">
        <v>4</v>
      </c>
      <c r="F231" s="0" t="n">
        <v>60</v>
      </c>
      <c r="G231" s="0" t="n">
        <v>10</v>
      </c>
    </row>
    <row r="232" customFormat="false" ht="15" hidden="false" customHeight="false" outlineLevel="0" collapsed="false">
      <c r="A232" s="0" t="s">
        <v>1239</v>
      </c>
      <c r="B232" s="0" t="s">
        <v>139</v>
      </c>
      <c r="C232" s="0" t="s">
        <v>2985</v>
      </c>
      <c r="D232" s="0" t="n">
        <v>3</v>
      </c>
      <c r="E232" s="0" t="n">
        <v>11</v>
      </c>
      <c r="F232" s="0" t="n">
        <v>60</v>
      </c>
      <c r="G232" s="0" t="n">
        <v>5</v>
      </c>
    </row>
    <row r="233" customFormat="false" ht="15" hidden="false" customHeight="false" outlineLevel="0" collapsed="false">
      <c r="A233" s="0" t="s">
        <v>1239</v>
      </c>
      <c r="B233" s="0" t="s">
        <v>139</v>
      </c>
      <c r="C233" s="0" t="s">
        <v>1245</v>
      </c>
      <c r="D233" s="0" t="n">
        <v>4</v>
      </c>
      <c r="E233" s="0" t="n">
        <v>16</v>
      </c>
      <c r="F233" s="0" t="n">
        <v>56</v>
      </c>
      <c r="G233" s="0" t="n">
        <v>9</v>
      </c>
    </row>
    <row r="234" customFormat="false" ht="15" hidden="false" customHeight="false" outlineLevel="0" collapsed="false">
      <c r="A234" s="0" t="s">
        <v>1239</v>
      </c>
      <c r="B234" s="0" t="s">
        <v>145</v>
      </c>
      <c r="C234" s="0" t="s">
        <v>2985</v>
      </c>
      <c r="D234" s="0" t="n">
        <v>0</v>
      </c>
      <c r="E234" s="0" t="n">
        <v>3</v>
      </c>
      <c r="F234" s="0" t="n">
        <v>33</v>
      </c>
      <c r="G234" s="0" t="n">
        <v>6</v>
      </c>
    </row>
    <row r="235" customFormat="false" ht="15" hidden="false" customHeight="false" outlineLevel="0" collapsed="false">
      <c r="A235" s="0" t="s">
        <v>1239</v>
      </c>
      <c r="B235" s="0" t="s">
        <v>145</v>
      </c>
      <c r="C235" s="0" t="s">
        <v>1245</v>
      </c>
      <c r="D235" s="0" t="n">
        <v>10</v>
      </c>
      <c r="E235" s="0" t="n">
        <v>4</v>
      </c>
      <c r="F235" s="0" t="n">
        <v>50</v>
      </c>
      <c r="G235" s="0" t="n">
        <v>10</v>
      </c>
    </row>
    <row r="236" customFormat="false" ht="15" hidden="false" customHeight="false" outlineLevel="0" collapsed="false">
      <c r="A236" s="0" t="s">
        <v>1239</v>
      </c>
      <c r="B236" s="0" t="s">
        <v>81</v>
      </c>
      <c r="C236" s="0" t="s">
        <v>2985</v>
      </c>
      <c r="D236" s="0" t="n">
        <v>53</v>
      </c>
      <c r="E236" s="0" t="n">
        <v>0</v>
      </c>
      <c r="F236" s="0" t="n">
        <v>69</v>
      </c>
      <c r="G236" s="0" t="n">
        <v>26</v>
      </c>
    </row>
    <row r="237" customFormat="false" ht="15" hidden="false" customHeight="false" outlineLevel="0" collapsed="false">
      <c r="A237" s="0" t="s">
        <v>1239</v>
      </c>
      <c r="B237" s="0" t="s">
        <v>81</v>
      </c>
      <c r="C237" s="0" t="s">
        <v>1245</v>
      </c>
      <c r="D237" s="0" t="n">
        <v>24</v>
      </c>
      <c r="E237" s="0" t="n">
        <v>0</v>
      </c>
      <c r="F237" s="0" t="n">
        <v>35</v>
      </c>
      <c r="G237" s="0" t="n">
        <v>20</v>
      </c>
    </row>
    <row r="238" customFormat="false" ht="15" hidden="false" customHeight="false" outlineLevel="0" collapsed="false">
      <c r="A238" s="0" t="s">
        <v>1239</v>
      </c>
      <c r="B238" s="0" t="s">
        <v>121</v>
      </c>
      <c r="C238" s="0" t="s">
        <v>2985</v>
      </c>
      <c r="D238" s="0" t="n">
        <v>16</v>
      </c>
      <c r="E238" s="0" t="n">
        <v>3</v>
      </c>
      <c r="F238" s="0" t="n">
        <v>36</v>
      </c>
      <c r="G238" s="0" t="n">
        <v>11</v>
      </c>
    </row>
    <row r="239" customFormat="false" ht="15" hidden="false" customHeight="false" outlineLevel="0" collapsed="false">
      <c r="A239" s="0" t="s">
        <v>1239</v>
      </c>
      <c r="B239" s="0" t="s">
        <v>121</v>
      </c>
      <c r="C239" s="0" t="s">
        <v>1245</v>
      </c>
      <c r="D239" s="0" t="n">
        <v>2</v>
      </c>
      <c r="E239" s="0" t="n">
        <v>71</v>
      </c>
      <c r="F239" s="0" t="n">
        <v>100</v>
      </c>
      <c r="G239" s="0" t="n">
        <v>1</v>
      </c>
    </row>
  </sheetData>
  <autoFilter ref="A1:G2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3434</v>
      </c>
      <c r="B1" s="12" t="s">
        <v>1828</v>
      </c>
      <c r="C1" s="12" t="s">
        <v>1102</v>
      </c>
      <c r="D1" s="12" t="s">
        <v>1101</v>
      </c>
      <c r="E1" s="12" t="s">
        <v>1077</v>
      </c>
      <c r="F1" s="12" t="s">
        <v>1262</v>
      </c>
      <c r="G1" s="12" t="s">
        <v>1263</v>
      </c>
      <c r="H1" s="12" t="s">
        <v>1264</v>
      </c>
      <c r="I1" s="12" t="s">
        <v>1086</v>
      </c>
      <c r="J1" s="12" t="s">
        <v>1266</v>
      </c>
      <c r="K1" s="12" t="s">
        <v>1275</v>
      </c>
      <c r="L1" s="12" t="s">
        <v>1276</v>
      </c>
      <c r="M1" s="12" t="s">
        <v>1269</v>
      </c>
      <c r="N1" s="12" t="s">
        <v>1089</v>
      </c>
      <c r="O1" s="12" t="s">
        <v>3435</v>
      </c>
      <c r="P1" s="12" t="s">
        <v>3436</v>
      </c>
      <c r="Q1" s="12" t="s">
        <v>1280</v>
      </c>
      <c r="R1" s="12" t="s">
        <v>1282</v>
      </c>
      <c r="S1" s="12" t="s">
        <v>1083</v>
      </c>
      <c r="T1" s="12" t="s">
        <v>3437</v>
      </c>
      <c r="U1" s="12" t="s">
        <v>3438</v>
      </c>
    </row>
    <row r="2" customFormat="false" ht="15" hidden="false" customHeight="false" outlineLevel="0" collapsed="false">
      <c r="A2" s="0" t="s">
        <v>1832</v>
      </c>
      <c r="B2" s="0" t="s">
        <v>1830</v>
      </c>
      <c r="C2" s="0" t="s">
        <v>1139</v>
      </c>
      <c r="D2" s="0" t="s">
        <v>1186</v>
      </c>
      <c r="E2" s="0" t="s">
        <v>1285</v>
      </c>
      <c r="F2" s="0" t="s">
        <v>1286</v>
      </c>
      <c r="G2" s="0" t="n">
        <v>10.5</v>
      </c>
      <c r="H2" s="0" t="n">
        <v>11.43</v>
      </c>
      <c r="I2" s="10" t="n">
        <v>0.6018</v>
      </c>
      <c r="J2" s="10" t="n">
        <v>0.3982</v>
      </c>
      <c r="K2" s="9" t="s">
        <v>3439</v>
      </c>
      <c r="L2" s="9" t="s">
        <v>3440</v>
      </c>
      <c r="N2" s="10" t="n">
        <v>0.3</v>
      </c>
      <c r="O2" s="19"/>
      <c r="P2" s="0" t="str">
        <f aca="false">IF(O2="","",IF(O2&gt;G2,"OVER",IF(O2&lt;G2,"UNDER","PUSH")))</f>
        <v/>
      </c>
      <c r="Q2" s="0" t="n">
        <v>11.43</v>
      </c>
      <c r="R2" s="10" t="n">
        <v>0.6018</v>
      </c>
      <c r="S2" s="0" t="n">
        <v>1</v>
      </c>
      <c r="T2" s="0" t="n">
        <v>10.71</v>
      </c>
      <c r="U2" s="0" t="n">
        <v>10.71</v>
      </c>
    </row>
    <row r="3" customFormat="false" ht="15" hidden="false" customHeight="false" outlineLevel="0" collapsed="false">
      <c r="A3" s="0" t="s">
        <v>1832</v>
      </c>
      <c r="B3" s="0" t="s">
        <v>1830</v>
      </c>
      <c r="C3" s="0" t="s">
        <v>1139</v>
      </c>
      <c r="D3" s="0" t="s">
        <v>1186</v>
      </c>
      <c r="E3" s="0" t="s">
        <v>1285</v>
      </c>
      <c r="F3" s="0" t="s">
        <v>1290</v>
      </c>
      <c r="G3" s="0" t="n">
        <v>32.5</v>
      </c>
      <c r="H3" s="0" t="n">
        <v>34.8</v>
      </c>
      <c r="I3" s="10" t="n">
        <v>0.6292</v>
      </c>
      <c r="J3" s="10" t="n">
        <v>0.3708</v>
      </c>
      <c r="K3" s="9" t="s">
        <v>3439</v>
      </c>
      <c r="L3" s="9" t="s">
        <v>3440</v>
      </c>
      <c r="N3" s="10" t="n">
        <v>0.4</v>
      </c>
      <c r="O3" s="19"/>
      <c r="P3" s="0" t="str">
        <f aca="false">IF(O3="","",IF(O3&gt;G3,"OVER",IF(O3&lt;G3,"UNDER","PUSH")))</f>
        <v/>
      </c>
      <c r="Q3" s="0" t="n">
        <v>34.8</v>
      </c>
      <c r="R3" s="10" t="n">
        <v>0.6292</v>
      </c>
      <c r="S3" s="0" t="n">
        <v>1</v>
      </c>
      <c r="T3" s="0" t="n">
        <v>32.25</v>
      </c>
      <c r="U3" s="0" t="n">
        <v>32.25</v>
      </c>
    </row>
    <row r="4" customFormat="false" ht="15" hidden="false" customHeight="false" outlineLevel="0" collapsed="false">
      <c r="A4" s="0" t="s">
        <v>1832</v>
      </c>
      <c r="B4" s="0" t="s">
        <v>1830</v>
      </c>
      <c r="C4" s="0" t="s">
        <v>1139</v>
      </c>
      <c r="D4" s="0" t="s">
        <v>1186</v>
      </c>
      <c r="E4" s="0" t="s">
        <v>1292</v>
      </c>
      <c r="F4" s="0" t="s">
        <v>1286</v>
      </c>
      <c r="G4" s="0" t="n">
        <v>13.5</v>
      </c>
      <c r="H4" s="0" t="n">
        <v>12.1</v>
      </c>
      <c r="I4" s="10" t="n">
        <v>0.3559</v>
      </c>
      <c r="J4" s="10" t="n">
        <v>0.6441</v>
      </c>
      <c r="K4" s="9" t="s">
        <v>3439</v>
      </c>
      <c r="L4" s="9" t="s">
        <v>3440</v>
      </c>
      <c r="N4" s="10" t="n">
        <v>0.2</v>
      </c>
      <c r="O4" s="19"/>
      <c r="P4" s="0" t="str">
        <f aca="false">IF(O4="","",IF(O4&gt;G4,"OVER",IF(O4&lt;G4,"UNDER","PUSH")))</f>
        <v/>
      </c>
      <c r="Q4" s="0" t="n">
        <v>12.1</v>
      </c>
      <c r="R4" s="10" t="n">
        <v>0.3559</v>
      </c>
      <c r="S4" s="0" t="n">
        <v>1</v>
      </c>
      <c r="T4" s="0" t="n">
        <v>12.51</v>
      </c>
      <c r="U4" s="0" t="n">
        <v>12.51</v>
      </c>
    </row>
    <row r="5" customFormat="false" ht="15" hidden="false" customHeight="false" outlineLevel="0" collapsed="false">
      <c r="A5" s="0" t="s">
        <v>1832</v>
      </c>
      <c r="B5" s="0" t="s">
        <v>1830</v>
      </c>
      <c r="C5" s="0" t="s">
        <v>1139</v>
      </c>
      <c r="D5" s="0" t="s">
        <v>1186</v>
      </c>
      <c r="E5" s="0" t="s">
        <v>1292</v>
      </c>
      <c r="F5" s="0" t="s">
        <v>1290</v>
      </c>
      <c r="G5" s="0" t="n">
        <v>26.5</v>
      </c>
      <c r="H5" s="0" t="n">
        <v>25.39</v>
      </c>
      <c r="I5" s="10" t="n">
        <v>0.4259</v>
      </c>
      <c r="J5" s="10" t="n">
        <v>0.5741</v>
      </c>
      <c r="K5" s="9" t="s">
        <v>3439</v>
      </c>
      <c r="L5" s="9" t="s">
        <v>3440</v>
      </c>
      <c r="N5" s="10" t="n">
        <v>0.2</v>
      </c>
      <c r="O5" s="19"/>
      <c r="P5" s="0" t="str">
        <f aca="false">IF(O5="","",IF(O5&gt;G5,"OVER",IF(O5&lt;G5,"UNDER","PUSH")))</f>
        <v/>
      </c>
      <c r="Q5" s="0" t="n">
        <v>25.39</v>
      </c>
      <c r="R5" s="10" t="n">
        <v>0.4259</v>
      </c>
      <c r="S5" s="0" t="n">
        <v>1</v>
      </c>
      <c r="T5" s="0" t="n">
        <v>25.37</v>
      </c>
      <c r="U5" s="0" t="n">
        <v>25.37</v>
      </c>
    </row>
    <row r="6" customFormat="false" ht="15" hidden="false" customHeight="false" outlineLevel="0" collapsed="false">
      <c r="A6" s="0" t="s">
        <v>1832</v>
      </c>
      <c r="B6" s="0" t="s">
        <v>1830</v>
      </c>
      <c r="C6" s="0" t="s">
        <v>1139</v>
      </c>
      <c r="D6" s="0" t="s">
        <v>1186</v>
      </c>
      <c r="E6" s="0" t="s">
        <v>1294</v>
      </c>
      <c r="F6" s="0" t="s">
        <v>1286</v>
      </c>
      <c r="G6" s="0" t="n">
        <v>18</v>
      </c>
      <c r="H6" s="0" t="n">
        <v>18.77</v>
      </c>
      <c r="I6" s="10" t="n">
        <v>0.5225</v>
      </c>
      <c r="J6" s="10" t="n">
        <v>0.3954</v>
      </c>
      <c r="K6" s="9" t="s">
        <v>3439</v>
      </c>
      <c r="L6" s="9" t="s">
        <v>3440</v>
      </c>
      <c r="N6" s="10" t="n">
        <v>0.7</v>
      </c>
      <c r="O6" s="19"/>
      <c r="P6" s="0" t="str">
        <f aca="false">IF(O6="","",IF(O6&gt;G6,"OVER",IF(O6&lt;G6,"UNDER","PUSH")))</f>
        <v/>
      </c>
      <c r="Q6" s="0" t="n">
        <v>18.77</v>
      </c>
      <c r="R6" s="10" t="n">
        <v>0.5225</v>
      </c>
      <c r="S6" s="0" t="n">
        <v>1</v>
      </c>
      <c r="T6" s="0" t="n">
        <v>18.11</v>
      </c>
      <c r="U6" s="0" t="n">
        <v>18.11</v>
      </c>
    </row>
    <row r="7" customFormat="false" ht="15" hidden="false" customHeight="false" outlineLevel="0" collapsed="false">
      <c r="A7" s="0" t="s">
        <v>1832</v>
      </c>
      <c r="B7" s="0" t="s">
        <v>1830</v>
      </c>
      <c r="C7" s="0" t="s">
        <v>1139</v>
      </c>
      <c r="D7" s="0" t="s">
        <v>1186</v>
      </c>
      <c r="E7" s="0" t="s">
        <v>1294</v>
      </c>
      <c r="F7" s="0" t="s">
        <v>1290</v>
      </c>
      <c r="G7" s="0" t="n">
        <v>31.5</v>
      </c>
      <c r="H7" s="0" t="n">
        <v>34.16</v>
      </c>
      <c r="I7" s="10" t="n">
        <v>0.6499</v>
      </c>
      <c r="J7" s="10" t="n">
        <v>0.3501</v>
      </c>
      <c r="K7" s="9" t="s">
        <v>3439</v>
      </c>
      <c r="L7" s="9" t="s">
        <v>3440</v>
      </c>
      <c r="N7" s="10" t="n">
        <v>0.3</v>
      </c>
      <c r="O7" s="19"/>
      <c r="P7" s="0" t="str">
        <f aca="false">IF(O7="","",IF(O7&gt;G7,"OVER",IF(O7&lt;G7,"UNDER","PUSH")))</f>
        <v/>
      </c>
      <c r="Q7" s="0" t="n">
        <v>34.16</v>
      </c>
      <c r="R7" s="10" t="n">
        <v>0.6499</v>
      </c>
      <c r="S7" s="0" t="n">
        <v>1</v>
      </c>
      <c r="T7" s="0" t="n">
        <v>31.82</v>
      </c>
      <c r="U7" s="0" t="n">
        <v>31.82</v>
      </c>
    </row>
    <row r="8" customFormat="false" ht="15" hidden="false" customHeight="false" outlineLevel="0" collapsed="false">
      <c r="A8" s="0" t="s">
        <v>1832</v>
      </c>
      <c r="B8" s="0" t="s">
        <v>1830</v>
      </c>
      <c r="C8" s="0" t="s">
        <v>1139</v>
      </c>
      <c r="D8" s="0" t="s">
        <v>1186</v>
      </c>
      <c r="E8" s="0" t="s">
        <v>1296</v>
      </c>
      <c r="F8" s="0" t="s">
        <v>1286</v>
      </c>
      <c r="G8" s="0" t="n">
        <v>16.5</v>
      </c>
      <c r="H8" s="0" t="n">
        <v>16.28</v>
      </c>
      <c r="I8" s="10" t="n">
        <v>0.4807</v>
      </c>
      <c r="J8" s="10" t="n">
        <v>0.5193</v>
      </c>
      <c r="K8" s="9" t="s">
        <v>3439</v>
      </c>
      <c r="L8" s="9" t="s">
        <v>3440</v>
      </c>
      <c r="N8" s="10" t="n">
        <v>0.5</v>
      </c>
      <c r="O8" s="19"/>
      <c r="P8" s="0" t="str">
        <f aca="false">IF(O8="","",IF(O8&gt;G8,"OVER",IF(O8&lt;G8,"UNDER","PUSH")))</f>
        <v/>
      </c>
      <c r="Q8" s="0" t="n">
        <v>16.28</v>
      </c>
      <c r="R8" s="10" t="n">
        <v>0.4807</v>
      </c>
      <c r="S8" s="0" t="n">
        <v>1</v>
      </c>
      <c r="T8" s="0" t="n">
        <v>16.46</v>
      </c>
      <c r="U8" s="0" t="n">
        <v>16.46</v>
      </c>
    </row>
    <row r="9" customFormat="false" ht="15" hidden="false" customHeight="false" outlineLevel="0" collapsed="false">
      <c r="A9" s="0" t="s">
        <v>1832</v>
      </c>
      <c r="B9" s="0" t="s">
        <v>1830</v>
      </c>
      <c r="C9" s="0" t="s">
        <v>1139</v>
      </c>
      <c r="D9" s="0" t="s">
        <v>1186</v>
      </c>
      <c r="E9" s="0" t="s">
        <v>1296</v>
      </c>
      <c r="F9" s="0" t="s">
        <v>1290</v>
      </c>
      <c r="G9" s="0" t="n">
        <v>29.5</v>
      </c>
      <c r="H9" s="0" t="n">
        <v>28.69</v>
      </c>
      <c r="I9" s="10" t="n">
        <v>0.4494</v>
      </c>
      <c r="J9" s="10" t="n">
        <v>0.5506</v>
      </c>
      <c r="K9" s="9" t="s">
        <v>3439</v>
      </c>
      <c r="L9" s="9" t="s">
        <v>3440</v>
      </c>
      <c r="N9" s="10" t="n">
        <v>0.5</v>
      </c>
      <c r="O9" s="19"/>
      <c r="P9" s="0" t="str">
        <f aca="false">IF(O9="","",IF(O9&gt;G9,"OVER",IF(O9&lt;G9,"UNDER","PUSH")))</f>
        <v/>
      </c>
      <c r="Q9" s="0" t="n">
        <v>28.69</v>
      </c>
      <c r="R9" s="10" t="n">
        <v>0.4494</v>
      </c>
      <c r="S9" s="0" t="n">
        <v>1</v>
      </c>
      <c r="T9" s="0" t="n">
        <v>29.24</v>
      </c>
      <c r="U9" s="0" t="n">
        <v>29.24</v>
      </c>
    </row>
    <row r="10" customFormat="false" ht="15" hidden="false" customHeight="false" outlineLevel="0" collapsed="false">
      <c r="A10" s="0" t="s">
        <v>1832</v>
      </c>
      <c r="B10" s="0" t="s">
        <v>1830</v>
      </c>
      <c r="C10" s="0" t="s">
        <v>1139</v>
      </c>
      <c r="D10" s="0" t="s">
        <v>1186</v>
      </c>
      <c r="E10" s="0" t="s">
        <v>1298</v>
      </c>
      <c r="F10" s="0" t="s">
        <v>1286</v>
      </c>
      <c r="G10" s="0" t="n">
        <v>16.5</v>
      </c>
      <c r="H10" s="0" t="n">
        <v>17.13</v>
      </c>
      <c r="I10" s="10" t="n">
        <v>0.5544</v>
      </c>
      <c r="J10" s="10" t="n">
        <v>0.4456</v>
      </c>
      <c r="K10" s="9" t="s">
        <v>3439</v>
      </c>
      <c r="L10" s="9" t="s">
        <v>3440</v>
      </c>
      <c r="N10" s="10" t="n">
        <v>0.5</v>
      </c>
      <c r="O10" s="19"/>
      <c r="P10" s="0" t="str">
        <f aca="false">IF(O10="","",IF(O10&gt;G10,"OVER",IF(O10&lt;G10,"UNDER","PUSH")))</f>
        <v/>
      </c>
      <c r="Q10" s="0" t="n">
        <v>17.13</v>
      </c>
      <c r="R10" s="10" t="n">
        <v>0.5544</v>
      </c>
      <c r="S10" s="0" t="n">
        <v>1</v>
      </c>
      <c r="T10" s="0" t="n">
        <v>17.02</v>
      </c>
      <c r="U10" s="0" t="n">
        <v>17.02</v>
      </c>
    </row>
    <row r="11" customFormat="false" ht="15" hidden="false" customHeight="false" outlineLevel="0" collapsed="false">
      <c r="A11" s="0" t="s">
        <v>1832</v>
      </c>
      <c r="B11" s="0" t="s">
        <v>1830</v>
      </c>
      <c r="C11" s="0" t="s">
        <v>1139</v>
      </c>
      <c r="D11" s="0" t="s">
        <v>1186</v>
      </c>
      <c r="E11" s="0" t="s">
        <v>1298</v>
      </c>
      <c r="F11" s="0" t="s">
        <v>1290</v>
      </c>
      <c r="G11" s="0" t="n">
        <v>27.5</v>
      </c>
      <c r="H11" s="0" t="n">
        <v>27.2</v>
      </c>
      <c r="I11" s="10" t="n">
        <v>0.4805</v>
      </c>
      <c r="J11" s="10" t="n">
        <v>0.5195</v>
      </c>
      <c r="K11" s="9" t="s">
        <v>3439</v>
      </c>
      <c r="L11" s="9" t="s">
        <v>3440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27.2</v>
      </c>
      <c r="R11" s="10" t="n">
        <v>0.4805</v>
      </c>
      <c r="S11" s="0" t="n">
        <v>1</v>
      </c>
      <c r="T11" s="0" t="n">
        <v>27.95</v>
      </c>
      <c r="U11" s="0" t="n">
        <v>27.95</v>
      </c>
    </row>
    <row r="12" customFormat="false" ht="15" hidden="false" customHeight="false" outlineLevel="0" collapsed="false">
      <c r="A12" s="0" t="s">
        <v>1832</v>
      </c>
      <c r="B12" s="0" t="s">
        <v>1830</v>
      </c>
      <c r="C12" s="0" t="s">
        <v>1139</v>
      </c>
      <c r="D12" s="0" t="s">
        <v>1204</v>
      </c>
      <c r="E12" s="0" t="s">
        <v>1300</v>
      </c>
      <c r="F12" s="0" t="s">
        <v>1301</v>
      </c>
      <c r="G12" s="0" t="n">
        <v>7</v>
      </c>
      <c r="H12" s="0" t="n">
        <v>8.62</v>
      </c>
      <c r="I12" s="10" t="n">
        <v>0.6345</v>
      </c>
      <c r="J12" s="10" t="n">
        <v>0.2578</v>
      </c>
      <c r="K12" s="9" t="s">
        <v>81</v>
      </c>
      <c r="L12" s="9" t="s">
        <v>3441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8.62</v>
      </c>
      <c r="R12" s="10" t="n">
        <v>0.6345</v>
      </c>
      <c r="S12" s="0" t="n">
        <v>1</v>
      </c>
      <c r="T12" s="0" t="n">
        <v>7.69</v>
      </c>
      <c r="U12" s="0" t="n">
        <v>7.69</v>
      </c>
    </row>
    <row r="13" customFormat="false" ht="15" hidden="false" customHeight="false" outlineLevel="0" collapsed="false">
      <c r="A13" s="0" t="s">
        <v>1832</v>
      </c>
      <c r="B13" s="0" t="s">
        <v>1830</v>
      </c>
      <c r="C13" s="0" t="s">
        <v>1139</v>
      </c>
      <c r="D13" s="0" t="s">
        <v>1204</v>
      </c>
      <c r="E13" s="0" t="s">
        <v>1300</v>
      </c>
      <c r="F13" s="0" t="s">
        <v>1304</v>
      </c>
      <c r="G13" s="0" t="n">
        <v>13.5</v>
      </c>
      <c r="H13" s="0" t="n">
        <v>14.26</v>
      </c>
      <c r="I13" s="10" t="n">
        <v>0.5677</v>
      </c>
      <c r="J13" s="10" t="n">
        <v>0.4323</v>
      </c>
      <c r="K13" s="9" t="s">
        <v>81</v>
      </c>
      <c r="L13" s="9" t="s">
        <v>3441</v>
      </c>
      <c r="N13" s="10" t="n">
        <v>0.7</v>
      </c>
      <c r="O13" s="19"/>
      <c r="P13" s="0" t="str">
        <f aca="false">IF(O13="","",IF(O13&gt;G13,"OVER",IF(O13&lt;G13,"UNDER","PUSH")))</f>
        <v/>
      </c>
      <c r="Q13" s="0" t="n">
        <v>14.26</v>
      </c>
      <c r="R13" s="10" t="n">
        <v>0.5677</v>
      </c>
      <c r="S13" s="0" t="n">
        <v>1</v>
      </c>
      <c r="T13" s="0" t="n">
        <v>13.97</v>
      </c>
      <c r="U13" s="0" t="n">
        <v>13.97</v>
      </c>
    </row>
    <row r="14" customFormat="false" ht="15" hidden="false" customHeight="false" outlineLevel="0" collapsed="false">
      <c r="A14" s="0" t="s">
        <v>1832</v>
      </c>
      <c r="B14" s="0" t="s">
        <v>1830</v>
      </c>
      <c r="C14" s="0" t="s">
        <v>1139</v>
      </c>
      <c r="D14" s="0" t="s">
        <v>1204</v>
      </c>
      <c r="E14" s="0" t="s">
        <v>1306</v>
      </c>
      <c r="F14" s="0" t="s">
        <v>1301</v>
      </c>
      <c r="G14" s="0" t="n">
        <v>6.5</v>
      </c>
      <c r="H14" s="0" t="n">
        <v>6.15</v>
      </c>
      <c r="I14" s="10" t="n">
        <v>0.4496</v>
      </c>
      <c r="J14" s="10" t="n">
        <v>0.5504</v>
      </c>
      <c r="K14" s="9" t="s">
        <v>81</v>
      </c>
      <c r="L14" s="9" t="s">
        <v>3441</v>
      </c>
      <c r="N14" s="10" t="n">
        <v>0.4</v>
      </c>
      <c r="O14" s="19"/>
      <c r="P14" s="0" t="str">
        <f aca="false">IF(O14="","",IF(O14&gt;G14,"OVER",IF(O14&lt;G14,"UNDER","PUSH")))</f>
        <v/>
      </c>
      <c r="Q14" s="0" t="n">
        <v>6.15</v>
      </c>
      <c r="R14" s="10" t="n">
        <v>0.4496</v>
      </c>
      <c r="S14" s="0" t="n">
        <v>1</v>
      </c>
      <c r="T14" s="0" t="n">
        <v>7.36</v>
      </c>
      <c r="U14" s="0" t="n">
        <v>7.36</v>
      </c>
    </row>
    <row r="15" customFormat="false" ht="15" hidden="false" customHeight="false" outlineLevel="0" collapsed="false">
      <c r="A15" s="0" t="s">
        <v>1832</v>
      </c>
      <c r="B15" s="0" t="s">
        <v>1830</v>
      </c>
      <c r="C15" s="0" t="s">
        <v>1139</v>
      </c>
      <c r="D15" s="0" t="s">
        <v>1204</v>
      </c>
      <c r="E15" s="0" t="s">
        <v>1306</v>
      </c>
      <c r="F15" s="0" t="s">
        <v>1304</v>
      </c>
      <c r="G15" s="0" t="n">
        <v>13.5</v>
      </c>
      <c r="H15" s="0" t="n">
        <v>13.07</v>
      </c>
      <c r="I15" s="10" t="n">
        <v>0.4597</v>
      </c>
      <c r="J15" s="10" t="n">
        <v>0.5403</v>
      </c>
      <c r="K15" s="9" t="s">
        <v>81</v>
      </c>
      <c r="L15" s="9" t="s">
        <v>3441</v>
      </c>
      <c r="N15" s="10" t="n">
        <v>0.4</v>
      </c>
      <c r="O15" s="19"/>
      <c r="P15" s="0" t="str">
        <f aca="false">IF(O15="","",IF(O15&gt;G15,"OVER",IF(O15&lt;G15,"UNDER","PUSH")))</f>
        <v/>
      </c>
      <c r="Q15" s="0" t="n">
        <v>13.07</v>
      </c>
      <c r="R15" s="10" t="n">
        <v>0.4597</v>
      </c>
      <c r="S15" s="0" t="n">
        <v>1</v>
      </c>
      <c r="T15" s="0" t="n">
        <v>14.41</v>
      </c>
      <c r="U15" s="0" t="n">
        <v>14.41</v>
      </c>
    </row>
    <row r="16" customFormat="false" ht="15" hidden="false" customHeight="false" outlineLevel="0" collapsed="false">
      <c r="A16" s="0" t="s">
        <v>1832</v>
      </c>
      <c r="B16" s="0" t="s">
        <v>1830</v>
      </c>
      <c r="C16" s="0" t="s">
        <v>1139</v>
      </c>
      <c r="D16" s="0" t="s">
        <v>1204</v>
      </c>
      <c r="E16" s="0" t="s">
        <v>1308</v>
      </c>
      <c r="F16" s="0" t="s">
        <v>1301</v>
      </c>
      <c r="G16" s="0" t="n">
        <v>5.5</v>
      </c>
      <c r="H16" s="0" t="n">
        <v>4.72</v>
      </c>
      <c r="I16" s="10" t="n">
        <v>0.3684</v>
      </c>
      <c r="J16" s="10" t="n">
        <v>0.6316</v>
      </c>
      <c r="K16" s="9" t="s">
        <v>81</v>
      </c>
      <c r="L16" s="9" t="s">
        <v>3441</v>
      </c>
      <c r="N16" s="10" t="n">
        <v>0.1</v>
      </c>
      <c r="O16" s="19"/>
      <c r="P16" s="0" t="str">
        <f aca="false">IF(O16="","",IF(O16&gt;G16,"OVER",IF(O16&lt;G16,"UNDER","PUSH")))</f>
        <v/>
      </c>
      <c r="Q16" s="0" t="n">
        <v>4.72</v>
      </c>
      <c r="R16" s="10" t="n">
        <v>0.3684</v>
      </c>
      <c r="S16" s="0" t="n">
        <v>1</v>
      </c>
      <c r="T16" s="0" t="n">
        <v>4.85</v>
      </c>
      <c r="U16" s="0" t="n">
        <v>4.85</v>
      </c>
    </row>
    <row r="17" customFormat="false" ht="15" hidden="false" customHeight="false" outlineLevel="0" collapsed="false">
      <c r="A17" s="0" t="s">
        <v>1832</v>
      </c>
      <c r="B17" s="0" t="s">
        <v>1830</v>
      </c>
      <c r="C17" s="0" t="s">
        <v>1139</v>
      </c>
      <c r="D17" s="0" t="s">
        <v>1204</v>
      </c>
      <c r="E17" s="0" t="s">
        <v>1308</v>
      </c>
      <c r="F17" s="0" t="s">
        <v>1304</v>
      </c>
      <c r="G17" s="0" t="n">
        <v>14</v>
      </c>
      <c r="H17" s="0" t="n">
        <v>13.28</v>
      </c>
      <c r="I17" s="10" t="n">
        <v>0.3888</v>
      </c>
      <c r="J17" s="10" t="n">
        <v>0.5201</v>
      </c>
      <c r="K17" s="9" t="s">
        <v>81</v>
      </c>
      <c r="L17" s="9" t="s">
        <v>3441</v>
      </c>
      <c r="N17" s="10" t="n">
        <v>0.5</v>
      </c>
      <c r="O17" s="19"/>
      <c r="P17" s="0" t="str">
        <f aca="false">IF(O17="","",IF(O17&gt;G17,"OVER",IF(O17&lt;G17,"UNDER","PUSH")))</f>
        <v/>
      </c>
      <c r="Q17" s="0" t="n">
        <v>13.28</v>
      </c>
      <c r="R17" s="10" t="n">
        <v>0.3888</v>
      </c>
      <c r="S17" s="0" t="n">
        <v>1</v>
      </c>
      <c r="T17" s="0" t="n">
        <v>14.62</v>
      </c>
      <c r="U17" s="0" t="n">
        <v>14.62</v>
      </c>
    </row>
    <row r="18" customFormat="false" ht="15" hidden="false" customHeight="false" outlineLevel="0" collapsed="false">
      <c r="A18" s="0" t="s">
        <v>1832</v>
      </c>
      <c r="B18" s="0" t="s">
        <v>1830</v>
      </c>
      <c r="C18" s="0" t="s">
        <v>1139</v>
      </c>
      <c r="D18" s="0" t="s">
        <v>1204</v>
      </c>
      <c r="E18" s="0" t="s">
        <v>1310</v>
      </c>
      <c r="F18" s="0" t="s">
        <v>1301</v>
      </c>
      <c r="G18" s="0" t="n">
        <v>8</v>
      </c>
      <c r="H18" s="0" t="n">
        <v>9.31</v>
      </c>
      <c r="I18" s="10" t="n">
        <v>0.5946</v>
      </c>
      <c r="J18" s="10" t="n">
        <v>0.2963</v>
      </c>
      <c r="K18" s="9" t="s">
        <v>81</v>
      </c>
      <c r="L18" s="9" t="s">
        <v>3441</v>
      </c>
      <c r="N18" s="10" t="n">
        <v>0.8</v>
      </c>
      <c r="O18" s="19"/>
      <c r="P18" s="0" t="str">
        <f aca="false">IF(O18="","",IF(O18&gt;G18,"OVER",IF(O18&lt;G18,"UNDER","PUSH")))</f>
        <v/>
      </c>
      <c r="Q18" s="0" t="n">
        <v>9.31</v>
      </c>
      <c r="R18" s="10" t="n">
        <v>0.5946</v>
      </c>
      <c r="S18" s="0" t="n">
        <v>1</v>
      </c>
      <c r="T18" s="0" t="n">
        <v>8.46</v>
      </c>
      <c r="U18" s="0" t="n">
        <v>8.46</v>
      </c>
    </row>
    <row r="19" customFormat="false" ht="15" hidden="false" customHeight="false" outlineLevel="0" collapsed="false">
      <c r="A19" s="0" t="s">
        <v>1832</v>
      </c>
      <c r="B19" s="0" t="s">
        <v>1830</v>
      </c>
      <c r="C19" s="0" t="s">
        <v>1139</v>
      </c>
      <c r="D19" s="0" t="s">
        <v>1204</v>
      </c>
      <c r="E19" s="0" t="s">
        <v>1310</v>
      </c>
      <c r="F19" s="0" t="s">
        <v>1304</v>
      </c>
      <c r="G19" s="0" t="n">
        <v>14</v>
      </c>
      <c r="H19" s="0" t="n">
        <v>15.91</v>
      </c>
      <c r="I19" s="10" t="n">
        <v>0.6174</v>
      </c>
      <c r="J19" s="10" t="n">
        <v>0.3048</v>
      </c>
      <c r="K19" s="9" t="s">
        <v>81</v>
      </c>
      <c r="L19" s="9" t="s">
        <v>3441</v>
      </c>
      <c r="N19" s="10" t="n">
        <v>0.8</v>
      </c>
      <c r="O19" s="19"/>
      <c r="P19" s="0" t="str">
        <f aca="false">IF(O19="","",IF(O19&gt;G19,"OVER",IF(O19&lt;G19,"UNDER","PUSH")))</f>
        <v/>
      </c>
      <c r="Q19" s="0" t="n">
        <v>15.91</v>
      </c>
      <c r="R19" s="10" t="n">
        <v>0.6174</v>
      </c>
      <c r="S19" s="0" t="n">
        <v>1</v>
      </c>
      <c r="T19" s="0" t="n">
        <v>15.05</v>
      </c>
      <c r="U19" s="0" t="n">
        <v>15.05</v>
      </c>
    </row>
    <row r="20" customFormat="false" ht="15" hidden="false" customHeight="false" outlineLevel="0" collapsed="false">
      <c r="A20" s="0" t="s">
        <v>1832</v>
      </c>
      <c r="B20" s="0" t="s">
        <v>1830</v>
      </c>
      <c r="C20" s="0" t="s">
        <v>1139</v>
      </c>
      <c r="D20" s="0" t="s">
        <v>1204</v>
      </c>
      <c r="E20" s="0" t="s">
        <v>1312</v>
      </c>
      <c r="F20" s="0" t="s">
        <v>1301</v>
      </c>
      <c r="G20" s="0" t="n">
        <v>8</v>
      </c>
      <c r="H20" s="0" t="n">
        <v>7.5</v>
      </c>
      <c r="I20" s="10" t="n">
        <v>0.3707</v>
      </c>
      <c r="J20" s="10" t="n">
        <v>0.4999</v>
      </c>
      <c r="K20" s="9" t="s">
        <v>81</v>
      </c>
      <c r="L20" s="9" t="s">
        <v>3441</v>
      </c>
      <c r="N20" s="10" t="n">
        <v>0.6</v>
      </c>
      <c r="O20" s="19"/>
      <c r="P20" s="0" t="str">
        <f aca="false">IF(O20="","",IF(O20&gt;G20,"OVER",IF(O20&lt;G20,"UNDER","PUSH")))</f>
        <v/>
      </c>
      <c r="Q20" s="0" t="n">
        <v>7.5</v>
      </c>
      <c r="R20" s="10" t="n">
        <v>0.3707</v>
      </c>
      <c r="S20" s="0" t="n">
        <v>1</v>
      </c>
      <c r="T20" s="0" t="n">
        <v>7.7</v>
      </c>
      <c r="U20" s="0" t="n">
        <v>7.7</v>
      </c>
    </row>
    <row r="21" customFormat="false" ht="15" hidden="false" customHeight="false" outlineLevel="0" collapsed="false">
      <c r="A21" s="0" t="s">
        <v>1832</v>
      </c>
      <c r="B21" s="0" t="s">
        <v>1830</v>
      </c>
      <c r="C21" s="0" t="s">
        <v>1139</v>
      </c>
      <c r="D21" s="0" t="s">
        <v>1204</v>
      </c>
      <c r="E21" s="0" t="s">
        <v>1312</v>
      </c>
      <c r="F21" s="0" t="s">
        <v>1304</v>
      </c>
      <c r="G21" s="0" t="n">
        <v>14.5</v>
      </c>
      <c r="H21" s="0" t="n">
        <v>13.57</v>
      </c>
      <c r="I21" s="10" t="n">
        <v>0.4154</v>
      </c>
      <c r="J21" s="10" t="n">
        <v>0.5846</v>
      </c>
      <c r="K21" s="9" t="s">
        <v>81</v>
      </c>
      <c r="L21" s="9" t="s">
        <v>3441</v>
      </c>
      <c r="N21" s="10" t="n">
        <v>0.6</v>
      </c>
      <c r="O21" s="19"/>
      <c r="P21" s="0" t="str">
        <f aca="false">IF(O21="","",IF(O21&gt;G21,"OVER",IF(O21&lt;G21,"UNDER","PUSH")))</f>
        <v/>
      </c>
      <c r="Q21" s="0" t="n">
        <v>13.57</v>
      </c>
      <c r="R21" s="10" t="n">
        <v>0.4154</v>
      </c>
      <c r="S21" s="0" t="n">
        <v>1</v>
      </c>
      <c r="T21" s="0" t="n">
        <v>14.62</v>
      </c>
      <c r="U21" s="0" t="n">
        <v>14.62</v>
      </c>
    </row>
    <row r="22" customFormat="false" ht="15" hidden="false" customHeight="false" outlineLevel="0" collapsed="false">
      <c r="A22" s="0" t="s">
        <v>1832</v>
      </c>
      <c r="B22" s="0" t="s">
        <v>1830</v>
      </c>
      <c r="C22" s="0" t="s">
        <v>1139</v>
      </c>
      <c r="D22" s="0" t="s">
        <v>1192</v>
      </c>
      <c r="E22" s="0" t="s">
        <v>1314</v>
      </c>
      <c r="F22" s="0" t="s">
        <v>1290</v>
      </c>
      <c r="G22" s="0" t="n">
        <v>29.5</v>
      </c>
      <c r="H22" s="0" t="n">
        <v>29.24</v>
      </c>
      <c r="I22" s="10" t="n">
        <v>0.4835</v>
      </c>
      <c r="J22" s="10" t="n">
        <v>0.5165</v>
      </c>
      <c r="K22" s="9" t="s">
        <v>3442</v>
      </c>
      <c r="L22" s="9" t="s">
        <v>3440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29.04</v>
      </c>
      <c r="R22" s="10" t="n">
        <v>0.4711</v>
      </c>
      <c r="S22" s="0" t="n">
        <v>0.9932</v>
      </c>
      <c r="T22" s="0" t="n">
        <v>30.53</v>
      </c>
      <c r="U22" s="0" t="n">
        <v>30.32</v>
      </c>
    </row>
    <row r="23" customFormat="false" ht="15" hidden="false" customHeight="false" outlineLevel="0" collapsed="false">
      <c r="A23" s="0" t="s">
        <v>1832</v>
      </c>
      <c r="B23" s="0" t="s">
        <v>1830</v>
      </c>
      <c r="C23" s="0" t="s">
        <v>1139</v>
      </c>
      <c r="D23" s="0" t="s">
        <v>1192</v>
      </c>
      <c r="E23" s="0" t="s">
        <v>1316</v>
      </c>
      <c r="F23" s="0" t="s">
        <v>1286</v>
      </c>
      <c r="G23" s="0" t="n">
        <v>15.5</v>
      </c>
      <c r="H23" s="0" t="n">
        <v>17.03</v>
      </c>
      <c r="I23" s="10" t="n">
        <v>0.6322</v>
      </c>
      <c r="J23" s="10" t="n">
        <v>0.3678</v>
      </c>
      <c r="K23" s="9" t="s">
        <v>3442</v>
      </c>
      <c r="L23" s="9" t="s">
        <v>3440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16.91</v>
      </c>
      <c r="R23" s="10" t="n">
        <v>0.6227</v>
      </c>
      <c r="S23" s="0" t="n">
        <v>0.993</v>
      </c>
      <c r="T23" s="0" t="n">
        <v>16.8</v>
      </c>
      <c r="U23" s="0" t="n">
        <v>16.68</v>
      </c>
    </row>
    <row r="24" customFormat="false" ht="15" hidden="false" customHeight="false" outlineLevel="0" collapsed="false">
      <c r="A24" s="0" t="s">
        <v>1832</v>
      </c>
      <c r="B24" s="0" t="s">
        <v>1830</v>
      </c>
      <c r="C24" s="0" t="s">
        <v>1139</v>
      </c>
      <c r="D24" s="0" t="s">
        <v>1192</v>
      </c>
      <c r="E24" s="0" t="s">
        <v>1316</v>
      </c>
      <c r="F24" s="0" t="s">
        <v>1290</v>
      </c>
      <c r="G24" s="0" t="n">
        <v>30.5</v>
      </c>
      <c r="H24" s="0" t="n">
        <v>33.23</v>
      </c>
      <c r="I24" s="10" t="n">
        <v>0.6556</v>
      </c>
      <c r="J24" s="10" t="n">
        <v>0.3444</v>
      </c>
      <c r="K24" s="9" t="s">
        <v>3442</v>
      </c>
      <c r="L24" s="9" t="s">
        <v>3440</v>
      </c>
      <c r="N24" s="10" t="n">
        <v>0.6</v>
      </c>
      <c r="O24" s="19"/>
      <c r="P24" s="0" t="str">
        <f aca="false">IF(O24="","",IF(O24&gt;G24,"OVER",IF(O24&lt;G24,"UNDER","PUSH")))</f>
        <v/>
      </c>
      <c r="Q24" s="0" t="n">
        <v>32.98</v>
      </c>
      <c r="R24" s="10" t="n">
        <v>0.6427</v>
      </c>
      <c r="S24" s="0" t="n">
        <v>0.9926</v>
      </c>
      <c r="T24" s="0" t="n">
        <v>32.68</v>
      </c>
      <c r="U24" s="0" t="n">
        <v>32.45</v>
      </c>
    </row>
    <row r="25" customFormat="false" ht="15" hidden="false" customHeight="false" outlineLevel="0" collapsed="false">
      <c r="A25" s="0" t="s">
        <v>1832</v>
      </c>
      <c r="B25" s="0" t="s">
        <v>1830</v>
      </c>
      <c r="C25" s="0" t="s">
        <v>1139</v>
      </c>
      <c r="D25" s="0" t="s">
        <v>1192</v>
      </c>
      <c r="E25" s="0" t="s">
        <v>1319</v>
      </c>
      <c r="F25" s="0" t="s">
        <v>1290</v>
      </c>
      <c r="G25" s="0" t="n">
        <v>24.5</v>
      </c>
      <c r="H25" s="0" t="n">
        <v>24.38</v>
      </c>
      <c r="I25" s="10" t="n">
        <v>0.4919</v>
      </c>
      <c r="J25" s="10" t="n">
        <v>0.5081</v>
      </c>
      <c r="K25" s="9" t="s">
        <v>3442</v>
      </c>
      <c r="L25" s="9" t="s">
        <v>3440</v>
      </c>
      <c r="N25" s="10" t="n">
        <v>0.4</v>
      </c>
      <c r="O25" s="19"/>
      <c r="P25" s="0" t="str">
        <f aca="false">IF(O25="","",IF(O25&gt;G25,"OVER",IF(O25&lt;G25,"UNDER","PUSH")))</f>
        <v/>
      </c>
      <c r="Q25" s="0" t="n">
        <v>24.21</v>
      </c>
      <c r="R25" s="10" t="n">
        <v>0.48</v>
      </c>
      <c r="S25" s="0" t="n">
        <v>0.9929</v>
      </c>
      <c r="T25" s="0" t="n">
        <v>24.08</v>
      </c>
      <c r="U25" s="0" t="n">
        <v>23.91</v>
      </c>
    </row>
    <row r="26" customFormat="false" ht="15" hidden="false" customHeight="false" outlineLevel="0" collapsed="false">
      <c r="A26" s="0" t="s">
        <v>1832</v>
      </c>
      <c r="B26" s="0" t="s">
        <v>1830</v>
      </c>
      <c r="C26" s="0" t="s">
        <v>1139</v>
      </c>
      <c r="D26" s="0" t="s">
        <v>1192</v>
      </c>
      <c r="E26" s="0" t="s">
        <v>1322</v>
      </c>
      <c r="F26" s="0" t="s">
        <v>1286</v>
      </c>
      <c r="G26" s="0" t="n">
        <v>17.5</v>
      </c>
      <c r="H26" s="0" t="n">
        <v>17.74</v>
      </c>
      <c r="I26" s="10" t="n">
        <v>0.5205</v>
      </c>
      <c r="J26" s="10" t="n">
        <v>0.4795</v>
      </c>
      <c r="K26" s="9" t="s">
        <v>3442</v>
      </c>
      <c r="L26" s="9" t="s">
        <v>3440</v>
      </c>
      <c r="N26" s="10" t="n">
        <v>0.4</v>
      </c>
      <c r="O26" s="19"/>
      <c r="P26" s="0" t="str">
        <f aca="false">IF(O26="","",IF(O26&gt;G26,"OVER",IF(O26&lt;G26,"UNDER","PUSH")))</f>
        <v/>
      </c>
      <c r="Q26" s="0" t="n">
        <v>17.61</v>
      </c>
      <c r="R26" s="10" t="n">
        <v>0.5098</v>
      </c>
      <c r="S26" s="0" t="n">
        <v>0.993</v>
      </c>
      <c r="T26" s="0" t="n">
        <v>17.74</v>
      </c>
      <c r="U26" s="0" t="n">
        <v>17.61</v>
      </c>
    </row>
    <row r="27" customFormat="false" ht="15" hidden="false" customHeight="false" outlineLevel="0" collapsed="false">
      <c r="A27" s="0" t="s">
        <v>1832</v>
      </c>
      <c r="B27" s="0" t="s">
        <v>1830</v>
      </c>
      <c r="C27" s="0" t="s">
        <v>1139</v>
      </c>
      <c r="D27" s="0" t="s">
        <v>1192</v>
      </c>
      <c r="E27" s="0" t="s">
        <v>1322</v>
      </c>
      <c r="F27" s="0" t="s">
        <v>1290</v>
      </c>
      <c r="G27" s="0" t="n">
        <v>31.5</v>
      </c>
      <c r="H27" s="0" t="n">
        <v>32.4</v>
      </c>
      <c r="I27" s="10" t="n">
        <v>0.553</v>
      </c>
      <c r="J27" s="10" t="n">
        <v>0.447</v>
      </c>
      <c r="K27" s="9" t="s">
        <v>3442</v>
      </c>
      <c r="L27" s="9" t="s">
        <v>3440</v>
      </c>
      <c r="N27" s="10" t="n">
        <v>0.5</v>
      </c>
      <c r="O27" s="19"/>
      <c r="P27" s="0" t="str">
        <f aca="false">IF(O27="","",IF(O27&gt;G27,"OVER",IF(O27&lt;G27,"UNDER","PUSH")))</f>
        <v/>
      </c>
      <c r="Q27" s="0" t="n">
        <v>32.17</v>
      </c>
      <c r="R27" s="10" t="n">
        <v>0.5399</v>
      </c>
      <c r="S27" s="0" t="n">
        <v>0.993</v>
      </c>
      <c r="T27" s="0" t="n">
        <v>32.25</v>
      </c>
      <c r="U27" s="0" t="n">
        <v>32.02</v>
      </c>
    </row>
    <row r="28" customFormat="false" ht="15" hidden="false" customHeight="false" outlineLevel="0" collapsed="false">
      <c r="A28" s="0" t="s">
        <v>1832</v>
      </c>
      <c r="B28" s="0" t="s">
        <v>1830</v>
      </c>
      <c r="C28" s="0" t="s">
        <v>1139</v>
      </c>
      <c r="D28" s="0" t="s">
        <v>1192</v>
      </c>
      <c r="E28" s="0" t="s">
        <v>1324</v>
      </c>
      <c r="F28" s="0" t="s">
        <v>1286</v>
      </c>
      <c r="G28" s="0" t="n">
        <v>17.5</v>
      </c>
      <c r="H28" s="0" t="n">
        <v>17.78</v>
      </c>
      <c r="I28" s="10" t="n">
        <v>0.5236</v>
      </c>
      <c r="J28" s="10" t="n">
        <v>0.4764</v>
      </c>
      <c r="K28" s="9" t="s">
        <v>3442</v>
      </c>
      <c r="L28" s="9" t="s">
        <v>3440</v>
      </c>
      <c r="N28" s="10" t="n">
        <v>0.7</v>
      </c>
      <c r="O28" s="19"/>
      <c r="P28" s="0" t="str">
        <f aca="false">IF(O28="","",IF(O28&gt;G28,"OVER",IF(O28&lt;G28,"UNDER","PUSH")))</f>
        <v/>
      </c>
      <c r="Q28" s="0" t="n">
        <v>17.2</v>
      </c>
      <c r="R28" s="10" t="n">
        <v>0.4742</v>
      </c>
      <c r="S28" s="0" t="n">
        <v>0.9675</v>
      </c>
      <c r="T28" s="0" t="n">
        <v>17.63</v>
      </c>
      <c r="U28" s="0" t="n">
        <v>17.06</v>
      </c>
    </row>
    <row r="29" customFormat="false" ht="15" hidden="false" customHeight="false" outlineLevel="0" collapsed="false">
      <c r="A29" s="0" t="s">
        <v>1832</v>
      </c>
      <c r="B29" s="0" t="s">
        <v>1830</v>
      </c>
      <c r="C29" s="0" t="s">
        <v>1139</v>
      </c>
      <c r="D29" s="0" t="s">
        <v>1192</v>
      </c>
      <c r="E29" s="0" t="s">
        <v>1324</v>
      </c>
      <c r="F29" s="0" t="s">
        <v>1290</v>
      </c>
      <c r="G29" s="0" t="n">
        <v>29.5</v>
      </c>
      <c r="H29" s="0" t="n">
        <v>29.63</v>
      </c>
      <c r="I29" s="10" t="n">
        <v>0.5078</v>
      </c>
      <c r="J29" s="10" t="n">
        <v>0.4922</v>
      </c>
      <c r="K29" s="9" t="s">
        <v>3442</v>
      </c>
      <c r="L29" s="9" t="s">
        <v>3440</v>
      </c>
      <c r="N29" s="10" t="n">
        <v>0.4</v>
      </c>
      <c r="O29" s="19"/>
      <c r="P29" s="0" t="str">
        <f aca="false">IF(O29="","",IF(O29&gt;G29,"OVER",IF(O29&lt;G29,"UNDER","PUSH")))</f>
        <v/>
      </c>
      <c r="Q29" s="0" t="n">
        <v>28.66</v>
      </c>
      <c r="R29" s="10" t="n">
        <v>0.4473</v>
      </c>
      <c r="S29" s="0" t="n">
        <v>0.9674</v>
      </c>
      <c r="T29" s="0" t="n">
        <v>28.81</v>
      </c>
      <c r="U29" s="0" t="n">
        <v>27.87</v>
      </c>
    </row>
    <row r="30" customFormat="false" ht="15" hidden="false" customHeight="false" outlineLevel="0" collapsed="false">
      <c r="A30" s="0" t="s">
        <v>1832</v>
      </c>
      <c r="B30" s="0" t="s">
        <v>1830</v>
      </c>
      <c r="C30" s="0" t="s">
        <v>1139</v>
      </c>
      <c r="D30" s="0" t="s">
        <v>1192</v>
      </c>
      <c r="E30" s="0" t="s">
        <v>1326</v>
      </c>
      <c r="F30" s="0" t="s">
        <v>1286</v>
      </c>
      <c r="G30" s="0" t="n">
        <v>18.5</v>
      </c>
      <c r="H30" s="0" t="n">
        <v>16.03</v>
      </c>
      <c r="I30" s="10" t="n">
        <v>0.289</v>
      </c>
      <c r="J30" s="10" t="n">
        <v>0.711</v>
      </c>
      <c r="K30" s="9" t="s">
        <v>3442</v>
      </c>
      <c r="L30" s="9" t="s">
        <v>3440</v>
      </c>
      <c r="N30" s="10" t="n">
        <v>0.3</v>
      </c>
      <c r="O30" s="19"/>
      <c r="P30" s="0" t="str">
        <f aca="false">IF(O30="","",IF(O30&gt;G30,"OVER",IF(O30&lt;G30,"UNDER","PUSH")))</f>
        <v/>
      </c>
      <c r="Q30" s="0" t="n">
        <v>15.51</v>
      </c>
      <c r="R30" s="10" t="n">
        <v>0.247</v>
      </c>
      <c r="S30" s="0" t="n">
        <v>0.9677</v>
      </c>
      <c r="T30" s="0" t="n">
        <v>17.33</v>
      </c>
      <c r="U30" s="0" t="n">
        <v>16.76</v>
      </c>
    </row>
    <row r="31" customFormat="false" ht="15" hidden="false" customHeight="false" outlineLevel="0" collapsed="false">
      <c r="A31" s="0" t="s">
        <v>1832</v>
      </c>
      <c r="B31" s="0" t="s">
        <v>1830</v>
      </c>
      <c r="C31" s="0" t="s">
        <v>1139</v>
      </c>
      <c r="D31" s="0" t="s">
        <v>1192</v>
      </c>
      <c r="E31" s="0" t="s">
        <v>1326</v>
      </c>
      <c r="F31" s="0" t="s">
        <v>1290</v>
      </c>
      <c r="G31" s="0" t="n">
        <v>32.5</v>
      </c>
      <c r="H31" s="0" t="n">
        <v>28.16</v>
      </c>
      <c r="I31" s="10" t="n">
        <v>0.2445</v>
      </c>
      <c r="J31" s="10" t="n">
        <v>0.7555</v>
      </c>
      <c r="K31" s="9" t="s">
        <v>3442</v>
      </c>
      <c r="L31" s="9" t="s">
        <v>3440</v>
      </c>
      <c r="N31" s="10" t="n">
        <v>0.4</v>
      </c>
      <c r="O31" s="19"/>
      <c r="P31" s="0" t="str">
        <f aca="false">IF(O31="","",IF(O31&gt;G31,"OVER",IF(O31&lt;G31,"UNDER","PUSH")))</f>
        <v/>
      </c>
      <c r="Q31" s="0" t="n">
        <v>27.25</v>
      </c>
      <c r="R31" s="10" t="n">
        <v>0.1977</v>
      </c>
      <c r="S31" s="0" t="n">
        <v>0.9678</v>
      </c>
      <c r="T31" s="0" t="n">
        <v>29.67</v>
      </c>
      <c r="U31" s="0" t="n">
        <v>28.71</v>
      </c>
    </row>
    <row r="32" customFormat="false" ht="15" hidden="false" customHeight="false" outlineLevel="0" collapsed="false">
      <c r="A32" s="0" t="s">
        <v>1832</v>
      </c>
      <c r="B32" s="0" t="s">
        <v>1830</v>
      </c>
      <c r="C32" s="0" t="s">
        <v>1139</v>
      </c>
      <c r="D32" s="0" t="s">
        <v>1192</v>
      </c>
      <c r="E32" s="0" t="s">
        <v>1328</v>
      </c>
      <c r="F32" s="0" t="s">
        <v>1286</v>
      </c>
      <c r="G32" s="0" t="n">
        <v>9.5</v>
      </c>
      <c r="H32" s="0" t="n">
        <v>8.48</v>
      </c>
      <c r="I32" s="10" t="n">
        <v>0.3697</v>
      </c>
      <c r="J32" s="10" t="n">
        <v>0.6303</v>
      </c>
      <c r="K32" s="9" t="s">
        <v>3442</v>
      </c>
      <c r="L32" s="9" t="s">
        <v>3440</v>
      </c>
      <c r="N32" s="10" t="n">
        <v>0.5</v>
      </c>
      <c r="O32" s="19"/>
      <c r="P32" s="0" t="str">
        <f aca="false">IF(O32="","",IF(O32&gt;G32,"OVER",IF(O32&lt;G32,"UNDER","PUSH")))</f>
        <v/>
      </c>
      <c r="Q32" s="0" t="n">
        <v>8.2</v>
      </c>
      <c r="R32" s="10" t="n">
        <v>0.3341</v>
      </c>
      <c r="S32" s="0" t="n">
        <v>0.9677</v>
      </c>
      <c r="T32" s="0" t="n">
        <v>8.85</v>
      </c>
      <c r="U32" s="0" t="n">
        <v>8.57</v>
      </c>
    </row>
    <row r="33" customFormat="false" ht="15" hidden="false" customHeight="false" outlineLevel="0" collapsed="false">
      <c r="A33" s="0" t="s">
        <v>1832</v>
      </c>
      <c r="B33" s="0" t="s">
        <v>1830</v>
      </c>
      <c r="C33" s="0" t="s">
        <v>1139</v>
      </c>
      <c r="D33" s="0" t="s">
        <v>1192</v>
      </c>
      <c r="E33" s="0" t="s">
        <v>1328</v>
      </c>
      <c r="F33" s="0" t="s">
        <v>1290</v>
      </c>
      <c r="G33" s="0" t="n">
        <v>31.5</v>
      </c>
      <c r="H33" s="0" t="n">
        <v>29.73</v>
      </c>
      <c r="I33" s="10" t="n">
        <v>0.3919</v>
      </c>
      <c r="J33" s="10" t="n">
        <v>0.6081</v>
      </c>
      <c r="K33" s="9" t="s">
        <v>3442</v>
      </c>
      <c r="L33" s="9" t="s">
        <v>3440</v>
      </c>
      <c r="N33" s="10" t="n">
        <v>0.5</v>
      </c>
      <c r="O33" s="19"/>
      <c r="P33" s="0" t="str">
        <f aca="false">IF(O33="","",IF(O33&gt;G33,"OVER",IF(O33&lt;G33,"UNDER","PUSH")))</f>
        <v/>
      </c>
      <c r="Q33" s="0" t="n">
        <v>28.77</v>
      </c>
      <c r="R33" s="10" t="n">
        <v>0.3333</v>
      </c>
      <c r="S33" s="0" t="n">
        <v>0.9676</v>
      </c>
      <c r="T33" s="0" t="n">
        <v>30.53</v>
      </c>
      <c r="U33" s="0" t="n">
        <v>29.54</v>
      </c>
    </row>
    <row r="34" customFormat="false" ht="15" hidden="false" customHeight="false" outlineLevel="0" collapsed="false">
      <c r="A34" s="0" t="s">
        <v>1832</v>
      </c>
      <c r="B34" s="0" t="s">
        <v>1830</v>
      </c>
      <c r="C34" s="0" t="s">
        <v>1139</v>
      </c>
      <c r="D34" s="0" t="s">
        <v>1192</v>
      </c>
      <c r="E34" s="0" t="s">
        <v>1331</v>
      </c>
      <c r="F34" s="0" t="s">
        <v>1286</v>
      </c>
      <c r="G34" s="0" t="n">
        <v>13.5</v>
      </c>
      <c r="H34" s="0" t="n">
        <v>13.29</v>
      </c>
      <c r="I34" s="10" t="n">
        <v>0.4795</v>
      </c>
      <c r="J34" s="10" t="n">
        <v>0.5205</v>
      </c>
      <c r="K34" s="9" t="s">
        <v>3442</v>
      </c>
      <c r="L34" s="9" t="s">
        <v>3440</v>
      </c>
      <c r="N34" s="10" t="n">
        <v>0.5</v>
      </c>
      <c r="O34" s="19"/>
      <c r="P34" s="0" t="str">
        <f aca="false">IF(O34="","",IF(O34&gt;G34,"OVER",IF(O34&lt;G34,"UNDER","PUSH")))</f>
        <v/>
      </c>
      <c r="Q34" s="0" t="n">
        <v>12.86</v>
      </c>
      <c r="R34" s="10" t="n">
        <v>0.4357</v>
      </c>
      <c r="S34" s="0" t="n">
        <v>0.9674</v>
      </c>
      <c r="T34" s="0" t="n">
        <v>13.12</v>
      </c>
      <c r="U34" s="0" t="n">
        <v>12.69</v>
      </c>
    </row>
    <row r="35" customFormat="false" ht="15" hidden="false" customHeight="false" outlineLevel="0" collapsed="false">
      <c r="A35" s="0" t="s">
        <v>1832</v>
      </c>
      <c r="B35" s="0" t="s">
        <v>1830</v>
      </c>
      <c r="C35" s="0" t="s">
        <v>1139</v>
      </c>
      <c r="D35" s="0" t="s">
        <v>1192</v>
      </c>
      <c r="E35" s="0" t="s">
        <v>1331</v>
      </c>
      <c r="F35" s="0" t="s">
        <v>1290</v>
      </c>
      <c r="G35" s="0" t="n">
        <v>25.5</v>
      </c>
      <c r="H35" s="0" t="n">
        <v>24.63</v>
      </c>
      <c r="I35" s="10" t="n">
        <v>0.4413</v>
      </c>
      <c r="J35" s="10" t="n">
        <v>0.5587</v>
      </c>
      <c r="K35" s="9" t="s">
        <v>3442</v>
      </c>
      <c r="L35" s="9" t="s">
        <v>3440</v>
      </c>
      <c r="N35" s="10" t="n">
        <v>0.4</v>
      </c>
      <c r="O35" s="19"/>
      <c r="P35" s="0" t="str">
        <f aca="false">IF(O35="","",IF(O35&gt;G35,"OVER",IF(O35&lt;G35,"UNDER","PUSH")))</f>
        <v/>
      </c>
      <c r="Q35" s="0" t="n">
        <v>23.83</v>
      </c>
      <c r="R35" s="10" t="n">
        <v>0.3862</v>
      </c>
      <c r="S35" s="0" t="n">
        <v>0.9674</v>
      </c>
      <c r="T35" s="0" t="n">
        <v>24.94</v>
      </c>
      <c r="U35" s="0" t="n">
        <v>24.13</v>
      </c>
    </row>
    <row r="36" customFormat="false" ht="15" hidden="false" customHeight="false" outlineLevel="0" collapsed="false">
      <c r="A36" s="0" t="s">
        <v>1832</v>
      </c>
      <c r="B36" s="0" t="s">
        <v>1830</v>
      </c>
      <c r="C36" s="0" t="s">
        <v>1139</v>
      </c>
      <c r="D36" s="0" t="s">
        <v>1192</v>
      </c>
      <c r="E36" s="0" t="s">
        <v>1333</v>
      </c>
      <c r="F36" s="0" t="s">
        <v>1286</v>
      </c>
      <c r="G36" s="0" t="n">
        <v>16.5</v>
      </c>
      <c r="H36" s="0" t="n">
        <v>16.87</v>
      </c>
      <c r="I36" s="10" t="n">
        <v>0.5321</v>
      </c>
      <c r="J36" s="10" t="n">
        <v>0.4679</v>
      </c>
      <c r="K36" s="9" t="s">
        <v>3442</v>
      </c>
      <c r="L36" s="9" t="s">
        <v>3440</v>
      </c>
      <c r="N36" s="10" t="n">
        <v>0.4</v>
      </c>
      <c r="O36" s="19"/>
      <c r="P36" s="0" t="str">
        <f aca="false">IF(O36="","",IF(O36&gt;G36,"OVER",IF(O36&lt;G36,"UNDER","PUSH")))</f>
        <v/>
      </c>
      <c r="Q36" s="0" t="n">
        <v>16.31</v>
      </c>
      <c r="R36" s="10" t="n">
        <v>0.4835</v>
      </c>
      <c r="S36" s="0" t="n">
        <v>0.9671</v>
      </c>
      <c r="T36" s="0" t="n">
        <v>17.22</v>
      </c>
      <c r="U36" s="0" t="n">
        <v>16.66</v>
      </c>
    </row>
    <row r="37" customFormat="false" ht="15" hidden="false" customHeight="false" outlineLevel="0" collapsed="false">
      <c r="A37" s="0" t="s">
        <v>1832</v>
      </c>
      <c r="B37" s="0" t="s">
        <v>1830</v>
      </c>
      <c r="C37" s="0" t="s">
        <v>1139</v>
      </c>
      <c r="D37" s="0" t="s">
        <v>1192</v>
      </c>
      <c r="E37" s="0" t="s">
        <v>1333</v>
      </c>
      <c r="F37" s="0" t="s">
        <v>1290</v>
      </c>
      <c r="G37" s="0" t="n">
        <v>28.5</v>
      </c>
      <c r="H37" s="0" t="n">
        <v>28.22</v>
      </c>
      <c r="I37" s="10" t="n">
        <v>0.4823</v>
      </c>
      <c r="J37" s="10" t="n">
        <v>0.5177</v>
      </c>
      <c r="K37" s="9" t="s">
        <v>3442</v>
      </c>
      <c r="L37" s="9" t="s">
        <v>3440</v>
      </c>
      <c r="N37" s="10" t="n">
        <v>0.4</v>
      </c>
      <c r="O37" s="19"/>
      <c r="P37" s="0" t="str">
        <f aca="false">IF(O37="","",IF(O37&gt;G37,"OVER",IF(O37&lt;G37,"UNDER","PUSH")))</f>
        <v/>
      </c>
      <c r="Q37" s="0" t="n">
        <v>27.3</v>
      </c>
      <c r="R37" s="10" t="n">
        <v>0.4228</v>
      </c>
      <c r="S37" s="0" t="n">
        <v>0.9672</v>
      </c>
      <c r="T37" s="0" t="n">
        <v>29.24</v>
      </c>
      <c r="U37" s="0" t="n">
        <v>28.29</v>
      </c>
    </row>
    <row r="38" customFormat="false" ht="15" hidden="false" customHeight="false" outlineLevel="0" collapsed="false">
      <c r="A38" s="0" t="s">
        <v>1832</v>
      </c>
      <c r="B38" s="0" t="s">
        <v>1830</v>
      </c>
      <c r="C38" s="0" t="s">
        <v>1139</v>
      </c>
      <c r="D38" s="0" t="s">
        <v>1147</v>
      </c>
      <c r="E38" s="0" t="s">
        <v>1335</v>
      </c>
      <c r="F38" s="0" t="s">
        <v>1286</v>
      </c>
      <c r="G38" s="0" t="n">
        <v>13.5</v>
      </c>
      <c r="H38" s="0" t="n">
        <v>13.09</v>
      </c>
      <c r="I38" s="10" t="n">
        <v>0.4591</v>
      </c>
      <c r="J38" s="10" t="n">
        <v>0.5409</v>
      </c>
      <c r="K38" s="9" t="s">
        <v>3443</v>
      </c>
      <c r="L38" s="9" t="s">
        <v>3440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12.77</v>
      </c>
      <c r="R38" s="10" t="n">
        <v>0.4266</v>
      </c>
      <c r="S38" s="0" t="n">
        <v>0.9756</v>
      </c>
      <c r="T38" s="0" t="n">
        <v>13.44</v>
      </c>
      <c r="U38" s="0" t="n">
        <v>13.15</v>
      </c>
    </row>
    <row r="39" customFormat="false" ht="15" hidden="false" customHeight="false" outlineLevel="0" collapsed="false">
      <c r="A39" s="0" t="s">
        <v>1832</v>
      </c>
      <c r="B39" s="0" t="s">
        <v>1830</v>
      </c>
      <c r="C39" s="0" t="s">
        <v>1139</v>
      </c>
      <c r="D39" s="0" t="s">
        <v>1147</v>
      </c>
      <c r="E39" s="0" t="s">
        <v>1335</v>
      </c>
      <c r="F39" s="0" t="s">
        <v>1290</v>
      </c>
      <c r="G39" s="0" t="n">
        <v>25.5</v>
      </c>
      <c r="H39" s="0" t="n">
        <v>24.05</v>
      </c>
      <c r="I39" s="10" t="n">
        <v>0.401</v>
      </c>
      <c r="J39" s="10" t="n">
        <v>0.599</v>
      </c>
      <c r="K39" s="9" t="s">
        <v>3443</v>
      </c>
      <c r="L39" s="9" t="s">
        <v>3440</v>
      </c>
      <c r="N39" s="10" t="n">
        <v>0.3</v>
      </c>
      <c r="O39" s="19"/>
      <c r="P39" s="0" t="str">
        <f aca="false">IF(O39="","",IF(O39&gt;G39,"OVER",IF(O39&lt;G39,"UNDER","PUSH")))</f>
        <v/>
      </c>
      <c r="Q39" s="0" t="n">
        <v>23.48</v>
      </c>
      <c r="R39" s="10" t="n">
        <v>0.3626</v>
      </c>
      <c r="S39" s="0" t="n">
        <v>0.9766</v>
      </c>
      <c r="T39" s="0" t="n">
        <v>24.94</v>
      </c>
      <c r="U39" s="0" t="n">
        <v>24.39</v>
      </c>
    </row>
    <row r="40" customFormat="false" ht="15" hidden="false" customHeight="false" outlineLevel="0" collapsed="false">
      <c r="A40" s="0" t="s">
        <v>1832</v>
      </c>
      <c r="B40" s="0" t="s">
        <v>1830</v>
      </c>
      <c r="C40" s="0" t="s">
        <v>1139</v>
      </c>
      <c r="D40" s="0" t="s">
        <v>1147</v>
      </c>
      <c r="E40" s="0" t="s">
        <v>1339</v>
      </c>
      <c r="F40" s="0" t="s">
        <v>1286</v>
      </c>
      <c r="G40" s="0" t="n">
        <v>18.5</v>
      </c>
      <c r="H40" s="0" t="n">
        <v>21.19</v>
      </c>
      <c r="I40" s="10" t="n">
        <v>0.6978</v>
      </c>
      <c r="J40" s="10" t="n">
        <v>0.3022</v>
      </c>
      <c r="K40" s="9" t="s">
        <v>3443</v>
      </c>
      <c r="L40" s="9" t="s">
        <v>3440</v>
      </c>
      <c r="N40" s="10" t="n">
        <v>0.7</v>
      </c>
      <c r="O40" s="19"/>
      <c r="P40" s="0" t="str">
        <f aca="false">IF(O40="","",IF(O40&gt;G40,"OVER",IF(O40&lt;G40,"UNDER","PUSH")))</f>
        <v/>
      </c>
      <c r="Q40" s="0" t="n">
        <v>20.69</v>
      </c>
      <c r="R40" s="10" t="n">
        <v>0.6655</v>
      </c>
      <c r="S40" s="0" t="n">
        <v>0.9766</v>
      </c>
      <c r="T40" s="0" t="n">
        <v>20.26</v>
      </c>
      <c r="U40" s="0" t="n">
        <v>19.81</v>
      </c>
    </row>
    <row r="41" customFormat="false" ht="15" hidden="false" customHeight="false" outlineLevel="0" collapsed="false">
      <c r="A41" s="0" t="s">
        <v>1832</v>
      </c>
      <c r="B41" s="0" t="s">
        <v>1830</v>
      </c>
      <c r="C41" s="0" t="s">
        <v>1139</v>
      </c>
      <c r="D41" s="0" t="s">
        <v>1147</v>
      </c>
      <c r="E41" s="0" t="s">
        <v>1339</v>
      </c>
      <c r="F41" s="0" t="s">
        <v>1290</v>
      </c>
      <c r="G41" s="0" t="n">
        <v>29.5</v>
      </c>
      <c r="H41" s="0" t="n">
        <v>31.23</v>
      </c>
      <c r="I41" s="10" t="n">
        <v>0.6031</v>
      </c>
      <c r="J41" s="10" t="n">
        <v>0.3969</v>
      </c>
      <c r="K41" s="9" t="s">
        <v>3443</v>
      </c>
      <c r="L41" s="9" t="s">
        <v>3440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30.51</v>
      </c>
      <c r="R41" s="10" t="n">
        <v>0.5612</v>
      </c>
      <c r="S41" s="0" t="n">
        <v>0.9769</v>
      </c>
      <c r="T41" s="0" t="n">
        <v>30.1</v>
      </c>
      <c r="U41" s="0" t="n">
        <v>29.43</v>
      </c>
    </row>
    <row r="42" customFormat="false" ht="15" hidden="false" customHeight="false" outlineLevel="0" collapsed="false">
      <c r="A42" s="0" t="s">
        <v>1832</v>
      </c>
      <c r="B42" s="0" t="s">
        <v>1830</v>
      </c>
      <c r="C42" s="0" t="s">
        <v>1139</v>
      </c>
      <c r="D42" s="0" t="s">
        <v>1147</v>
      </c>
      <c r="E42" s="0" t="s">
        <v>1342</v>
      </c>
      <c r="F42" s="0" t="s">
        <v>1286</v>
      </c>
      <c r="G42" s="0" t="n">
        <v>16.5</v>
      </c>
      <c r="H42" s="0" t="n">
        <v>18.79</v>
      </c>
      <c r="I42" s="10" t="n">
        <v>0.6822</v>
      </c>
      <c r="J42" s="10" t="n">
        <v>0.3178</v>
      </c>
      <c r="K42" s="9" t="s">
        <v>3443</v>
      </c>
      <c r="L42" s="9" t="s">
        <v>3440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18.4</v>
      </c>
      <c r="R42" s="10" t="n">
        <v>0.6545</v>
      </c>
      <c r="S42" s="0" t="n">
        <v>0.9793</v>
      </c>
      <c r="T42" s="0" t="n">
        <v>18.12</v>
      </c>
      <c r="U42" s="0" t="n">
        <v>17.72</v>
      </c>
    </row>
    <row r="43" customFormat="false" ht="15" hidden="false" customHeight="false" outlineLevel="0" collapsed="false">
      <c r="A43" s="0" t="s">
        <v>1832</v>
      </c>
      <c r="B43" s="0" t="s">
        <v>1830</v>
      </c>
      <c r="C43" s="0" t="s">
        <v>1139</v>
      </c>
      <c r="D43" s="0" t="s">
        <v>1147</v>
      </c>
      <c r="E43" s="0" t="s">
        <v>1342</v>
      </c>
      <c r="F43" s="0" t="s">
        <v>1290</v>
      </c>
      <c r="G43" s="0" t="n">
        <v>29.5</v>
      </c>
      <c r="H43" s="0" t="n">
        <v>30.8</v>
      </c>
      <c r="I43" s="10" t="n">
        <v>0.5787</v>
      </c>
      <c r="J43" s="10" t="n">
        <v>0.4213</v>
      </c>
      <c r="K43" s="9" t="s">
        <v>3443</v>
      </c>
      <c r="L43" s="9" t="s">
        <v>3440</v>
      </c>
      <c r="N43" s="10" t="n">
        <v>0.4</v>
      </c>
      <c r="O43" s="19"/>
      <c r="P43" s="0" t="str">
        <f aca="false">IF(O43="","",IF(O43&gt;G43,"OVER",IF(O43&lt;G43,"UNDER","PUSH")))</f>
        <v/>
      </c>
      <c r="Q43" s="0" t="n">
        <v>30.16</v>
      </c>
      <c r="R43" s="10" t="n">
        <v>0.5407</v>
      </c>
      <c r="S43" s="0" t="n">
        <v>0.9792</v>
      </c>
      <c r="T43" s="0" t="n">
        <v>30.1</v>
      </c>
      <c r="U43" s="0" t="n">
        <v>29.43</v>
      </c>
    </row>
    <row r="44" customFormat="false" ht="15" hidden="false" customHeight="false" outlineLevel="0" collapsed="false">
      <c r="A44" s="0" t="s">
        <v>1832</v>
      </c>
      <c r="B44" s="0" t="s">
        <v>1830</v>
      </c>
      <c r="C44" s="0" t="s">
        <v>1139</v>
      </c>
      <c r="D44" s="0" t="s">
        <v>1147</v>
      </c>
      <c r="E44" s="0" t="s">
        <v>1344</v>
      </c>
      <c r="F44" s="0" t="s">
        <v>1286</v>
      </c>
      <c r="G44" s="0" t="n">
        <v>18.5</v>
      </c>
      <c r="H44" s="0" t="n">
        <v>17.68</v>
      </c>
      <c r="I44" s="10" t="n">
        <v>0.4304</v>
      </c>
      <c r="J44" s="10" t="n">
        <v>0.5696</v>
      </c>
      <c r="K44" s="9" t="s">
        <v>3443</v>
      </c>
      <c r="L44" s="9" t="s">
        <v>3440</v>
      </c>
      <c r="N44" s="10" t="n">
        <v>0.4</v>
      </c>
      <c r="O44" s="19"/>
      <c r="P44" s="0" t="str">
        <f aca="false">IF(O44="","",IF(O44&gt;G44,"OVER",IF(O44&lt;G44,"UNDER","PUSH")))</f>
        <v/>
      </c>
      <c r="Q44" s="0" t="n">
        <v>17.27</v>
      </c>
      <c r="R44" s="10" t="n">
        <v>0.3942</v>
      </c>
      <c r="S44" s="0" t="n">
        <v>0.9764</v>
      </c>
      <c r="T44" s="0" t="n">
        <v>18.3</v>
      </c>
      <c r="U44" s="0" t="n">
        <v>17.9</v>
      </c>
    </row>
    <row r="45" customFormat="false" ht="15" hidden="false" customHeight="false" outlineLevel="0" collapsed="false">
      <c r="A45" s="0" t="s">
        <v>1832</v>
      </c>
      <c r="B45" s="0" t="s">
        <v>1830</v>
      </c>
      <c r="C45" s="0" t="s">
        <v>1139</v>
      </c>
      <c r="D45" s="0" t="s">
        <v>1147</v>
      </c>
      <c r="E45" s="0" t="s">
        <v>1344</v>
      </c>
      <c r="F45" s="0" t="s">
        <v>1290</v>
      </c>
      <c r="G45" s="0" t="n">
        <v>31.5</v>
      </c>
      <c r="H45" s="0" t="n">
        <v>31.21</v>
      </c>
      <c r="I45" s="10" t="n">
        <v>0.4823</v>
      </c>
      <c r="J45" s="10" t="n">
        <v>0.5177</v>
      </c>
      <c r="K45" s="9" t="s">
        <v>3443</v>
      </c>
      <c r="L45" s="9" t="s">
        <v>3440</v>
      </c>
      <c r="N45" s="10" t="n">
        <v>0.4</v>
      </c>
      <c r="O45" s="19"/>
      <c r="P45" s="0" t="str">
        <f aca="false">IF(O45="","",IF(O45&gt;G45,"OVER",IF(O45&lt;G45,"UNDER","PUSH")))</f>
        <v/>
      </c>
      <c r="Q45" s="0" t="n">
        <v>30.48</v>
      </c>
      <c r="R45" s="10" t="n">
        <v>0.438</v>
      </c>
      <c r="S45" s="0" t="n">
        <v>0.9768</v>
      </c>
      <c r="T45" s="0" t="n">
        <v>31.39</v>
      </c>
      <c r="U45" s="0" t="n">
        <v>30.7</v>
      </c>
    </row>
    <row r="46" customFormat="false" ht="15" hidden="false" customHeight="false" outlineLevel="0" collapsed="false">
      <c r="A46" s="0" t="s">
        <v>1832</v>
      </c>
      <c r="B46" s="0" t="s">
        <v>1830</v>
      </c>
      <c r="C46" s="0" t="s">
        <v>1139</v>
      </c>
      <c r="D46" s="0" t="s">
        <v>1147</v>
      </c>
      <c r="E46" s="0" t="s">
        <v>1346</v>
      </c>
      <c r="F46" s="0" t="s">
        <v>1286</v>
      </c>
      <c r="G46" s="0" t="n">
        <v>9</v>
      </c>
      <c r="H46" s="0" t="n">
        <v>8.14</v>
      </c>
      <c r="I46" s="10" t="n">
        <v>0.3256</v>
      </c>
      <c r="J46" s="10" t="n">
        <v>0.5475</v>
      </c>
      <c r="K46" s="9" t="s">
        <v>3443</v>
      </c>
      <c r="L46" s="9" t="s">
        <v>3440</v>
      </c>
      <c r="N46" s="10" t="n">
        <v>0.6</v>
      </c>
      <c r="O46" s="19"/>
      <c r="P46" s="0" t="str">
        <f aca="false">IF(O46="","",IF(O46&gt;G46,"OVER",IF(O46&lt;G46,"UNDER","PUSH")))</f>
        <v/>
      </c>
      <c r="Q46" s="0" t="n">
        <v>7.97</v>
      </c>
      <c r="R46" s="10" t="n">
        <v>0.3033</v>
      </c>
      <c r="S46" s="0" t="n">
        <v>0.9788</v>
      </c>
      <c r="T46" s="0" t="n">
        <v>8.49</v>
      </c>
      <c r="U46" s="0" t="n">
        <v>8.3</v>
      </c>
    </row>
    <row r="47" customFormat="false" ht="15" hidden="false" customHeight="false" outlineLevel="0" collapsed="false">
      <c r="A47" s="0" t="s">
        <v>1832</v>
      </c>
      <c r="B47" s="0" t="s">
        <v>1830</v>
      </c>
      <c r="C47" s="0" t="s">
        <v>1139</v>
      </c>
      <c r="D47" s="0" t="s">
        <v>1147</v>
      </c>
      <c r="E47" s="0" t="s">
        <v>1346</v>
      </c>
      <c r="F47" s="0" t="s">
        <v>1290</v>
      </c>
      <c r="G47" s="0" t="n">
        <v>30.5</v>
      </c>
      <c r="H47" s="0" t="n">
        <v>30.22</v>
      </c>
      <c r="I47" s="10" t="n">
        <v>0.4828</v>
      </c>
      <c r="J47" s="10" t="n">
        <v>0.5172</v>
      </c>
      <c r="K47" s="9" t="s">
        <v>3443</v>
      </c>
      <c r="L47" s="9" t="s">
        <v>3440</v>
      </c>
      <c r="N47" s="10" t="n">
        <v>0.3</v>
      </c>
      <c r="O47" s="19"/>
      <c r="P47" s="0" t="str">
        <f aca="false">IF(O47="","",IF(O47&gt;G47,"OVER",IF(O47&lt;G47,"UNDER","PUSH")))</f>
        <v/>
      </c>
      <c r="Q47" s="0" t="n">
        <v>29.54</v>
      </c>
      <c r="R47" s="10" t="n">
        <v>0.4408</v>
      </c>
      <c r="S47" s="0" t="n">
        <v>0.9776</v>
      </c>
      <c r="T47" s="0" t="n">
        <v>29.67</v>
      </c>
      <c r="U47" s="0" t="n">
        <v>29.01</v>
      </c>
    </row>
    <row r="48" customFormat="false" ht="15" hidden="false" customHeight="false" outlineLevel="0" collapsed="false">
      <c r="A48" s="0" t="s">
        <v>1832</v>
      </c>
      <c r="B48" s="0" t="s">
        <v>1830</v>
      </c>
      <c r="C48" s="0" t="s">
        <v>1139</v>
      </c>
      <c r="D48" s="0" t="s">
        <v>1147</v>
      </c>
      <c r="E48" s="0" t="s">
        <v>1348</v>
      </c>
      <c r="F48" s="0" t="s">
        <v>1286</v>
      </c>
      <c r="G48" s="0" t="n">
        <v>16.5</v>
      </c>
      <c r="H48" s="0" t="n">
        <v>17.46</v>
      </c>
      <c r="I48" s="10" t="n">
        <v>0.5822</v>
      </c>
      <c r="J48" s="10" t="n">
        <v>0.4178</v>
      </c>
      <c r="K48" s="9" t="s">
        <v>3443</v>
      </c>
      <c r="L48" s="9" t="s">
        <v>3440</v>
      </c>
      <c r="N48" s="10" t="n">
        <v>0.4</v>
      </c>
      <c r="O48" s="19"/>
      <c r="P48" s="0" t="str">
        <f aca="false">IF(O48="","",IF(O48&gt;G48,"OVER",IF(O48&lt;G48,"UNDER","PUSH")))</f>
        <v/>
      </c>
      <c r="Q48" s="0" t="n">
        <v>16.68</v>
      </c>
      <c r="R48" s="10" t="n">
        <v>0.5156</v>
      </c>
      <c r="S48" s="0" t="n">
        <v>0.9551</v>
      </c>
      <c r="T48" s="0" t="n">
        <v>16.55</v>
      </c>
      <c r="U48" s="0" t="n">
        <v>15.79</v>
      </c>
    </row>
    <row r="49" customFormat="false" ht="15" hidden="false" customHeight="false" outlineLevel="0" collapsed="false">
      <c r="A49" s="0" t="s">
        <v>1832</v>
      </c>
      <c r="B49" s="0" t="s">
        <v>1830</v>
      </c>
      <c r="C49" s="0" t="s">
        <v>1139</v>
      </c>
      <c r="D49" s="0" t="s">
        <v>1147</v>
      </c>
      <c r="E49" s="0" t="s">
        <v>1348</v>
      </c>
      <c r="F49" s="0" t="s">
        <v>1290</v>
      </c>
      <c r="G49" s="0" t="n">
        <v>29.5</v>
      </c>
      <c r="H49" s="0" t="n">
        <v>30.35</v>
      </c>
      <c r="I49" s="10" t="n">
        <v>0.5519</v>
      </c>
      <c r="J49" s="10" t="n">
        <v>0.4481</v>
      </c>
      <c r="K49" s="9" t="s">
        <v>3443</v>
      </c>
      <c r="L49" s="9" t="s">
        <v>3440</v>
      </c>
      <c r="N49" s="10" t="n">
        <v>0.4</v>
      </c>
      <c r="O49" s="19"/>
      <c r="P49" s="0" t="str">
        <f aca="false">IF(O49="","",IF(O49&gt;G49,"OVER",IF(O49&lt;G49,"UNDER","PUSH")))</f>
        <v/>
      </c>
      <c r="Q49" s="0" t="n">
        <v>28.96</v>
      </c>
      <c r="R49" s="10" t="n">
        <v>0.4661</v>
      </c>
      <c r="S49" s="0" t="n">
        <v>0.9541</v>
      </c>
      <c r="T49" s="0" t="n">
        <v>28.38</v>
      </c>
      <c r="U49" s="0" t="n">
        <v>27.08</v>
      </c>
    </row>
    <row r="50" customFormat="false" ht="15" hidden="false" customHeight="false" outlineLevel="0" collapsed="false">
      <c r="A50" s="0" t="s">
        <v>1832</v>
      </c>
      <c r="B50" s="0" t="s">
        <v>1830</v>
      </c>
      <c r="C50" s="0" t="s">
        <v>1139</v>
      </c>
      <c r="D50" s="0" t="s">
        <v>1147</v>
      </c>
      <c r="E50" s="0" t="s">
        <v>1350</v>
      </c>
      <c r="F50" s="0" t="s">
        <v>1286</v>
      </c>
      <c r="G50" s="0" t="n">
        <v>9.5</v>
      </c>
      <c r="H50" s="0" t="n">
        <v>10.54</v>
      </c>
      <c r="I50" s="10" t="n">
        <v>0.6182</v>
      </c>
      <c r="J50" s="10" t="n">
        <v>0.3818</v>
      </c>
      <c r="K50" s="9" t="s">
        <v>3443</v>
      </c>
      <c r="L50" s="9" t="s">
        <v>3440</v>
      </c>
      <c r="N50" s="10" t="n">
        <v>0.5</v>
      </c>
      <c r="O50" s="19"/>
      <c r="P50" s="0" t="str">
        <f aca="false">IF(O50="","",IF(O50&gt;G50,"OVER",IF(O50&lt;G50,"UNDER","PUSH")))</f>
        <v/>
      </c>
      <c r="Q50" s="0" t="n">
        <v>10.08</v>
      </c>
      <c r="R50" s="10" t="n">
        <v>0.5683</v>
      </c>
      <c r="S50" s="0" t="n">
        <v>0.9565</v>
      </c>
      <c r="T50" s="0" t="n">
        <v>9.81</v>
      </c>
      <c r="U50" s="0" t="n">
        <v>9.36</v>
      </c>
    </row>
    <row r="51" customFormat="false" ht="15" hidden="false" customHeight="false" outlineLevel="0" collapsed="false">
      <c r="A51" s="0" t="s">
        <v>1832</v>
      </c>
      <c r="B51" s="0" t="s">
        <v>1830</v>
      </c>
      <c r="C51" s="0" t="s">
        <v>1139</v>
      </c>
      <c r="D51" s="0" t="s">
        <v>1147</v>
      </c>
      <c r="E51" s="0" t="s">
        <v>1350</v>
      </c>
      <c r="F51" s="0" t="s">
        <v>1290</v>
      </c>
      <c r="G51" s="0" t="n">
        <v>30.5</v>
      </c>
      <c r="H51" s="0" t="n">
        <v>31.56</v>
      </c>
      <c r="I51" s="10" t="n">
        <v>0.5636</v>
      </c>
      <c r="J51" s="10" t="n">
        <v>0.4364</v>
      </c>
      <c r="K51" s="9" t="s">
        <v>3443</v>
      </c>
      <c r="L51" s="9" t="s">
        <v>3440</v>
      </c>
      <c r="N51" s="10" t="n">
        <v>0.5</v>
      </c>
      <c r="O51" s="19"/>
      <c r="P51" s="0" t="str">
        <f aca="false">IF(O51="","",IF(O51&gt;G51,"OVER",IF(O51&lt;G51,"UNDER","PUSH")))</f>
        <v/>
      </c>
      <c r="Q51" s="0" t="n">
        <v>30.15</v>
      </c>
      <c r="R51" s="10" t="n">
        <v>0.4786</v>
      </c>
      <c r="S51" s="0" t="n">
        <v>0.9552</v>
      </c>
      <c r="T51" s="0" t="n">
        <v>30.96</v>
      </c>
      <c r="U51" s="0" t="n">
        <v>29.54</v>
      </c>
    </row>
    <row r="52" customFormat="false" ht="15" hidden="false" customHeight="false" outlineLevel="0" collapsed="false">
      <c r="A52" s="0" t="s">
        <v>1832</v>
      </c>
      <c r="B52" s="0" t="s">
        <v>1830</v>
      </c>
      <c r="C52" s="0" t="s">
        <v>1139</v>
      </c>
      <c r="D52" s="0" t="s">
        <v>1147</v>
      </c>
      <c r="E52" s="0" t="s">
        <v>1352</v>
      </c>
      <c r="F52" s="0" t="s">
        <v>1286</v>
      </c>
      <c r="G52" s="0" t="n">
        <v>14.5</v>
      </c>
      <c r="H52" s="0" t="n">
        <v>14.34</v>
      </c>
      <c r="I52" s="10" t="n">
        <v>0.4852</v>
      </c>
      <c r="J52" s="10" t="n">
        <v>0.5148</v>
      </c>
      <c r="K52" s="9" t="s">
        <v>3443</v>
      </c>
      <c r="L52" s="9" t="s">
        <v>3440</v>
      </c>
      <c r="N52" s="10" t="n">
        <v>0.3</v>
      </c>
      <c r="O52" s="19"/>
      <c r="P52" s="0" t="str">
        <f aca="false">IF(O52="","",IF(O52&gt;G52,"OVER",IF(O52&lt;G52,"UNDER","PUSH")))</f>
        <v/>
      </c>
      <c r="Q52" s="0" t="n">
        <v>13.67</v>
      </c>
      <c r="R52" s="10" t="n">
        <v>0.4197</v>
      </c>
      <c r="S52" s="0" t="n">
        <v>0.9531</v>
      </c>
      <c r="T52" s="0" t="n">
        <v>13.9</v>
      </c>
      <c r="U52" s="0" t="n">
        <v>13.27</v>
      </c>
    </row>
    <row r="53" customFormat="false" ht="15" hidden="false" customHeight="false" outlineLevel="0" collapsed="false">
      <c r="A53" s="0" t="s">
        <v>1832</v>
      </c>
      <c r="B53" s="0" t="s">
        <v>1830</v>
      </c>
      <c r="C53" s="0" t="s">
        <v>1139</v>
      </c>
      <c r="D53" s="0" t="s">
        <v>1147</v>
      </c>
      <c r="E53" s="0" t="s">
        <v>1352</v>
      </c>
      <c r="F53" s="0" t="s">
        <v>1290</v>
      </c>
      <c r="G53" s="0" t="n">
        <v>26.5</v>
      </c>
      <c r="H53" s="0" t="n">
        <v>25.72</v>
      </c>
      <c r="I53" s="10" t="n">
        <v>0.4483</v>
      </c>
      <c r="J53" s="10" t="n">
        <v>0.5517</v>
      </c>
      <c r="K53" s="9" t="s">
        <v>3443</v>
      </c>
      <c r="L53" s="9" t="s">
        <v>3440</v>
      </c>
      <c r="N53" s="10" t="n">
        <v>0.2</v>
      </c>
      <c r="O53" s="19"/>
      <c r="P53" s="0" t="str">
        <f aca="false">IF(O53="","",IF(O53&gt;G53,"OVER",IF(O53&lt;G53,"UNDER","PUSH")))</f>
        <v/>
      </c>
      <c r="Q53" s="0" t="n">
        <v>24.52</v>
      </c>
      <c r="R53" s="10" t="n">
        <v>0.3678</v>
      </c>
      <c r="S53" s="0" t="n">
        <v>0.9534</v>
      </c>
      <c r="T53" s="0" t="n">
        <v>25.37</v>
      </c>
      <c r="U53" s="0" t="n">
        <v>24.21</v>
      </c>
    </row>
    <row r="54" customFormat="false" ht="15" hidden="false" customHeight="false" outlineLevel="0" collapsed="false">
      <c r="A54" s="0" t="s">
        <v>1832</v>
      </c>
      <c r="B54" s="0" t="s">
        <v>1830</v>
      </c>
      <c r="C54" s="0" t="s">
        <v>1139</v>
      </c>
      <c r="D54" s="0" t="s">
        <v>1147</v>
      </c>
      <c r="E54" s="0" t="s">
        <v>1354</v>
      </c>
      <c r="F54" s="0" t="s">
        <v>1286</v>
      </c>
      <c r="G54" s="0" t="n">
        <v>15.5</v>
      </c>
      <c r="H54" s="0" t="n">
        <v>14.97</v>
      </c>
      <c r="I54" s="10" t="n">
        <v>0.4502</v>
      </c>
      <c r="J54" s="10" t="n">
        <v>0.5498</v>
      </c>
      <c r="K54" s="9" t="s">
        <v>3443</v>
      </c>
      <c r="L54" s="9" t="s">
        <v>3440</v>
      </c>
      <c r="N54" s="10" t="n">
        <v>0.4</v>
      </c>
      <c r="O54" s="19"/>
      <c r="P54" s="0" t="str">
        <f aca="false">IF(O54="","",IF(O54&gt;G54,"OVER",IF(O54&lt;G54,"UNDER","PUSH")))</f>
        <v/>
      </c>
      <c r="Q54" s="0" t="n">
        <v>14.26</v>
      </c>
      <c r="R54" s="10" t="n">
        <v>0.3826</v>
      </c>
      <c r="S54" s="0" t="n">
        <v>0.9529</v>
      </c>
      <c r="T54" s="0" t="n">
        <v>14.83</v>
      </c>
      <c r="U54" s="0" t="n">
        <v>14.15</v>
      </c>
    </row>
    <row r="55" customFormat="false" ht="15" hidden="false" customHeight="false" outlineLevel="0" collapsed="false">
      <c r="A55" s="0" t="s">
        <v>1832</v>
      </c>
      <c r="B55" s="0" t="s">
        <v>1830</v>
      </c>
      <c r="C55" s="0" t="s">
        <v>1139</v>
      </c>
      <c r="D55" s="0" t="s">
        <v>1147</v>
      </c>
      <c r="E55" s="0" t="s">
        <v>1354</v>
      </c>
      <c r="F55" s="0" t="s">
        <v>1290</v>
      </c>
      <c r="G55" s="0" t="n">
        <v>29.5</v>
      </c>
      <c r="H55" s="0" t="n">
        <v>29.74</v>
      </c>
      <c r="I55" s="10" t="n">
        <v>0.5151</v>
      </c>
      <c r="J55" s="10" t="n">
        <v>0.4849</v>
      </c>
      <c r="K55" s="9" t="s">
        <v>3443</v>
      </c>
      <c r="L55" s="9" t="s">
        <v>3440</v>
      </c>
      <c r="N55" s="10" t="n">
        <v>0.5</v>
      </c>
      <c r="O55" s="19"/>
      <c r="P55" s="0" t="str">
        <f aca="false">IF(O55="","",IF(O55&gt;G55,"OVER",IF(O55&lt;G55,"UNDER","PUSH")))</f>
        <v/>
      </c>
      <c r="Q55" s="0" t="n">
        <v>28.35</v>
      </c>
      <c r="R55" s="10" t="n">
        <v>0.4279</v>
      </c>
      <c r="S55" s="0" t="n">
        <v>0.9533</v>
      </c>
      <c r="T55" s="0" t="n">
        <v>29.67</v>
      </c>
      <c r="U55" s="0" t="n">
        <v>28.31</v>
      </c>
    </row>
    <row r="56" customFormat="false" ht="15" hidden="false" customHeight="false" outlineLevel="0" collapsed="false">
      <c r="A56" s="0" t="s">
        <v>1832</v>
      </c>
      <c r="B56" s="0" t="s">
        <v>1830</v>
      </c>
      <c r="C56" s="0" t="s">
        <v>1139</v>
      </c>
      <c r="D56" s="0" t="s">
        <v>1147</v>
      </c>
      <c r="E56" s="0" t="s">
        <v>1356</v>
      </c>
      <c r="F56" s="0" t="s">
        <v>1286</v>
      </c>
      <c r="G56" s="0" t="n">
        <v>15.5</v>
      </c>
      <c r="H56" s="0" t="n">
        <v>16.72</v>
      </c>
      <c r="I56" s="10" t="n">
        <v>0.6064</v>
      </c>
      <c r="J56" s="10" t="n">
        <v>0.3936</v>
      </c>
      <c r="K56" s="9" t="s">
        <v>3443</v>
      </c>
      <c r="L56" s="9" t="s">
        <v>3440</v>
      </c>
      <c r="N56" s="10" t="n">
        <v>0.6</v>
      </c>
      <c r="O56" s="19"/>
      <c r="P56" s="0" t="str">
        <f aca="false">IF(O56="","",IF(O56&gt;G56,"OVER",IF(O56&lt;G56,"UNDER","PUSH")))</f>
        <v/>
      </c>
      <c r="Q56" s="0" t="n">
        <v>15.94</v>
      </c>
      <c r="R56" s="10" t="n">
        <v>0.5401</v>
      </c>
      <c r="S56" s="0" t="n">
        <v>0.9536</v>
      </c>
      <c r="T56" s="0" t="n">
        <v>16.88</v>
      </c>
      <c r="U56" s="0" t="n">
        <v>16.11</v>
      </c>
    </row>
    <row r="57" customFormat="false" ht="15" hidden="false" customHeight="false" outlineLevel="0" collapsed="false">
      <c r="A57" s="0" t="s">
        <v>1832</v>
      </c>
      <c r="B57" s="0" t="s">
        <v>1830</v>
      </c>
      <c r="C57" s="0" t="s">
        <v>1139</v>
      </c>
      <c r="D57" s="0" t="s">
        <v>1147</v>
      </c>
      <c r="E57" s="0" t="s">
        <v>1356</v>
      </c>
      <c r="F57" s="0" t="s">
        <v>1290</v>
      </c>
      <c r="G57" s="0" t="n">
        <v>29.5</v>
      </c>
      <c r="H57" s="0" t="n">
        <v>30.18</v>
      </c>
      <c r="I57" s="10" t="n">
        <v>0.5419</v>
      </c>
      <c r="J57" s="10" t="n">
        <v>0.4581</v>
      </c>
      <c r="K57" s="9" t="s">
        <v>3443</v>
      </c>
      <c r="L57" s="9" t="s">
        <v>3440</v>
      </c>
      <c r="N57" s="10" t="n">
        <v>0.6</v>
      </c>
      <c r="O57" s="19"/>
      <c r="P57" s="0" t="str">
        <f aca="false">IF(O57="","",IF(O57&gt;G57,"OVER",IF(O57&lt;G57,"UNDER","PUSH")))</f>
        <v/>
      </c>
      <c r="Q57" s="0" t="n">
        <v>28.79</v>
      </c>
      <c r="R57" s="10" t="n">
        <v>0.4558</v>
      </c>
      <c r="S57" s="0" t="n">
        <v>0.954</v>
      </c>
      <c r="T57" s="0" t="n">
        <v>29.67</v>
      </c>
      <c r="U57" s="0" t="n">
        <v>28.31</v>
      </c>
    </row>
    <row r="58" customFormat="false" ht="15" hidden="false" customHeight="false" outlineLevel="0" collapsed="false">
      <c r="A58" s="0" t="s">
        <v>1832</v>
      </c>
      <c r="B58" s="0" t="s">
        <v>1830</v>
      </c>
      <c r="C58" s="0" t="s">
        <v>1139</v>
      </c>
      <c r="D58" s="0" t="s">
        <v>1174</v>
      </c>
      <c r="E58" s="0" t="s">
        <v>1360</v>
      </c>
      <c r="F58" s="0" t="s">
        <v>1286</v>
      </c>
      <c r="G58" s="0" t="n">
        <v>13.5</v>
      </c>
      <c r="H58" s="0" t="n">
        <v>13.8</v>
      </c>
      <c r="I58" s="10" t="n">
        <v>0.5294</v>
      </c>
      <c r="J58" s="10" t="n">
        <v>0.4706</v>
      </c>
      <c r="K58" s="9" t="s">
        <v>3444</v>
      </c>
      <c r="L58" s="9" t="s">
        <v>3445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13.78</v>
      </c>
      <c r="R58" s="10" t="n">
        <v>0.528</v>
      </c>
      <c r="S58" s="0" t="n">
        <v>0.999</v>
      </c>
      <c r="T58" s="0" t="n">
        <v>13.03</v>
      </c>
      <c r="U58" s="0" t="n">
        <v>12.97</v>
      </c>
    </row>
    <row r="59" customFormat="false" ht="15" hidden="false" customHeight="false" outlineLevel="0" collapsed="false">
      <c r="A59" s="0" t="s">
        <v>1832</v>
      </c>
      <c r="B59" s="0" t="s">
        <v>1830</v>
      </c>
      <c r="C59" s="0" t="s">
        <v>1139</v>
      </c>
      <c r="D59" s="0" t="s">
        <v>1174</v>
      </c>
      <c r="E59" s="0" t="s">
        <v>1360</v>
      </c>
      <c r="F59" s="0" t="s">
        <v>1290</v>
      </c>
      <c r="G59" s="0" t="n">
        <v>30.5</v>
      </c>
      <c r="H59" s="0" t="n">
        <v>29.61</v>
      </c>
      <c r="I59" s="10" t="n">
        <v>0.4451</v>
      </c>
      <c r="J59" s="10" t="n">
        <v>0.5549</v>
      </c>
      <c r="K59" s="9" t="s">
        <v>3444</v>
      </c>
      <c r="L59" s="9" t="s">
        <v>3445</v>
      </c>
      <c r="N59" s="10" t="n">
        <v>0.4</v>
      </c>
      <c r="O59" s="19"/>
      <c r="P59" s="0" t="str">
        <f aca="false">IF(O59="","",IF(O59&gt;G59,"OVER",IF(O59&lt;G59,"UNDER","PUSH")))</f>
        <v/>
      </c>
      <c r="Q59" s="0" t="n">
        <v>29.52</v>
      </c>
      <c r="R59" s="10" t="n">
        <v>0.4392</v>
      </c>
      <c r="S59" s="0" t="n">
        <v>0.9968</v>
      </c>
      <c r="T59" s="0" t="n">
        <v>29.14</v>
      </c>
      <c r="U59" s="0" t="n">
        <v>29.02</v>
      </c>
    </row>
    <row r="60" customFormat="false" ht="15" hidden="false" customHeight="false" outlineLevel="0" collapsed="false">
      <c r="A60" s="0" t="s">
        <v>1832</v>
      </c>
      <c r="B60" s="0" t="s">
        <v>1830</v>
      </c>
      <c r="C60" s="0" t="s">
        <v>1139</v>
      </c>
      <c r="D60" s="0" t="s">
        <v>1174</v>
      </c>
      <c r="E60" s="0" t="s">
        <v>1364</v>
      </c>
      <c r="F60" s="0" t="s">
        <v>1286</v>
      </c>
      <c r="G60" s="0" t="n">
        <v>9.5</v>
      </c>
      <c r="H60" s="0" t="n">
        <v>8.02</v>
      </c>
      <c r="I60" s="10" t="n">
        <v>0.3113</v>
      </c>
      <c r="J60" s="10" t="n">
        <v>0.6887</v>
      </c>
      <c r="K60" s="9" t="s">
        <v>3444</v>
      </c>
      <c r="L60" s="9" t="s">
        <v>3445</v>
      </c>
      <c r="N60" s="10" t="n">
        <v>0.5</v>
      </c>
      <c r="O60" s="19"/>
      <c r="P60" s="0" t="str">
        <f aca="false">IF(O60="","",IF(O60&gt;G60,"OVER",IF(O60&lt;G60,"UNDER","PUSH")))</f>
        <v/>
      </c>
      <c r="Q60" s="0" t="n">
        <v>8</v>
      </c>
      <c r="R60" s="10" t="n">
        <v>0.3081</v>
      </c>
      <c r="S60" s="0" t="n">
        <v>0.9968</v>
      </c>
      <c r="T60" s="0" t="n">
        <v>9.1</v>
      </c>
      <c r="U60" s="0" t="n">
        <v>9.06</v>
      </c>
    </row>
    <row r="61" customFormat="false" ht="15" hidden="false" customHeight="false" outlineLevel="0" collapsed="false">
      <c r="A61" s="0" t="s">
        <v>1832</v>
      </c>
      <c r="B61" s="0" t="s">
        <v>1830</v>
      </c>
      <c r="C61" s="0" t="s">
        <v>1139</v>
      </c>
      <c r="D61" s="0" t="s">
        <v>1174</v>
      </c>
      <c r="E61" s="0" t="s">
        <v>1364</v>
      </c>
      <c r="F61" s="0" t="s">
        <v>1290</v>
      </c>
      <c r="G61" s="0" t="n">
        <v>27.5</v>
      </c>
      <c r="H61" s="0" t="n">
        <v>26.74</v>
      </c>
      <c r="I61" s="10" t="n">
        <v>0.4509</v>
      </c>
      <c r="J61" s="10" t="n">
        <v>0.5491</v>
      </c>
      <c r="K61" s="9" t="s">
        <v>3444</v>
      </c>
      <c r="L61" s="9" t="s">
        <v>3445</v>
      </c>
      <c r="N61" s="10" t="n">
        <v>0.6</v>
      </c>
      <c r="O61" s="19"/>
      <c r="P61" s="0" t="str">
        <f aca="false">IF(O61="","",IF(O61&gt;G61,"OVER",IF(O61&lt;G61,"UNDER","PUSH")))</f>
        <v/>
      </c>
      <c r="Q61" s="0" t="n">
        <v>26.65</v>
      </c>
      <c r="R61" s="10" t="n">
        <v>0.445</v>
      </c>
      <c r="S61" s="0" t="n">
        <v>0.9967</v>
      </c>
      <c r="T61" s="0" t="n">
        <v>27</v>
      </c>
      <c r="U61" s="0" t="n">
        <v>26.88</v>
      </c>
    </row>
    <row r="62" customFormat="false" ht="15" hidden="false" customHeight="false" outlineLevel="0" collapsed="false">
      <c r="A62" s="0" t="s">
        <v>1832</v>
      </c>
      <c r="B62" s="0" t="s">
        <v>1830</v>
      </c>
      <c r="C62" s="0" t="s">
        <v>1139</v>
      </c>
      <c r="D62" s="0" t="s">
        <v>1174</v>
      </c>
      <c r="E62" s="0" t="s">
        <v>1367</v>
      </c>
      <c r="F62" s="0" t="s">
        <v>1286</v>
      </c>
      <c r="G62" s="0" t="n">
        <v>15</v>
      </c>
      <c r="H62" s="0" t="n">
        <v>14.97</v>
      </c>
      <c r="I62" s="10" t="n">
        <v>0.451</v>
      </c>
      <c r="J62" s="10" t="n">
        <v>0.4559</v>
      </c>
      <c r="K62" s="9" t="s">
        <v>3444</v>
      </c>
      <c r="L62" s="9" t="s">
        <v>3445</v>
      </c>
      <c r="N62" s="10" t="n">
        <v>0.4</v>
      </c>
      <c r="O62" s="19"/>
      <c r="P62" s="0" t="str">
        <f aca="false">IF(O62="","",IF(O62&gt;G62,"OVER",IF(O62&lt;G62,"UNDER","PUSH")))</f>
        <v/>
      </c>
      <c r="Q62" s="0" t="n">
        <v>14.91</v>
      </c>
      <c r="R62" s="10" t="n">
        <v>0.4449</v>
      </c>
      <c r="S62" s="0" t="n">
        <v>0.9957</v>
      </c>
      <c r="T62" s="0" t="n">
        <v>15.54</v>
      </c>
      <c r="U62" s="0" t="n">
        <v>15.47</v>
      </c>
    </row>
    <row r="63" customFormat="false" ht="15" hidden="false" customHeight="false" outlineLevel="0" collapsed="false">
      <c r="A63" s="0" t="s">
        <v>1832</v>
      </c>
      <c r="B63" s="0" t="s">
        <v>1830</v>
      </c>
      <c r="C63" s="0" t="s">
        <v>1139</v>
      </c>
      <c r="D63" s="0" t="s">
        <v>1174</v>
      </c>
      <c r="E63" s="0" t="s">
        <v>1367</v>
      </c>
      <c r="F63" s="0" t="s">
        <v>1290</v>
      </c>
      <c r="G63" s="0" t="n">
        <v>27.5</v>
      </c>
      <c r="H63" s="0" t="n">
        <v>27.42</v>
      </c>
      <c r="I63" s="10" t="n">
        <v>0.4951</v>
      </c>
      <c r="J63" s="10" t="n">
        <v>0.5049</v>
      </c>
      <c r="K63" s="9" t="s">
        <v>3444</v>
      </c>
      <c r="L63" s="9" t="s">
        <v>3445</v>
      </c>
      <c r="N63" s="10" t="n">
        <v>0.5</v>
      </c>
      <c r="O63" s="19"/>
      <c r="P63" s="0" t="str">
        <f aca="false">IF(O63="","",IF(O63&gt;G63,"OVER",IF(O63&lt;G63,"UNDER","PUSH")))</f>
        <v/>
      </c>
      <c r="Q63" s="0" t="n">
        <v>27.31</v>
      </c>
      <c r="R63" s="10" t="n">
        <v>0.4878</v>
      </c>
      <c r="S63" s="0" t="n">
        <v>0.9959</v>
      </c>
      <c r="T63" s="0" t="n">
        <v>28.72</v>
      </c>
      <c r="U63" s="0" t="n">
        <v>28.59</v>
      </c>
    </row>
    <row r="64" customFormat="false" ht="15" hidden="false" customHeight="false" outlineLevel="0" collapsed="false">
      <c r="A64" s="0" t="s">
        <v>1832</v>
      </c>
      <c r="B64" s="0" t="s">
        <v>1830</v>
      </c>
      <c r="C64" s="0" t="s">
        <v>1139</v>
      </c>
      <c r="D64" s="0" t="s">
        <v>1174</v>
      </c>
      <c r="E64" s="0" t="s">
        <v>1371</v>
      </c>
      <c r="F64" s="0" t="s">
        <v>1286</v>
      </c>
      <c r="G64" s="0" t="n">
        <v>20.5</v>
      </c>
      <c r="H64" s="0" t="n">
        <v>20.79</v>
      </c>
      <c r="I64" s="10" t="n">
        <v>0.5224</v>
      </c>
      <c r="J64" s="10" t="n">
        <v>0.4776</v>
      </c>
      <c r="K64" s="9" t="s">
        <v>3444</v>
      </c>
      <c r="L64" s="9" t="s">
        <v>3445</v>
      </c>
      <c r="N64" s="10" t="n">
        <v>0.5</v>
      </c>
      <c r="O64" s="19"/>
      <c r="P64" s="0" t="str">
        <f aca="false">IF(O64="","",IF(O64&gt;G64,"OVER",IF(O64&lt;G64,"UNDER","PUSH")))</f>
        <v/>
      </c>
      <c r="Q64" s="0" t="n">
        <v>20.68</v>
      </c>
      <c r="R64" s="10" t="n">
        <v>0.5142</v>
      </c>
      <c r="S64" s="0" t="n">
        <v>0.9949</v>
      </c>
      <c r="T64" s="0" t="n">
        <v>21.96</v>
      </c>
      <c r="U64" s="0" t="n">
        <v>21.87</v>
      </c>
    </row>
    <row r="65" customFormat="false" ht="15" hidden="false" customHeight="false" outlineLevel="0" collapsed="false">
      <c r="A65" s="0" t="s">
        <v>1832</v>
      </c>
      <c r="B65" s="0" t="s">
        <v>1830</v>
      </c>
      <c r="C65" s="0" t="s">
        <v>1139</v>
      </c>
      <c r="D65" s="0" t="s">
        <v>1174</v>
      </c>
      <c r="E65" s="0" t="s">
        <v>1371</v>
      </c>
      <c r="F65" s="0" t="s">
        <v>1290</v>
      </c>
      <c r="G65" s="0" t="n">
        <v>32</v>
      </c>
      <c r="H65" s="0" t="n">
        <v>32.13</v>
      </c>
      <c r="I65" s="10" t="n">
        <v>0.4782</v>
      </c>
      <c r="J65" s="10" t="n">
        <v>0.4624</v>
      </c>
      <c r="K65" s="9" t="s">
        <v>3444</v>
      </c>
      <c r="L65" s="9" t="s">
        <v>3445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31.98</v>
      </c>
      <c r="R65" s="10" t="n">
        <v>0.4689</v>
      </c>
      <c r="S65" s="0" t="n">
        <v>0.9952</v>
      </c>
      <c r="T65" s="0" t="n">
        <v>33.43</v>
      </c>
      <c r="U65" s="0" t="n">
        <v>33.29</v>
      </c>
    </row>
    <row r="66" customFormat="false" ht="15" hidden="false" customHeight="false" outlineLevel="0" collapsed="false">
      <c r="A66" s="0" t="s">
        <v>1832</v>
      </c>
      <c r="B66" s="0" t="s">
        <v>1830</v>
      </c>
      <c r="C66" s="0" t="s">
        <v>1139</v>
      </c>
      <c r="D66" s="0" t="s">
        <v>1174</v>
      </c>
      <c r="E66" s="0" t="s">
        <v>1375</v>
      </c>
      <c r="F66" s="0" t="s">
        <v>1286</v>
      </c>
      <c r="G66" s="0" t="n">
        <v>16</v>
      </c>
      <c r="H66" s="0" t="n">
        <v>15.69</v>
      </c>
      <c r="I66" s="10" t="n">
        <v>0.4274</v>
      </c>
      <c r="J66" s="10" t="n">
        <v>0.4827</v>
      </c>
      <c r="K66" s="9" t="s">
        <v>3444</v>
      </c>
      <c r="L66" s="9" t="s">
        <v>3445</v>
      </c>
      <c r="N66" s="10" t="n">
        <v>0.6</v>
      </c>
      <c r="O66" s="19"/>
      <c r="P66" s="0" t="str">
        <f aca="false">IF(O66="","",IF(O66&gt;G66,"OVER",IF(O66&lt;G66,"UNDER","PUSH")))</f>
        <v/>
      </c>
      <c r="Q66" s="0" t="n">
        <v>15.62</v>
      </c>
      <c r="R66" s="10" t="n">
        <v>0.421</v>
      </c>
      <c r="S66" s="0" t="n">
        <v>0.9956</v>
      </c>
      <c r="T66" s="0" t="n">
        <v>16.55</v>
      </c>
      <c r="U66" s="0" t="n">
        <v>16.48</v>
      </c>
    </row>
    <row r="67" customFormat="false" ht="15" hidden="false" customHeight="false" outlineLevel="0" collapsed="false">
      <c r="A67" s="0" t="s">
        <v>1832</v>
      </c>
      <c r="B67" s="0" t="s">
        <v>1830</v>
      </c>
      <c r="C67" s="0" t="s">
        <v>1139</v>
      </c>
      <c r="D67" s="0" t="s">
        <v>1174</v>
      </c>
      <c r="E67" s="0" t="s">
        <v>1375</v>
      </c>
      <c r="F67" s="0" t="s">
        <v>1290</v>
      </c>
      <c r="G67" s="0" t="n">
        <v>27</v>
      </c>
      <c r="H67" s="0" t="n">
        <v>25.77</v>
      </c>
      <c r="I67" s="10" t="n">
        <v>0.3866</v>
      </c>
      <c r="J67" s="10" t="n">
        <v>0.5484</v>
      </c>
      <c r="K67" s="9" t="s">
        <v>3444</v>
      </c>
      <c r="L67" s="9" t="s">
        <v>3445</v>
      </c>
      <c r="N67" s="10" t="n">
        <v>0.5</v>
      </c>
      <c r="O67" s="19"/>
      <c r="P67" s="0" t="str">
        <f aca="false">IF(O67="","",IF(O67&gt;G67,"OVER",IF(O67&lt;G67,"UNDER","PUSH")))</f>
        <v/>
      </c>
      <c r="Q67" s="0" t="n">
        <v>25.65</v>
      </c>
      <c r="R67" s="10" t="n">
        <v>0.3788</v>
      </c>
      <c r="S67" s="0" t="n">
        <v>0.9954</v>
      </c>
      <c r="T67" s="0" t="n">
        <v>27</v>
      </c>
      <c r="U67" s="0" t="n">
        <v>26.88</v>
      </c>
    </row>
    <row r="68" customFormat="false" ht="15" hidden="false" customHeight="false" outlineLevel="0" collapsed="false">
      <c r="A68" s="0" t="s">
        <v>1832</v>
      </c>
      <c r="B68" s="0" t="s">
        <v>1830</v>
      </c>
      <c r="C68" s="0" t="s">
        <v>1139</v>
      </c>
      <c r="D68" s="0" t="s">
        <v>1174</v>
      </c>
      <c r="E68" s="0" t="s">
        <v>1379</v>
      </c>
      <c r="F68" s="0" t="s">
        <v>1286</v>
      </c>
      <c r="G68" s="0" t="n">
        <v>18</v>
      </c>
      <c r="H68" s="0" t="n">
        <v>17.68</v>
      </c>
      <c r="I68" s="10" t="n">
        <v>0.4302</v>
      </c>
      <c r="J68" s="10" t="n">
        <v>0.4846</v>
      </c>
      <c r="K68" s="9" t="s">
        <v>3444</v>
      </c>
      <c r="L68" s="9" t="s">
        <v>3445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17.78</v>
      </c>
      <c r="R68" s="10" t="n">
        <v>0.4389</v>
      </c>
      <c r="S68" s="0" t="n">
        <v>1.0057</v>
      </c>
      <c r="T68" s="0" t="n">
        <v>17.98</v>
      </c>
      <c r="U68" s="0" t="n">
        <v>18.09</v>
      </c>
    </row>
    <row r="69" customFormat="false" ht="15" hidden="false" customHeight="false" outlineLevel="0" collapsed="false">
      <c r="A69" s="0" t="s">
        <v>1832</v>
      </c>
      <c r="B69" s="0" t="s">
        <v>1830</v>
      </c>
      <c r="C69" s="0" t="s">
        <v>1139</v>
      </c>
      <c r="D69" s="0" t="s">
        <v>1174</v>
      </c>
      <c r="E69" s="0" t="s">
        <v>1379</v>
      </c>
      <c r="F69" s="0" t="s">
        <v>1290</v>
      </c>
      <c r="G69" s="0" t="n">
        <v>30</v>
      </c>
      <c r="H69" s="0" t="n">
        <v>30.67</v>
      </c>
      <c r="I69" s="10" t="n">
        <v>0.5106</v>
      </c>
      <c r="J69" s="10" t="n">
        <v>0.4289</v>
      </c>
      <c r="K69" s="9" t="s">
        <v>3444</v>
      </c>
      <c r="L69" s="9" t="s">
        <v>3445</v>
      </c>
      <c r="N69" s="10" t="n">
        <v>0.7</v>
      </c>
      <c r="O69" s="19"/>
      <c r="P69" s="0" t="str">
        <f aca="false">IF(O69="","",IF(O69&gt;G69,"OVER",IF(O69&lt;G69,"UNDER","PUSH")))</f>
        <v/>
      </c>
      <c r="Q69" s="0" t="n">
        <v>30.88</v>
      </c>
      <c r="R69" s="10" t="n">
        <v>0.5232</v>
      </c>
      <c r="S69" s="0" t="n">
        <v>1.0067</v>
      </c>
      <c r="T69" s="0" t="n">
        <v>30.43</v>
      </c>
      <c r="U69" s="0" t="n">
        <v>30.61</v>
      </c>
    </row>
    <row r="70" customFormat="false" ht="15" hidden="false" customHeight="false" outlineLevel="0" collapsed="false">
      <c r="A70" s="0" t="s">
        <v>1832</v>
      </c>
      <c r="B70" s="0" t="s">
        <v>1830</v>
      </c>
      <c r="C70" s="0" t="s">
        <v>1139</v>
      </c>
      <c r="D70" s="0" t="s">
        <v>1174</v>
      </c>
      <c r="E70" s="0" t="s">
        <v>1381</v>
      </c>
      <c r="F70" s="0" t="s">
        <v>1286</v>
      </c>
      <c r="G70" s="0" t="n">
        <v>14.5</v>
      </c>
      <c r="H70" s="0" t="n">
        <v>13.92</v>
      </c>
      <c r="I70" s="10" t="n">
        <v>0.4439</v>
      </c>
      <c r="J70" s="10" t="n">
        <v>0.5561</v>
      </c>
      <c r="K70" s="9" t="s">
        <v>3444</v>
      </c>
      <c r="L70" s="9" t="s">
        <v>3445</v>
      </c>
      <c r="N70" s="10" t="n">
        <v>0.4</v>
      </c>
      <c r="O70" s="19"/>
      <c r="P70" s="0" t="str">
        <f aca="false">IF(O70="","",IF(O70&gt;G70,"OVER",IF(O70&lt;G70,"UNDER","PUSH")))</f>
        <v/>
      </c>
      <c r="Q70" s="0" t="n">
        <v>14.01</v>
      </c>
      <c r="R70" s="10" t="n">
        <v>0.4523</v>
      </c>
      <c r="S70" s="0" t="n">
        <v>1.0061</v>
      </c>
      <c r="T70" s="0" t="n">
        <v>13.65</v>
      </c>
      <c r="U70" s="0" t="n">
        <v>13.73</v>
      </c>
    </row>
    <row r="71" customFormat="false" ht="15" hidden="false" customHeight="false" outlineLevel="0" collapsed="false">
      <c r="A71" s="0" t="s">
        <v>1832</v>
      </c>
      <c r="B71" s="0" t="s">
        <v>1830</v>
      </c>
      <c r="C71" s="0" t="s">
        <v>1139</v>
      </c>
      <c r="D71" s="0" t="s">
        <v>1174</v>
      </c>
      <c r="E71" s="0" t="s">
        <v>1381</v>
      </c>
      <c r="F71" s="0" t="s">
        <v>1290</v>
      </c>
      <c r="G71" s="0" t="n">
        <v>25.5</v>
      </c>
      <c r="H71" s="0" t="n">
        <v>26.24</v>
      </c>
      <c r="I71" s="10" t="n">
        <v>0.5485</v>
      </c>
      <c r="J71" s="10" t="n">
        <v>0.4515</v>
      </c>
      <c r="K71" s="9" t="s">
        <v>3444</v>
      </c>
      <c r="L71" s="9" t="s">
        <v>3445</v>
      </c>
      <c r="N71" s="10" t="n">
        <v>0.3</v>
      </c>
      <c r="O71" s="19"/>
      <c r="P71" s="0" t="str">
        <f aca="false">IF(O71="","",IF(O71&gt;G71,"OVER",IF(O71&lt;G71,"UNDER","PUSH")))</f>
        <v/>
      </c>
      <c r="Q71" s="0" t="n">
        <v>26.37</v>
      </c>
      <c r="R71" s="10" t="n">
        <v>0.557</v>
      </c>
      <c r="S71" s="0" t="n">
        <v>1.005</v>
      </c>
      <c r="T71" s="0" t="n">
        <v>24.86</v>
      </c>
      <c r="U71" s="0" t="n">
        <v>25</v>
      </c>
    </row>
    <row r="72" customFormat="false" ht="15" hidden="false" customHeight="false" outlineLevel="0" collapsed="false">
      <c r="A72" s="0" t="s">
        <v>1832</v>
      </c>
      <c r="B72" s="0" t="s">
        <v>1830</v>
      </c>
      <c r="C72" s="0" t="s">
        <v>1139</v>
      </c>
      <c r="D72" s="0" t="s">
        <v>1174</v>
      </c>
      <c r="E72" s="0" t="s">
        <v>1383</v>
      </c>
      <c r="F72" s="0" t="s">
        <v>1286</v>
      </c>
      <c r="G72" s="0" t="n">
        <v>16.5</v>
      </c>
      <c r="H72" s="0" t="n">
        <v>16.48</v>
      </c>
      <c r="I72" s="10" t="n">
        <v>0.4982</v>
      </c>
      <c r="J72" s="10" t="n">
        <v>0.5018</v>
      </c>
      <c r="K72" s="9" t="s">
        <v>3444</v>
      </c>
      <c r="L72" s="9" t="s">
        <v>3445</v>
      </c>
      <c r="N72" s="10" t="n">
        <v>0.7</v>
      </c>
      <c r="O72" s="19"/>
      <c r="P72" s="0" t="str">
        <f aca="false">IF(O72="","",IF(O72&gt;G72,"OVER",IF(O72&lt;G72,"UNDER","PUSH")))</f>
        <v/>
      </c>
      <c r="Q72" s="0" t="n">
        <v>16.61</v>
      </c>
      <c r="R72" s="10" t="n">
        <v>0.51</v>
      </c>
      <c r="S72" s="0" t="n">
        <v>1.0081</v>
      </c>
      <c r="T72" s="0" t="n">
        <v>17.4</v>
      </c>
      <c r="U72" s="0" t="n">
        <v>17.5</v>
      </c>
    </row>
    <row r="73" customFormat="false" ht="15" hidden="false" customHeight="false" outlineLevel="0" collapsed="false">
      <c r="A73" s="0" t="s">
        <v>1832</v>
      </c>
      <c r="B73" s="0" t="s">
        <v>1830</v>
      </c>
      <c r="C73" s="0" t="s">
        <v>1139</v>
      </c>
      <c r="D73" s="0" t="s">
        <v>1174</v>
      </c>
      <c r="E73" s="0" t="s">
        <v>1383</v>
      </c>
      <c r="F73" s="0" t="s">
        <v>1290</v>
      </c>
      <c r="G73" s="0" t="n">
        <v>27.5</v>
      </c>
      <c r="H73" s="0" t="n">
        <v>27.89</v>
      </c>
      <c r="I73" s="10" t="n">
        <v>0.5247</v>
      </c>
      <c r="J73" s="10" t="n">
        <v>0.4753</v>
      </c>
      <c r="K73" s="9" t="s">
        <v>3444</v>
      </c>
      <c r="L73" s="9" t="s">
        <v>3445</v>
      </c>
      <c r="N73" s="10" t="n">
        <v>0.8</v>
      </c>
      <c r="O73" s="19"/>
      <c r="P73" s="0" t="str">
        <f aca="false">IF(O73="","",IF(O73&gt;G73,"OVER",IF(O73&lt;G73,"UNDER","PUSH")))</f>
        <v/>
      </c>
      <c r="Q73" s="0" t="n">
        <v>28.09</v>
      </c>
      <c r="R73" s="10" t="n">
        <v>0.5374</v>
      </c>
      <c r="S73" s="0" t="n">
        <v>1.0073</v>
      </c>
      <c r="T73" s="0" t="n">
        <v>29.14</v>
      </c>
      <c r="U73" s="0" t="n">
        <v>29.32</v>
      </c>
    </row>
    <row r="74" customFormat="false" ht="15" hidden="false" customHeight="false" outlineLevel="0" collapsed="false">
      <c r="A74" s="0" t="s">
        <v>1832</v>
      </c>
      <c r="B74" s="0" t="s">
        <v>1830</v>
      </c>
      <c r="C74" s="0" t="s">
        <v>1139</v>
      </c>
      <c r="D74" s="0" t="s">
        <v>1174</v>
      </c>
      <c r="E74" s="0" t="s">
        <v>1385</v>
      </c>
      <c r="F74" s="0" t="s">
        <v>1286</v>
      </c>
      <c r="G74" s="0" t="n">
        <v>15.5</v>
      </c>
      <c r="H74" s="0" t="n">
        <v>19.06</v>
      </c>
      <c r="I74" s="10" t="n">
        <v>0.7685</v>
      </c>
      <c r="J74" s="10" t="n">
        <v>0.2315</v>
      </c>
      <c r="K74" s="9" t="s">
        <v>3444</v>
      </c>
      <c r="L74" s="9" t="s">
        <v>3445</v>
      </c>
      <c r="N74" s="10" t="n">
        <v>0.7</v>
      </c>
      <c r="O74" s="19"/>
      <c r="P74" s="0" t="str">
        <f aca="false">IF(O74="","",IF(O74&gt;G74,"OVER",IF(O74&lt;G74,"UNDER","PUSH")))</f>
        <v/>
      </c>
      <c r="Q74" s="0" t="n">
        <v>19.2</v>
      </c>
      <c r="R74" s="10" t="n">
        <v>0.776</v>
      </c>
      <c r="S74" s="0" t="n">
        <v>1.007</v>
      </c>
      <c r="T74" s="0" t="n">
        <v>18.57</v>
      </c>
      <c r="U74" s="0" t="n">
        <v>18.68</v>
      </c>
    </row>
    <row r="75" customFormat="false" ht="15" hidden="false" customHeight="false" outlineLevel="0" collapsed="false">
      <c r="A75" s="0" t="s">
        <v>1832</v>
      </c>
      <c r="B75" s="0" t="s">
        <v>1830</v>
      </c>
      <c r="C75" s="0" t="s">
        <v>1139</v>
      </c>
      <c r="D75" s="0" t="s">
        <v>1174</v>
      </c>
      <c r="E75" s="0" t="s">
        <v>1385</v>
      </c>
      <c r="F75" s="0" t="s">
        <v>1290</v>
      </c>
      <c r="G75" s="0" t="n">
        <v>29.5</v>
      </c>
      <c r="H75" s="0" t="n">
        <v>32.24</v>
      </c>
      <c r="I75" s="10" t="n">
        <v>0.6583</v>
      </c>
      <c r="J75" s="10" t="n">
        <v>0.3417</v>
      </c>
      <c r="K75" s="9" t="s">
        <v>3444</v>
      </c>
      <c r="L75" s="9" t="s">
        <v>3445</v>
      </c>
      <c r="N75" s="10" t="n">
        <v>0.7</v>
      </c>
      <c r="O75" s="19"/>
      <c r="P75" s="0" t="str">
        <f aca="false">IF(O75="","",IF(O75&gt;G75,"OVER",IF(O75&lt;G75,"UNDER","PUSH")))</f>
        <v/>
      </c>
      <c r="Q75" s="0" t="n">
        <v>32.46</v>
      </c>
      <c r="R75" s="10" t="n">
        <v>0.6698</v>
      </c>
      <c r="S75" s="0" t="n">
        <v>1.0069</v>
      </c>
      <c r="T75" s="0" t="n">
        <v>32.57</v>
      </c>
      <c r="U75" s="0" t="n">
        <v>32.76</v>
      </c>
    </row>
    <row r="76" customFormat="false" ht="15" hidden="false" customHeight="false" outlineLevel="0" collapsed="false">
      <c r="A76" s="0" t="s">
        <v>1832</v>
      </c>
      <c r="B76" s="0" t="s">
        <v>1830</v>
      </c>
      <c r="C76" s="0" t="s">
        <v>1139</v>
      </c>
      <c r="D76" s="0" t="s">
        <v>1215</v>
      </c>
      <c r="E76" s="0" t="s">
        <v>1387</v>
      </c>
      <c r="F76" s="0" t="s">
        <v>1286</v>
      </c>
      <c r="G76" s="0" t="n">
        <v>10.5</v>
      </c>
      <c r="H76" s="0" t="n">
        <v>10.88</v>
      </c>
      <c r="I76" s="10" t="n">
        <v>0.5427</v>
      </c>
      <c r="J76" s="10" t="n">
        <v>0.4573</v>
      </c>
      <c r="K76" s="9" t="s">
        <v>3446</v>
      </c>
      <c r="L76" s="9" t="s">
        <v>3447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10.31</v>
      </c>
      <c r="R76" s="10" t="n">
        <v>0.4778</v>
      </c>
      <c r="S76" s="0" t="n">
        <v>0.9468</v>
      </c>
      <c r="T76" s="0" t="n">
        <v>10.91</v>
      </c>
      <c r="U76" s="0" t="n">
        <v>10.33</v>
      </c>
    </row>
    <row r="77" customFormat="false" ht="15" hidden="false" customHeight="false" outlineLevel="0" collapsed="false">
      <c r="A77" s="0" t="s">
        <v>1832</v>
      </c>
      <c r="B77" s="0" t="s">
        <v>1830</v>
      </c>
      <c r="C77" s="0" t="s">
        <v>1139</v>
      </c>
      <c r="D77" s="0" t="s">
        <v>1215</v>
      </c>
      <c r="E77" s="0" t="s">
        <v>1387</v>
      </c>
      <c r="F77" s="0" t="s">
        <v>1290</v>
      </c>
      <c r="G77" s="0" t="n">
        <v>23.5</v>
      </c>
      <c r="H77" s="0" t="n">
        <v>23.99</v>
      </c>
      <c r="I77" s="10" t="n">
        <v>0.5336</v>
      </c>
      <c r="J77" s="10" t="n">
        <v>0.4664</v>
      </c>
      <c r="K77" s="9" t="s">
        <v>3446</v>
      </c>
      <c r="L77" s="9" t="s">
        <v>3447</v>
      </c>
      <c r="M77" s="0" t="n">
        <v>24.88</v>
      </c>
      <c r="N77" s="10" t="n">
        <v>0.5</v>
      </c>
      <c r="O77" s="19"/>
      <c r="P77" s="0" t="str">
        <f aca="false">IF(O77="","",IF(O77&gt;G77,"OVER",IF(O77&lt;G77,"UNDER","PUSH")))</f>
        <v/>
      </c>
      <c r="Q77" s="0" t="n">
        <v>22.71</v>
      </c>
      <c r="R77" s="10" t="n">
        <v>0.4445</v>
      </c>
      <c r="S77" s="0" t="n">
        <v>0.9469</v>
      </c>
      <c r="T77" s="0" t="n">
        <v>24.04</v>
      </c>
      <c r="U77" s="0" t="n">
        <v>22.76</v>
      </c>
    </row>
    <row r="78" customFormat="false" ht="15" hidden="false" customHeight="false" outlineLevel="0" collapsed="false">
      <c r="A78" s="0" t="s">
        <v>1832</v>
      </c>
      <c r="B78" s="0" t="s">
        <v>1830</v>
      </c>
      <c r="C78" s="0" t="s">
        <v>1139</v>
      </c>
      <c r="D78" s="0" t="s">
        <v>1215</v>
      </c>
      <c r="E78" s="0" t="s">
        <v>1390</v>
      </c>
      <c r="F78" s="0" t="s">
        <v>1286</v>
      </c>
      <c r="G78" s="0" t="n">
        <v>16</v>
      </c>
      <c r="H78" s="0" t="n">
        <v>15.36</v>
      </c>
      <c r="I78" s="10" t="n">
        <v>0.3961</v>
      </c>
      <c r="J78" s="10" t="n">
        <v>0.513</v>
      </c>
      <c r="K78" s="9" t="s">
        <v>3446</v>
      </c>
      <c r="L78" s="9" t="s">
        <v>3447</v>
      </c>
      <c r="N78" s="10" t="n">
        <v>0.6</v>
      </c>
      <c r="O78" s="19"/>
      <c r="P78" s="0" t="str">
        <f aca="false">IF(O78="","",IF(O78&gt;G78,"OVER",IF(O78&lt;G78,"UNDER","PUSH")))</f>
        <v/>
      </c>
      <c r="Q78" s="0" t="n">
        <v>14.54</v>
      </c>
      <c r="R78" s="10" t="n">
        <v>0.3212</v>
      </c>
      <c r="S78" s="0" t="n">
        <v>0.9469</v>
      </c>
      <c r="T78" s="0" t="n">
        <v>16.2</v>
      </c>
      <c r="U78" s="0" t="n">
        <v>15.34</v>
      </c>
    </row>
    <row r="79" customFormat="false" ht="15" hidden="false" customHeight="false" outlineLevel="0" collapsed="false">
      <c r="A79" s="0" t="s">
        <v>1832</v>
      </c>
      <c r="B79" s="0" t="s">
        <v>1830</v>
      </c>
      <c r="C79" s="0" t="s">
        <v>1139</v>
      </c>
      <c r="D79" s="0" t="s">
        <v>1215</v>
      </c>
      <c r="E79" s="0" t="s">
        <v>1390</v>
      </c>
      <c r="F79" s="0" t="s">
        <v>1290</v>
      </c>
      <c r="G79" s="0" t="n">
        <v>27.5</v>
      </c>
      <c r="H79" s="0" t="n">
        <v>27.79</v>
      </c>
      <c r="I79" s="10" t="n">
        <v>0.5188</v>
      </c>
      <c r="J79" s="10" t="n">
        <v>0.4812</v>
      </c>
      <c r="K79" s="9" t="s">
        <v>3446</v>
      </c>
      <c r="L79" s="9" t="s">
        <v>3447</v>
      </c>
      <c r="M79" s="0" t="n">
        <v>29.28</v>
      </c>
      <c r="N79" s="10" t="n">
        <v>0.6</v>
      </c>
      <c r="O79" s="19"/>
      <c r="P79" s="0" t="str">
        <f aca="false">IF(O79="","",IF(O79&gt;G79,"OVER",IF(O79&lt;G79,"UNDER","PUSH")))</f>
        <v/>
      </c>
      <c r="Q79" s="0" t="n">
        <v>26.32</v>
      </c>
      <c r="R79" s="10" t="n">
        <v>0.4228</v>
      </c>
      <c r="S79" s="0" t="n">
        <v>0.9469</v>
      </c>
      <c r="T79" s="0" t="n">
        <v>28.33</v>
      </c>
      <c r="U79" s="0" t="n">
        <v>26.82</v>
      </c>
    </row>
    <row r="80" customFormat="false" ht="15" hidden="false" customHeight="false" outlineLevel="0" collapsed="false">
      <c r="A80" s="0" t="s">
        <v>1832</v>
      </c>
      <c r="B80" s="0" t="s">
        <v>1830</v>
      </c>
      <c r="C80" s="0" t="s">
        <v>1139</v>
      </c>
      <c r="D80" s="0" t="s">
        <v>1215</v>
      </c>
      <c r="E80" s="0" t="s">
        <v>1394</v>
      </c>
      <c r="F80" s="0" t="s">
        <v>1286</v>
      </c>
      <c r="G80" s="0" t="n">
        <v>16</v>
      </c>
      <c r="H80" s="0" t="n">
        <v>18.81</v>
      </c>
      <c r="I80" s="10" t="n">
        <v>0.6857</v>
      </c>
      <c r="J80" s="10" t="n">
        <v>0.2442</v>
      </c>
      <c r="K80" s="9" t="s">
        <v>3446</v>
      </c>
      <c r="L80" s="9" t="s">
        <v>3447</v>
      </c>
      <c r="N80" s="10" t="n">
        <v>0.7</v>
      </c>
      <c r="O80" s="19"/>
      <c r="P80" s="0" t="str">
        <f aca="false">IF(O80="","",IF(O80&gt;G80,"OVER",IF(O80&lt;G80,"UNDER","PUSH")))</f>
        <v/>
      </c>
      <c r="Q80" s="0" t="n">
        <v>17.81</v>
      </c>
      <c r="R80" s="10" t="n">
        <v>0.611</v>
      </c>
      <c r="S80" s="0" t="n">
        <v>0.9469</v>
      </c>
      <c r="T80" s="0" t="n">
        <v>16.8</v>
      </c>
      <c r="U80" s="0" t="n">
        <v>15.91</v>
      </c>
    </row>
    <row r="81" customFormat="false" ht="15" hidden="false" customHeight="false" outlineLevel="0" collapsed="false">
      <c r="A81" s="0" t="s">
        <v>1832</v>
      </c>
      <c r="B81" s="0" t="s">
        <v>1830</v>
      </c>
      <c r="C81" s="0" t="s">
        <v>1139</v>
      </c>
      <c r="D81" s="0" t="s">
        <v>1215</v>
      </c>
      <c r="E81" s="0" t="s">
        <v>1394</v>
      </c>
      <c r="F81" s="0" t="s">
        <v>1290</v>
      </c>
      <c r="G81" s="0" t="n">
        <v>31</v>
      </c>
      <c r="H81" s="0" t="n">
        <v>35.34</v>
      </c>
      <c r="I81" s="10" t="n">
        <v>0.7072</v>
      </c>
      <c r="J81" s="10" t="n">
        <v>0.2459</v>
      </c>
      <c r="K81" s="9" t="s">
        <v>3446</v>
      </c>
      <c r="L81" s="9" t="s">
        <v>3447</v>
      </c>
      <c r="M81" s="0" t="n">
        <v>31</v>
      </c>
      <c r="N81" s="10" t="n">
        <v>0.6</v>
      </c>
      <c r="O81" s="19"/>
      <c r="P81" s="0" t="str">
        <f aca="false">IF(O81="","",IF(O81&gt;G81,"OVER",IF(O81&lt;G81,"UNDER","PUSH")))</f>
        <v/>
      </c>
      <c r="Q81" s="0" t="n">
        <v>33.46</v>
      </c>
      <c r="R81" s="10" t="n">
        <v>0.6126</v>
      </c>
      <c r="S81" s="0" t="n">
        <v>0.9469</v>
      </c>
      <c r="T81" s="0" t="n">
        <v>31.76</v>
      </c>
      <c r="U81" s="0" t="n">
        <v>30.07</v>
      </c>
    </row>
    <row r="82" customFormat="false" ht="15" hidden="false" customHeight="false" outlineLevel="0" collapsed="false">
      <c r="A82" s="0" t="s">
        <v>1832</v>
      </c>
      <c r="B82" s="0" t="s">
        <v>1830</v>
      </c>
      <c r="C82" s="0" t="s">
        <v>1139</v>
      </c>
      <c r="D82" s="0" t="s">
        <v>1215</v>
      </c>
      <c r="E82" s="0" t="s">
        <v>1398</v>
      </c>
      <c r="F82" s="0" t="s">
        <v>1286</v>
      </c>
      <c r="G82" s="0" t="n">
        <v>16</v>
      </c>
      <c r="H82" s="0" t="n">
        <v>15.52</v>
      </c>
      <c r="I82" s="10" t="n">
        <v>0.4116</v>
      </c>
      <c r="J82" s="10" t="n">
        <v>0.4978</v>
      </c>
      <c r="K82" s="9" t="s">
        <v>3446</v>
      </c>
      <c r="L82" s="9" t="s">
        <v>3447</v>
      </c>
      <c r="N82" s="10" t="n">
        <v>0.7</v>
      </c>
      <c r="O82" s="19"/>
      <c r="P82" s="0" t="str">
        <f aca="false">IF(O82="","",IF(O82&gt;G82,"OVER",IF(O82&lt;G82,"UNDER","PUSH")))</f>
        <v/>
      </c>
      <c r="Q82" s="0" t="n">
        <v>14.7</v>
      </c>
      <c r="R82" s="10" t="n">
        <v>0.3359</v>
      </c>
      <c r="S82" s="0" t="n">
        <v>0.9469</v>
      </c>
      <c r="T82" s="0" t="n">
        <v>16.2</v>
      </c>
      <c r="U82" s="0" t="n">
        <v>15.34</v>
      </c>
    </row>
    <row r="83" customFormat="false" ht="15" hidden="false" customHeight="false" outlineLevel="0" collapsed="false">
      <c r="A83" s="0" t="s">
        <v>1832</v>
      </c>
      <c r="B83" s="0" t="s">
        <v>1830</v>
      </c>
      <c r="C83" s="0" t="s">
        <v>1139</v>
      </c>
      <c r="D83" s="0" t="s">
        <v>1215</v>
      </c>
      <c r="E83" s="0" t="s">
        <v>1398</v>
      </c>
      <c r="F83" s="0" t="s">
        <v>1290</v>
      </c>
      <c r="G83" s="0" t="n">
        <v>27.5</v>
      </c>
      <c r="H83" s="0" t="n">
        <v>27.19</v>
      </c>
      <c r="I83" s="10" t="n">
        <v>0.4799</v>
      </c>
      <c r="J83" s="10" t="n">
        <v>0.5201</v>
      </c>
      <c r="K83" s="9" t="s">
        <v>3446</v>
      </c>
      <c r="L83" s="9" t="s">
        <v>3447</v>
      </c>
      <c r="M83" s="0" t="n">
        <v>29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25.75</v>
      </c>
      <c r="R83" s="10" t="n">
        <v>0.385</v>
      </c>
      <c r="S83" s="0" t="n">
        <v>0.9469</v>
      </c>
      <c r="T83" s="0" t="n">
        <v>28.33</v>
      </c>
      <c r="U83" s="0" t="n">
        <v>26.82</v>
      </c>
    </row>
    <row r="84" customFormat="false" ht="15" hidden="false" customHeight="false" outlineLevel="0" collapsed="false">
      <c r="A84" s="0" t="s">
        <v>1832</v>
      </c>
      <c r="B84" s="0" t="s">
        <v>1830</v>
      </c>
      <c r="C84" s="0" t="s">
        <v>1139</v>
      </c>
      <c r="D84" s="0" t="s">
        <v>1215</v>
      </c>
      <c r="E84" s="0" t="s">
        <v>1400</v>
      </c>
      <c r="F84" s="0" t="s">
        <v>1286</v>
      </c>
      <c r="G84" s="0" t="n">
        <v>8.5</v>
      </c>
      <c r="H84" s="0" t="n">
        <v>9.33</v>
      </c>
      <c r="I84" s="10" t="n">
        <v>0.6013</v>
      </c>
      <c r="J84" s="10" t="n">
        <v>0.3987</v>
      </c>
      <c r="K84" s="9" t="s">
        <v>3446</v>
      </c>
      <c r="L84" s="9" t="s">
        <v>3447</v>
      </c>
      <c r="N84" s="10" t="n">
        <v>0.6</v>
      </c>
      <c r="O84" s="19"/>
      <c r="P84" s="0" t="str">
        <f aca="false">IF(O84="","",IF(O84&gt;G84,"OVER",IF(O84&lt;G84,"UNDER","PUSH")))</f>
        <v/>
      </c>
      <c r="Q84" s="0" t="n">
        <v>8.83</v>
      </c>
      <c r="R84" s="10" t="n">
        <v>0.5421</v>
      </c>
      <c r="S84" s="0" t="n">
        <v>0.9469</v>
      </c>
      <c r="T84" s="0" t="n">
        <v>8.9</v>
      </c>
      <c r="U84" s="0" t="n">
        <v>8.43</v>
      </c>
    </row>
    <row r="85" customFormat="false" ht="15" hidden="false" customHeight="false" outlineLevel="0" collapsed="false">
      <c r="A85" s="0" t="s">
        <v>1832</v>
      </c>
      <c r="B85" s="0" t="s">
        <v>1830</v>
      </c>
      <c r="C85" s="0" t="s">
        <v>1139</v>
      </c>
      <c r="D85" s="0" t="s">
        <v>1215</v>
      </c>
      <c r="E85" s="0" t="s">
        <v>1400</v>
      </c>
      <c r="F85" s="0" t="s">
        <v>1290</v>
      </c>
      <c r="G85" s="0" t="n">
        <v>29</v>
      </c>
      <c r="H85" s="0" t="n">
        <v>32.6</v>
      </c>
      <c r="I85" s="10" t="n">
        <v>0.6767</v>
      </c>
      <c r="J85" s="10" t="n">
        <v>0.272</v>
      </c>
      <c r="K85" s="9" t="s">
        <v>3446</v>
      </c>
      <c r="L85" s="9" t="s">
        <v>3447</v>
      </c>
      <c r="M85" s="0" t="n">
        <v>30</v>
      </c>
      <c r="N85" s="10" t="n">
        <v>0.8</v>
      </c>
      <c r="O85" s="19"/>
      <c r="P85" s="0" t="str">
        <f aca="false">IF(O85="","",IF(O85&gt;G85,"OVER",IF(O85&lt;G85,"UNDER","PUSH")))</f>
        <v/>
      </c>
      <c r="Q85" s="0" t="n">
        <v>30.87</v>
      </c>
      <c r="R85" s="10" t="n">
        <v>0.5824</v>
      </c>
      <c r="S85" s="0" t="n">
        <v>0.9469</v>
      </c>
      <c r="T85" s="0" t="n">
        <v>30.9</v>
      </c>
      <c r="U85" s="0" t="n">
        <v>29.26</v>
      </c>
    </row>
    <row r="86" customFormat="false" ht="15" hidden="false" customHeight="false" outlineLevel="0" collapsed="false">
      <c r="A86" s="0" t="s">
        <v>1832</v>
      </c>
      <c r="B86" s="0" t="s">
        <v>1830</v>
      </c>
      <c r="C86" s="0" t="s">
        <v>1139</v>
      </c>
      <c r="D86" s="0" t="s">
        <v>1215</v>
      </c>
      <c r="E86" s="0" t="s">
        <v>1402</v>
      </c>
      <c r="F86" s="0" t="s">
        <v>1286</v>
      </c>
      <c r="G86" s="0" t="n">
        <v>12.5</v>
      </c>
      <c r="H86" s="0" t="n">
        <v>12.24</v>
      </c>
      <c r="I86" s="10" t="n">
        <v>0.4727</v>
      </c>
      <c r="J86" s="10" t="n">
        <v>0.5273</v>
      </c>
      <c r="K86" s="9" t="s">
        <v>3446</v>
      </c>
      <c r="L86" s="9" t="s">
        <v>3447</v>
      </c>
      <c r="N86" s="10" t="n">
        <v>0.6</v>
      </c>
      <c r="O86" s="19"/>
      <c r="P86" s="0" t="str">
        <f aca="false">IF(O86="","",IF(O86&gt;G86,"OVER",IF(O86&lt;G86,"UNDER","PUSH")))</f>
        <v/>
      </c>
      <c r="Q86" s="0" t="n">
        <v>12.48</v>
      </c>
      <c r="R86" s="10" t="n">
        <v>0.4978</v>
      </c>
      <c r="S86" s="0" t="n">
        <v>1.0198</v>
      </c>
      <c r="T86" s="0" t="n">
        <v>12.68</v>
      </c>
      <c r="U86" s="0" t="n">
        <v>12.93</v>
      </c>
    </row>
    <row r="87" customFormat="false" ht="15" hidden="false" customHeight="false" outlineLevel="0" collapsed="false">
      <c r="A87" s="0" t="s">
        <v>1832</v>
      </c>
      <c r="B87" s="0" t="s">
        <v>1830</v>
      </c>
      <c r="C87" s="0" t="s">
        <v>1139</v>
      </c>
      <c r="D87" s="0" t="s">
        <v>1215</v>
      </c>
      <c r="E87" s="0" t="s">
        <v>1402</v>
      </c>
      <c r="F87" s="0" t="s">
        <v>1290</v>
      </c>
      <c r="G87" s="0" t="n">
        <v>25</v>
      </c>
      <c r="H87" s="0" t="n">
        <v>23.65</v>
      </c>
      <c r="I87" s="10" t="n">
        <v>0.3737</v>
      </c>
      <c r="J87" s="10" t="n">
        <v>0.5589</v>
      </c>
      <c r="K87" s="9" t="s">
        <v>3446</v>
      </c>
      <c r="L87" s="9" t="s">
        <v>3447</v>
      </c>
      <c r="M87" s="0" t="n">
        <v>23.18</v>
      </c>
      <c r="N87" s="10" t="n">
        <v>0.6</v>
      </c>
      <c r="O87" s="19"/>
      <c r="P87" s="0" t="str">
        <f aca="false">IF(O87="","",IF(O87&gt;G87,"OVER",IF(O87&lt;G87,"UNDER","PUSH")))</f>
        <v/>
      </c>
      <c r="Q87" s="0" t="n">
        <v>24.12</v>
      </c>
      <c r="R87" s="10" t="n">
        <v>0.4058</v>
      </c>
      <c r="S87" s="0" t="n">
        <v>1.0198</v>
      </c>
      <c r="T87" s="0" t="n">
        <v>23.61</v>
      </c>
      <c r="U87" s="0" t="n">
        <v>24.07</v>
      </c>
    </row>
    <row r="88" customFormat="false" ht="15" hidden="false" customHeight="false" outlineLevel="0" collapsed="false">
      <c r="A88" s="0" t="s">
        <v>1832</v>
      </c>
      <c r="B88" s="0" t="s">
        <v>1830</v>
      </c>
      <c r="C88" s="0" t="s">
        <v>1139</v>
      </c>
      <c r="D88" s="0" t="s">
        <v>1215</v>
      </c>
      <c r="E88" s="0" t="s">
        <v>1404</v>
      </c>
      <c r="F88" s="0" t="s">
        <v>1286</v>
      </c>
      <c r="G88" s="0" t="n">
        <v>15.5</v>
      </c>
      <c r="H88" s="0" t="n">
        <v>14.18</v>
      </c>
      <c r="I88" s="10" t="n">
        <v>0.3742</v>
      </c>
      <c r="J88" s="10" t="n">
        <v>0.6258</v>
      </c>
      <c r="K88" s="9" t="s">
        <v>3446</v>
      </c>
      <c r="L88" s="9" t="s">
        <v>3447</v>
      </c>
      <c r="N88" s="10" t="n">
        <v>0.4</v>
      </c>
      <c r="O88" s="19"/>
      <c r="P88" s="0" t="str">
        <f aca="false">IF(O88="","",IF(O88&gt;G88,"OVER",IF(O88&lt;G88,"UNDER","PUSH")))</f>
        <v/>
      </c>
      <c r="Q88" s="0" t="n">
        <v>14.46</v>
      </c>
      <c r="R88" s="10" t="n">
        <v>0.4012</v>
      </c>
      <c r="S88" s="0" t="n">
        <v>1.0198</v>
      </c>
      <c r="T88" s="0" t="n">
        <v>14.42</v>
      </c>
      <c r="U88" s="0" t="n">
        <v>14.7</v>
      </c>
    </row>
    <row r="89" customFormat="false" ht="15" hidden="false" customHeight="false" outlineLevel="0" collapsed="false">
      <c r="A89" s="0" t="s">
        <v>1832</v>
      </c>
      <c r="B89" s="0" t="s">
        <v>1830</v>
      </c>
      <c r="C89" s="0" t="s">
        <v>1139</v>
      </c>
      <c r="D89" s="0" t="s">
        <v>1215</v>
      </c>
      <c r="E89" s="0" t="s">
        <v>1404</v>
      </c>
      <c r="F89" s="0" t="s">
        <v>1290</v>
      </c>
      <c r="G89" s="0" t="n">
        <v>31.5</v>
      </c>
      <c r="H89" s="0" t="n">
        <v>28.29</v>
      </c>
      <c r="I89" s="10" t="n">
        <v>0.3049</v>
      </c>
      <c r="J89" s="10" t="n">
        <v>0.6951</v>
      </c>
      <c r="K89" s="9" t="s">
        <v>3446</v>
      </c>
      <c r="L89" s="9" t="s">
        <v>3447</v>
      </c>
      <c r="M89" s="0" t="n">
        <v>31.6</v>
      </c>
      <c r="N89" s="10" t="n">
        <v>0.4</v>
      </c>
      <c r="O89" s="19"/>
      <c r="P89" s="0" t="str">
        <f aca="false">IF(O89="","",IF(O89&gt;G89,"OVER",IF(O89&lt;G89,"UNDER","PUSH")))</f>
        <v/>
      </c>
      <c r="Q89" s="0" t="n">
        <v>28.85</v>
      </c>
      <c r="R89" s="10" t="n">
        <v>0.3382</v>
      </c>
      <c r="S89" s="0" t="n">
        <v>1.0198</v>
      </c>
      <c r="T89" s="0" t="n">
        <v>29.19</v>
      </c>
      <c r="U89" s="0" t="n">
        <v>29.76</v>
      </c>
    </row>
    <row r="90" customFormat="false" ht="15" hidden="false" customHeight="false" outlineLevel="0" collapsed="false">
      <c r="A90" s="0" t="s">
        <v>1832</v>
      </c>
      <c r="B90" s="0" t="s">
        <v>1830</v>
      </c>
      <c r="C90" s="0" t="s">
        <v>1139</v>
      </c>
      <c r="D90" s="0" t="s">
        <v>1215</v>
      </c>
      <c r="E90" s="0" t="s">
        <v>1406</v>
      </c>
      <c r="F90" s="0" t="s">
        <v>1286</v>
      </c>
      <c r="G90" s="0" t="n">
        <v>12</v>
      </c>
      <c r="H90" s="0" t="n">
        <v>12.08</v>
      </c>
      <c r="I90" s="10" t="n">
        <v>0.4554</v>
      </c>
      <c r="J90" s="10" t="n">
        <v>0.4379</v>
      </c>
      <c r="K90" s="9" t="s">
        <v>3446</v>
      </c>
      <c r="L90" s="9" t="s">
        <v>3447</v>
      </c>
      <c r="N90" s="10" t="n">
        <v>0.6</v>
      </c>
      <c r="O90" s="19"/>
      <c r="P90" s="0" t="str">
        <f aca="false">IF(O90="","",IF(O90&gt;G90,"OVER",IF(O90&lt;G90,"UNDER","PUSH")))</f>
        <v/>
      </c>
      <c r="Q90" s="0" t="n">
        <v>12.32</v>
      </c>
      <c r="R90" s="10" t="n">
        <v>0.4812</v>
      </c>
      <c r="S90" s="0" t="n">
        <v>1.0199</v>
      </c>
      <c r="T90" s="0" t="n">
        <v>11.66</v>
      </c>
      <c r="U90" s="0" t="n">
        <v>11.89</v>
      </c>
    </row>
    <row r="91" customFormat="false" ht="15" hidden="false" customHeight="false" outlineLevel="0" collapsed="false">
      <c r="A91" s="0" t="s">
        <v>1832</v>
      </c>
      <c r="B91" s="0" t="s">
        <v>1830</v>
      </c>
      <c r="C91" s="0" t="s">
        <v>1139</v>
      </c>
      <c r="D91" s="0" t="s">
        <v>1215</v>
      </c>
      <c r="E91" s="0" t="s">
        <v>1406</v>
      </c>
      <c r="F91" s="0" t="s">
        <v>1290</v>
      </c>
      <c r="G91" s="0" t="n">
        <v>32.5</v>
      </c>
      <c r="H91" s="0" t="n">
        <v>32.33</v>
      </c>
      <c r="I91" s="10" t="n">
        <v>0.49</v>
      </c>
      <c r="J91" s="10" t="n">
        <v>0.51</v>
      </c>
      <c r="K91" s="9" t="s">
        <v>3446</v>
      </c>
      <c r="L91" s="9" t="s">
        <v>3447</v>
      </c>
      <c r="M91" s="0" t="n">
        <v>32.45</v>
      </c>
      <c r="N91" s="10" t="n">
        <v>0.4</v>
      </c>
      <c r="O91" s="19"/>
      <c r="P91" s="0" t="str">
        <f aca="false">IF(O91="","",IF(O91&gt;G91,"OVER",IF(O91&lt;G91,"UNDER","PUSH")))</f>
        <v/>
      </c>
      <c r="Q91" s="0" t="n">
        <v>32.97</v>
      </c>
      <c r="R91" s="10" t="n">
        <v>0.5277</v>
      </c>
      <c r="S91" s="0" t="n">
        <v>1.0198</v>
      </c>
      <c r="T91" s="0" t="n">
        <v>31.76</v>
      </c>
      <c r="U91" s="0" t="n">
        <v>32.39</v>
      </c>
    </row>
    <row r="92" customFormat="false" ht="15" hidden="false" customHeight="false" outlineLevel="0" collapsed="false">
      <c r="A92" s="0" t="s">
        <v>1832</v>
      </c>
      <c r="B92" s="0" t="s">
        <v>1830</v>
      </c>
      <c r="C92" s="0" t="s">
        <v>1139</v>
      </c>
      <c r="D92" s="0" t="s">
        <v>1215</v>
      </c>
      <c r="E92" s="0" t="s">
        <v>1409</v>
      </c>
      <c r="F92" s="0" t="s">
        <v>1286</v>
      </c>
      <c r="G92" s="0" t="n">
        <v>18.5</v>
      </c>
      <c r="H92" s="0" t="n">
        <v>17.14</v>
      </c>
      <c r="I92" s="10" t="n">
        <v>0.3842</v>
      </c>
      <c r="J92" s="10" t="n">
        <v>0.6158</v>
      </c>
      <c r="K92" s="9" t="s">
        <v>3446</v>
      </c>
      <c r="L92" s="9" t="s">
        <v>3447</v>
      </c>
      <c r="N92" s="10" t="n">
        <v>0.3</v>
      </c>
      <c r="O92" s="19"/>
      <c r="P92" s="0" t="str">
        <f aca="false">IF(O92="","",IF(O92&gt;G92,"OVER",IF(O92&lt;G92,"UNDER","PUSH")))</f>
        <v/>
      </c>
      <c r="Q92" s="0" t="n">
        <v>17.49</v>
      </c>
      <c r="R92" s="10" t="n">
        <v>0.4136</v>
      </c>
      <c r="S92" s="0" t="n">
        <v>1.0199</v>
      </c>
      <c r="T92" s="0" t="n">
        <v>17.7</v>
      </c>
      <c r="U92" s="0" t="n">
        <v>18.05</v>
      </c>
    </row>
    <row r="93" customFormat="false" ht="15" hidden="false" customHeight="false" outlineLevel="0" collapsed="false">
      <c r="A93" s="0" t="s">
        <v>1832</v>
      </c>
      <c r="B93" s="0" t="s">
        <v>1830</v>
      </c>
      <c r="C93" s="0" t="s">
        <v>1139</v>
      </c>
      <c r="D93" s="0" t="s">
        <v>1215</v>
      </c>
      <c r="E93" s="0" t="s">
        <v>1409</v>
      </c>
      <c r="F93" s="0" t="s">
        <v>1290</v>
      </c>
      <c r="G93" s="0" t="n">
        <v>30.5</v>
      </c>
      <c r="H93" s="0" t="n">
        <v>29.08</v>
      </c>
      <c r="I93" s="10" t="n">
        <v>0.4119</v>
      </c>
      <c r="J93" s="10" t="n">
        <v>0.5881</v>
      </c>
      <c r="K93" s="9" t="s">
        <v>3446</v>
      </c>
      <c r="L93" s="9" t="s">
        <v>3447</v>
      </c>
      <c r="M93" s="0" t="n">
        <v>29.24</v>
      </c>
      <c r="N93" s="10" t="n">
        <v>0.4</v>
      </c>
      <c r="O93" s="19"/>
      <c r="P93" s="0" t="str">
        <f aca="false">IF(O93="","",IF(O93&gt;G93,"OVER",IF(O93&lt;G93,"UNDER","PUSH")))</f>
        <v/>
      </c>
      <c r="Q93" s="0" t="n">
        <v>29.66</v>
      </c>
      <c r="R93" s="10" t="n">
        <v>0.448</v>
      </c>
      <c r="S93" s="0" t="n">
        <v>1.0198</v>
      </c>
      <c r="T93" s="0" t="n">
        <v>30.04</v>
      </c>
      <c r="U93" s="0" t="n">
        <v>30.64</v>
      </c>
    </row>
    <row r="94" customFormat="false" ht="15" hidden="false" customHeight="false" outlineLevel="0" collapsed="false">
      <c r="A94" s="0" t="s">
        <v>1832</v>
      </c>
      <c r="B94" s="0" t="s">
        <v>1830</v>
      </c>
      <c r="C94" s="0" t="s">
        <v>1139</v>
      </c>
      <c r="D94" s="0" t="s">
        <v>1215</v>
      </c>
      <c r="E94" s="0" t="s">
        <v>1411</v>
      </c>
      <c r="F94" s="0" t="s">
        <v>1286</v>
      </c>
      <c r="G94" s="0" t="n">
        <v>12.5</v>
      </c>
      <c r="H94" s="0" t="n">
        <v>12.31</v>
      </c>
      <c r="I94" s="10" t="n">
        <v>0.48</v>
      </c>
      <c r="J94" s="10" t="n">
        <v>0.52</v>
      </c>
      <c r="K94" s="9" t="s">
        <v>3446</v>
      </c>
      <c r="L94" s="9" t="s">
        <v>3447</v>
      </c>
      <c r="N94" s="10" t="n">
        <v>0.3</v>
      </c>
      <c r="O94" s="19"/>
      <c r="P94" s="0" t="str">
        <f aca="false">IF(O94="","",IF(O94&gt;G94,"OVER",IF(O94&lt;G94,"UNDER","PUSH")))</f>
        <v/>
      </c>
      <c r="Q94" s="0" t="n">
        <v>12.55</v>
      </c>
      <c r="R94" s="10" t="n">
        <v>0.5054</v>
      </c>
      <c r="S94" s="0" t="n">
        <v>1.0198</v>
      </c>
      <c r="T94" s="0" t="n">
        <v>12.27</v>
      </c>
      <c r="U94" s="0" t="n">
        <v>12.51</v>
      </c>
    </row>
    <row r="95" customFormat="false" ht="15" hidden="false" customHeight="false" outlineLevel="0" collapsed="false">
      <c r="A95" s="0" t="s">
        <v>1832</v>
      </c>
      <c r="B95" s="0" t="s">
        <v>1830</v>
      </c>
      <c r="C95" s="0" t="s">
        <v>1139</v>
      </c>
      <c r="D95" s="0" t="s">
        <v>1215</v>
      </c>
      <c r="E95" s="0" t="s">
        <v>1411</v>
      </c>
      <c r="F95" s="0" t="s">
        <v>1290</v>
      </c>
      <c r="G95" s="0" t="n">
        <v>27</v>
      </c>
      <c r="H95" s="0" t="n">
        <v>26.47</v>
      </c>
      <c r="I95" s="10" t="n">
        <v>0.433</v>
      </c>
      <c r="J95" s="10" t="n">
        <v>0.5018</v>
      </c>
      <c r="K95" s="9" t="s">
        <v>3446</v>
      </c>
      <c r="L95" s="9" t="s">
        <v>3447</v>
      </c>
      <c r="M95" s="0" t="n">
        <v>25</v>
      </c>
      <c r="N95" s="10" t="n">
        <v>0.5</v>
      </c>
      <c r="O95" s="19"/>
      <c r="P95" s="0" t="str">
        <f aca="false">IF(O95="","",IF(O95&gt;G95,"OVER",IF(O95&lt;G95,"UNDER","PUSH")))</f>
        <v/>
      </c>
      <c r="Q95" s="0" t="n">
        <v>27</v>
      </c>
      <c r="R95" s="10" t="n">
        <v>0.4674</v>
      </c>
      <c r="S95" s="0" t="n">
        <v>1.0198</v>
      </c>
      <c r="T95" s="0" t="n">
        <v>26.61</v>
      </c>
      <c r="U95" s="0" t="n">
        <v>27.14</v>
      </c>
    </row>
    <row r="96" customFormat="false" ht="15" hidden="false" customHeight="false" outlineLevel="0" collapsed="false">
      <c r="A96" s="0" t="s">
        <v>1832</v>
      </c>
      <c r="B96" s="0" t="s">
        <v>1830</v>
      </c>
      <c r="C96" s="0" t="s">
        <v>1139</v>
      </c>
      <c r="D96" s="0" t="s">
        <v>1235</v>
      </c>
      <c r="E96" s="0" t="s">
        <v>1413</v>
      </c>
      <c r="F96" s="0" t="s">
        <v>1286</v>
      </c>
      <c r="G96" s="0" t="n">
        <v>18.5</v>
      </c>
      <c r="H96" s="0" t="n">
        <v>16.39</v>
      </c>
      <c r="I96" s="10" t="n">
        <v>0.3191</v>
      </c>
      <c r="J96" s="10" t="n">
        <v>0.6809</v>
      </c>
      <c r="K96" s="9" t="s">
        <v>3448</v>
      </c>
      <c r="L96" s="9" t="s">
        <v>3449</v>
      </c>
      <c r="N96" s="10" t="n">
        <v>0.6</v>
      </c>
      <c r="O96" s="19"/>
      <c r="P96" s="0" t="str">
        <f aca="false">IF(O96="","",IF(O96&gt;G96,"OVER",IF(O96&lt;G96,"UNDER","PUSH")))</f>
        <v/>
      </c>
      <c r="Q96" s="0" t="n">
        <v>17.48</v>
      </c>
      <c r="R96" s="10" t="n">
        <v>0.4133</v>
      </c>
      <c r="S96" s="0" t="n">
        <v>1.0669</v>
      </c>
      <c r="T96" s="0" t="n">
        <v>16.71</v>
      </c>
      <c r="U96" s="0" t="n">
        <v>17.82</v>
      </c>
    </row>
    <row r="97" customFormat="false" ht="15" hidden="false" customHeight="false" outlineLevel="0" collapsed="false">
      <c r="A97" s="0" t="s">
        <v>1832</v>
      </c>
      <c r="B97" s="0" t="s">
        <v>1830</v>
      </c>
      <c r="C97" s="0" t="s">
        <v>1139</v>
      </c>
      <c r="D97" s="0" t="s">
        <v>1235</v>
      </c>
      <c r="E97" s="0" t="s">
        <v>1413</v>
      </c>
      <c r="F97" s="0" t="s">
        <v>1290</v>
      </c>
      <c r="G97" s="0" t="n">
        <v>32.5</v>
      </c>
      <c r="H97" s="0" t="n">
        <v>28.57</v>
      </c>
      <c r="I97" s="10" t="n">
        <v>0.2669</v>
      </c>
      <c r="J97" s="10" t="n">
        <v>0.7331</v>
      </c>
      <c r="K97" s="9" t="s">
        <v>3448</v>
      </c>
      <c r="L97" s="9" t="s">
        <v>3449</v>
      </c>
      <c r="M97" s="0" t="n">
        <v>32.54</v>
      </c>
      <c r="N97" s="10" t="n">
        <v>0.5</v>
      </c>
      <c r="O97" s="19"/>
      <c r="P97" s="0" t="str">
        <f aca="false">IF(O97="","",IF(O97&gt;G97,"OVER",IF(O97&lt;G97,"UNDER","PUSH")))</f>
        <v/>
      </c>
      <c r="Q97" s="0" t="n">
        <v>30.47</v>
      </c>
      <c r="R97" s="10" t="n">
        <v>0.3782</v>
      </c>
      <c r="S97" s="0" t="n">
        <v>1.0668</v>
      </c>
      <c r="T97" s="0" t="n">
        <v>29.01</v>
      </c>
      <c r="U97" s="0" t="n">
        <v>30.94</v>
      </c>
    </row>
    <row r="98" customFormat="false" ht="15" hidden="false" customHeight="false" outlineLevel="0" collapsed="false">
      <c r="A98" s="0" t="s">
        <v>1832</v>
      </c>
      <c r="B98" s="0" t="s">
        <v>1830</v>
      </c>
      <c r="C98" s="0" t="s">
        <v>1139</v>
      </c>
      <c r="D98" s="0" t="s">
        <v>1235</v>
      </c>
      <c r="E98" s="0" t="s">
        <v>1415</v>
      </c>
      <c r="F98" s="0" t="s">
        <v>1286</v>
      </c>
      <c r="G98" s="0" t="n">
        <v>12</v>
      </c>
      <c r="H98" s="0" t="n">
        <v>9.85</v>
      </c>
      <c r="I98" s="10" t="n">
        <v>0.2181</v>
      </c>
      <c r="J98" s="10" t="n">
        <v>0.6861</v>
      </c>
      <c r="K98" s="9" t="s">
        <v>3448</v>
      </c>
      <c r="L98" s="9" t="s">
        <v>3449</v>
      </c>
      <c r="N98" s="10" t="n">
        <v>0.4</v>
      </c>
      <c r="O98" s="19"/>
      <c r="P98" s="0" t="str">
        <f aca="false">IF(O98="","",IF(O98&gt;G98,"OVER",IF(O98&lt;G98,"UNDER","PUSH")))</f>
        <v/>
      </c>
      <c r="Q98" s="0" t="n">
        <v>10.54</v>
      </c>
      <c r="R98" s="10" t="n">
        <v>0.2891</v>
      </c>
      <c r="S98" s="0" t="n">
        <v>1.0703</v>
      </c>
      <c r="T98" s="0" t="n">
        <v>9.86</v>
      </c>
      <c r="U98" s="0" t="n">
        <v>10.51</v>
      </c>
    </row>
    <row r="99" customFormat="false" ht="15" hidden="false" customHeight="false" outlineLevel="0" collapsed="false">
      <c r="A99" s="0" t="s">
        <v>1832</v>
      </c>
      <c r="B99" s="0" t="s">
        <v>1830</v>
      </c>
      <c r="C99" s="0" t="s">
        <v>1139</v>
      </c>
      <c r="D99" s="0" t="s">
        <v>1235</v>
      </c>
      <c r="E99" s="0" t="s">
        <v>1415</v>
      </c>
      <c r="F99" s="0" t="s">
        <v>1290</v>
      </c>
      <c r="G99" s="0" t="n">
        <v>25.5</v>
      </c>
      <c r="H99" s="0" t="n">
        <v>22.4</v>
      </c>
      <c r="I99" s="10" t="n">
        <v>0.2899</v>
      </c>
      <c r="J99" s="10" t="n">
        <v>0.7101</v>
      </c>
      <c r="K99" s="9" t="s">
        <v>3448</v>
      </c>
      <c r="L99" s="9" t="s">
        <v>3449</v>
      </c>
      <c r="M99" s="0" t="n">
        <v>23.3</v>
      </c>
      <c r="N99" s="10" t="n">
        <v>0.5</v>
      </c>
      <c r="O99" s="19"/>
      <c r="P99" s="0" t="str">
        <f aca="false">IF(O99="","",IF(O99&gt;G99,"OVER",IF(O99&lt;G99,"UNDER","PUSH")))</f>
        <v/>
      </c>
      <c r="Q99" s="0" t="n">
        <v>23.91</v>
      </c>
      <c r="R99" s="10" t="n">
        <v>0.392</v>
      </c>
      <c r="S99" s="0" t="n">
        <v>1.0676</v>
      </c>
      <c r="T99" s="0" t="n">
        <v>21.66</v>
      </c>
      <c r="U99" s="0" t="n">
        <v>23.1</v>
      </c>
    </row>
    <row r="100" customFormat="false" ht="15" hidden="false" customHeight="false" outlineLevel="0" collapsed="false">
      <c r="A100" s="0" t="s">
        <v>1832</v>
      </c>
      <c r="B100" s="0" t="s">
        <v>1830</v>
      </c>
      <c r="C100" s="0" t="s">
        <v>1139</v>
      </c>
      <c r="D100" s="0" t="s">
        <v>1235</v>
      </c>
      <c r="E100" s="0" t="s">
        <v>1417</v>
      </c>
      <c r="F100" s="0" t="s">
        <v>1286</v>
      </c>
      <c r="G100" s="0" t="n">
        <v>15</v>
      </c>
      <c r="H100" s="0" t="n">
        <v>12.33</v>
      </c>
      <c r="I100" s="10" t="n">
        <v>0.2052</v>
      </c>
      <c r="J100" s="10" t="n">
        <v>0.7134</v>
      </c>
      <c r="K100" s="9" t="s">
        <v>3448</v>
      </c>
      <c r="L100" s="9" t="s">
        <v>3449</v>
      </c>
      <c r="N100" s="10" t="n">
        <v>0.6</v>
      </c>
      <c r="O100" s="19"/>
      <c r="P100" s="0" t="str">
        <f aca="false">IF(O100="","",IF(O100&gt;G100,"OVER",IF(O100&lt;G100,"UNDER","PUSH")))</f>
        <v/>
      </c>
      <c r="Q100" s="0" t="n">
        <v>13.13</v>
      </c>
      <c r="R100" s="10" t="n">
        <v>0.2752</v>
      </c>
      <c r="S100" s="0" t="n">
        <v>1.0645</v>
      </c>
      <c r="T100" s="0" t="n">
        <v>13.79</v>
      </c>
      <c r="U100" s="0" t="n">
        <v>14.7</v>
      </c>
    </row>
    <row r="101" customFormat="false" ht="15" hidden="false" customHeight="false" outlineLevel="0" collapsed="false">
      <c r="A101" s="0" t="s">
        <v>1832</v>
      </c>
      <c r="B101" s="0" t="s">
        <v>1830</v>
      </c>
      <c r="C101" s="0" t="s">
        <v>1139</v>
      </c>
      <c r="D101" s="0" t="s">
        <v>1235</v>
      </c>
      <c r="E101" s="0" t="s">
        <v>1417</v>
      </c>
      <c r="F101" s="0" t="s">
        <v>1290</v>
      </c>
      <c r="G101" s="0" t="n">
        <v>30.5</v>
      </c>
      <c r="H101" s="0" t="n">
        <v>24.77</v>
      </c>
      <c r="I101" s="10" t="n">
        <v>0.1651</v>
      </c>
      <c r="J101" s="10" t="n">
        <v>0.8349</v>
      </c>
      <c r="K101" s="9" t="s">
        <v>3448</v>
      </c>
      <c r="L101" s="9" t="s">
        <v>3449</v>
      </c>
      <c r="M101" s="0" t="n">
        <v>29.16</v>
      </c>
      <c r="N101" s="10" t="n">
        <v>0.6</v>
      </c>
      <c r="O101" s="19"/>
      <c r="P101" s="0" t="str">
        <f aca="false">IF(O101="","",IF(O101&gt;G101,"OVER",IF(O101&lt;G101,"UNDER","PUSH")))</f>
        <v/>
      </c>
      <c r="Q101" s="0" t="n">
        <v>26.38</v>
      </c>
      <c r="R101" s="10" t="n">
        <v>0.2492</v>
      </c>
      <c r="S101" s="0" t="n">
        <v>1.0653</v>
      </c>
      <c r="T101" s="0" t="n">
        <v>27.46</v>
      </c>
      <c r="U101" s="0" t="n">
        <v>29.29</v>
      </c>
    </row>
    <row r="102" customFormat="false" ht="15" hidden="false" customHeight="false" outlineLevel="0" collapsed="false">
      <c r="A102" s="0" t="s">
        <v>1832</v>
      </c>
      <c r="B102" s="0" t="s">
        <v>1830</v>
      </c>
      <c r="C102" s="0" t="s">
        <v>1139</v>
      </c>
      <c r="D102" s="0" t="s">
        <v>1235</v>
      </c>
      <c r="E102" s="0" t="s">
        <v>1419</v>
      </c>
      <c r="F102" s="0" t="s">
        <v>1286</v>
      </c>
      <c r="G102" s="0" t="n">
        <v>8.5</v>
      </c>
      <c r="H102" s="0" t="n">
        <v>6.53</v>
      </c>
      <c r="I102" s="10" t="n">
        <v>0.2314</v>
      </c>
      <c r="J102" s="10" t="n">
        <v>0.7686</v>
      </c>
      <c r="K102" s="9" t="s">
        <v>3448</v>
      </c>
      <c r="L102" s="9" t="s">
        <v>3449</v>
      </c>
      <c r="N102" s="10" t="n">
        <v>0.3</v>
      </c>
      <c r="O102" s="19"/>
      <c r="P102" s="0" t="str">
        <f aca="false">IF(O102="","",IF(O102&gt;G102,"OVER",IF(O102&lt;G102,"UNDER","PUSH")))</f>
        <v/>
      </c>
      <c r="Q102" s="0" t="n">
        <v>6.94</v>
      </c>
      <c r="R102" s="10" t="n">
        <v>0.2867</v>
      </c>
      <c r="S102" s="0" t="n">
        <v>1.0633</v>
      </c>
      <c r="T102" s="0" t="n">
        <v>7.28</v>
      </c>
      <c r="U102" s="0" t="n">
        <v>7.76</v>
      </c>
    </row>
    <row r="103" customFormat="false" ht="15" hidden="false" customHeight="false" outlineLevel="0" collapsed="false">
      <c r="A103" s="0" t="s">
        <v>1832</v>
      </c>
      <c r="B103" s="0" t="s">
        <v>1830</v>
      </c>
      <c r="C103" s="0" t="s">
        <v>1139</v>
      </c>
      <c r="D103" s="0" t="s">
        <v>1235</v>
      </c>
      <c r="E103" s="0" t="s">
        <v>1419</v>
      </c>
      <c r="F103" s="0" t="s">
        <v>1290</v>
      </c>
      <c r="G103" s="0" t="n">
        <v>28.5</v>
      </c>
      <c r="H103" s="0" t="n">
        <v>24.25</v>
      </c>
      <c r="I103" s="10" t="n">
        <v>0.2329</v>
      </c>
      <c r="J103" s="10" t="n">
        <v>0.7671</v>
      </c>
      <c r="K103" s="9" t="s">
        <v>3448</v>
      </c>
      <c r="L103" s="9" t="s">
        <v>3449</v>
      </c>
      <c r="M103" s="0" t="n">
        <v>26.21</v>
      </c>
      <c r="N103" s="10" t="n">
        <v>0.4</v>
      </c>
      <c r="O103" s="19"/>
      <c r="P103" s="0" t="str">
        <f aca="false">IF(O103="","",IF(O103&gt;G103,"OVER",IF(O103&lt;G103,"UNDER","PUSH")))</f>
        <v/>
      </c>
      <c r="Q103" s="0" t="n">
        <v>25.82</v>
      </c>
      <c r="R103" s="10" t="n">
        <v>0.3281</v>
      </c>
      <c r="S103" s="0" t="n">
        <v>1.0649</v>
      </c>
      <c r="T103" s="0" t="n">
        <v>24.76</v>
      </c>
      <c r="U103" s="0" t="n">
        <v>26.4</v>
      </c>
    </row>
    <row r="104" customFormat="false" ht="15" hidden="false" customHeight="false" outlineLevel="0" collapsed="false">
      <c r="A104" s="0" t="s">
        <v>1832</v>
      </c>
      <c r="B104" s="0" t="s">
        <v>1830</v>
      </c>
      <c r="C104" s="0" t="s">
        <v>1139</v>
      </c>
      <c r="D104" s="0" t="s">
        <v>1235</v>
      </c>
      <c r="E104" s="0" t="s">
        <v>1421</v>
      </c>
      <c r="F104" s="0" t="s">
        <v>1286</v>
      </c>
      <c r="G104" s="0" t="n">
        <v>17.5</v>
      </c>
      <c r="H104" s="0" t="n">
        <v>16.49</v>
      </c>
      <c r="I104" s="10" t="n">
        <v>0.4109</v>
      </c>
      <c r="J104" s="10" t="n">
        <v>0.5891</v>
      </c>
      <c r="K104" s="9" t="s">
        <v>3448</v>
      </c>
      <c r="L104" s="9" t="s">
        <v>3449</v>
      </c>
      <c r="N104" s="10" t="n">
        <v>0.4</v>
      </c>
      <c r="O104" s="19"/>
      <c r="P104" s="0" t="str">
        <f aca="false">IF(O104="","",IF(O104&gt;G104,"OVER",IF(O104&lt;G104,"UNDER","PUSH")))</f>
        <v/>
      </c>
      <c r="Q104" s="0" t="n">
        <v>17.63</v>
      </c>
      <c r="R104" s="10" t="n">
        <v>0.5113</v>
      </c>
      <c r="S104" s="0" t="n">
        <v>1.0694</v>
      </c>
      <c r="T104" s="0" t="n">
        <v>15.45</v>
      </c>
      <c r="U104" s="0" t="n">
        <v>16.48</v>
      </c>
    </row>
    <row r="105" customFormat="false" ht="15" hidden="false" customHeight="false" outlineLevel="0" collapsed="false">
      <c r="A105" s="0" t="s">
        <v>1832</v>
      </c>
      <c r="B105" s="0" t="s">
        <v>1830</v>
      </c>
      <c r="C105" s="0" t="s">
        <v>1139</v>
      </c>
      <c r="D105" s="0" t="s">
        <v>1235</v>
      </c>
      <c r="E105" s="0" t="s">
        <v>1421</v>
      </c>
      <c r="F105" s="0" t="s">
        <v>1290</v>
      </c>
      <c r="G105" s="0" t="n">
        <v>29.5</v>
      </c>
      <c r="H105" s="0" t="n">
        <v>29.05</v>
      </c>
      <c r="I105" s="10" t="n">
        <v>0.4721</v>
      </c>
      <c r="J105" s="10" t="n">
        <v>0.5279</v>
      </c>
      <c r="K105" s="9" t="s">
        <v>3448</v>
      </c>
      <c r="L105" s="9" t="s">
        <v>3449</v>
      </c>
      <c r="M105" s="0" t="n">
        <v>27.91</v>
      </c>
      <c r="N105" s="10" t="n">
        <v>0.6</v>
      </c>
      <c r="O105" s="19"/>
      <c r="P105" s="0" t="str">
        <f aca="false">IF(O105="","",IF(O105&gt;G105,"OVER",IF(O105&lt;G105,"UNDER","PUSH")))</f>
        <v/>
      </c>
      <c r="Q105" s="0" t="n">
        <v>31.02</v>
      </c>
      <c r="R105" s="10" t="n">
        <v>0.5913</v>
      </c>
      <c r="S105" s="0" t="n">
        <v>1.0677</v>
      </c>
      <c r="T105" s="0" t="n">
        <v>26.69</v>
      </c>
      <c r="U105" s="0" t="n">
        <v>28.46</v>
      </c>
    </row>
    <row r="106" customFormat="false" ht="15" hidden="false" customHeight="false" outlineLevel="0" collapsed="false">
      <c r="A106" s="0" t="s">
        <v>1832</v>
      </c>
      <c r="B106" s="0" t="s">
        <v>1830</v>
      </c>
      <c r="C106" s="0" t="s">
        <v>1139</v>
      </c>
      <c r="D106" s="0" t="s">
        <v>1154</v>
      </c>
      <c r="E106" s="0" t="s">
        <v>1423</v>
      </c>
      <c r="F106" s="0" t="s">
        <v>1286</v>
      </c>
      <c r="G106" s="0" t="n">
        <v>15.5</v>
      </c>
      <c r="H106" s="0" t="n">
        <v>14.53</v>
      </c>
      <c r="I106" s="10" t="n">
        <v>0.4078</v>
      </c>
      <c r="J106" s="10" t="n">
        <v>0.5922</v>
      </c>
      <c r="K106" s="9" t="s">
        <v>3450</v>
      </c>
      <c r="L106" s="9" t="s">
        <v>3445</v>
      </c>
      <c r="N106" s="10" t="n">
        <v>0.3</v>
      </c>
      <c r="O106" s="19"/>
      <c r="P106" s="0" t="str">
        <f aca="false">IF(O106="","",IF(O106&gt;G106,"OVER",IF(O106&lt;G106,"UNDER","PUSH")))</f>
        <v/>
      </c>
      <c r="Q106" s="0" t="n">
        <v>14.59</v>
      </c>
      <c r="R106" s="10" t="n">
        <v>0.4136</v>
      </c>
      <c r="S106" s="0" t="n">
        <v>1.0042</v>
      </c>
      <c r="T106" s="0" t="n">
        <v>14.87</v>
      </c>
      <c r="U106" s="0" t="n">
        <v>14.93</v>
      </c>
    </row>
    <row r="107" customFormat="false" ht="15" hidden="false" customHeight="false" outlineLevel="0" collapsed="false">
      <c r="A107" s="0" t="s">
        <v>1832</v>
      </c>
      <c r="B107" s="0" t="s">
        <v>1830</v>
      </c>
      <c r="C107" s="0" t="s">
        <v>1139</v>
      </c>
      <c r="D107" s="0" t="s">
        <v>1154</v>
      </c>
      <c r="E107" s="0" t="s">
        <v>1423</v>
      </c>
      <c r="F107" s="0" t="s">
        <v>1290</v>
      </c>
      <c r="G107" s="0" t="n">
        <v>33.5</v>
      </c>
      <c r="H107" s="0" t="n">
        <v>32.49</v>
      </c>
      <c r="I107" s="10" t="n">
        <v>0.4407</v>
      </c>
      <c r="J107" s="10" t="n">
        <v>0.5593</v>
      </c>
      <c r="K107" s="9" t="s">
        <v>3450</v>
      </c>
      <c r="L107" s="9" t="s">
        <v>3445</v>
      </c>
      <c r="N107" s="10" t="n">
        <v>0.3</v>
      </c>
      <c r="O107" s="19"/>
      <c r="P107" s="0" t="str">
        <f aca="false">IF(O107="","",IF(O107&gt;G107,"OVER",IF(O107&lt;G107,"UNDER","PUSH")))</f>
        <v/>
      </c>
      <c r="Q107" s="0" t="n">
        <v>32.62</v>
      </c>
      <c r="R107" s="10" t="n">
        <v>0.448</v>
      </c>
      <c r="S107" s="0" t="n">
        <v>1.0038</v>
      </c>
      <c r="T107" s="0" t="n">
        <v>32.19</v>
      </c>
      <c r="U107" s="0" t="n">
        <v>32.31</v>
      </c>
    </row>
    <row r="108" customFormat="false" ht="15" hidden="false" customHeight="false" outlineLevel="0" collapsed="false">
      <c r="A108" s="0" t="s">
        <v>1832</v>
      </c>
      <c r="B108" s="0" t="s">
        <v>1830</v>
      </c>
      <c r="C108" s="0" t="s">
        <v>1139</v>
      </c>
      <c r="D108" s="0" t="s">
        <v>1154</v>
      </c>
      <c r="E108" s="0" t="s">
        <v>1425</v>
      </c>
      <c r="F108" s="0" t="s">
        <v>1286</v>
      </c>
      <c r="G108" s="0" t="n">
        <v>16.5</v>
      </c>
      <c r="H108" s="0" t="n">
        <v>16.87</v>
      </c>
      <c r="I108" s="10" t="n">
        <v>0.5326</v>
      </c>
      <c r="J108" s="10" t="n">
        <v>0.4674</v>
      </c>
      <c r="K108" s="9" t="s">
        <v>3450</v>
      </c>
      <c r="L108" s="9" t="s">
        <v>3445</v>
      </c>
      <c r="N108" s="10" t="n">
        <v>0.6</v>
      </c>
      <c r="O108" s="19"/>
      <c r="P108" s="0" t="str">
        <f aca="false">IF(O108="","",IF(O108&gt;G108,"OVER",IF(O108&lt;G108,"UNDER","PUSH")))</f>
        <v/>
      </c>
      <c r="Q108" s="0" t="n">
        <v>16.95</v>
      </c>
      <c r="R108" s="10" t="n">
        <v>0.5387</v>
      </c>
      <c r="S108" s="0" t="n">
        <v>1.0043</v>
      </c>
      <c r="T108" s="0" t="n">
        <v>16.26</v>
      </c>
      <c r="U108" s="0" t="n">
        <v>16.32</v>
      </c>
    </row>
    <row r="109" customFormat="false" ht="15" hidden="false" customHeight="false" outlineLevel="0" collapsed="false">
      <c r="A109" s="0" t="s">
        <v>1832</v>
      </c>
      <c r="B109" s="0" t="s">
        <v>1830</v>
      </c>
      <c r="C109" s="0" t="s">
        <v>1139</v>
      </c>
      <c r="D109" s="0" t="s">
        <v>1154</v>
      </c>
      <c r="E109" s="0" t="s">
        <v>1425</v>
      </c>
      <c r="F109" s="0" t="s">
        <v>1290</v>
      </c>
      <c r="G109" s="0" t="n">
        <v>28.5</v>
      </c>
      <c r="H109" s="0" t="n">
        <v>28.41</v>
      </c>
      <c r="I109" s="10" t="n">
        <v>0.4943</v>
      </c>
      <c r="J109" s="10" t="n">
        <v>0.5057</v>
      </c>
      <c r="K109" s="9" t="s">
        <v>3450</v>
      </c>
      <c r="L109" s="9" t="s">
        <v>3445</v>
      </c>
      <c r="N109" s="10" t="n">
        <v>0.6</v>
      </c>
      <c r="O109" s="19"/>
      <c r="P109" s="0" t="str">
        <f aca="false">IF(O109="","",IF(O109&gt;G109,"OVER",IF(O109&lt;G109,"UNDER","PUSH")))</f>
        <v/>
      </c>
      <c r="Q109" s="0" t="n">
        <v>28.52</v>
      </c>
      <c r="R109" s="10" t="n">
        <v>0.5014</v>
      </c>
      <c r="S109" s="0" t="n">
        <v>1.004</v>
      </c>
      <c r="T109" s="0" t="n">
        <v>28.33</v>
      </c>
      <c r="U109" s="0" t="n">
        <v>28.44</v>
      </c>
    </row>
    <row r="110" customFormat="false" ht="15" hidden="false" customHeight="false" outlineLevel="0" collapsed="false">
      <c r="A110" s="0" t="s">
        <v>1832</v>
      </c>
      <c r="B110" s="0" t="s">
        <v>1830</v>
      </c>
      <c r="C110" s="0" t="s">
        <v>1139</v>
      </c>
      <c r="D110" s="0" t="s">
        <v>1154</v>
      </c>
      <c r="E110" s="0" t="s">
        <v>1427</v>
      </c>
      <c r="F110" s="0" t="s">
        <v>1290</v>
      </c>
      <c r="G110" s="0" t="n">
        <v>30.5</v>
      </c>
      <c r="H110" s="0" t="n">
        <v>26.7</v>
      </c>
      <c r="I110" s="10" t="n">
        <v>0.2673</v>
      </c>
      <c r="J110" s="10" t="n">
        <v>0.7327</v>
      </c>
      <c r="K110" s="9" t="s">
        <v>3450</v>
      </c>
      <c r="L110" s="9" t="s">
        <v>3445</v>
      </c>
      <c r="N110" s="10" t="n">
        <v>0.3</v>
      </c>
      <c r="O110" s="19"/>
      <c r="P110" s="0" t="str">
        <f aca="false">IF(O110="","",IF(O110&gt;G110,"OVER",IF(O110&lt;G110,"UNDER","PUSH")))</f>
        <v/>
      </c>
      <c r="Q110" s="0" t="n">
        <v>26.8</v>
      </c>
      <c r="R110" s="10" t="n">
        <v>0.2729</v>
      </c>
      <c r="S110" s="0" t="n">
        <v>1.0036</v>
      </c>
      <c r="T110" s="0" t="n">
        <v>28.33</v>
      </c>
      <c r="U110" s="0" t="n">
        <v>28.44</v>
      </c>
    </row>
    <row r="111" customFormat="false" ht="15" hidden="false" customHeight="false" outlineLevel="0" collapsed="false">
      <c r="A111" s="0" t="s">
        <v>1832</v>
      </c>
      <c r="B111" s="0" t="s">
        <v>1830</v>
      </c>
      <c r="C111" s="0" t="s">
        <v>1139</v>
      </c>
      <c r="D111" s="0" t="s">
        <v>1154</v>
      </c>
      <c r="E111" s="0" t="s">
        <v>1429</v>
      </c>
      <c r="F111" s="0" t="s">
        <v>1286</v>
      </c>
      <c r="G111" s="0" t="n">
        <v>15.5</v>
      </c>
      <c r="H111" s="0" t="n">
        <v>14.01</v>
      </c>
      <c r="I111" s="10" t="n">
        <v>0.3594</v>
      </c>
      <c r="J111" s="10" t="n">
        <v>0.6406</v>
      </c>
      <c r="K111" s="9" t="s">
        <v>3450</v>
      </c>
      <c r="L111" s="9" t="s">
        <v>3445</v>
      </c>
      <c r="N111" s="10" t="n">
        <v>0.5</v>
      </c>
      <c r="O111" s="19"/>
      <c r="P111" s="0" t="str">
        <f aca="false">IF(O111="","",IF(O111&gt;G111,"OVER",IF(O111&lt;G111,"UNDER","PUSH")))</f>
        <v/>
      </c>
      <c r="Q111" s="0" t="n">
        <v>14.06</v>
      </c>
      <c r="R111" s="10" t="n">
        <v>0.3636</v>
      </c>
      <c r="S111" s="0" t="n">
        <v>1.0032</v>
      </c>
      <c r="T111" s="0" t="n">
        <v>14.18</v>
      </c>
      <c r="U111" s="0" t="n">
        <v>14.24</v>
      </c>
    </row>
    <row r="112" customFormat="false" ht="15" hidden="false" customHeight="false" outlineLevel="0" collapsed="false">
      <c r="A112" s="0" t="s">
        <v>1832</v>
      </c>
      <c r="B112" s="0" t="s">
        <v>1830</v>
      </c>
      <c r="C112" s="0" t="s">
        <v>1139</v>
      </c>
      <c r="D112" s="0" t="s">
        <v>1154</v>
      </c>
      <c r="E112" s="0" t="s">
        <v>1429</v>
      </c>
      <c r="F112" s="0" t="s">
        <v>1290</v>
      </c>
      <c r="G112" s="0" t="n">
        <v>28.5</v>
      </c>
      <c r="H112" s="0" t="n">
        <v>25.49</v>
      </c>
      <c r="I112" s="10" t="n">
        <v>0.307</v>
      </c>
      <c r="J112" s="10" t="n">
        <v>0.693</v>
      </c>
      <c r="K112" s="9" t="s">
        <v>3450</v>
      </c>
      <c r="L112" s="9" t="s">
        <v>3445</v>
      </c>
      <c r="N112" s="10" t="n">
        <v>0.5</v>
      </c>
      <c r="O112" s="19"/>
      <c r="P112" s="0" t="str">
        <f aca="false">IF(O112="","",IF(O112&gt;G112,"OVER",IF(O112&lt;G112,"UNDER","PUSH")))</f>
        <v/>
      </c>
      <c r="Q112" s="0" t="n">
        <v>25.56</v>
      </c>
      <c r="R112" s="10" t="n">
        <v>0.3112</v>
      </c>
      <c r="S112" s="0" t="n">
        <v>1.0026</v>
      </c>
      <c r="T112" s="0" t="n">
        <v>26.61</v>
      </c>
      <c r="U112" s="0" t="n">
        <v>26.71</v>
      </c>
    </row>
    <row r="113" customFormat="false" ht="15" hidden="false" customHeight="false" outlineLevel="0" collapsed="false">
      <c r="A113" s="0" t="s">
        <v>1832</v>
      </c>
      <c r="B113" s="0" t="s">
        <v>1830</v>
      </c>
      <c r="C113" s="0" t="s">
        <v>1139</v>
      </c>
      <c r="D113" s="0" t="s">
        <v>1154</v>
      </c>
      <c r="E113" s="0" t="s">
        <v>1431</v>
      </c>
      <c r="F113" s="0" t="s">
        <v>1286</v>
      </c>
      <c r="G113" s="0" t="n">
        <v>12</v>
      </c>
      <c r="H113" s="0" t="n">
        <v>12.05</v>
      </c>
      <c r="I113" s="10" t="n">
        <v>0.4525</v>
      </c>
      <c r="J113" s="10" t="n">
        <v>0.4421</v>
      </c>
      <c r="K113" s="9" t="s">
        <v>3450</v>
      </c>
      <c r="L113" s="9" t="s">
        <v>3445</v>
      </c>
      <c r="N113" s="10" t="n">
        <v>0.2</v>
      </c>
      <c r="O113" s="19"/>
      <c r="P113" s="0" t="str">
        <f aca="false">IF(O113="","",IF(O113&gt;G113,"OVER",IF(O113&lt;G113,"UNDER","PUSH")))</f>
        <v/>
      </c>
      <c r="Q113" s="0" t="n">
        <v>12.1</v>
      </c>
      <c r="R113" s="10" t="n">
        <v>0.4581</v>
      </c>
      <c r="S113" s="0" t="n">
        <v>1.0043</v>
      </c>
      <c r="T113" s="0" t="n">
        <v>12.1</v>
      </c>
      <c r="U113" s="0" t="n">
        <v>12.15</v>
      </c>
    </row>
    <row r="114" customFormat="false" ht="15" hidden="false" customHeight="false" outlineLevel="0" collapsed="false">
      <c r="A114" s="0" t="s">
        <v>1832</v>
      </c>
      <c r="B114" s="0" t="s">
        <v>1830</v>
      </c>
      <c r="C114" s="0" t="s">
        <v>1139</v>
      </c>
      <c r="D114" s="0" t="s">
        <v>1154</v>
      </c>
      <c r="E114" s="0" t="s">
        <v>1431</v>
      </c>
      <c r="F114" s="0" t="s">
        <v>1290</v>
      </c>
      <c r="G114" s="0" t="n">
        <v>25.5</v>
      </c>
      <c r="H114" s="0" t="n">
        <v>26.48</v>
      </c>
      <c r="I114" s="10" t="n">
        <v>0.5637</v>
      </c>
      <c r="J114" s="10" t="n">
        <v>0.4363</v>
      </c>
      <c r="K114" s="9" t="s">
        <v>3450</v>
      </c>
      <c r="L114" s="9" t="s">
        <v>3445</v>
      </c>
      <c r="N114" s="10" t="n">
        <v>0.4</v>
      </c>
      <c r="O114" s="19"/>
      <c r="P114" s="0" t="str">
        <f aca="false">IF(O114="","",IF(O114&gt;G114,"OVER",IF(O114&lt;G114,"UNDER","PUSH")))</f>
        <v/>
      </c>
      <c r="Q114" s="0" t="n">
        <v>26.57</v>
      </c>
      <c r="R114" s="10" t="n">
        <v>0.5699</v>
      </c>
      <c r="S114" s="0" t="n">
        <v>1.0037</v>
      </c>
      <c r="T114" s="0" t="n">
        <v>25.75</v>
      </c>
      <c r="U114" s="0" t="n">
        <v>25.85</v>
      </c>
    </row>
    <row r="115" customFormat="false" ht="15" hidden="false" customHeight="false" outlineLevel="0" collapsed="false">
      <c r="A115" s="0" t="s">
        <v>1832</v>
      </c>
      <c r="B115" s="0" t="s">
        <v>1830</v>
      </c>
      <c r="C115" s="0" t="s">
        <v>1139</v>
      </c>
      <c r="D115" s="0" t="s">
        <v>1154</v>
      </c>
      <c r="E115" s="0" t="s">
        <v>1433</v>
      </c>
      <c r="F115" s="0" t="s">
        <v>1286</v>
      </c>
      <c r="G115" s="0" t="n">
        <v>18</v>
      </c>
      <c r="H115" s="0" t="n">
        <v>18.66</v>
      </c>
      <c r="I115" s="10" t="n">
        <v>0.5136</v>
      </c>
      <c r="J115" s="10" t="n">
        <v>0.4037</v>
      </c>
      <c r="K115" s="9" t="s">
        <v>3450</v>
      </c>
      <c r="L115" s="9" t="s">
        <v>3445</v>
      </c>
      <c r="N115" s="10" t="n">
        <v>0.7</v>
      </c>
      <c r="O115" s="19"/>
      <c r="P115" s="0" t="str">
        <f aca="false">IF(O115="","",IF(O115&gt;G115,"OVER",IF(O115&lt;G115,"UNDER","PUSH")))</f>
        <v/>
      </c>
      <c r="Q115" s="0" t="n">
        <v>18.18</v>
      </c>
      <c r="R115" s="10" t="n">
        <v>0.4727</v>
      </c>
      <c r="S115" s="0" t="n">
        <v>0.974</v>
      </c>
      <c r="T115" s="0" t="n">
        <v>19.35</v>
      </c>
      <c r="U115" s="0" t="n">
        <v>18.85</v>
      </c>
    </row>
    <row r="116" customFormat="false" ht="15" hidden="false" customHeight="false" outlineLevel="0" collapsed="false">
      <c r="A116" s="0" t="s">
        <v>1832</v>
      </c>
      <c r="B116" s="0" t="s">
        <v>1830</v>
      </c>
      <c r="C116" s="0" t="s">
        <v>1139</v>
      </c>
      <c r="D116" s="0" t="s">
        <v>1154</v>
      </c>
      <c r="E116" s="0" t="s">
        <v>1433</v>
      </c>
      <c r="F116" s="0" t="s">
        <v>1290</v>
      </c>
      <c r="G116" s="0" t="n">
        <v>31.5</v>
      </c>
      <c r="H116" s="0" t="n">
        <v>33.75</v>
      </c>
      <c r="I116" s="10" t="n">
        <v>0.6284</v>
      </c>
      <c r="J116" s="10" t="n">
        <v>0.3716</v>
      </c>
      <c r="K116" s="9" t="s">
        <v>3450</v>
      </c>
      <c r="L116" s="9" t="s">
        <v>3445</v>
      </c>
      <c r="N116" s="10" t="n">
        <v>0.6</v>
      </c>
      <c r="O116" s="19"/>
      <c r="P116" s="0" t="str">
        <f aca="false">IF(O116="","",IF(O116&gt;G116,"OVER",IF(O116&lt;G116,"UNDER","PUSH")))</f>
        <v/>
      </c>
      <c r="Q116" s="0" t="n">
        <v>32.87</v>
      </c>
      <c r="R116" s="10" t="n">
        <v>0.5798</v>
      </c>
      <c r="S116" s="0" t="n">
        <v>0.9738</v>
      </c>
      <c r="T116" s="0" t="n">
        <v>33.48</v>
      </c>
      <c r="U116" s="0" t="n">
        <v>32.61</v>
      </c>
    </row>
    <row r="117" customFormat="false" ht="15" hidden="false" customHeight="false" outlineLevel="0" collapsed="false">
      <c r="A117" s="0" t="s">
        <v>1832</v>
      </c>
      <c r="B117" s="0" t="s">
        <v>1830</v>
      </c>
      <c r="C117" s="0" t="s">
        <v>1139</v>
      </c>
      <c r="D117" s="0" t="s">
        <v>1154</v>
      </c>
      <c r="E117" s="0" t="s">
        <v>1437</v>
      </c>
      <c r="F117" s="0" t="s">
        <v>1286</v>
      </c>
      <c r="G117" s="0" t="n">
        <v>17.5</v>
      </c>
      <c r="H117" s="0" t="n">
        <v>17.56</v>
      </c>
      <c r="I117" s="10" t="n">
        <v>0.5054</v>
      </c>
      <c r="J117" s="10" t="n">
        <v>0.4946</v>
      </c>
      <c r="K117" s="9" t="s">
        <v>3450</v>
      </c>
      <c r="L117" s="9" t="s">
        <v>3445</v>
      </c>
      <c r="N117" s="10" t="n">
        <v>0.6</v>
      </c>
      <c r="O117" s="19"/>
      <c r="P117" s="0" t="str">
        <f aca="false">IF(O117="","",IF(O117&gt;G117,"OVER",IF(O117&lt;G117,"UNDER","PUSH")))</f>
        <v/>
      </c>
      <c r="Q117" s="0" t="n">
        <v>17.11</v>
      </c>
      <c r="R117" s="10" t="n">
        <v>0.4657</v>
      </c>
      <c r="S117" s="0" t="n">
        <v>0.9739</v>
      </c>
      <c r="T117" s="0" t="n">
        <v>17.22</v>
      </c>
      <c r="U117" s="0" t="n">
        <v>16.77</v>
      </c>
    </row>
    <row r="118" customFormat="false" ht="15" hidden="false" customHeight="false" outlineLevel="0" collapsed="false">
      <c r="A118" s="0" t="s">
        <v>1832</v>
      </c>
      <c r="B118" s="0" t="s">
        <v>1830</v>
      </c>
      <c r="C118" s="0" t="s">
        <v>1139</v>
      </c>
      <c r="D118" s="0" t="s">
        <v>1154</v>
      </c>
      <c r="E118" s="0" t="s">
        <v>1437</v>
      </c>
      <c r="F118" s="0" t="s">
        <v>1290</v>
      </c>
      <c r="G118" s="0" t="n">
        <v>30.5</v>
      </c>
      <c r="H118" s="0" t="n">
        <v>31.15</v>
      </c>
      <c r="I118" s="10" t="n">
        <v>0.5392</v>
      </c>
      <c r="J118" s="10" t="n">
        <v>0.4608</v>
      </c>
      <c r="K118" s="9" t="s">
        <v>3450</v>
      </c>
      <c r="L118" s="9" t="s">
        <v>3445</v>
      </c>
      <c r="N118" s="10" t="n">
        <v>0.8</v>
      </c>
      <c r="O118" s="19"/>
      <c r="P118" s="0" t="str">
        <f aca="false">IF(O118="","",IF(O118&gt;G118,"OVER",IF(O118&lt;G118,"UNDER","PUSH")))</f>
        <v/>
      </c>
      <c r="Q118" s="0" t="n">
        <v>30.35</v>
      </c>
      <c r="R118" s="10" t="n">
        <v>0.4907</v>
      </c>
      <c r="S118" s="0" t="n">
        <v>0.9743</v>
      </c>
      <c r="T118" s="0" t="n">
        <v>30.04</v>
      </c>
      <c r="U118" s="0" t="n">
        <v>29.26</v>
      </c>
    </row>
    <row r="119" customFormat="false" ht="15" hidden="false" customHeight="false" outlineLevel="0" collapsed="false">
      <c r="A119" s="0" t="s">
        <v>1832</v>
      </c>
      <c r="B119" s="0" t="s">
        <v>1830</v>
      </c>
      <c r="C119" s="0" t="s">
        <v>1139</v>
      </c>
      <c r="D119" s="0" t="s">
        <v>1154</v>
      </c>
      <c r="E119" s="0" t="s">
        <v>1440</v>
      </c>
      <c r="F119" s="0" t="s">
        <v>1286</v>
      </c>
      <c r="G119" s="0" t="n">
        <v>13.5</v>
      </c>
      <c r="H119" s="0" t="n">
        <v>14.03</v>
      </c>
      <c r="I119" s="10" t="n">
        <v>0.5509</v>
      </c>
      <c r="J119" s="10" t="n">
        <v>0.4491</v>
      </c>
      <c r="K119" s="9" t="s">
        <v>3450</v>
      </c>
      <c r="L119" s="9" t="s">
        <v>3445</v>
      </c>
      <c r="N119" s="10" t="n">
        <v>0.6</v>
      </c>
      <c r="O119" s="19"/>
      <c r="P119" s="0" t="str">
        <f aca="false">IF(O119="","",IF(O119&gt;G119,"OVER",IF(O119&lt;G119,"UNDER","PUSH")))</f>
        <v/>
      </c>
      <c r="Q119" s="0" t="n">
        <v>13.66</v>
      </c>
      <c r="R119" s="10" t="n">
        <v>0.5156</v>
      </c>
      <c r="S119" s="0" t="n">
        <v>0.9738</v>
      </c>
      <c r="T119" s="0" t="n">
        <v>13.97</v>
      </c>
      <c r="U119" s="0" t="n">
        <v>13.61</v>
      </c>
    </row>
    <row r="120" customFormat="false" ht="15" hidden="false" customHeight="false" outlineLevel="0" collapsed="false">
      <c r="A120" s="0" t="s">
        <v>1832</v>
      </c>
      <c r="B120" s="0" t="s">
        <v>1830</v>
      </c>
      <c r="C120" s="0" t="s">
        <v>1139</v>
      </c>
      <c r="D120" s="0" t="s">
        <v>1154</v>
      </c>
      <c r="E120" s="0" t="s">
        <v>1440</v>
      </c>
      <c r="F120" s="0" t="s">
        <v>1290</v>
      </c>
      <c r="G120" s="0" t="n">
        <v>24.5</v>
      </c>
      <c r="H120" s="0" t="n">
        <v>27.58</v>
      </c>
      <c r="I120" s="10" t="n">
        <v>0.6897</v>
      </c>
      <c r="J120" s="10" t="n">
        <v>0.3103</v>
      </c>
      <c r="K120" s="9" t="s">
        <v>3450</v>
      </c>
      <c r="L120" s="9" t="s">
        <v>3445</v>
      </c>
      <c r="N120" s="10" t="n">
        <v>0.6</v>
      </c>
      <c r="O120" s="19"/>
      <c r="P120" s="0" t="str">
        <f aca="false">IF(O120="","",IF(O120&gt;G120,"OVER",IF(O120&lt;G120,"UNDER","PUSH")))</f>
        <v/>
      </c>
      <c r="Q120" s="0" t="n">
        <v>26.85</v>
      </c>
      <c r="R120" s="10" t="n">
        <v>0.6495</v>
      </c>
      <c r="S120" s="0" t="n">
        <v>0.9738</v>
      </c>
      <c r="T120" s="0" t="n">
        <v>26.61</v>
      </c>
      <c r="U120" s="0" t="n">
        <v>25.92</v>
      </c>
    </row>
    <row r="121" customFormat="false" ht="15" hidden="false" customHeight="false" outlineLevel="0" collapsed="false">
      <c r="A121" s="0" t="s">
        <v>1832</v>
      </c>
      <c r="B121" s="0" t="s">
        <v>1830</v>
      </c>
      <c r="C121" s="0" t="s">
        <v>1139</v>
      </c>
      <c r="D121" s="0" t="s">
        <v>1154</v>
      </c>
      <c r="E121" s="0" t="s">
        <v>1442</v>
      </c>
      <c r="F121" s="0" t="s">
        <v>1286</v>
      </c>
      <c r="G121" s="0" t="n">
        <v>11.5</v>
      </c>
      <c r="H121" s="0" t="n">
        <v>11.21</v>
      </c>
      <c r="I121" s="10" t="n">
        <v>0.4678</v>
      </c>
      <c r="J121" s="10" t="n">
        <v>0.5322</v>
      </c>
      <c r="K121" s="9" t="s">
        <v>3450</v>
      </c>
      <c r="L121" s="9" t="s">
        <v>3445</v>
      </c>
      <c r="N121" s="10" t="n">
        <v>0.7</v>
      </c>
      <c r="O121" s="19"/>
      <c r="P121" s="0" t="str">
        <f aca="false">IF(O121="","",IF(O121&gt;G121,"OVER",IF(O121&lt;G121,"UNDER","PUSH")))</f>
        <v/>
      </c>
      <c r="Q121" s="0" t="n">
        <v>10.91</v>
      </c>
      <c r="R121" s="10" t="n">
        <v>0.4337</v>
      </c>
      <c r="S121" s="0" t="n">
        <v>0.9731</v>
      </c>
      <c r="T121" s="0" t="n">
        <v>11.41</v>
      </c>
      <c r="U121" s="0" t="n">
        <v>11.11</v>
      </c>
    </row>
    <row r="122" customFormat="false" ht="15" hidden="false" customHeight="false" outlineLevel="0" collapsed="false">
      <c r="A122" s="0" t="s">
        <v>1832</v>
      </c>
      <c r="B122" s="0" t="s">
        <v>1830</v>
      </c>
      <c r="C122" s="0" t="s">
        <v>1139</v>
      </c>
      <c r="D122" s="0" t="s">
        <v>1154</v>
      </c>
      <c r="E122" s="0" t="s">
        <v>1442</v>
      </c>
      <c r="F122" s="0" t="s">
        <v>1290</v>
      </c>
      <c r="G122" s="0" t="n">
        <v>28.5</v>
      </c>
      <c r="H122" s="0" t="n">
        <v>30.42</v>
      </c>
      <c r="I122" s="10" t="n">
        <v>0.6158</v>
      </c>
      <c r="J122" s="10" t="n">
        <v>0.3842</v>
      </c>
      <c r="K122" s="9" t="s">
        <v>3450</v>
      </c>
      <c r="L122" s="9" t="s">
        <v>3445</v>
      </c>
      <c r="N122" s="10" t="n">
        <v>0.7</v>
      </c>
      <c r="O122" s="19"/>
      <c r="P122" s="0" t="str">
        <f aca="false">IF(O122="","",IF(O122&gt;G122,"OVER",IF(O122&lt;G122,"UNDER","PUSH")))</f>
        <v/>
      </c>
      <c r="Q122" s="0" t="n">
        <v>29.6</v>
      </c>
      <c r="R122" s="10" t="n">
        <v>0.5681</v>
      </c>
      <c r="S122" s="0" t="n">
        <v>0.9731</v>
      </c>
      <c r="T122" s="0" t="n">
        <v>29.19</v>
      </c>
      <c r="U122" s="0" t="n">
        <v>28.43</v>
      </c>
    </row>
    <row r="123" customFormat="false" ht="15" hidden="false" customHeight="false" outlineLevel="0" collapsed="false">
      <c r="A123" s="0" t="s">
        <v>1832</v>
      </c>
      <c r="B123" s="0" t="s">
        <v>1830</v>
      </c>
      <c r="C123" s="0" t="s">
        <v>1139</v>
      </c>
      <c r="D123" s="0" t="s">
        <v>1154</v>
      </c>
      <c r="E123" s="0" t="s">
        <v>1444</v>
      </c>
      <c r="F123" s="0" t="s">
        <v>1286</v>
      </c>
      <c r="G123" s="0" t="n">
        <v>15</v>
      </c>
      <c r="H123" s="0" t="n">
        <v>14.43</v>
      </c>
      <c r="I123" s="10" t="n">
        <v>0.3989</v>
      </c>
      <c r="J123" s="10" t="n">
        <v>0.5067</v>
      </c>
      <c r="K123" s="9" t="s">
        <v>3450</v>
      </c>
      <c r="L123" s="9" t="s">
        <v>3445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14.07</v>
      </c>
      <c r="R123" s="10" t="n">
        <v>0.3641</v>
      </c>
      <c r="S123" s="0" t="n">
        <v>0.9749</v>
      </c>
      <c r="T123" s="0" t="n">
        <v>13.93</v>
      </c>
      <c r="U123" s="0" t="n">
        <v>13.56</v>
      </c>
    </row>
    <row r="124" customFormat="false" ht="15" hidden="false" customHeight="false" outlineLevel="0" collapsed="false">
      <c r="A124" s="0" t="s">
        <v>1832</v>
      </c>
      <c r="B124" s="0" t="s">
        <v>1830</v>
      </c>
      <c r="C124" s="0" t="s">
        <v>1139</v>
      </c>
      <c r="D124" s="0" t="s">
        <v>1154</v>
      </c>
      <c r="E124" s="0" t="s">
        <v>1444</v>
      </c>
      <c r="F124" s="0" t="s">
        <v>1290</v>
      </c>
      <c r="G124" s="0" t="n">
        <v>26.5</v>
      </c>
      <c r="H124" s="0" t="n">
        <v>27.87</v>
      </c>
      <c r="I124" s="10" t="n">
        <v>0.5867</v>
      </c>
      <c r="J124" s="10" t="n">
        <v>0.4133</v>
      </c>
      <c r="K124" s="9" t="s">
        <v>3450</v>
      </c>
      <c r="L124" s="9" t="s">
        <v>3445</v>
      </c>
      <c r="N124" s="10" t="n">
        <v>0.6</v>
      </c>
      <c r="O124" s="19"/>
      <c r="P124" s="0" t="str">
        <f aca="false">IF(O124="","",IF(O124&gt;G124,"OVER",IF(O124&lt;G124,"UNDER","PUSH")))</f>
        <v/>
      </c>
      <c r="Q124" s="0" t="n">
        <v>27.15</v>
      </c>
      <c r="R124" s="10" t="n">
        <v>0.542</v>
      </c>
      <c r="S124" s="0" t="n">
        <v>0.9742</v>
      </c>
      <c r="T124" s="0" t="n">
        <v>27.04</v>
      </c>
      <c r="U124" s="0" t="n">
        <v>26.34</v>
      </c>
    </row>
    <row r="125" customFormat="false" ht="15" hidden="false" customHeight="false" outlineLevel="0" collapsed="false">
      <c r="A125" s="0" t="s">
        <v>1832</v>
      </c>
      <c r="B125" s="0" t="s">
        <v>1830</v>
      </c>
      <c r="C125" s="0" t="s">
        <v>1139</v>
      </c>
      <c r="D125" s="0" t="s">
        <v>1056</v>
      </c>
      <c r="E125" s="0" t="s">
        <v>1446</v>
      </c>
      <c r="F125" s="0" t="s">
        <v>1286</v>
      </c>
      <c r="G125" s="0" t="n">
        <v>20.5</v>
      </c>
      <c r="H125" s="0" t="n">
        <v>21.99</v>
      </c>
      <c r="I125" s="10" t="n">
        <v>0.611</v>
      </c>
      <c r="J125" s="10" t="n">
        <v>0.389</v>
      </c>
      <c r="K125" s="9" t="s">
        <v>3451</v>
      </c>
      <c r="L125" s="9" t="s">
        <v>3452</v>
      </c>
      <c r="N125" s="10" t="n">
        <v>0.5</v>
      </c>
      <c r="O125" s="19"/>
      <c r="P125" s="0" t="str">
        <f aca="false">IF(O125="","",IF(O125&gt;G125,"OVER",IF(O125&lt;G125,"UNDER","PUSH")))</f>
        <v/>
      </c>
      <c r="Q125" s="0" t="n">
        <v>21.76</v>
      </c>
      <c r="R125" s="10" t="n">
        <v>0.5949</v>
      </c>
      <c r="S125" s="0" t="n">
        <v>0.9897</v>
      </c>
      <c r="T125" s="0" t="n">
        <v>21.21</v>
      </c>
      <c r="U125" s="0" t="n">
        <v>20.99</v>
      </c>
    </row>
    <row r="126" customFormat="false" ht="15" hidden="false" customHeight="false" outlineLevel="0" collapsed="false">
      <c r="A126" s="0" t="s">
        <v>1832</v>
      </c>
      <c r="B126" s="0" t="s">
        <v>1830</v>
      </c>
      <c r="C126" s="0" t="s">
        <v>1139</v>
      </c>
      <c r="D126" s="0" t="s">
        <v>1056</v>
      </c>
      <c r="E126" s="0" t="s">
        <v>1446</v>
      </c>
      <c r="F126" s="0" t="s">
        <v>1290</v>
      </c>
      <c r="G126" s="0" t="n">
        <v>32.5</v>
      </c>
      <c r="H126" s="0" t="n">
        <v>32.25</v>
      </c>
      <c r="I126" s="10" t="n">
        <v>0.4853</v>
      </c>
      <c r="J126" s="10" t="n">
        <v>0.5147</v>
      </c>
      <c r="K126" s="9" t="s">
        <v>3451</v>
      </c>
      <c r="L126" s="9" t="s">
        <v>3452</v>
      </c>
      <c r="M126" s="0" t="n">
        <v>33.18</v>
      </c>
      <c r="N126" s="10" t="n">
        <v>0.6</v>
      </c>
      <c r="O126" s="19"/>
      <c r="P126" s="0" t="str">
        <f aca="false">IF(O126="","",IF(O126&gt;G126,"OVER",IF(O126&lt;G126,"UNDER","PUSH")))</f>
        <v/>
      </c>
      <c r="Q126" s="0" t="n">
        <v>31.92</v>
      </c>
      <c r="R126" s="10" t="n">
        <v>0.4653</v>
      </c>
      <c r="S126" s="0" t="n">
        <v>0.9897</v>
      </c>
      <c r="T126" s="0" t="n">
        <v>32.24</v>
      </c>
      <c r="U126" s="0" t="n">
        <v>31.9</v>
      </c>
    </row>
    <row r="127" customFormat="false" ht="15" hidden="false" customHeight="false" outlineLevel="0" collapsed="false">
      <c r="A127" s="0" t="s">
        <v>1832</v>
      </c>
      <c r="B127" s="0" t="s">
        <v>1830</v>
      </c>
      <c r="C127" s="0" t="s">
        <v>1139</v>
      </c>
      <c r="D127" s="0" t="s">
        <v>1056</v>
      </c>
      <c r="E127" s="0" t="s">
        <v>1448</v>
      </c>
      <c r="F127" s="0" t="s">
        <v>1286</v>
      </c>
      <c r="G127" s="0" t="n">
        <v>15.5</v>
      </c>
      <c r="H127" s="0" t="n">
        <v>14.31</v>
      </c>
      <c r="I127" s="10" t="n">
        <v>0.3878</v>
      </c>
      <c r="J127" s="10" t="n">
        <v>0.6122</v>
      </c>
      <c r="K127" s="9" t="s">
        <v>3451</v>
      </c>
      <c r="L127" s="9" t="s">
        <v>3452</v>
      </c>
      <c r="N127" s="10" t="n">
        <v>0.1</v>
      </c>
      <c r="O127" s="19"/>
      <c r="P127" s="0" t="str">
        <f aca="false">IF(O127="","",IF(O127&gt;G127,"OVER",IF(O127&lt;G127,"UNDER","PUSH")))</f>
        <v/>
      </c>
      <c r="Q127" s="0" t="n">
        <v>14.16</v>
      </c>
      <c r="R127" s="10" t="n">
        <v>0.3738</v>
      </c>
      <c r="S127" s="0" t="n">
        <v>0.9897</v>
      </c>
      <c r="T127" s="0" t="n">
        <v>14.96</v>
      </c>
      <c r="U127" s="0" t="n">
        <v>14.81</v>
      </c>
    </row>
    <row r="128" customFormat="false" ht="15" hidden="false" customHeight="false" outlineLevel="0" collapsed="false">
      <c r="A128" s="0" t="s">
        <v>1832</v>
      </c>
      <c r="B128" s="0" t="s">
        <v>1830</v>
      </c>
      <c r="C128" s="0" t="s">
        <v>1139</v>
      </c>
      <c r="D128" s="0" t="s">
        <v>1056</v>
      </c>
      <c r="E128" s="0" t="s">
        <v>1448</v>
      </c>
      <c r="F128" s="0" t="s">
        <v>1290</v>
      </c>
      <c r="G128" s="0" t="n">
        <v>26.5</v>
      </c>
      <c r="H128" s="0" t="n">
        <v>25.63</v>
      </c>
      <c r="I128" s="10" t="n">
        <v>0.4421</v>
      </c>
      <c r="J128" s="10" t="n">
        <v>0.5579</v>
      </c>
      <c r="K128" s="9" t="s">
        <v>3451</v>
      </c>
      <c r="L128" s="9" t="s">
        <v>3452</v>
      </c>
      <c r="M128" s="0" t="n">
        <v>26.82</v>
      </c>
      <c r="N128" s="10" t="n">
        <v>0.2</v>
      </c>
      <c r="O128" s="19"/>
      <c r="P128" s="0" t="str">
        <f aca="false">IF(O128="","",IF(O128&gt;G128,"OVER",IF(O128&lt;G128,"UNDER","PUSH")))</f>
        <v/>
      </c>
      <c r="Q128" s="0" t="n">
        <v>25.36</v>
      </c>
      <c r="R128" s="10" t="n">
        <v>0.4244</v>
      </c>
      <c r="S128" s="0" t="n">
        <v>0.9897</v>
      </c>
      <c r="T128" s="0" t="n">
        <v>26.3</v>
      </c>
      <c r="U128" s="0" t="n">
        <v>26.03</v>
      </c>
    </row>
    <row r="129" customFormat="false" ht="15" hidden="false" customHeight="false" outlineLevel="0" collapsed="false">
      <c r="A129" s="0" t="s">
        <v>1832</v>
      </c>
      <c r="B129" s="0" t="s">
        <v>1830</v>
      </c>
      <c r="C129" s="0" t="s">
        <v>1139</v>
      </c>
      <c r="D129" s="0" t="s">
        <v>1056</v>
      </c>
      <c r="E129" s="0" t="s">
        <v>1450</v>
      </c>
      <c r="F129" s="0" t="s">
        <v>1286</v>
      </c>
      <c r="G129" s="0" t="n">
        <v>17.5</v>
      </c>
      <c r="H129" s="0" t="n">
        <v>16.99</v>
      </c>
      <c r="I129" s="10" t="n">
        <v>0.4554</v>
      </c>
      <c r="J129" s="10" t="n">
        <v>0.5446</v>
      </c>
      <c r="K129" s="9" t="s">
        <v>3451</v>
      </c>
      <c r="L129" s="9" t="s">
        <v>3452</v>
      </c>
      <c r="N129" s="10" t="n">
        <v>0.5</v>
      </c>
      <c r="O129" s="19"/>
      <c r="P129" s="0" t="str">
        <f aca="false">IF(O129="","",IF(O129&gt;G129,"OVER",IF(O129&lt;G129,"UNDER","PUSH")))</f>
        <v/>
      </c>
      <c r="Q129" s="0" t="n">
        <v>16.81</v>
      </c>
      <c r="R129" s="10" t="n">
        <v>0.4399</v>
      </c>
      <c r="S129" s="0" t="n">
        <v>0.9897</v>
      </c>
      <c r="T129" s="0" t="n">
        <v>16.72</v>
      </c>
      <c r="U129" s="0" t="n">
        <v>16.54</v>
      </c>
    </row>
    <row r="130" customFormat="false" ht="15" hidden="false" customHeight="false" outlineLevel="0" collapsed="false">
      <c r="A130" s="0" t="s">
        <v>1832</v>
      </c>
      <c r="B130" s="0" t="s">
        <v>1830</v>
      </c>
      <c r="C130" s="0" t="s">
        <v>1139</v>
      </c>
      <c r="D130" s="0" t="s">
        <v>1056</v>
      </c>
      <c r="E130" s="0" t="s">
        <v>1450</v>
      </c>
      <c r="F130" s="0" t="s">
        <v>1290</v>
      </c>
      <c r="G130" s="0" t="n">
        <v>30.5</v>
      </c>
      <c r="H130" s="0" t="n">
        <v>30.56</v>
      </c>
      <c r="I130" s="10" t="n">
        <v>0.5035</v>
      </c>
      <c r="J130" s="10" t="n">
        <v>0.4965</v>
      </c>
      <c r="K130" s="9" t="s">
        <v>3451</v>
      </c>
      <c r="L130" s="9" t="s">
        <v>3452</v>
      </c>
      <c r="M130" s="0" t="n">
        <v>30.94</v>
      </c>
      <c r="N130" s="10" t="n">
        <v>0.4</v>
      </c>
      <c r="O130" s="19"/>
      <c r="P130" s="0" t="str">
        <f aca="false">IF(O130="","",IF(O130&gt;G130,"OVER",IF(O130&lt;G130,"UNDER","PUSH")))</f>
        <v/>
      </c>
      <c r="Q130" s="0" t="n">
        <v>30.24</v>
      </c>
      <c r="R130" s="10" t="n">
        <v>0.4842</v>
      </c>
      <c r="S130" s="0" t="n">
        <v>0.9897</v>
      </c>
      <c r="T130" s="0" t="n">
        <v>30.12</v>
      </c>
      <c r="U130" s="0" t="n">
        <v>29.81</v>
      </c>
    </row>
    <row r="131" customFormat="false" ht="15" hidden="false" customHeight="false" outlineLevel="0" collapsed="false">
      <c r="A131" s="0" t="s">
        <v>1832</v>
      </c>
      <c r="B131" s="0" t="s">
        <v>1830</v>
      </c>
      <c r="C131" s="0" t="s">
        <v>1139</v>
      </c>
      <c r="D131" s="0" t="s">
        <v>1056</v>
      </c>
      <c r="E131" s="0" t="s">
        <v>1452</v>
      </c>
      <c r="F131" s="0" t="s">
        <v>1286</v>
      </c>
      <c r="G131" s="0" t="n">
        <v>11.5</v>
      </c>
      <c r="H131" s="0" t="n">
        <v>9.73</v>
      </c>
      <c r="I131" s="10" t="n">
        <v>0.2972</v>
      </c>
      <c r="J131" s="10" t="n">
        <v>0.7028</v>
      </c>
      <c r="K131" s="9" t="s">
        <v>3451</v>
      </c>
      <c r="L131" s="9" t="s">
        <v>3452</v>
      </c>
      <c r="N131" s="10" t="n">
        <v>0.3</v>
      </c>
      <c r="O131" s="19"/>
      <c r="P131" s="0" t="str">
        <f aca="false">IF(O131="","",IF(O131&gt;G131,"OVER",IF(O131&lt;G131,"UNDER","PUSH")))</f>
        <v/>
      </c>
      <c r="Q131" s="0" t="n">
        <v>9.63</v>
      </c>
      <c r="R131" s="10" t="n">
        <v>0.2858</v>
      </c>
      <c r="S131" s="0" t="n">
        <v>0.9897</v>
      </c>
      <c r="T131" s="0" t="n">
        <v>10.1</v>
      </c>
      <c r="U131" s="0" t="n">
        <v>9.99</v>
      </c>
    </row>
    <row r="132" customFormat="false" ht="15" hidden="false" customHeight="false" outlineLevel="0" collapsed="false">
      <c r="A132" s="0" t="s">
        <v>1832</v>
      </c>
      <c r="B132" s="0" t="s">
        <v>1830</v>
      </c>
      <c r="C132" s="0" t="s">
        <v>1139</v>
      </c>
      <c r="D132" s="0" t="s">
        <v>1056</v>
      </c>
      <c r="E132" s="0" t="s">
        <v>1452</v>
      </c>
      <c r="F132" s="0" t="s">
        <v>1290</v>
      </c>
      <c r="G132" s="0" t="n">
        <v>31.5</v>
      </c>
      <c r="H132" s="0" t="n">
        <v>28.52</v>
      </c>
      <c r="I132" s="10" t="n">
        <v>0.3185</v>
      </c>
      <c r="J132" s="10" t="n">
        <v>0.6815</v>
      </c>
      <c r="K132" s="9" t="s">
        <v>3451</v>
      </c>
      <c r="L132" s="9" t="s">
        <v>3452</v>
      </c>
      <c r="M132" s="0" t="n">
        <v>30.46</v>
      </c>
      <c r="N132" s="10" t="n">
        <v>0.5</v>
      </c>
      <c r="O132" s="19"/>
      <c r="P132" s="0" t="str">
        <f aca="false">IF(O132="","",IF(O132&gt;G132,"OVER",IF(O132&lt;G132,"UNDER","PUSH")))</f>
        <v/>
      </c>
      <c r="Q132" s="0" t="n">
        <v>28.22</v>
      </c>
      <c r="R132" s="10" t="n">
        <v>0.301</v>
      </c>
      <c r="S132" s="0" t="n">
        <v>0.9896</v>
      </c>
      <c r="T132" s="0" t="n">
        <v>29.27</v>
      </c>
      <c r="U132" s="0" t="n">
        <v>28.97</v>
      </c>
    </row>
    <row r="133" customFormat="false" ht="15" hidden="false" customHeight="false" outlineLevel="0" collapsed="false">
      <c r="A133" s="0" t="s">
        <v>1832</v>
      </c>
      <c r="B133" s="0" t="s">
        <v>1830</v>
      </c>
      <c r="C133" s="0" t="s">
        <v>1139</v>
      </c>
      <c r="D133" s="0" t="s">
        <v>1056</v>
      </c>
      <c r="E133" s="0" t="s">
        <v>1455</v>
      </c>
      <c r="F133" s="0" t="s">
        <v>1286</v>
      </c>
      <c r="G133" s="0" t="n">
        <v>16.5</v>
      </c>
      <c r="H133" s="0" t="n">
        <v>16.03</v>
      </c>
      <c r="I133" s="10" t="n">
        <v>0.4579</v>
      </c>
      <c r="J133" s="10" t="n">
        <v>0.5421</v>
      </c>
      <c r="K133" s="9" t="s">
        <v>3451</v>
      </c>
      <c r="L133" s="9" t="s">
        <v>3452</v>
      </c>
      <c r="N133" s="10" t="n">
        <v>0.5</v>
      </c>
      <c r="O133" s="19"/>
      <c r="P133" s="0" t="str">
        <f aca="false">IF(O133="","",IF(O133&gt;G133,"OVER",IF(O133&lt;G133,"UNDER","PUSH")))</f>
        <v/>
      </c>
      <c r="Q133" s="0" t="n">
        <v>15.87</v>
      </c>
      <c r="R133" s="10" t="n">
        <v>0.4428</v>
      </c>
      <c r="S133" s="0" t="n">
        <v>0.9897</v>
      </c>
      <c r="T133" s="0" t="n">
        <v>16.15</v>
      </c>
      <c r="U133" s="0" t="n">
        <v>15.99</v>
      </c>
    </row>
    <row r="134" customFormat="false" ht="15" hidden="false" customHeight="false" outlineLevel="0" collapsed="false">
      <c r="A134" s="0" t="s">
        <v>1832</v>
      </c>
      <c r="B134" s="0" t="s">
        <v>1830</v>
      </c>
      <c r="C134" s="0" t="s">
        <v>1139</v>
      </c>
      <c r="D134" s="0" t="s">
        <v>1056</v>
      </c>
      <c r="E134" s="0" t="s">
        <v>1455</v>
      </c>
      <c r="F134" s="0" t="s">
        <v>1290</v>
      </c>
      <c r="G134" s="0" t="n">
        <v>28.5</v>
      </c>
      <c r="H134" s="0" t="n">
        <v>28.59</v>
      </c>
      <c r="I134" s="10" t="n">
        <v>0.5059</v>
      </c>
      <c r="J134" s="10" t="n">
        <v>0.4941</v>
      </c>
      <c r="K134" s="9" t="s">
        <v>3451</v>
      </c>
      <c r="L134" s="9" t="s">
        <v>3452</v>
      </c>
      <c r="M134" s="0" t="n">
        <v>29.02</v>
      </c>
      <c r="N134" s="10" t="n">
        <v>0.6</v>
      </c>
      <c r="O134" s="19"/>
      <c r="P134" s="0" t="str">
        <f aca="false">IF(O134="","",IF(O134&gt;G134,"OVER",IF(O134&lt;G134,"UNDER","PUSH")))</f>
        <v/>
      </c>
      <c r="Q134" s="0" t="n">
        <v>28.3</v>
      </c>
      <c r="R134" s="10" t="n">
        <v>0.4872</v>
      </c>
      <c r="S134" s="0" t="n">
        <v>0.9897</v>
      </c>
      <c r="T134" s="0" t="n">
        <v>28.85</v>
      </c>
      <c r="U134" s="0" t="n">
        <v>28.55</v>
      </c>
    </row>
    <row r="135" customFormat="false" ht="15" hidden="false" customHeight="false" outlineLevel="0" collapsed="false">
      <c r="A135" s="0" t="s">
        <v>1832</v>
      </c>
      <c r="B135" s="0" t="s">
        <v>1830</v>
      </c>
      <c r="C135" s="0" t="s">
        <v>1139</v>
      </c>
      <c r="D135" s="0" t="s">
        <v>1056</v>
      </c>
      <c r="E135" s="0" t="s">
        <v>1458</v>
      </c>
      <c r="F135" s="0" t="s">
        <v>1286</v>
      </c>
      <c r="G135" s="0" t="n">
        <v>18</v>
      </c>
      <c r="H135" s="0" t="n">
        <v>18.57</v>
      </c>
      <c r="I135" s="10" t="n">
        <v>0.5061</v>
      </c>
      <c r="J135" s="10" t="n">
        <v>0.4116</v>
      </c>
      <c r="K135" s="9" t="s">
        <v>3451</v>
      </c>
      <c r="L135" s="9" t="s">
        <v>3452</v>
      </c>
      <c r="N135" s="10" t="n">
        <v>0.6</v>
      </c>
      <c r="O135" s="19"/>
      <c r="P135" s="0" t="str">
        <f aca="false">IF(O135="","",IF(O135&gt;G135,"OVER",IF(O135&lt;G135,"UNDER","PUSH")))</f>
        <v/>
      </c>
      <c r="Q135" s="0" t="n">
        <v>17.49</v>
      </c>
      <c r="R135" s="10" t="n">
        <v>0.4143</v>
      </c>
      <c r="S135" s="0" t="n">
        <v>0.9417</v>
      </c>
      <c r="T135" s="0" t="n">
        <v>18.72</v>
      </c>
      <c r="U135" s="0" t="n">
        <v>17.63</v>
      </c>
    </row>
    <row r="136" customFormat="false" ht="15" hidden="false" customHeight="false" outlineLevel="0" collapsed="false">
      <c r="A136" s="0" t="s">
        <v>1832</v>
      </c>
      <c r="B136" s="0" t="s">
        <v>1830</v>
      </c>
      <c r="C136" s="0" t="s">
        <v>1139</v>
      </c>
      <c r="D136" s="0" t="s">
        <v>1056</v>
      </c>
      <c r="E136" s="0" t="s">
        <v>1458</v>
      </c>
      <c r="F136" s="0" t="s">
        <v>1290</v>
      </c>
      <c r="G136" s="0" t="n">
        <v>29.5</v>
      </c>
      <c r="H136" s="0" t="n">
        <v>30.82</v>
      </c>
      <c r="I136" s="10" t="n">
        <v>0.5794</v>
      </c>
      <c r="J136" s="10" t="n">
        <v>0.4206</v>
      </c>
      <c r="K136" s="9" t="s">
        <v>3451</v>
      </c>
      <c r="L136" s="9" t="s">
        <v>3452</v>
      </c>
      <c r="N136" s="10" t="n">
        <v>0.6</v>
      </c>
      <c r="O136" s="19"/>
      <c r="P136" s="0" t="str">
        <f aca="false">IF(O136="","",IF(O136&gt;G136,"OVER",IF(O136&lt;G136,"UNDER","PUSH")))</f>
        <v/>
      </c>
      <c r="Q136" s="0" t="n">
        <v>29.02</v>
      </c>
      <c r="R136" s="10" t="n">
        <v>0.4699</v>
      </c>
      <c r="S136" s="0" t="n">
        <v>0.9417</v>
      </c>
      <c r="T136" s="0" t="n">
        <v>30.54</v>
      </c>
      <c r="U136" s="0" t="n">
        <v>28.76</v>
      </c>
    </row>
    <row r="137" customFormat="false" ht="15" hidden="false" customHeight="false" outlineLevel="0" collapsed="false">
      <c r="A137" s="0" t="s">
        <v>1832</v>
      </c>
      <c r="B137" s="0" t="s">
        <v>1830</v>
      </c>
      <c r="C137" s="0" t="s">
        <v>1139</v>
      </c>
      <c r="D137" s="0" t="s">
        <v>1056</v>
      </c>
      <c r="E137" s="0" t="s">
        <v>1460</v>
      </c>
      <c r="F137" s="0" t="s">
        <v>1286</v>
      </c>
      <c r="G137" s="0" t="n">
        <v>9.5</v>
      </c>
      <c r="H137" s="0" t="n">
        <v>10.01</v>
      </c>
      <c r="I137" s="10" t="n">
        <v>0.5596</v>
      </c>
      <c r="J137" s="10" t="n">
        <v>0.4404</v>
      </c>
      <c r="K137" s="9" t="s">
        <v>3451</v>
      </c>
      <c r="L137" s="9" t="s">
        <v>3452</v>
      </c>
      <c r="N137" s="10" t="n">
        <v>0.7</v>
      </c>
      <c r="O137" s="19"/>
      <c r="P137" s="0" t="str">
        <f aca="false">IF(O137="","",IF(O137&gt;G137,"OVER",IF(O137&lt;G137,"UNDER","PUSH")))</f>
        <v/>
      </c>
      <c r="Q137" s="0" t="n">
        <v>9.42</v>
      </c>
      <c r="R137" s="10" t="n">
        <v>0.4905</v>
      </c>
      <c r="S137" s="0" t="n">
        <v>0.9416</v>
      </c>
      <c r="T137" s="0" t="n">
        <v>9.37</v>
      </c>
      <c r="U137" s="0" t="n">
        <v>8.83</v>
      </c>
    </row>
    <row r="138" customFormat="false" ht="15" hidden="false" customHeight="false" outlineLevel="0" collapsed="false">
      <c r="A138" s="0" t="s">
        <v>1832</v>
      </c>
      <c r="B138" s="0" t="s">
        <v>1830</v>
      </c>
      <c r="C138" s="0" t="s">
        <v>1139</v>
      </c>
      <c r="D138" s="0" t="s">
        <v>1056</v>
      </c>
      <c r="E138" s="0" t="s">
        <v>1460</v>
      </c>
      <c r="F138" s="0" t="s">
        <v>1290</v>
      </c>
      <c r="G138" s="0" t="n">
        <v>28.5</v>
      </c>
      <c r="H138" s="0" t="n">
        <v>28.77</v>
      </c>
      <c r="I138" s="10" t="n">
        <v>0.517</v>
      </c>
      <c r="J138" s="10" t="n">
        <v>0.483</v>
      </c>
      <c r="K138" s="9" t="s">
        <v>3451</v>
      </c>
      <c r="L138" s="9" t="s">
        <v>3452</v>
      </c>
      <c r="M138" s="0" t="n">
        <v>28.72</v>
      </c>
      <c r="N138" s="10" t="n">
        <v>0.5</v>
      </c>
      <c r="O138" s="19"/>
      <c r="P138" s="0" t="str">
        <f aca="false">IF(O138="","",IF(O138&gt;G138,"OVER",IF(O138&lt;G138,"UNDER","PUSH")))</f>
        <v/>
      </c>
      <c r="Q138" s="0" t="n">
        <v>27.09</v>
      </c>
      <c r="R138" s="10" t="n">
        <v>0.4096</v>
      </c>
      <c r="S138" s="0" t="n">
        <v>0.9417</v>
      </c>
      <c r="T138" s="0" t="n">
        <v>28.85</v>
      </c>
      <c r="U138" s="0" t="n">
        <v>27.16</v>
      </c>
    </row>
    <row r="139" customFormat="false" ht="15" hidden="false" customHeight="false" outlineLevel="0" collapsed="false">
      <c r="A139" s="0" t="s">
        <v>1832</v>
      </c>
      <c r="B139" s="0" t="s">
        <v>1830</v>
      </c>
      <c r="C139" s="0" t="s">
        <v>1139</v>
      </c>
      <c r="D139" s="0" t="s">
        <v>1056</v>
      </c>
      <c r="E139" s="0" t="s">
        <v>1462</v>
      </c>
      <c r="F139" s="0" t="s">
        <v>1286</v>
      </c>
      <c r="G139" s="0" t="n">
        <v>13.5</v>
      </c>
      <c r="H139" s="0" t="n">
        <v>15.49</v>
      </c>
      <c r="I139" s="10" t="n">
        <v>0.6768</v>
      </c>
      <c r="J139" s="10" t="n">
        <v>0.3232</v>
      </c>
      <c r="K139" s="9" t="s">
        <v>3451</v>
      </c>
      <c r="L139" s="9" t="s">
        <v>3452</v>
      </c>
      <c r="N139" s="10" t="n">
        <v>0.7</v>
      </c>
      <c r="O139" s="19"/>
      <c r="P139" s="0" t="str">
        <f aca="false">IF(O139="","",IF(O139&gt;G139,"OVER",IF(O139&lt;G139,"UNDER","PUSH")))</f>
        <v/>
      </c>
      <c r="Q139" s="0" t="n">
        <v>14.58</v>
      </c>
      <c r="R139" s="10" t="n">
        <v>0.6014</v>
      </c>
      <c r="S139" s="0" t="n">
        <v>0.9415</v>
      </c>
      <c r="T139" s="0" t="n">
        <v>14.72</v>
      </c>
      <c r="U139" s="0" t="n">
        <v>13.86</v>
      </c>
    </row>
    <row r="140" customFormat="false" ht="15" hidden="false" customHeight="false" outlineLevel="0" collapsed="false">
      <c r="A140" s="0" t="s">
        <v>1832</v>
      </c>
      <c r="B140" s="0" t="s">
        <v>1830</v>
      </c>
      <c r="C140" s="0" t="s">
        <v>1139</v>
      </c>
      <c r="D140" s="0" t="s">
        <v>1056</v>
      </c>
      <c r="E140" s="0" t="s">
        <v>1462</v>
      </c>
      <c r="F140" s="0" t="s">
        <v>1290</v>
      </c>
      <c r="G140" s="0" t="n">
        <v>25.5</v>
      </c>
      <c r="H140" s="0" t="n">
        <v>29.6</v>
      </c>
      <c r="I140" s="10" t="n">
        <v>0.7381</v>
      </c>
      <c r="J140" s="10" t="n">
        <v>0.2619</v>
      </c>
      <c r="K140" s="9" t="s">
        <v>3451</v>
      </c>
      <c r="L140" s="9" t="s">
        <v>3452</v>
      </c>
      <c r="M140" s="0" t="n">
        <v>26</v>
      </c>
      <c r="N140" s="10" t="n">
        <v>0.7</v>
      </c>
      <c r="O140" s="19"/>
      <c r="P140" s="0" t="str">
        <f aca="false">IF(O140="","",IF(O140&gt;G140,"OVER",IF(O140&lt;G140,"UNDER","PUSH")))</f>
        <v/>
      </c>
      <c r="Q140" s="0" t="n">
        <v>27.87</v>
      </c>
      <c r="R140" s="10" t="n">
        <v>0.6481</v>
      </c>
      <c r="S140" s="0" t="n">
        <v>0.9416</v>
      </c>
      <c r="T140" s="0" t="n">
        <v>28.42</v>
      </c>
      <c r="U140" s="0" t="n">
        <v>26.76</v>
      </c>
    </row>
    <row r="141" customFormat="false" ht="15" hidden="false" customHeight="false" outlineLevel="0" collapsed="false">
      <c r="A141" s="0" t="s">
        <v>1832</v>
      </c>
      <c r="B141" s="0" t="s">
        <v>1830</v>
      </c>
      <c r="C141" s="0" t="s">
        <v>1139</v>
      </c>
      <c r="D141" s="0" t="s">
        <v>1056</v>
      </c>
      <c r="E141" s="0" t="s">
        <v>1465</v>
      </c>
      <c r="F141" s="0" t="s">
        <v>1286</v>
      </c>
      <c r="G141" s="0" t="n">
        <v>15.5</v>
      </c>
      <c r="H141" s="0" t="n">
        <v>16.84</v>
      </c>
      <c r="I141" s="10" t="n">
        <v>0.6164</v>
      </c>
      <c r="J141" s="10" t="n">
        <v>0.3836</v>
      </c>
      <c r="K141" s="9" t="s">
        <v>3451</v>
      </c>
      <c r="L141" s="9" t="s">
        <v>3452</v>
      </c>
      <c r="N141" s="10" t="n">
        <v>0.7</v>
      </c>
      <c r="O141" s="19"/>
      <c r="P141" s="0" t="str">
        <f aca="false">IF(O141="","",IF(O141&gt;G141,"OVER",IF(O141&lt;G141,"UNDER","PUSH")))</f>
        <v/>
      </c>
      <c r="Q141" s="0" t="n">
        <v>15.86</v>
      </c>
      <c r="R141" s="10" t="n">
        <v>0.5324</v>
      </c>
      <c r="S141" s="0" t="n">
        <v>0.9416</v>
      </c>
      <c r="T141" s="0" t="n">
        <v>16.09</v>
      </c>
      <c r="U141" s="0" t="n">
        <v>15.15</v>
      </c>
    </row>
    <row r="142" customFormat="false" ht="15" hidden="false" customHeight="false" outlineLevel="0" collapsed="false">
      <c r="A142" s="0" t="s">
        <v>1832</v>
      </c>
      <c r="B142" s="0" t="s">
        <v>1830</v>
      </c>
      <c r="C142" s="0" t="s">
        <v>1139</v>
      </c>
      <c r="D142" s="0" t="s">
        <v>1056</v>
      </c>
      <c r="E142" s="0" t="s">
        <v>1465</v>
      </c>
      <c r="F142" s="0" t="s">
        <v>1290</v>
      </c>
      <c r="G142" s="0" t="n">
        <v>27.5</v>
      </c>
      <c r="H142" s="0" t="n">
        <v>30.4</v>
      </c>
      <c r="I142" s="10" t="n">
        <v>0.6716</v>
      </c>
      <c r="J142" s="10" t="n">
        <v>0.3284</v>
      </c>
      <c r="K142" s="9" t="s">
        <v>3451</v>
      </c>
      <c r="L142" s="9" t="s">
        <v>3452</v>
      </c>
      <c r="M142" s="0" t="n">
        <v>27.12</v>
      </c>
      <c r="N142" s="10" t="n">
        <v>0.8</v>
      </c>
      <c r="O142" s="19"/>
      <c r="P142" s="0" t="str">
        <f aca="false">IF(O142="","",IF(O142&gt;G142,"OVER",IF(O142&lt;G142,"UNDER","PUSH")))</f>
        <v/>
      </c>
      <c r="Q142" s="0" t="n">
        <v>28.62</v>
      </c>
      <c r="R142" s="10" t="n">
        <v>0.5704</v>
      </c>
      <c r="S142" s="0" t="n">
        <v>0.9416</v>
      </c>
      <c r="T142" s="0" t="n">
        <v>29.69</v>
      </c>
      <c r="U142" s="0" t="n">
        <v>27.96</v>
      </c>
    </row>
    <row r="143" customFormat="false" ht="15" hidden="false" customHeight="false" outlineLevel="0" collapsed="false">
      <c r="A143" s="0" t="s">
        <v>1832</v>
      </c>
      <c r="B143" s="0" t="s">
        <v>1830</v>
      </c>
      <c r="C143" s="0" t="s">
        <v>1139</v>
      </c>
      <c r="D143" s="0" t="s">
        <v>1056</v>
      </c>
      <c r="E143" s="0" t="s">
        <v>1468</v>
      </c>
      <c r="F143" s="0" t="s">
        <v>1286</v>
      </c>
      <c r="G143" s="0" t="n">
        <v>15.5</v>
      </c>
      <c r="H143" s="0" t="n">
        <v>16.48</v>
      </c>
      <c r="I143" s="10" t="n">
        <v>0.5862</v>
      </c>
      <c r="J143" s="10" t="n">
        <v>0.4138</v>
      </c>
      <c r="K143" s="9" t="s">
        <v>3451</v>
      </c>
      <c r="L143" s="9" t="s">
        <v>3452</v>
      </c>
      <c r="N143" s="10" t="n">
        <v>0.6</v>
      </c>
      <c r="O143" s="19"/>
      <c r="P143" s="0" t="str">
        <f aca="false">IF(O143="","",IF(O143&gt;G143,"OVER",IF(O143&lt;G143,"UNDER","PUSH")))</f>
        <v/>
      </c>
      <c r="Q143" s="0" t="n">
        <v>15.51</v>
      </c>
      <c r="R143" s="10" t="n">
        <v>0.5012</v>
      </c>
      <c r="S143" s="0" t="n">
        <v>0.9416</v>
      </c>
      <c r="T143" s="0" t="n">
        <v>16.45</v>
      </c>
      <c r="U143" s="0" t="n">
        <v>15.49</v>
      </c>
    </row>
    <row r="144" customFormat="false" ht="15" hidden="false" customHeight="false" outlineLevel="0" collapsed="false">
      <c r="A144" s="0" t="s">
        <v>1832</v>
      </c>
      <c r="B144" s="0" t="s">
        <v>1830</v>
      </c>
      <c r="C144" s="0" t="s">
        <v>1139</v>
      </c>
      <c r="D144" s="0" t="s">
        <v>1056</v>
      </c>
      <c r="E144" s="0" t="s">
        <v>1468</v>
      </c>
      <c r="F144" s="0" t="s">
        <v>1290</v>
      </c>
      <c r="G144" s="0" t="n">
        <v>27</v>
      </c>
      <c r="H144" s="0" t="n">
        <v>30.42</v>
      </c>
      <c r="I144" s="10" t="n">
        <v>0.6727</v>
      </c>
      <c r="J144" s="10" t="n">
        <v>0.2741</v>
      </c>
      <c r="K144" s="9" t="s">
        <v>3451</v>
      </c>
      <c r="L144" s="9" t="s">
        <v>3452</v>
      </c>
      <c r="M144" s="0" t="n">
        <v>26.72</v>
      </c>
      <c r="N144" s="10" t="n">
        <v>0.8</v>
      </c>
      <c r="O144" s="19"/>
      <c r="P144" s="0" t="str">
        <f aca="false">IF(O144="","",IF(O144&gt;G144,"OVER",IF(O144&lt;G144,"UNDER","PUSH")))</f>
        <v/>
      </c>
      <c r="Q144" s="0" t="n">
        <v>28.64</v>
      </c>
      <c r="R144" s="10" t="n">
        <v>0.5716</v>
      </c>
      <c r="S144" s="0" t="n">
        <v>0.9416</v>
      </c>
      <c r="T144" s="0" t="n">
        <v>29.69</v>
      </c>
      <c r="U144" s="0" t="n">
        <v>27.96</v>
      </c>
    </row>
    <row r="145" customFormat="false" ht="15" hidden="false" customHeight="false" outlineLevel="0" collapsed="false">
      <c r="A145" s="0" t="s">
        <v>1832</v>
      </c>
      <c r="B145" s="0" t="s">
        <v>1830</v>
      </c>
      <c r="C145" s="0" t="s">
        <v>1139</v>
      </c>
      <c r="D145" s="0" t="s">
        <v>1167</v>
      </c>
      <c r="E145" s="0" t="s">
        <v>1470</v>
      </c>
      <c r="F145" s="0" t="s">
        <v>1286</v>
      </c>
      <c r="G145" s="0" t="n">
        <v>14.5</v>
      </c>
      <c r="H145" s="0" t="n">
        <v>13.57</v>
      </c>
      <c r="I145" s="10" t="n">
        <v>0.4089</v>
      </c>
      <c r="J145" s="10" t="n">
        <v>0.5911</v>
      </c>
      <c r="K145" s="9" t="s">
        <v>3453</v>
      </c>
      <c r="L145" s="9" t="s">
        <v>3454</v>
      </c>
      <c r="N145" s="10" t="n">
        <v>0.4</v>
      </c>
      <c r="O145" s="19"/>
      <c r="P145" s="0" t="str">
        <f aca="false">IF(O145="","",IF(O145&gt;G145,"OVER",IF(O145&lt;G145,"UNDER","PUSH")))</f>
        <v/>
      </c>
      <c r="Q145" s="0" t="n">
        <v>13.64</v>
      </c>
      <c r="R145" s="10" t="n">
        <v>0.4154</v>
      </c>
      <c r="S145" s="0" t="n">
        <v>1.0048</v>
      </c>
      <c r="T145" s="0" t="n">
        <v>13.63</v>
      </c>
      <c r="U145" s="0" t="n">
        <v>13.69</v>
      </c>
    </row>
    <row r="146" customFormat="false" ht="15" hidden="false" customHeight="false" outlineLevel="0" collapsed="false">
      <c r="A146" s="0" t="s">
        <v>1832</v>
      </c>
      <c r="B146" s="0" t="s">
        <v>1830</v>
      </c>
      <c r="C146" s="0" t="s">
        <v>1139</v>
      </c>
      <c r="D146" s="0" t="s">
        <v>1167</v>
      </c>
      <c r="E146" s="0" t="s">
        <v>1470</v>
      </c>
      <c r="F146" s="0" t="s">
        <v>1290</v>
      </c>
      <c r="G146" s="0" t="n">
        <v>29.5</v>
      </c>
      <c r="H146" s="0" t="n">
        <v>28.57</v>
      </c>
      <c r="I146" s="10" t="n">
        <v>0.4414</v>
      </c>
      <c r="J146" s="10" t="n">
        <v>0.5586</v>
      </c>
      <c r="K146" s="9" t="s">
        <v>3453</v>
      </c>
      <c r="L146" s="9" t="s">
        <v>3454</v>
      </c>
      <c r="N146" s="10" t="n">
        <v>0.4</v>
      </c>
      <c r="O146" s="19"/>
      <c r="P146" s="0" t="str">
        <f aca="false">IF(O146="","",IF(O146&gt;G146,"OVER",IF(O146&lt;G146,"UNDER","PUSH")))</f>
        <v/>
      </c>
      <c r="Q146" s="0" t="n">
        <v>28.69</v>
      </c>
      <c r="R146" s="10" t="n">
        <v>0.4491</v>
      </c>
      <c r="S146" s="0" t="n">
        <v>1.0042</v>
      </c>
      <c r="T146" s="0" t="n">
        <v>28.27</v>
      </c>
      <c r="U146" s="0" t="n">
        <v>28.4</v>
      </c>
    </row>
    <row r="147" customFormat="false" ht="15" hidden="false" customHeight="false" outlineLevel="0" collapsed="false">
      <c r="A147" s="0" t="s">
        <v>1832</v>
      </c>
      <c r="B147" s="0" t="s">
        <v>1830</v>
      </c>
      <c r="C147" s="0" t="s">
        <v>1139</v>
      </c>
      <c r="D147" s="0" t="s">
        <v>1167</v>
      </c>
      <c r="E147" s="0" t="s">
        <v>1472</v>
      </c>
      <c r="F147" s="0" t="s">
        <v>1286</v>
      </c>
      <c r="G147" s="0" t="n">
        <v>11.5</v>
      </c>
      <c r="H147" s="0" t="n">
        <v>11.24</v>
      </c>
      <c r="I147" s="10" t="n">
        <v>0.4716</v>
      </c>
      <c r="J147" s="10" t="n">
        <v>0.5284</v>
      </c>
      <c r="K147" s="9" t="s">
        <v>3453</v>
      </c>
      <c r="L147" s="9" t="s">
        <v>3454</v>
      </c>
      <c r="N147" s="10" t="n">
        <v>0.4</v>
      </c>
      <c r="O147" s="19"/>
      <c r="P147" s="0" t="str">
        <f aca="false">IF(O147="","",IF(O147&gt;G147,"OVER",IF(O147&lt;G147,"UNDER","PUSH")))</f>
        <v/>
      </c>
      <c r="Q147" s="0" t="n">
        <v>11.3</v>
      </c>
      <c r="R147" s="10" t="n">
        <v>0.4783</v>
      </c>
      <c r="S147" s="0" t="n">
        <v>1.0053</v>
      </c>
      <c r="T147" s="0" t="n">
        <v>10.85</v>
      </c>
      <c r="U147" s="0" t="n">
        <v>10.9</v>
      </c>
    </row>
    <row r="148" customFormat="false" ht="15" hidden="false" customHeight="false" outlineLevel="0" collapsed="false">
      <c r="A148" s="0" t="s">
        <v>1832</v>
      </c>
      <c r="B148" s="0" t="s">
        <v>1830</v>
      </c>
      <c r="C148" s="0" t="s">
        <v>1139</v>
      </c>
      <c r="D148" s="0" t="s">
        <v>1167</v>
      </c>
      <c r="E148" s="0" t="s">
        <v>1472</v>
      </c>
      <c r="F148" s="0" t="s">
        <v>1290</v>
      </c>
      <c r="G148" s="0" t="n">
        <v>30.5</v>
      </c>
      <c r="H148" s="0" t="n">
        <v>30.08</v>
      </c>
      <c r="I148" s="10" t="n">
        <v>0.4739</v>
      </c>
      <c r="J148" s="10" t="n">
        <v>0.5261</v>
      </c>
      <c r="K148" s="9" t="s">
        <v>3453</v>
      </c>
      <c r="L148" s="9" t="s">
        <v>3454</v>
      </c>
      <c r="N148" s="10" t="n">
        <v>0.5</v>
      </c>
      <c r="O148" s="19"/>
      <c r="P148" s="0" t="str">
        <f aca="false">IF(O148="","",IF(O148&gt;G148,"OVER",IF(O148&lt;G148,"UNDER","PUSH")))</f>
        <v/>
      </c>
      <c r="Q148" s="0" t="n">
        <v>30.22</v>
      </c>
      <c r="R148" s="10" t="n">
        <v>0.4829</v>
      </c>
      <c r="S148" s="0" t="n">
        <v>1.0048</v>
      </c>
      <c r="T148" s="0" t="n">
        <v>29.56</v>
      </c>
      <c r="U148" s="0" t="n">
        <v>29.69</v>
      </c>
    </row>
    <row r="149" customFormat="false" ht="15" hidden="false" customHeight="false" outlineLevel="0" collapsed="false">
      <c r="A149" s="0" t="s">
        <v>1832</v>
      </c>
      <c r="B149" s="0" t="s">
        <v>1830</v>
      </c>
      <c r="C149" s="0" t="s">
        <v>1139</v>
      </c>
      <c r="D149" s="0" t="s">
        <v>1167</v>
      </c>
      <c r="E149" s="0" t="s">
        <v>1474</v>
      </c>
      <c r="F149" s="0" t="s">
        <v>1286</v>
      </c>
      <c r="G149" s="0" t="n">
        <v>18.5</v>
      </c>
      <c r="H149" s="0" t="n">
        <v>17.36</v>
      </c>
      <c r="I149" s="10" t="n">
        <v>0.404</v>
      </c>
      <c r="J149" s="10" t="n">
        <v>0.596</v>
      </c>
      <c r="K149" s="9" t="s">
        <v>3453</v>
      </c>
      <c r="L149" s="9" t="s">
        <v>3454</v>
      </c>
      <c r="N149" s="10" t="n">
        <v>0.7</v>
      </c>
      <c r="O149" s="19"/>
      <c r="P149" s="0" t="str">
        <f aca="false">IF(O149="","",IF(O149&gt;G149,"OVER",IF(O149&lt;G149,"UNDER","PUSH")))</f>
        <v/>
      </c>
      <c r="Q149" s="0" t="n">
        <v>17.45</v>
      </c>
      <c r="R149" s="10" t="n">
        <v>0.4112</v>
      </c>
      <c r="S149" s="0" t="n">
        <v>1.0049</v>
      </c>
      <c r="T149" s="0" t="n">
        <v>18.75</v>
      </c>
      <c r="U149" s="0" t="n">
        <v>18.83</v>
      </c>
    </row>
    <row r="150" customFormat="false" ht="15" hidden="false" customHeight="false" outlineLevel="0" collapsed="false">
      <c r="A150" s="0" t="s">
        <v>1832</v>
      </c>
      <c r="B150" s="0" t="s">
        <v>1830</v>
      </c>
      <c r="C150" s="0" t="s">
        <v>1139</v>
      </c>
      <c r="D150" s="0" t="s">
        <v>1167</v>
      </c>
      <c r="E150" s="0" t="s">
        <v>1474</v>
      </c>
      <c r="F150" s="0" t="s">
        <v>1290</v>
      </c>
      <c r="G150" s="0" t="n">
        <v>28.5</v>
      </c>
      <c r="H150" s="0" t="n">
        <v>26.09</v>
      </c>
      <c r="I150" s="10" t="n">
        <v>0.345</v>
      </c>
      <c r="J150" s="10" t="n">
        <v>0.655</v>
      </c>
      <c r="K150" s="9" t="s">
        <v>3453</v>
      </c>
      <c r="L150" s="9" t="s">
        <v>3454</v>
      </c>
      <c r="N150" s="10" t="n">
        <v>0.6</v>
      </c>
      <c r="O150" s="19"/>
      <c r="P150" s="0" t="str">
        <f aca="false">IF(O150="","",IF(O150&gt;G150,"OVER",IF(O150&lt;G150,"UNDER","PUSH")))</f>
        <v/>
      </c>
      <c r="Q150" s="0" t="n">
        <v>26.22</v>
      </c>
      <c r="R150" s="10" t="n">
        <v>0.3533</v>
      </c>
      <c r="S150" s="0" t="n">
        <v>1.005</v>
      </c>
      <c r="T150" s="0" t="n">
        <v>28.27</v>
      </c>
      <c r="U150" s="0" t="n">
        <v>28.4</v>
      </c>
    </row>
    <row r="151" customFormat="false" ht="15" hidden="false" customHeight="false" outlineLevel="0" collapsed="false">
      <c r="A151" s="0" t="s">
        <v>1832</v>
      </c>
      <c r="B151" s="0" t="s">
        <v>1830</v>
      </c>
      <c r="C151" s="0" t="s">
        <v>1139</v>
      </c>
      <c r="D151" s="0" t="s">
        <v>1167</v>
      </c>
      <c r="E151" s="0" t="s">
        <v>1476</v>
      </c>
      <c r="F151" s="0" t="s">
        <v>1286</v>
      </c>
      <c r="G151" s="0" t="n">
        <v>13.5</v>
      </c>
      <c r="H151" s="0" t="n">
        <v>13.67</v>
      </c>
      <c r="I151" s="10" t="n">
        <v>0.5164</v>
      </c>
      <c r="J151" s="10" t="n">
        <v>0.4836</v>
      </c>
      <c r="K151" s="9" t="s">
        <v>3453</v>
      </c>
      <c r="L151" s="9" t="s">
        <v>3454</v>
      </c>
      <c r="N151" s="10" t="n">
        <v>0.4</v>
      </c>
      <c r="O151" s="19"/>
      <c r="P151" s="0" t="str">
        <f aca="false">IF(O151="","",IF(O151&gt;G151,"OVER",IF(O151&lt;G151,"UNDER","PUSH")))</f>
        <v/>
      </c>
      <c r="Q151" s="0" t="n">
        <v>13.74</v>
      </c>
      <c r="R151" s="10" t="n">
        <v>0.5237</v>
      </c>
      <c r="S151" s="0" t="n">
        <v>1.0055</v>
      </c>
      <c r="T151" s="0" t="n">
        <v>13.55</v>
      </c>
      <c r="U151" s="0" t="n">
        <v>13.61</v>
      </c>
    </row>
    <row r="152" customFormat="false" ht="15" hidden="false" customHeight="false" outlineLevel="0" collapsed="false">
      <c r="A152" s="0" t="s">
        <v>1832</v>
      </c>
      <c r="B152" s="0" t="s">
        <v>1830</v>
      </c>
      <c r="C152" s="0" t="s">
        <v>1139</v>
      </c>
      <c r="D152" s="0" t="s">
        <v>1167</v>
      </c>
      <c r="E152" s="0" t="s">
        <v>1476</v>
      </c>
      <c r="F152" s="0" t="s">
        <v>1290</v>
      </c>
      <c r="G152" s="0" t="n">
        <v>26.5</v>
      </c>
      <c r="H152" s="0" t="n">
        <v>25.41</v>
      </c>
      <c r="I152" s="10" t="n">
        <v>0.4276</v>
      </c>
      <c r="J152" s="10" t="n">
        <v>0.5724</v>
      </c>
      <c r="K152" s="9" t="s">
        <v>3453</v>
      </c>
      <c r="L152" s="9" t="s">
        <v>3454</v>
      </c>
      <c r="N152" s="10" t="n">
        <v>0.2</v>
      </c>
      <c r="O152" s="19"/>
      <c r="P152" s="0" t="str">
        <f aca="false">IF(O152="","",IF(O152&gt;G152,"OVER",IF(O152&lt;G152,"UNDER","PUSH")))</f>
        <v/>
      </c>
      <c r="Q152" s="0" t="n">
        <v>25.54</v>
      </c>
      <c r="R152" s="10" t="n">
        <v>0.4359</v>
      </c>
      <c r="S152" s="0" t="n">
        <v>1.0049</v>
      </c>
      <c r="T152" s="0" t="n">
        <v>25.7</v>
      </c>
      <c r="U152" s="0" t="n">
        <v>25.82</v>
      </c>
    </row>
    <row r="153" customFormat="false" ht="15" hidden="false" customHeight="false" outlineLevel="0" collapsed="false">
      <c r="A153" s="0" t="s">
        <v>1832</v>
      </c>
      <c r="B153" s="0" t="s">
        <v>1830</v>
      </c>
      <c r="C153" s="0" t="s">
        <v>1139</v>
      </c>
      <c r="D153" s="0" t="s">
        <v>1167</v>
      </c>
      <c r="E153" s="0" t="s">
        <v>1478</v>
      </c>
      <c r="F153" s="0" t="s">
        <v>1286</v>
      </c>
      <c r="G153" s="0" t="n">
        <v>17.5</v>
      </c>
      <c r="H153" s="0" t="n">
        <v>17.78</v>
      </c>
      <c r="I153" s="10" t="n">
        <v>0.5239</v>
      </c>
      <c r="J153" s="10" t="n">
        <v>0.4761</v>
      </c>
      <c r="K153" s="9" t="s">
        <v>3453</v>
      </c>
      <c r="L153" s="9" t="s">
        <v>3454</v>
      </c>
      <c r="N153" s="10" t="n">
        <v>0.6</v>
      </c>
      <c r="O153" s="19"/>
      <c r="P153" s="0" t="str">
        <f aca="false">IF(O153="","",IF(O153&gt;G153,"OVER",IF(O153&lt;G153,"UNDER","PUSH")))</f>
        <v/>
      </c>
      <c r="Q153" s="0" t="n">
        <v>17.87</v>
      </c>
      <c r="R153" s="10" t="n">
        <v>0.5314</v>
      </c>
      <c r="S153" s="0" t="n">
        <v>1.005</v>
      </c>
      <c r="T153" s="0" t="n">
        <v>17.64</v>
      </c>
      <c r="U153" s="0" t="n">
        <v>17.72</v>
      </c>
    </row>
    <row r="154" customFormat="false" ht="15" hidden="false" customHeight="false" outlineLevel="0" collapsed="false">
      <c r="A154" s="0" t="s">
        <v>1832</v>
      </c>
      <c r="B154" s="0" t="s">
        <v>1830</v>
      </c>
      <c r="C154" s="0" t="s">
        <v>1139</v>
      </c>
      <c r="D154" s="0" t="s">
        <v>1167</v>
      </c>
      <c r="E154" s="0" t="s">
        <v>1478</v>
      </c>
      <c r="F154" s="0" t="s">
        <v>1290</v>
      </c>
      <c r="G154" s="0" t="n">
        <v>31.5</v>
      </c>
      <c r="H154" s="0" t="n">
        <v>31.17</v>
      </c>
      <c r="I154" s="10" t="n">
        <v>0.4798</v>
      </c>
      <c r="J154" s="10" t="n">
        <v>0.5202</v>
      </c>
      <c r="K154" s="9" t="s">
        <v>3453</v>
      </c>
      <c r="L154" s="9" t="s">
        <v>3454</v>
      </c>
      <c r="N154" s="10" t="n">
        <v>0.6</v>
      </c>
      <c r="O154" s="19"/>
      <c r="P154" s="0" t="str">
        <f aca="false">IF(O154="","",IF(O154&gt;G154,"OVER",IF(O154&lt;G154,"UNDER","PUSH")))</f>
        <v/>
      </c>
      <c r="Q154" s="0" t="n">
        <v>31.32</v>
      </c>
      <c r="R154" s="10" t="n">
        <v>0.4889</v>
      </c>
      <c r="S154" s="0" t="n">
        <v>1.0048</v>
      </c>
      <c r="T154" s="0" t="n">
        <v>32.13</v>
      </c>
      <c r="U154" s="0" t="n">
        <v>32.28</v>
      </c>
    </row>
    <row r="155" customFormat="false" ht="15" hidden="false" customHeight="false" outlineLevel="0" collapsed="false">
      <c r="A155" s="0" t="s">
        <v>1832</v>
      </c>
      <c r="B155" s="0" t="s">
        <v>1830</v>
      </c>
      <c r="C155" s="0" t="s">
        <v>1139</v>
      </c>
      <c r="D155" s="0" t="s">
        <v>1167</v>
      </c>
      <c r="E155" s="0" t="s">
        <v>1480</v>
      </c>
      <c r="F155" s="0" t="s">
        <v>1286</v>
      </c>
      <c r="G155" s="0" t="n">
        <v>19</v>
      </c>
      <c r="H155" s="0" t="n">
        <v>21.81</v>
      </c>
      <c r="I155" s="10" t="n">
        <v>0.6711</v>
      </c>
      <c r="J155" s="10" t="n">
        <v>0.2629</v>
      </c>
      <c r="K155" s="9" t="s">
        <v>3453</v>
      </c>
      <c r="L155" s="9" t="s">
        <v>3454</v>
      </c>
      <c r="N155" s="10" t="n">
        <v>0.9</v>
      </c>
      <c r="O155" s="19"/>
      <c r="P155" s="0" t="str">
        <f aca="false">IF(O155="","",IF(O155&gt;G155,"OVER",IF(O155&lt;G155,"UNDER","PUSH")))</f>
        <v/>
      </c>
      <c r="Q155" s="0" t="n">
        <v>21.06</v>
      </c>
      <c r="R155" s="10" t="n">
        <v>0.6197</v>
      </c>
      <c r="S155" s="0" t="n">
        <v>0.9657</v>
      </c>
      <c r="T155" s="0" t="n">
        <v>21.01</v>
      </c>
      <c r="U155" s="0" t="n">
        <v>20.29</v>
      </c>
    </row>
    <row r="156" customFormat="false" ht="15" hidden="false" customHeight="false" outlineLevel="0" collapsed="false">
      <c r="A156" s="0" t="s">
        <v>1832</v>
      </c>
      <c r="B156" s="0" t="s">
        <v>1830</v>
      </c>
      <c r="C156" s="0" t="s">
        <v>1139</v>
      </c>
      <c r="D156" s="0" t="s">
        <v>1167</v>
      </c>
      <c r="E156" s="0" t="s">
        <v>1480</v>
      </c>
      <c r="F156" s="0" t="s">
        <v>1290</v>
      </c>
      <c r="G156" s="0" t="n">
        <v>29.5</v>
      </c>
      <c r="H156" s="0" t="n">
        <v>34.83</v>
      </c>
      <c r="I156" s="10" t="n">
        <v>0.7772</v>
      </c>
      <c r="J156" s="10" t="n">
        <v>0.2228</v>
      </c>
      <c r="K156" s="9" t="s">
        <v>3453</v>
      </c>
      <c r="L156" s="9" t="s">
        <v>3454</v>
      </c>
      <c r="N156" s="10" t="n">
        <v>0.8</v>
      </c>
      <c r="O156" s="19"/>
      <c r="P156" s="0" t="str">
        <f aca="false">IF(O156="","",IF(O156&gt;G156,"OVER",IF(O156&lt;G156,"UNDER","PUSH")))</f>
        <v/>
      </c>
      <c r="Q156" s="0" t="n">
        <v>33.64</v>
      </c>
      <c r="R156" s="10" t="n">
        <v>0.7267</v>
      </c>
      <c r="S156" s="0" t="n">
        <v>0.9659</v>
      </c>
      <c r="T156" s="0" t="n">
        <v>32.99</v>
      </c>
      <c r="U156" s="0" t="n">
        <v>31.85</v>
      </c>
    </row>
    <row r="157" customFormat="false" ht="15" hidden="false" customHeight="false" outlineLevel="0" collapsed="false">
      <c r="A157" s="0" t="s">
        <v>1832</v>
      </c>
      <c r="B157" s="0" t="s">
        <v>1830</v>
      </c>
      <c r="C157" s="0" t="s">
        <v>1139</v>
      </c>
      <c r="D157" s="0" t="s">
        <v>1167</v>
      </c>
      <c r="E157" s="0" t="s">
        <v>1482</v>
      </c>
      <c r="F157" s="0" t="s">
        <v>1286</v>
      </c>
      <c r="G157" s="0" t="n">
        <v>9.5</v>
      </c>
      <c r="H157" s="0" t="n">
        <v>10.25</v>
      </c>
      <c r="I157" s="10" t="n">
        <v>0.5862</v>
      </c>
      <c r="J157" s="10" t="n">
        <v>0.4138</v>
      </c>
      <c r="K157" s="9" t="s">
        <v>3453</v>
      </c>
      <c r="L157" s="9" t="s">
        <v>3454</v>
      </c>
      <c r="N157" s="10" t="n">
        <v>0.7</v>
      </c>
      <c r="O157" s="19"/>
      <c r="P157" s="0" t="str">
        <f aca="false">IF(O157="","",IF(O157&gt;G157,"OVER",IF(O157&lt;G157,"UNDER","PUSH")))</f>
        <v/>
      </c>
      <c r="Q157" s="0" t="n">
        <v>9.89</v>
      </c>
      <c r="R157" s="10" t="n">
        <v>0.5458</v>
      </c>
      <c r="S157" s="0" t="n">
        <v>0.9649</v>
      </c>
      <c r="T157" s="0" t="n">
        <v>10.34</v>
      </c>
      <c r="U157" s="0" t="n">
        <v>9.98</v>
      </c>
    </row>
    <row r="158" customFormat="false" ht="15" hidden="false" customHeight="false" outlineLevel="0" collapsed="false">
      <c r="A158" s="0" t="s">
        <v>1832</v>
      </c>
      <c r="B158" s="0" t="s">
        <v>1830</v>
      </c>
      <c r="C158" s="0" t="s">
        <v>1139</v>
      </c>
      <c r="D158" s="0" t="s">
        <v>1167</v>
      </c>
      <c r="E158" s="0" t="s">
        <v>1482</v>
      </c>
      <c r="F158" s="0" t="s">
        <v>1290</v>
      </c>
      <c r="G158" s="0" t="n">
        <v>26.5</v>
      </c>
      <c r="H158" s="0" t="n">
        <v>27.09</v>
      </c>
      <c r="I158" s="10" t="n">
        <v>0.5382</v>
      </c>
      <c r="J158" s="10" t="n">
        <v>0.4618</v>
      </c>
      <c r="K158" s="9" t="s">
        <v>3453</v>
      </c>
      <c r="L158" s="9" t="s">
        <v>3454</v>
      </c>
      <c r="N158" s="10" t="n">
        <v>0.5</v>
      </c>
      <c r="O158" s="19"/>
      <c r="P158" s="0" t="str">
        <f aca="false">IF(O158="","",IF(O158&gt;G158,"OVER",IF(O158&lt;G158,"UNDER","PUSH")))</f>
        <v/>
      </c>
      <c r="Q158" s="0" t="n">
        <v>26.15</v>
      </c>
      <c r="R158" s="10" t="n">
        <v>0.4772</v>
      </c>
      <c r="S158" s="0" t="n">
        <v>0.9654</v>
      </c>
      <c r="T158" s="0" t="n">
        <v>26.99</v>
      </c>
      <c r="U158" s="0" t="n">
        <v>26.06</v>
      </c>
    </row>
    <row r="159" customFormat="false" ht="15" hidden="false" customHeight="false" outlineLevel="0" collapsed="false">
      <c r="A159" s="0" t="s">
        <v>1832</v>
      </c>
      <c r="B159" s="0" t="s">
        <v>1830</v>
      </c>
      <c r="C159" s="0" t="s">
        <v>1139</v>
      </c>
      <c r="D159" s="0" t="s">
        <v>1167</v>
      </c>
      <c r="E159" s="0" t="s">
        <v>1484</v>
      </c>
      <c r="F159" s="0" t="s">
        <v>1286</v>
      </c>
      <c r="G159" s="0" t="n">
        <v>15.5</v>
      </c>
      <c r="H159" s="0" t="n">
        <v>15.87</v>
      </c>
      <c r="I159" s="10" t="n">
        <v>0.5331</v>
      </c>
      <c r="J159" s="10" t="n">
        <v>0.4669</v>
      </c>
      <c r="K159" s="9" t="s">
        <v>3453</v>
      </c>
      <c r="L159" s="9" t="s">
        <v>3454</v>
      </c>
      <c r="N159" s="10" t="n">
        <v>0.5</v>
      </c>
      <c r="O159" s="19"/>
      <c r="P159" s="0" t="str">
        <f aca="false">IF(O159="","",IF(O159&gt;G159,"OVER",IF(O159&lt;G159,"UNDER","PUSH")))</f>
        <v/>
      </c>
      <c r="Q159" s="0" t="n">
        <v>15.32</v>
      </c>
      <c r="R159" s="10" t="n">
        <v>0.4836</v>
      </c>
      <c r="S159" s="0" t="n">
        <v>0.9657</v>
      </c>
      <c r="T159" s="0" t="n">
        <v>16.05</v>
      </c>
      <c r="U159" s="0" t="n">
        <v>15.5</v>
      </c>
    </row>
    <row r="160" customFormat="false" ht="15" hidden="false" customHeight="false" outlineLevel="0" collapsed="false">
      <c r="A160" s="0" t="s">
        <v>1832</v>
      </c>
      <c r="B160" s="0" t="s">
        <v>1830</v>
      </c>
      <c r="C160" s="0" t="s">
        <v>1139</v>
      </c>
      <c r="D160" s="0" t="s">
        <v>1167</v>
      </c>
      <c r="E160" s="0" t="s">
        <v>1484</v>
      </c>
      <c r="F160" s="0" t="s">
        <v>1290</v>
      </c>
      <c r="G160" s="0" t="n">
        <v>28.5</v>
      </c>
      <c r="H160" s="0" t="n">
        <v>28.73</v>
      </c>
      <c r="I160" s="10" t="n">
        <v>0.5147</v>
      </c>
      <c r="J160" s="10" t="n">
        <v>0.4853</v>
      </c>
      <c r="K160" s="9" t="s">
        <v>3453</v>
      </c>
      <c r="L160" s="9" t="s">
        <v>3454</v>
      </c>
      <c r="N160" s="10" t="n">
        <v>0.5</v>
      </c>
      <c r="O160" s="19"/>
      <c r="P160" s="0" t="str">
        <f aca="false">IF(O160="","",IF(O160&gt;G160,"OVER",IF(O160&lt;G160,"UNDER","PUSH")))</f>
        <v/>
      </c>
      <c r="Q160" s="0" t="n">
        <v>27.75</v>
      </c>
      <c r="R160" s="10" t="n">
        <v>0.452</v>
      </c>
      <c r="S160" s="0" t="n">
        <v>0.9657</v>
      </c>
      <c r="T160" s="0" t="n">
        <v>29.13</v>
      </c>
      <c r="U160" s="0" t="n">
        <v>28.13</v>
      </c>
    </row>
    <row r="161" customFormat="false" ht="15" hidden="false" customHeight="false" outlineLevel="0" collapsed="false">
      <c r="A161" s="0" t="s">
        <v>1832</v>
      </c>
      <c r="B161" s="0" t="s">
        <v>1830</v>
      </c>
      <c r="C161" s="0" t="s">
        <v>1139</v>
      </c>
      <c r="D161" s="0" t="s">
        <v>1167</v>
      </c>
      <c r="E161" s="0" t="s">
        <v>1486</v>
      </c>
      <c r="F161" s="0" t="s">
        <v>1286</v>
      </c>
      <c r="G161" s="0" t="n">
        <v>13.5</v>
      </c>
      <c r="H161" s="0" t="n">
        <v>15.11</v>
      </c>
      <c r="I161" s="10" t="n">
        <v>0.6466</v>
      </c>
      <c r="J161" s="10" t="n">
        <v>0.3534</v>
      </c>
      <c r="K161" s="9" t="s">
        <v>3453</v>
      </c>
      <c r="L161" s="9" t="s">
        <v>3454</v>
      </c>
      <c r="N161" s="10" t="n">
        <v>0.7</v>
      </c>
      <c r="O161" s="19"/>
      <c r="P161" s="0" t="str">
        <f aca="false">IF(O161="","",IF(O161&gt;G161,"OVER",IF(O161&lt;G161,"UNDER","PUSH")))</f>
        <v/>
      </c>
      <c r="Q161" s="0" t="n">
        <v>14.59</v>
      </c>
      <c r="R161" s="10" t="n">
        <v>0.6019</v>
      </c>
      <c r="S161" s="0" t="n">
        <v>0.9653</v>
      </c>
      <c r="T161" s="0" t="n">
        <v>14.81</v>
      </c>
      <c r="U161" s="0" t="n">
        <v>14.3</v>
      </c>
    </row>
    <row r="162" customFormat="false" ht="15" hidden="false" customHeight="false" outlineLevel="0" collapsed="false">
      <c r="A162" s="0" t="s">
        <v>1832</v>
      </c>
      <c r="B162" s="0" t="s">
        <v>1830</v>
      </c>
      <c r="C162" s="0" t="s">
        <v>1139</v>
      </c>
      <c r="D162" s="0" t="s">
        <v>1167</v>
      </c>
      <c r="E162" s="0" t="s">
        <v>1486</v>
      </c>
      <c r="F162" s="0" t="s">
        <v>1290</v>
      </c>
      <c r="G162" s="0" t="n">
        <v>26.5</v>
      </c>
      <c r="H162" s="0" t="n">
        <v>28.53</v>
      </c>
      <c r="I162" s="10" t="n">
        <v>0.6261</v>
      </c>
      <c r="J162" s="10" t="n">
        <v>0.3739</v>
      </c>
      <c r="K162" s="9" t="s">
        <v>3453</v>
      </c>
      <c r="L162" s="9" t="s">
        <v>3454</v>
      </c>
      <c r="N162" s="10" t="n">
        <v>0.7</v>
      </c>
      <c r="O162" s="19"/>
      <c r="P162" s="0" t="str">
        <f aca="false">IF(O162="","",IF(O162&gt;G162,"OVER",IF(O162&lt;G162,"UNDER","PUSH")))</f>
        <v/>
      </c>
      <c r="Q162" s="0" t="n">
        <v>27.54</v>
      </c>
      <c r="R162" s="10" t="n">
        <v>0.5665</v>
      </c>
      <c r="S162" s="0" t="n">
        <v>0.9652</v>
      </c>
      <c r="T162" s="0" t="n">
        <v>27.85</v>
      </c>
      <c r="U162" s="0" t="n">
        <v>26.89</v>
      </c>
    </row>
    <row r="163" customFormat="false" ht="15" hidden="false" customHeight="false" outlineLevel="0" collapsed="false">
      <c r="A163" s="0" t="s">
        <v>1832</v>
      </c>
      <c r="B163" s="0" t="s">
        <v>1830</v>
      </c>
      <c r="C163" s="0" t="s">
        <v>1139</v>
      </c>
      <c r="D163" s="0" t="s">
        <v>1222</v>
      </c>
      <c r="E163" s="0" t="s">
        <v>1488</v>
      </c>
      <c r="F163" s="0" t="s">
        <v>1286</v>
      </c>
      <c r="G163" s="0" t="n">
        <v>14.5</v>
      </c>
      <c r="H163" s="0" t="n">
        <v>14.79</v>
      </c>
      <c r="I163" s="10" t="n">
        <v>0.5274</v>
      </c>
      <c r="J163" s="10" t="n">
        <v>0.4726</v>
      </c>
      <c r="K163" s="9" t="s">
        <v>3451</v>
      </c>
      <c r="L163" s="9" t="s">
        <v>3440</v>
      </c>
      <c r="N163" s="10" t="n">
        <v>0.5</v>
      </c>
      <c r="O163" s="19"/>
      <c r="P163" s="0" t="str">
        <f aca="false">IF(O163="","",IF(O163&gt;G163,"OVER",IF(O163&lt;G163,"UNDER","PUSH")))</f>
        <v/>
      </c>
      <c r="Q163" s="0" t="n">
        <v>15</v>
      </c>
      <c r="R163" s="10" t="n">
        <v>0.547</v>
      </c>
      <c r="S163" s="0" t="n">
        <v>1.0143</v>
      </c>
      <c r="T163" s="0" t="n">
        <v>14.01</v>
      </c>
      <c r="U163" s="0" t="n">
        <v>14.21</v>
      </c>
    </row>
    <row r="164" customFormat="false" ht="15" hidden="false" customHeight="false" outlineLevel="0" collapsed="false">
      <c r="A164" s="0" t="s">
        <v>1832</v>
      </c>
      <c r="B164" s="0" t="s">
        <v>1830</v>
      </c>
      <c r="C164" s="0" t="s">
        <v>1139</v>
      </c>
      <c r="D164" s="0" t="s">
        <v>1222</v>
      </c>
      <c r="E164" s="0" t="s">
        <v>1488</v>
      </c>
      <c r="F164" s="0" t="s">
        <v>1290</v>
      </c>
      <c r="G164" s="0" t="n">
        <v>30.5</v>
      </c>
      <c r="H164" s="0" t="n">
        <v>29.79</v>
      </c>
      <c r="I164" s="10" t="n">
        <v>0.4565</v>
      </c>
      <c r="J164" s="10" t="n">
        <v>0.5435</v>
      </c>
      <c r="K164" s="9" t="s">
        <v>3451</v>
      </c>
      <c r="L164" s="9" t="s">
        <v>3440</v>
      </c>
      <c r="N164" s="10" t="n">
        <v>0.4</v>
      </c>
      <c r="O164" s="19"/>
      <c r="P164" s="0" t="str">
        <f aca="false">IF(O164="","",IF(O164&gt;G164,"OVER",IF(O164&lt;G164,"UNDER","PUSH")))</f>
        <v/>
      </c>
      <c r="Q164" s="0" t="n">
        <v>30.23</v>
      </c>
      <c r="R164" s="10" t="n">
        <v>0.4835</v>
      </c>
      <c r="S164" s="0" t="n">
        <v>1.0146</v>
      </c>
      <c r="T164" s="0" t="n">
        <v>29.24</v>
      </c>
      <c r="U164" s="0" t="n">
        <v>29.67</v>
      </c>
    </row>
    <row r="165" customFormat="false" ht="15" hidden="false" customHeight="false" outlineLevel="0" collapsed="false">
      <c r="A165" s="0" t="s">
        <v>1832</v>
      </c>
      <c r="B165" s="0" t="s">
        <v>1830</v>
      </c>
      <c r="C165" s="0" t="s">
        <v>1139</v>
      </c>
      <c r="D165" s="0" t="s">
        <v>1222</v>
      </c>
      <c r="E165" s="0" t="s">
        <v>1490</v>
      </c>
      <c r="F165" s="0" t="s">
        <v>1286</v>
      </c>
      <c r="G165" s="0" t="n">
        <v>10.5</v>
      </c>
      <c r="H165" s="0" t="n">
        <v>11.04</v>
      </c>
      <c r="I165" s="10" t="n">
        <v>0.56</v>
      </c>
      <c r="J165" s="10" t="n">
        <v>0.44</v>
      </c>
      <c r="K165" s="9" t="s">
        <v>3451</v>
      </c>
      <c r="L165" s="9" t="s">
        <v>3440</v>
      </c>
      <c r="N165" s="10" t="n">
        <v>0.5</v>
      </c>
      <c r="O165" s="19"/>
      <c r="P165" s="0" t="str">
        <f aca="false">IF(O165="","",IF(O165&gt;G165,"OVER",IF(O165&lt;G165,"UNDER","PUSH")))</f>
        <v/>
      </c>
      <c r="Q165" s="0" t="n">
        <v>11.21</v>
      </c>
      <c r="R165" s="10" t="n">
        <v>0.5781</v>
      </c>
      <c r="S165" s="0" t="n">
        <v>1.0153</v>
      </c>
      <c r="T165" s="0" t="n">
        <v>12.02</v>
      </c>
      <c r="U165" s="0" t="n">
        <v>12.19</v>
      </c>
    </row>
    <row r="166" customFormat="false" ht="15" hidden="false" customHeight="false" outlineLevel="0" collapsed="false">
      <c r="A166" s="0" t="s">
        <v>1832</v>
      </c>
      <c r="B166" s="0" t="s">
        <v>1830</v>
      </c>
      <c r="C166" s="0" t="s">
        <v>1139</v>
      </c>
      <c r="D166" s="0" t="s">
        <v>1222</v>
      </c>
      <c r="E166" s="0" t="s">
        <v>1490</v>
      </c>
      <c r="F166" s="0" t="s">
        <v>1290</v>
      </c>
      <c r="G166" s="0" t="n">
        <v>29.5</v>
      </c>
      <c r="H166" s="0" t="n">
        <v>29.91</v>
      </c>
      <c r="I166" s="10" t="n">
        <v>0.5255</v>
      </c>
      <c r="J166" s="10" t="n">
        <v>0.4745</v>
      </c>
      <c r="K166" s="9" t="s">
        <v>3451</v>
      </c>
      <c r="L166" s="9" t="s">
        <v>3440</v>
      </c>
      <c r="N166" s="10" t="n">
        <v>0.4</v>
      </c>
      <c r="O166" s="19"/>
      <c r="P166" s="0" t="str">
        <f aca="false">IF(O166="","",IF(O166&gt;G166,"OVER",IF(O166&lt;G166,"UNDER","PUSH")))</f>
        <v/>
      </c>
      <c r="Q166" s="0" t="n">
        <v>30.34</v>
      </c>
      <c r="R166" s="10" t="n">
        <v>0.5515</v>
      </c>
      <c r="S166" s="0" t="n">
        <v>1.0144</v>
      </c>
      <c r="T166" s="0" t="n">
        <v>29.67</v>
      </c>
      <c r="U166" s="0" t="n">
        <v>30.1</v>
      </c>
    </row>
    <row r="167" customFormat="false" ht="15" hidden="false" customHeight="false" outlineLevel="0" collapsed="false">
      <c r="A167" s="0" t="s">
        <v>1832</v>
      </c>
      <c r="B167" s="0" t="s">
        <v>1830</v>
      </c>
      <c r="C167" s="0" t="s">
        <v>1139</v>
      </c>
      <c r="D167" s="0" t="s">
        <v>1222</v>
      </c>
      <c r="E167" s="0" t="s">
        <v>1492</v>
      </c>
      <c r="F167" s="0" t="s">
        <v>1286</v>
      </c>
      <c r="G167" s="0" t="n">
        <v>16.5</v>
      </c>
      <c r="H167" s="0" t="n">
        <v>15.95</v>
      </c>
      <c r="I167" s="10" t="n">
        <v>0.4496</v>
      </c>
      <c r="J167" s="10" t="n">
        <v>0.5504</v>
      </c>
      <c r="K167" s="9" t="s">
        <v>3451</v>
      </c>
      <c r="L167" s="9" t="s">
        <v>3440</v>
      </c>
      <c r="N167" s="10" t="n">
        <v>0.4</v>
      </c>
      <c r="O167" s="19"/>
      <c r="P167" s="0" t="str">
        <f aca="false">IF(O167="","",IF(O167&gt;G167,"OVER",IF(O167&lt;G167,"UNDER","PUSH")))</f>
        <v/>
      </c>
      <c r="Q167" s="0" t="n">
        <v>16.18</v>
      </c>
      <c r="R167" s="10" t="n">
        <v>0.4713</v>
      </c>
      <c r="S167" s="0" t="n">
        <v>1.0149</v>
      </c>
      <c r="T167" s="0" t="n">
        <v>15.59</v>
      </c>
      <c r="U167" s="0" t="n">
        <v>15.82</v>
      </c>
    </row>
    <row r="168" customFormat="false" ht="15" hidden="false" customHeight="false" outlineLevel="0" collapsed="false">
      <c r="A168" s="0" t="s">
        <v>1832</v>
      </c>
      <c r="B168" s="0" t="s">
        <v>1830</v>
      </c>
      <c r="C168" s="0" t="s">
        <v>1139</v>
      </c>
      <c r="D168" s="0" t="s">
        <v>1222</v>
      </c>
      <c r="E168" s="0" t="s">
        <v>1492</v>
      </c>
      <c r="F168" s="0" t="s">
        <v>1290</v>
      </c>
      <c r="G168" s="0" t="n">
        <v>31.5</v>
      </c>
      <c r="H168" s="0" t="n">
        <v>31.82</v>
      </c>
      <c r="I168" s="10" t="n">
        <v>0.5192</v>
      </c>
      <c r="J168" s="10" t="n">
        <v>0.4808</v>
      </c>
      <c r="K168" s="9" t="s">
        <v>3451</v>
      </c>
      <c r="L168" s="9" t="s">
        <v>3440</v>
      </c>
      <c r="N168" s="10" t="n">
        <v>0.3</v>
      </c>
      <c r="O168" s="19"/>
      <c r="P168" s="0" t="str">
        <f aca="false">IF(O168="","",IF(O168&gt;G168,"OVER",IF(O168&lt;G168,"UNDER","PUSH")))</f>
        <v/>
      </c>
      <c r="Q168" s="0" t="n">
        <v>32.3</v>
      </c>
      <c r="R168" s="10" t="n">
        <v>0.5472</v>
      </c>
      <c r="S168" s="0" t="n">
        <v>1.0149</v>
      </c>
      <c r="T168" s="0" t="n">
        <v>30.1</v>
      </c>
      <c r="U168" s="0" t="n">
        <v>30.54</v>
      </c>
    </row>
    <row r="169" customFormat="false" ht="15" hidden="false" customHeight="false" outlineLevel="0" collapsed="false">
      <c r="A169" s="0" t="s">
        <v>1832</v>
      </c>
      <c r="B169" s="0" t="s">
        <v>1830</v>
      </c>
      <c r="C169" s="0" t="s">
        <v>1139</v>
      </c>
      <c r="D169" s="0" t="s">
        <v>1222</v>
      </c>
      <c r="E169" s="0" t="s">
        <v>1495</v>
      </c>
      <c r="F169" s="0" t="s">
        <v>1286</v>
      </c>
      <c r="G169" s="0" t="n">
        <v>12.5</v>
      </c>
      <c r="H169" s="0" t="n">
        <v>11.31</v>
      </c>
      <c r="I169" s="10" t="n">
        <v>0.3737</v>
      </c>
      <c r="J169" s="10" t="n">
        <v>0.6263</v>
      </c>
      <c r="K169" s="9" t="s">
        <v>3451</v>
      </c>
      <c r="L169" s="9" t="s">
        <v>3440</v>
      </c>
      <c r="N169" s="10" t="n">
        <v>0.7</v>
      </c>
      <c r="O169" s="19"/>
      <c r="P169" s="0" t="str">
        <f aca="false">IF(O169="","",IF(O169&gt;G169,"OVER",IF(O169&lt;G169,"UNDER","PUSH")))</f>
        <v/>
      </c>
      <c r="Q169" s="0" t="n">
        <v>11.48</v>
      </c>
      <c r="R169" s="10" t="n">
        <v>0.3921</v>
      </c>
      <c r="S169" s="0" t="n">
        <v>1.015</v>
      </c>
      <c r="T169" s="0" t="n">
        <v>11.56</v>
      </c>
      <c r="U169" s="0" t="n">
        <v>11.73</v>
      </c>
    </row>
    <row r="170" customFormat="false" ht="15" hidden="false" customHeight="false" outlineLevel="0" collapsed="false">
      <c r="A170" s="0" t="s">
        <v>1832</v>
      </c>
      <c r="B170" s="0" t="s">
        <v>1830</v>
      </c>
      <c r="C170" s="0" t="s">
        <v>1139</v>
      </c>
      <c r="D170" s="0" t="s">
        <v>1222</v>
      </c>
      <c r="E170" s="0" t="s">
        <v>1495</v>
      </c>
      <c r="F170" s="0" t="s">
        <v>1290</v>
      </c>
      <c r="G170" s="0" t="n">
        <v>24.5</v>
      </c>
      <c r="H170" s="0" t="n">
        <v>22.79</v>
      </c>
      <c r="I170" s="10" t="n">
        <v>0.3811</v>
      </c>
      <c r="J170" s="10" t="n">
        <v>0.6189</v>
      </c>
      <c r="K170" s="9" t="s">
        <v>3451</v>
      </c>
      <c r="L170" s="9" t="s">
        <v>3440</v>
      </c>
      <c r="N170" s="10" t="n">
        <v>0.6</v>
      </c>
      <c r="O170" s="19"/>
      <c r="P170" s="0" t="str">
        <f aca="false">IF(O170="","",IF(O170&gt;G170,"OVER",IF(O170&lt;G170,"UNDER","PUSH")))</f>
        <v/>
      </c>
      <c r="Q170" s="0" t="n">
        <v>23.12</v>
      </c>
      <c r="R170" s="10" t="n">
        <v>0.4044</v>
      </c>
      <c r="S170" s="0" t="n">
        <v>1.0146</v>
      </c>
      <c r="T170" s="0" t="n">
        <v>23.22</v>
      </c>
      <c r="U170" s="0" t="n">
        <v>23.56</v>
      </c>
    </row>
    <row r="171" customFormat="false" ht="15" hidden="false" customHeight="false" outlineLevel="0" collapsed="false">
      <c r="A171" s="0" t="s">
        <v>1832</v>
      </c>
      <c r="B171" s="0" t="s">
        <v>1830</v>
      </c>
      <c r="C171" s="0" t="s">
        <v>1139</v>
      </c>
      <c r="D171" s="0" t="s">
        <v>1222</v>
      </c>
      <c r="E171" s="0" t="s">
        <v>1497</v>
      </c>
      <c r="F171" s="0" t="s">
        <v>1286</v>
      </c>
      <c r="G171" s="0" t="n">
        <v>15.5</v>
      </c>
      <c r="H171" s="0" t="n">
        <v>13.75</v>
      </c>
      <c r="I171" s="10" t="n">
        <v>0.3331</v>
      </c>
      <c r="J171" s="10" t="n">
        <v>0.6669</v>
      </c>
      <c r="K171" s="9" t="s">
        <v>3451</v>
      </c>
      <c r="L171" s="9" t="s">
        <v>3440</v>
      </c>
      <c r="N171" s="10" t="n">
        <v>0.2</v>
      </c>
      <c r="O171" s="19"/>
      <c r="P171" s="0" t="str">
        <f aca="false">IF(O171="","",IF(O171&gt;G171,"OVER",IF(O171&lt;G171,"UNDER","PUSH")))</f>
        <v/>
      </c>
      <c r="Q171" s="0" t="n">
        <v>13.95</v>
      </c>
      <c r="R171" s="10" t="n">
        <v>0.3521</v>
      </c>
      <c r="S171" s="0" t="n">
        <v>1.0145</v>
      </c>
      <c r="T171" s="0" t="n">
        <v>13.08</v>
      </c>
      <c r="U171" s="0" t="n">
        <v>13.27</v>
      </c>
    </row>
    <row r="172" customFormat="false" ht="15" hidden="false" customHeight="false" outlineLevel="0" collapsed="false">
      <c r="A172" s="0" t="s">
        <v>1832</v>
      </c>
      <c r="B172" s="0" t="s">
        <v>1830</v>
      </c>
      <c r="C172" s="0" t="s">
        <v>1139</v>
      </c>
      <c r="D172" s="0" t="s">
        <v>1222</v>
      </c>
      <c r="E172" s="0" t="s">
        <v>1497</v>
      </c>
      <c r="F172" s="0" t="s">
        <v>1290</v>
      </c>
      <c r="G172" s="0" t="n">
        <v>30.5</v>
      </c>
      <c r="H172" s="0" t="n">
        <v>28.51</v>
      </c>
      <c r="I172" s="10" t="n">
        <v>0.3761</v>
      </c>
      <c r="J172" s="10" t="n">
        <v>0.6239</v>
      </c>
      <c r="K172" s="9" t="s">
        <v>3451</v>
      </c>
      <c r="L172" s="9" t="s">
        <v>3440</v>
      </c>
      <c r="N172" s="10" t="n">
        <v>0.4</v>
      </c>
      <c r="O172" s="19"/>
      <c r="P172" s="0" t="str">
        <f aca="false">IF(O172="","",IF(O172&gt;G172,"OVER",IF(O172&lt;G172,"UNDER","PUSH")))</f>
        <v/>
      </c>
      <c r="Q172" s="0" t="n">
        <v>28.92</v>
      </c>
      <c r="R172" s="10" t="n">
        <v>0.4021</v>
      </c>
      <c r="S172" s="0" t="n">
        <v>1.0146</v>
      </c>
      <c r="T172" s="0" t="n">
        <v>28.38</v>
      </c>
      <c r="U172" s="0" t="n">
        <v>28.8</v>
      </c>
    </row>
    <row r="173" customFormat="false" ht="15" hidden="false" customHeight="false" outlineLevel="0" collapsed="false">
      <c r="A173" s="0" t="s">
        <v>1832</v>
      </c>
      <c r="B173" s="0" t="s">
        <v>1830</v>
      </c>
      <c r="C173" s="0" t="s">
        <v>1139</v>
      </c>
      <c r="D173" s="0" t="s">
        <v>1222</v>
      </c>
      <c r="E173" s="0" t="s">
        <v>1499</v>
      </c>
      <c r="F173" s="0" t="s">
        <v>1286</v>
      </c>
      <c r="G173" s="0" t="n">
        <v>13.5</v>
      </c>
      <c r="H173" s="0" t="n">
        <v>15.18</v>
      </c>
      <c r="I173" s="10" t="n">
        <v>0.6535</v>
      </c>
      <c r="J173" s="10" t="n">
        <v>0.3465</v>
      </c>
      <c r="K173" s="9" t="s">
        <v>3451</v>
      </c>
      <c r="L173" s="9" t="s">
        <v>3440</v>
      </c>
      <c r="N173" s="10" t="n">
        <v>0.5</v>
      </c>
      <c r="O173" s="19"/>
      <c r="P173" s="0" t="str">
        <f aca="false">IF(O173="","",IF(O173&gt;G173,"OVER",IF(O173&lt;G173,"UNDER","PUSH")))</f>
        <v/>
      </c>
      <c r="Q173" s="0" t="n">
        <v>13.94</v>
      </c>
      <c r="R173" s="10" t="n">
        <v>0.5431</v>
      </c>
      <c r="S173" s="0" t="n">
        <v>0.9185</v>
      </c>
      <c r="T173" s="0" t="n">
        <v>14.61</v>
      </c>
      <c r="U173" s="0" t="n">
        <v>13.41</v>
      </c>
    </row>
    <row r="174" customFormat="false" ht="15" hidden="false" customHeight="false" outlineLevel="0" collapsed="false">
      <c r="A174" s="0" t="s">
        <v>1832</v>
      </c>
      <c r="B174" s="0" t="s">
        <v>1830</v>
      </c>
      <c r="C174" s="0" t="s">
        <v>1139</v>
      </c>
      <c r="D174" s="0" t="s">
        <v>1222</v>
      </c>
      <c r="E174" s="0" t="s">
        <v>1499</v>
      </c>
      <c r="F174" s="0" t="s">
        <v>1290</v>
      </c>
      <c r="G174" s="0" t="n">
        <v>27.5</v>
      </c>
      <c r="H174" s="0" t="n">
        <v>32.08</v>
      </c>
      <c r="I174" s="10" t="n">
        <v>0.753</v>
      </c>
      <c r="J174" s="10" t="n">
        <v>0.247</v>
      </c>
      <c r="K174" s="9" t="s">
        <v>3451</v>
      </c>
      <c r="L174" s="9" t="s">
        <v>3440</v>
      </c>
      <c r="N174" s="10" t="n">
        <v>0.5</v>
      </c>
      <c r="O174" s="19"/>
      <c r="P174" s="0" t="str">
        <f aca="false">IF(O174="","",IF(O174&gt;G174,"OVER",IF(O174&lt;G174,"UNDER","PUSH")))</f>
        <v/>
      </c>
      <c r="Q174" s="0" t="n">
        <v>29.46</v>
      </c>
      <c r="R174" s="10" t="n">
        <v>0.6201</v>
      </c>
      <c r="S174" s="0" t="n">
        <v>0.9183</v>
      </c>
      <c r="T174" s="0" t="n">
        <v>31.82</v>
      </c>
      <c r="U174" s="0" t="n">
        <v>29.21</v>
      </c>
    </row>
    <row r="175" customFormat="false" ht="15" hidden="false" customHeight="false" outlineLevel="0" collapsed="false">
      <c r="A175" s="0" t="s">
        <v>1832</v>
      </c>
      <c r="B175" s="0" t="s">
        <v>1830</v>
      </c>
      <c r="C175" s="0" t="s">
        <v>1139</v>
      </c>
      <c r="D175" s="0" t="s">
        <v>1222</v>
      </c>
      <c r="E175" s="0" t="s">
        <v>1503</v>
      </c>
      <c r="F175" s="0" t="s">
        <v>1286</v>
      </c>
      <c r="G175" s="0" t="n">
        <v>15.5</v>
      </c>
      <c r="H175" s="0" t="n">
        <v>17.9</v>
      </c>
      <c r="I175" s="10" t="n">
        <v>0.6952</v>
      </c>
      <c r="J175" s="10" t="n">
        <v>0.3048</v>
      </c>
      <c r="K175" s="9" t="s">
        <v>3451</v>
      </c>
      <c r="L175" s="9" t="s">
        <v>3440</v>
      </c>
      <c r="N175" s="10" t="n">
        <v>0.7</v>
      </c>
      <c r="O175" s="19"/>
      <c r="P175" s="0" t="str">
        <f aca="false">IF(O175="","",IF(O175&gt;G175,"OVER",IF(O175&lt;G175,"UNDER","PUSH")))</f>
        <v/>
      </c>
      <c r="Q175" s="0" t="n">
        <v>16.44</v>
      </c>
      <c r="R175" s="10" t="n">
        <v>0.5825</v>
      </c>
      <c r="S175" s="0" t="n">
        <v>0.9182</v>
      </c>
      <c r="T175" s="0" t="n">
        <v>18.58</v>
      </c>
      <c r="U175" s="0" t="n">
        <v>17.05</v>
      </c>
    </row>
    <row r="176" customFormat="false" ht="15" hidden="false" customHeight="false" outlineLevel="0" collapsed="false">
      <c r="A176" s="0" t="s">
        <v>1832</v>
      </c>
      <c r="B176" s="0" t="s">
        <v>1830</v>
      </c>
      <c r="C176" s="0" t="s">
        <v>1139</v>
      </c>
      <c r="D176" s="0" t="s">
        <v>1222</v>
      </c>
      <c r="E176" s="0" t="s">
        <v>1503</v>
      </c>
      <c r="F176" s="0" t="s">
        <v>1290</v>
      </c>
      <c r="G176" s="0" t="n">
        <v>26.5</v>
      </c>
      <c r="H176" s="0" t="n">
        <v>30.17</v>
      </c>
      <c r="I176" s="10" t="n">
        <v>0.7137</v>
      </c>
      <c r="J176" s="10" t="n">
        <v>0.2863</v>
      </c>
      <c r="K176" s="9" t="s">
        <v>3451</v>
      </c>
      <c r="L176" s="9" t="s">
        <v>3440</v>
      </c>
      <c r="N176" s="10" t="n">
        <v>0.5</v>
      </c>
      <c r="O176" s="19"/>
      <c r="P176" s="0" t="str">
        <f aca="false">IF(O176="","",IF(O176&gt;G176,"OVER",IF(O176&lt;G176,"UNDER","PUSH")))</f>
        <v/>
      </c>
      <c r="Q176" s="0" t="n">
        <v>27.69</v>
      </c>
      <c r="R176" s="10" t="n">
        <v>0.5758</v>
      </c>
      <c r="S176" s="0" t="n">
        <v>0.9179</v>
      </c>
      <c r="T176" s="0" t="n">
        <v>30.96</v>
      </c>
      <c r="U176" s="0" t="n">
        <v>28.42</v>
      </c>
    </row>
    <row r="177" customFormat="false" ht="15" hidden="false" customHeight="false" outlineLevel="0" collapsed="false">
      <c r="A177" s="0" t="s">
        <v>1832</v>
      </c>
      <c r="B177" s="0" t="s">
        <v>1830</v>
      </c>
      <c r="C177" s="0" t="s">
        <v>1139</v>
      </c>
      <c r="D177" s="0" t="s">
        <v>1222</v>
      </c>
      <c r="E177" s="0" t="s">
        <v>1505</v>
      </c>
      <c r="F177" s="0" t="s">
        <v>1286</v>
      </c>
      <c r="G177" s="0" t="n">
        <v>16.5</v>
      </c>
      <c r="H177" s="0" t="n">
        <v>17.54</v>
      </c>
      <c r="I177" s="10" t="n">
        <v>0.5873</v>
      </c>
      <c r="J177" s="10" t="n">
        <v>0.4127</v>
      </c>
      <c r="K177" s="9" t="s">
        <v>3451</v>
      </c>
      <c r="L177" s="9" t="s">
        <v>3440</v>
      </c>
      <c r="N177" s="10" t="n">
        <v>0.5</v>
      </c>
      <c r="O177" s="19"/>
      <c r="P177" s="0" t="str">
        <f aca="false">IF(O177="","",IF(O177&gt;G177,"OVER",IF(O177&lt;G177,"UNDER","PUSH")))</f>
        <v/>
      </c>
      <c r="Q177" s="0" t="n">
        <v>16.11</v>
      </c>
      <c r="R177" s="10" t="n">
        <v>0.4651</v>
      </c>
      <c r="S177" s="0" t="n">
        <v>0.9185</v>
      </c>
      <c r="T177" s="0" t="n">
        <v>17.44</v>
      </c>
      <c r="U177" s="0" t="n">
        <v>16.01</v>
      </c>
    </row>
    <row r="178" customFormat="false" ht="15" hidden="false" customHeight="false" outlineLevel="0" collapsed="false">
      <c r="A178" s="0" t="s">
        <v>1832</v>
      </c>
      <c r="B178" s="0" t="s">
        <v>1830</v>
      </c>
      <c r="C178" s="0" t="s">
        <v>1139</v>
      </c>
      <c r="D178" s="0" t="s">
        <v>1222</v>
      </c>
      <c r="E178" s="0" t="s">
        <v>1505</v>
      </c>
      <c r="F178" s="0" t="s">
        <v>1290</v>
      </c>
      <c r="G178" s="0" t="n">
        <v>25.5</v>
      </c>
      <c r="H178" s="0" t="n">
        <v>27.42</v>
      </c>
      <c r="I178" s="10" t="n">
        <v>0.6217</v>
      </c>
      <c r="J178" s="10" t="n">
        <v>0.3783</v>
      </c>
      <c r="K178" s="9" t="s">
        <v>3451</v>
      </c>
      <c r="L178" s="9" t="s">
        <v>3440</v>
      </c>
      <c r="N178" s="10" t="n">
        <v>0.6</v>
      </c>
      <c r="O178" s="19"/>
      <c r="P178" s="0" t="str">
        <f aca="false">IF(O178="","",IF(O178&gt;G178,"OVER",IF(O178&lt;G178,"UNDER","PUSH")))</f>
        <v/>
      </c>
      <c r="Q178" s="0" t="n">
        <v>25.18</v>
      </c>
      <c r="R178" s="10" t="n">
        <v>0.4785</v>
      </c>
      <c r="S178" s="0" t="n">
        <v>0.9183</v>
      </c>
      <c r="T178" s="0" t="n">
        <v>27.95</v>
      </c>
      <c r="U178" s="0" t="n">
        <v>25.66</v>
      </c>
    </row>
    <row r="179" customFormat="false" ht="15" hidden="false" customHeight="false" outlineLevel="0" collapsed="false">
      <c r="A179" s="0" t="s">
        <v>1832</v>
      </c>
      <c r="B179" s="0" t="s">
        <v>1830</v>
      </c>
      <c r="C179" s="0" t="s">
        <v>1139</v>
      </c>
      <c r="D179" s="0" t="s">
        <v>1222</v>
      </c>
      <c r="E179" s="0" t="s">
        <v>1507</v>
      </c>
      <c r="F179" s="0" t="s">
        <v>1286</v>
      </c>
      <c r="G179" s="0" t="n">
        <v>14</v>
      </c>
      <c r="H179" s="0" t="n">
        <v>15.84</v>
      </c>
      <c r="I179" s="10" t="n">
        <v>0.6199</v>
      </c>
      <c r="J179" s="10" t="n">
        <v>0.2972</v>
      </c>
      <c r="K179" s="9" t="s">
        <v>3451</v>
      </c>
      <c r="L179" s="9" t="s">
        <v>3440</v>
      </c>
      <c r="N179" s="10" t="n">
        <v>0.5</v>
      </c>
      <c r="O179" s="19"/>
      <c r="P179" s="0" t="str">
        <f aca="false">IF(O179="","",IF(O179&gt;G179,"OVER",IF(O179&lt;G179,"UNDER","PUSH")))</f>
        <v/>
      </c>
      <c r="Q179" s="0" t="n">
        <v>14.55</v>
      </c>
      <c r="R179" s="10" t="n">
        <v>0.5049</v>
      </c>
      <c r="S179" s="0" t="n">
        <v>0.9185</v>
      </c>
      <c r="T179" s="0" t="n">
        <v>14.87</v>
      </c>
      <c r="U179" s="0" t="n">
        <v>13.65</v>
      </c>
    </row>
    <row r="180" customFormat="false" ht="15" hidden="false" customHeight="false" outlineLevel="0" collapsed="false">
      <c r="A180" s="0" t="s">
        <v>1832</v>
      </c>
      <c r="B180" s="0" t="s">
        <v>1830</v>
      </c>
      <c r="C180" s="0" t="s">
        <v>1139</v>
      </c>
      <c r="D180" s="0" t="s">
        <v>1222</v>
      </c>
      <c r="E180" s="0" t="s">
        <v>1507</v>
      </c>
      <c r="F180" s="0" t="s">
        <v>1290</v>
      </c>
      <c r="G180" s="0" t="n">
        <v>25.5</v>
      </c>
      <c r="H180" s="0" t="n">
        <v>28.55</v>
      </c>
      <c r="I180" s="10" t="n">
        <v>0.685</v>
      </c>
      <c r="J180" s="10" t="n">
        <v>0.315</v>
      </c>
      <c r="K180" s="9" t="s">
        <v>3451</v>
      </c>
      <c r="L180" s="9" t="s">
        <v>3440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26.22</v>
      </c>
      <c r="R180" s="10" t="n">
        <v>0.547</v>
      </c>
      <c r="S180" s="0" t="n">
        <v>0.9184</v>
      </c>
      <c r="T180" s="0" t="n">
        <v>28.81</v>
      </c>
      <c r="U180" s="0" t="n">
        <v>26.45</v>
      </c>
    </row>
    <row r="181" customFormat="false" ht="15" hidden="false" customHeight="false" outlineLevel="0" collapsed="false">
      <c r="A181" s="0" t="s">
        <v>1832</v>
      </c>
      <c r="B181" s="0" t="s">
        <v>1830</v>
      </c>
      <c r="C181" s="0" t="s">
        <v>1139</v>
      </c>
      <c r="D181" s="0" t="s">
        <v>1180</v>
      </c>
      <c r="E181" s="0" t="s">
        <v>1509</v>
      </c>
      <c r="F181" s="0" t="s">
        <v>1290</v>
      </c>
      <c r="G181" s="0" t="n">
        <v>29.5</v>
      </c>
      <c r="H181" s="0" t="n">
        <v>27.58</v>
      </c>
      <c r="I181" s="10" t="n">
        <v>0.3789</v>
      </c>
      <c r="J181" s="10" t="n">
        <v>0.6211</v>
      </c>
      <c r="K181" s="9" t="s">
        <v>3455</v>
      </c>
      <c r="L181" s="9" t="s">
        <v>3456</v>
      </c>
      <c r="M181" s="0" t="n">
        <v>28.73</v>
      </c>
      <c r="N181" s="10" t="n">
        <v>0.5</v>
      </c>
      <c r="O181" s="19"/>
      <c r="P181" s="0" t="str">
        <f aca="false">IF(O181="","",IF(O181&gt;G181,"OVER",IF(O181&lt;G181,"UNDER","PUSH")))</f>
        <v/>
      </c>
      <c r="Q181" s="0" t="n">
        <v>28.4</v>
      </c>
      <c r="R181" s="10" t="n">
        <v>0.431</v>
      </c>
      <c r="S181" s="0" t="n">
        <v>1.0297</v>
      </c>
      <c r="T181" s="0" t="n">
        <v>26.36</v>
      </c>
      <c r="U181" s="0" t="n">
        <v>27.14</v>
      </c>
    </row>
    <row r="182" customFormat="false" ht="15" hidden="false" customHeight="false" outlineLevel="0" collapsed="false">
      <c r="A182" s="0" t="s">
        <v>1832</v>
      </c>
      <c r="B182" s="0" t="s">
        <v>1830</v>
      </c>
      <c r="C182" s="0" t="s">
        <v>1139</v>
      </c>
      <c r="D182" s="0" t="s">
        <v>1180</v>
      </c>
      <c r="E182" s="0" t="s">
        <v>1511</v>
      </c>
      <c r="F182" s="0" t="s">
        <v>1290</v>
      </c>
      <c r="G182" s="0" t="n">
        <v>29.5</v>
      </c>
      <c r="H182" s="0" t="n">
        <v>28.47</v>
      </c>
      <c r="I182" s="10" t="n">
        <v>0.435</v>
      </c>
      <c r="J182" s="10" t="n">
        <v>0.565</v>
      </c>
      <c r="K182" s="9" t="s">
        <v>3455</v>
      </c>
      <c r="L182" s="9" t="s">
        <v>3456</v>
      </c>
      <c r="M182" s="0" t="n">
        <v>28.33</v>
      </c>
      <c r="N182" s="10" t="n">
        <v>0.7</v>
      </c>
      <c r="O182" s="19"/>
      <c r="P182" s="0" t="str">
        <f aca="false">IF(O182="","",IF(O182&gt;G182,"OVER",IF(O182&lt;G182,"UNDER","PUSH")))</f>
        <v/>
      </c>
      <c r="Q182" s="0" t="n">
        <v>29.3</v>
      </c>
      <c r="R182" s="10" t="n">
        <v>0.4877</v>
      </c>
      <c r="S182" s="0" t="n">
        <v>1.0294</v>
      </c>
      <c r="T182" s="0" t="n">
        <v>27.85</v>
      </c>
      <c r="U182" s="0" t="n">
        <v>28.66</v>
      </c>
    </row>
    <row r="183" customFormat="false" ht="15" hidden="false" customHeight="false" outlineLevel="0" collapsed="false">
      <c r="A183" s="0" t="s">
        <v>1832</v>
      </c>
      <c r="B183" s="0" t="s">
        <v>1830</v>
      </c>
      <c r="C183" s="0" t="s">
        <v>1139</v>
      </c>
      <c r="D183" s="0" t="s">
        <v>1199</v>
      </c>
      <c r="E183" s="0" t="s">
        <v>1513</v>
      </c>
      <c r="F183" s="0" t="s">
        <v>1286</v>
      </c>
      <c r="G183" s="0" t="n">
        <v>16</v>
      </c>
      <c r="H183" s="0" t="n">
        <v>16.75</v>
      </c>
      <c r="I183" s="10" t="n">
        <v>0.5216</v>
      </c>
      <c r="J183" s="10" t="n">
        <v>0.3917</v>
      </c>
      <c r="K183" s="9" t="s">
        <v>3455</v>
      </c>
      <c r="L183" s="9" t="s">
        <v>3447</v>
      </c>
      <c r="N183" s="10" t="n">
        <v>0.6</v>
      </c>
      <c r="O183" s="19"/>
      <c r="P183" s="0" t="str">
        <f aca="false">IF(O183="","",IF(O183&gt;G183,"OVER",IF(O183&lt;G183,"UNDER","PUSH")))</f>
        <v/>
      </c>
      <c r="Q183" s="0" t="n">
        <v>15.82</v>
      </c>
      <c r="R183" s="10" t="n">
        <v>0.4385</v>
      </c>
      <c r="S183" s="0" t="n">
        <v>0.9446</v>
      </c>
      <c r="T183" s="0" t="n">
        <v>16.86</v>
      </c>
      <c r="U183" s="0" t="n">
        <v>15.91</v>
      </c>
    </row>
    <row r="184" customFormat="false" ht="15" hidden="false" customHeight="false" outlineLevel="0" collapsed="false">
      <c r="A184" s="0" t="s">
        <v>1832</v>
      </c>
      <c r="B184" s="0" t="s">
        <v>1830</v>
      </c>
      <c r="C184" s="0" t="s">
        <v>1139</v>
      </c>
      <c r="D184" s="0" t="s">
        <v>1199</v>
      </c>
      <c r="E184" s="0" t="s">
        <v>1513</v>
      </c>
      <c r="F184" s="0" t="s">
        <v>1290</v>
      </c>
      <c r="G184" s="0" t="n">
        <v>28.5</v>
      </c>
      <c r="H184" s="0" t="n">
        <v>29.62</v>
      </c>
      <c r="I184" s="10" t="n">
        <v>0.5687</v>
      </c>
      <c r="J184" s="10" t="n">
        <v>0.4313</v>
      </c>
      <c r="K184" s="9" t="s">
        <v>3455</v>
      </c>
      <c r="L184" s="9" t="s">
        <v>3447</v>
      </c>
      <c r="M184" s="0" t="n">
        <v>29.18</v>
      </c>
      <c r="N184" s="10" t="n">
        <v>0.8</v>
      </c>
      <c r="O184" s="19"/>
      <c r="P184" s="0" t="str">
        <f aca="false">IF(O184="","",IF(O184&gt;G184,"OVER",IF(O184&lt;G184,"UNDER","PUSH")))</f>
        <v/>
      </c>
      <c r="Q184" s="0" t="n">
        <v>27.97</v>
      </c>
      <c r="R184" s="10" t="n">
        <v>0.4659</v>
      </c>
      <c r="S184" s="0" t="n">
        <v>0.9443</v>
      </c>
      <c r="T184" s="0" t="n">
        <v>30.43</v>
      </c>
      <c r="U184" s="0" t="n">
        <v>28.73</v>
      </c>
    </row>
    <row r="185" customFormat="false" ht="15" hidden="false" customHeight="false" outlineLevel="0" collapsed="false">
      <c r="A185" s="0" t="s">
        <v>1832</v>
      </c>
      <c r="B185" s="0" t="s">
        <v>1830</v>
      </c>
      <c r="C185" s="0" t="s">
        <v>1139</v>
      </c>
      <c r="D185" s="0" t="s">
        <v>1199</v>
      </c>
      <c r="E185" s="0" t="s">
        <v>1515</v>
      </c>
      <c r="F185" s="0" t="s">
        <v>1286</v>
      </c>
      <c r="G185" s="0" t="n">
        <v>12.5</v>
      </c>
      <c r="H185" s="0" t="n">
        <v>12.82</v>
      </c>
      <c r="I185" s="10" t="n">
        <v>0.5325</v>
      </c>
      <c r="J185" s="10" t="n">
        <v>0.4675</v>
      </c>
      <c r="K185" s="9" t="s">
        <v>3455</v>
      </c>
      <c r="L185" s="9" t="s">
        <v>3447</v>
      </c>
      <c r="N185" s="10" t="n">
        <v>0.6</v>
      </c>
      <c r="O185" s="19"/>
      <c r="P185" s="0" t="str">
        <f aca="false">IF(O185="","",IF(O185&gt;G185,"OVER",IF(O185&lt;G185,"UNDER","PUSH")))</f>
        <v/>
      </c>
      <c r="Q185" s="0" t="n">
        <v>12.1</v>
      </c>
      <c r="R185" s="10" t="n">
        <v>0.4591</v>
      </c>
      <c r="S185" s="0" t="n">
        <v>0.9437</v>
      </c>
      <c r="T185" s="0" t="n">
        <v>12.98</v>
      </c>
      <c r="U185" s="0" t="n">
        <v>12.26</v>
      </c>
    </row>
    <row r="186" customFormat="false" ht="15" hidden="false" customHeight="false" outlineLevel="0" collapsed="false">
      <c r="A186" s="0" t="s">
        <v>1832</v>
      </c>
      <c r="B186" s="0" t="s">
        <v>1830</v>
      </c>
      <c r="C186" s="0" t="s">
        <v>1139</v>
      </c>
      <c r="D186" s="0" t="s">
        <v>1199</v>
      </c>
      <c r="E186" s="0" t="s">
        <v>1515</v>
      </c>
      <c r="F186" s="0" t="s">
        <v>1290</v>
      </c>
      <c r="G186" s="0" t="n">
        <v>22.5</v>
      </c>
      <c r="H186" s="0" t="n">
        <v>21.72</v>
      </c>
      <c r="I186" s="10" t="n">
        <v>0.4434</v>
      </c>
      <c r="J186" s="10" t="n">
        <v>0.5566</v>
      </c>
      <c r="K186" s="9" t="s">
        <v>3455</v>
      </c>
      <c r="L186" s="9" t="s">
        <v>3447</v>
      </c>
      <c r="M186" s="0" t="n">
        <v>21.57</v>
      </c>
      <c r="N186" s="10" t="n">
        <v>0.6</v>
      </c>
      <c r="O186" s="19"/>
      <c r="P186" s="0" t="str">
        <f aca="false">IF(O186="","",IF(O186&gt;G186,"OVER",IF(O186&lt;G186,"UNDER","PUSH")))</f>
        <v/>
      </c>
      <c r="Q186" s="0" t="n">
        <v>20.49</v>
      </c>
      <c r="R186" s="10" t="n">
        <v>0.354</v>
      </c>
      <c r="S186" s="0" t="n">
        <v>0.9437</v>
      </c>
      <c r="T186" s="0" t="n">
        <v>21.86</v>
      </c>
      <c r="U186" s="0" t="n">
        <v>20.63</v>
      </c>
    </row>
    <row r="187" customFormat="false" ht="15" hidden="false" customHeight="false" outlineLevel="0" collapsed="false">
      <c r="A187" s="0" t="s">
        <v>1832</v>
      </c>
      <c r="B187" s="0" t="s">
        <v>1830</v>
      </c>
      <c r="C187" s="0" t="s">
        <v>1139</v>
      </c>
      <c r="D187" s="0" t="s">
        <v>1199</v>
      </c>
      <c r="E187" s="0" t="s">
        <v>1519</v>
      </c>
      <c r="F187" s="0" t="s">
        <v>1286</v>
      </c>
      <c r="G187" s="0" t="n">
        <v>16.5</v>
      </c>
      <c r="H187" s="0" t="n">
        <v>15.7</v>
      </c>
      <c r="I187" s="10" t="n">
        <v>0.427</v>
      </c>
      <c r="J187" s="10" t="n">
        <v>0.573</v>
      </c>
      <c r="K187" s="9" t="s">
        <v>3455</v>
      </c>
      <c r="L187" s="9" t="s">
        <v>3447</v>
      </c>
      <c r="N187" s="10" t="n">
        <v>0.6</v>
      </c>
      <c r="O187" s="19"/>
      <c r="P187" s="0" t="str">
        <f aca="false">IF(O187="","",IF(O187&gt;G187,"OVER",IF(O187&lt;G187,"UNDER","PUSH")))</f>
        <v/>
      </c>
      <c r="Q187" s="0" t="n">
        <v>14.81</v>
      </c>
      <c r="R187" s="10" t="n">
        <v>0.344</v>
      </c>
      <c r="S187" s="0" t="n">
        <v>0.9432</v>
      </c>
      <c r="T187" s="0" t="n">
        <v>16.21</v>
      </c>
      <c r="U187" s="0" t="n">
        <v>15.3</v>
      </c>
    </row>
    <row r="188" customFormat="false" ht="15" hidden="false" customHeight="false" outlineLevel="0" collapsed="false">
      <c r="A188" s="0" t="s">
        <v>1832</v>
      </c>
      <c r="B188" s="0" t="s">
        <v>1830</v>
      </c>
      <c r="C188" s="0" t="s">
        <v>1139</v>
      </c>
      <c r="D188" s="0" t="s">
        <v>1199</v>
      </c>
      <c r="E188" s="0" t="s">
        <v>1519</v>
      </c>
      <c r="F188" s="0" t="s">
        <v>1290</v>
      </c>
      <c r="G188" s="0" t="n">
        <v>30.5</v>
      </c>
      <c r="H188" s="0" t="n">
        <v>32.13</v>
      </c>
      <c r="I188" s="10" t="n">
        <v>0.596</v>
      </c>
      <c r="J188" s="10" t="n">
        <v>0.404</v>
      </c>
      <c r="K188" s="9" t="s">
        <v>3455</v>
      </c>
      <c r="L188" s="9" t="s">
        <v>3447</v>
      </c>
      <c r="M188" s="0" t="n">
        <v>30.58</v>
      </c>
      <c r="N188" s="10" t="n">
        <v>0.7</v>
      </c>
      <c r="O188" s="19"/>
      <c r="P188" s="0" t="str">
        <f aca="false">IF(O188="","",IF(O188&gt;G188,"OVER",IF(O188&lt;G188,"UNDER","PUSH")))</f>
        <v/>
      </c>
      <c r="Q188" s="0" t="n">
        <v>30.31</v>
      </c>
      <c r="R188" s="10" t="n">
        <v>0.4885</v>
      </c>
      <c r="S188" s="0" t="n">
        <v>0.9434</v>
      </c>
      <c r="T188" s="0" t="n">
        <v>31.72</v>
      </c>
      <c r="U188" s="0" t="n">
        <v>29.94</v>
      </c>
    </row>
    <row r="189" customFormat="false" ht="15" hidden="false" customHeight="false" outlineLevel="0" collapsed="false">
      <c r="A189" s="0" t="s">
        <v>1832</v>
      </c>
      <c r="B189" s="0" t="s">
        <v>1830</v>
      </c>
      <c r="C189" s="0" t="s">
        <v>1139</v>
      </c>
      <c r="D189" s="0" t="s">
        <v>1199</v>
      </c>
      <c r="E189" s="0" t="s">
        <v>1521</v>
      </c>
      <c r="F189" s="0" t="s">
        <v>1286</v>
      </c>
      <c r="G189" s="0" t="n">
        <v>9.5</v>
      </c>
      <c r="H189" s="0" t="n">
        <v>10.36</v>
      </c>
      <c r="I189" s="10" t="n">
        <v>0.5987</v>
      </c>
      <c r="J189" s="10" t="n">
        <v>0.4013</v>
      </c>
      <c r="K189" s="9" t="s">
        <v>3455</v>
      </c>
      <c r="L189" s="9" t="s">
        <v>3447</v>
      </c>
      <c r="N189" s="10" t="n">
        <v>0.7</v>
      </c>
      <c r="O189" s="19"/>
      <c r="P189" s="0" t="str">
        <f aca="false">IF(O189="","",IF(O189&gt;G189,"OVER",IF(O189&lt;G189,"UNDER","PUSH")))</f>
        <v/>
      </c>
      <c r="Q189" s="0" t="n">
        <v>9.78</v>
      </c>
      <c r="R189" s="10" t="n">
        <v>0.534</v>
      </c>
      <c r="S189" s="0" t="n">
        <v>0.9447</v>
      </c>
      <c r="T189" s="0" t="n">
        <v>10.34</v>
      </c>
      <c r="U189" s="0" t="n">
        <v>9.76</v>
      </c>
    </row>
    <row r="190" customFormat="false" ht="15" hidden="false" customHeight="false" outlineLevel="0" collapsed="false">
      <c r="A190" s="0" t="s">
        <v>1832</v>
      </c>
      <c r="B190" s="0" t="s">
        <v>1830</v>
      </c>
      <c r="C190" s="0" t="s">
        <v>1139</v>
      </c>
      <c r="D190" s="0" t="s">
        <v>1199</v>
      </c>
      <c r="E190" s="0" t="s">
        <v>1521</v>
      </c>
      <c r="F190" s="0" t="s">
        <v>1290</v>
      </c>
      <c r="G190" s="0" t="n">
        <v>29.5</v>
      </c>
      <c r="H190" s="0" t="n">
        <v>31.11</v>
      </c>
      <c r="I190" s="10" t="n">
        <v>0.5964</v>
      </c>
      <c r="J190" s="10" t="n">
        <v>0.4036</v>
      </c>
      <c r="K190" s="9" t="s">
        <v>3455</v>
      </c>
      <c r="L190" s="9" t="s">
        <v>3447</v>
      </c>
      <c r="M190" s="0" t="n">
        <v>29.18</v>
      </c>
      <c r="N190" s="10" t="n">
        <v>0.5</v>
      </c>
      <c r="O190" s="19"/>
      <c r="P190" s="0" t="str">
        <f aca="false">IF(O190="","",IF(O190&gt;G190,"OVER",IF(O190&lt;G190,"UNDER","PUSH")))</f>
        <v/>
      </c>
      <c r="Q190" s="0" t="n">
        <v>29.37</v>
      </c>
      <c r="R190" s="10" t="n">
        <v>0.492</v>
      </c>
      <c r="S190" s="0" t="n">
        <v>0.9441</v>
      </c>
      <c r="T190" s="0" t="n">
        <v>30.86</v>
      </c>
      <c r="U190" s="0" t="n">
        <v>29.13</v>
      </c>
    </row>
    <row r="191" customFormat="false" ht="15" hidden="false" customHeight="false" outlineLevel="0" collapsed="false">
      <c r="A191" s="0" t="s">
        <v>1832</v>
      </c>
      <c r="B191" s="0" t="s">
        <v>1830</v>
      </c>
      <c r="C191" s="0" t="s">
        <v>1139</v>
      </c>
      <c r="D191" s="0" t="s">
        <v>1199</v>
      </c>
      <c r="E191" s="0" t="s">
        <v>1524</v>
      </c>
      <c r="F191" s="0" t="s">
        <v>1286</v>
      </c>
      <c r="G191" s="0" t="n">
        <v>15</v>
      </c>
      <c r="H191" s="0" t="n">
        <v>14.24</v>
      </c>
      <c r="I191" s="10" t="n">
        <v>0.3812</v>
      </c>
      <c r="J191" s="10" t="n">
        <v>0.5249</v>
      </c>
      <c r="K191" s="9" t="s">
        <v>3455</v>
      </c>
      <c r="L191" s="9" t="s">
        <v>3447</v>
      </c>
      <c r="N191" s="10" t="n">
        <v>0.7</v>
      </c>
      <c r="O191" s="19"/>
      <c r="P191" s="0" t="str">
        <f aca="false">IF(O191="","",IF(O191&gt;G191,"OVER",IF(O191&lt;G191,"UNDER","PUSH")))</f>
        <v/>
      </c>
      <c r="Q191" s="0" t="n">
        <v>13.44</v>
      </c>
      <c r="R191" s="10" t="n">
        <v>0.3054</v>
      </c>
      <c r="S191" s="0" t="n">
        <v>0.9438</v>
      </c>
      <c r="T191" s="0" t="n">
        <v>14.96</v>
      </c>
      <c r="U191" s="0" t="n">
        <v>14.12</v>
      </c>
    </row>
    <row r="192" customFormat="false" ht="15" hidden="false" customHeight="false" outlineLevel="0" collapsed="false">
      <c r="A192" s="0" t="s">
        <v>1832</v>
      </c>
      <c r="B192" s="0" t="s">
        <v>1830</v>
      </c>
      <c r="C192" s="0" t="s">
        <v>1139</v>
      </c>
      <c r="D192" s="0" t="s">
        <v>1199</v>
      </c>
      <c r="E192" s="0" t="s">
        <v>1524</v>
      </c>
      <c r="F192" s="0" t="s">
        <v>1290</v>
      </c>
      <c r="G192" s="0" t="n">
        <v>27.5</v>
      </c>
      <c r="H192" s="0" t="n">
        <v>25.87</v>
      </c>
      <c r="I192" s="10" t="n">
        <v>0.3929</v>
      </c>
      <c r="J192" s="10" t="n">
        <v>0.6071</v>
      </c>
      <c r="K192" s="9" t="s">
        <v>3455</v>
      </c>
      <c r="L192" s="9" t="s">
        <v>3447</v>
      </c>
      <c r="M192" s="0" t="n">
        <v>28.18</v>
      </c>
      <c r="N192" s="10" t="n">
        <v>0.5</v>
      </c>
      <c r="O192" s="19"/>
      <c r="P192" s="0" t="str">
        <f aca="false">IF(O192="","",IF(O192&gt;G192,"OVER",IF(O192&lt;G192,"UNDER","PUSH")))</f>
        <v/>
      </c>
      <c r="Q192" s="0" t="n">
        <v>24.42</v>
      </c>
      <c r="R192" s="10" t="n">
        <v>0.2993</v>
      </c>
      <c r="S192" s="0" t="n">
        <v>0.9442</v>
      </c>
      <c r="T192" s="0" t="n">
        <v>26.57</v>
      </c>
      <c r="U192" s="0" t="n">
        <v>25.09</v>
      </c>
    </row>
    <row r="193" customFormat="false" ht="15" hidden="false" customHeight="false" outlineLevel="0" collapsed="false">
      <c r="A193" s="0" t="s">
        <v>1832</v>
      </c>
      <c r="B193" s="0" t="s">
        <v>1830</v>
      </c>
      <c r="C193" s="0" t="s">
        <v>1139</v>
      </c>
      <c r="D193" s="0" t="s">
        <v>1199</v>
      </c>
      <c r="E193" s="0" t="s">
        <v>1526</v>
      </c>
      <c r="F193" s="0" t="s">
        <v>1286</v>
      </c>
      <c r="G193" s="0" t="n">
        <v>14.5</v>
      </c>
      <c r="H193" s="0" t="n">
        <v>13.99</v>
      </c>
      <c r="I193" s="10" t="n">
        <v>0.4508</v>
      </c>
      <c r="J193" s="10" t="n">
        <v>0.5492</v>
      </c>
      <c r="K193" s="9" t="s">
        <v>3455</v>
      </c>
      <c r="L193" s="9" t="s">
        <v>3447</v>
      </c>
      <c r="N193" s="10" t="n">
        <v>0.5</v>
      </c>
      <c r="O193" s="19"/>
      <c r="P193" s="0" t="str">
        <f aca="false">IF(O193="","",IF(O193&gt;G193,"OVER",IF(O193&lt;G193,"UNDER","PUSH")))</f>
        <v/>
      </c>
      <c r="Q193" s="0" t="n">
        <v>13.88</v>
      </c>
      <c r="R193" s="10" t="n">
        <v>0.4399</v>
      </c>
      <c r="S193" s="0" t="n">
        <v>0.9921</v>
      </c>
      <c r="T193" s="0" t="n">
        <v>14.4</v>
      </c>
      <c r="U193" s="0" t="n">
        <v>14.28</v>
      </c>
    </row>
    <row r="194" customFormat="false" ht="15" hidden="false" customHeight="false" outlineLevel="0" collapsed="false">
      <c r="A194" s="0" t="s">
        <v>1832</v>
      </c>
      <c r="B194" s="0" t="s">
        <v>1830</v>
      </c>
      <c r="C194" s="0" t="s">
        <v>1139</v>
      </c>
      <c r="D194" s="0" t="s">
        <v>1199</v>
      </c>
      <c r="E194" s="0" t="s">
        <v>1526</v>
      </c>
      <c r="F194" s="0" t="s">
        <v>1290</v>
      </c>
      <c r="G194" s="0" t="n">
        <v>28.5</v>
      </c>
      <c r="H194" s="0" t="n">
        <v>26.99</v>
      </c>
      <c r="I194" s="10" t="n">
        <v>0.4032</v>
      </c>
      <c r="J194" s="10" t="n">
        <v>0.5968</v>
      </c>
      <c r="K194" s="9" t="s">
        <v>3455</v>
      </c>
      <c r="L194" s="9" t="s">
        <v>3447</v>
      </c>
      <c r="M194" s="0" t="n">
        <v>28.82</v>
      </c>
      <c r="N194" s="10" t="n">
        <v>0.4</v>
      </c>
      <c r="O194" s="19"/>
      <c r="P194" s="0" t="str">
        <f aca="false">IF(O194="","",IF(O194&gt;G194,"OVER",IF(O194&lt;G194,"UNDER","PUSH")))</f>
        <v/>
      </c>
      <c r="Q194" s="0" t="n">
        <v>26.79</v>
      </c>
      <c r="R194" s="10" t="n">
        <v>0.3899</v>
      </c>
      <c r="S194" s="0" t="n">
        <v>0.9924</v>
      </c>
      <c r="T194" s="0" t="n">
        <v>28.29</v>
      </c>
      <c r="U194" s="0" t="n">
        <v>28.05</v>
      </c>
    </row>
    <row r="195" customFormat="false" ht="15" hidden="false" customHeight="false" outlineLevel="0" collapsed="false">
      <c r="A195" s="0" t="s">
        <v>1832</v>
      </c>
      <c r="B195" s="0" t="s">
        <v>1830</v>
      </c>
      <c r="C195" s="0" t="s">
        <v>1139</v>
      </c>
      <c r="D195" s="0" t="s">
        <v>1199</v>
      </c>
      <c r="E195" s="0" t="s">
        <v>1528</v>
      </c>
      <c r="F195" s="0" t="s">
        <v>1286</v>
      </c>
      <c r="G195" s="0" t="n">
        <v>17.5</v>
      </c>
      <c r="H195" s="0" t="n">
        <v>17.48</v>
      </c>
      <c r="I195" s="10" t="n">
        <v>0.4982</v>
      </c>
      <c r="J195" s="10" t="n">
        <v>0.5018</v>
      </c>
      <c r="K195" s="9" t="s">
        <v>3455</v>
      </c>
      <c r="L195" s="9" t="s">
        <v>3447</v>
      </c>
      <c r="N195" s="10" t="n">
        <v>0.7</v>
      </c>
      <c r="O195" s="19"/>
      <c r="P195" s="0" t="str">
        <f aca="false">IF(O195="","",IF(O195&gt;G195,"OVER",IF(O195&lt;G195,"UNDER","PUSH")))</f>
        <v/>
      </c>
      <c r="Q195" s="0" t="n">
        <v>17.33</v>
      </c>
      <c r="R195" s="10" t="n">
        <v>0.4854</v>
      </c>
      <c r="S195" s="0" t="n">
        <v>0.9915</v>
      </c>
      <c r="T195" s="0" t="n">
        <v>17.14</v>
      </c>
      <c r="U195" s="0" t="n">
        <v>17</v>
      </c>
    </row>
    <row r="196" customFormat="false" ht="15" hidden="false" customHeight="false" outlineLevel="0" collapsed="false">
      <c r="A196" s="0" t="s">
        <v>1832</v>
      </c>
      <c r="B196" s="0" t="s">
        <v>1830</v>
      </c>
      <c r="C196" s="0" t="s">
        <v>1139</v>
      </c>
      <c r="D196" s="0" t="s">
        <v>1199</v>
      </c>
      <c r="E196" s="0" t="s">
        <v>1528</v>
      </c>
      <c r="F196" s="0" t="s">
        <v>1290</v>
      </c>
      <c r="G196" s="0" t="n">
        <v>30.5</v>
      </c>
      <c r="H196" s="0" t="n">
        <v>29.84</v>
      </c>
      <c r="I196" s="10" t="n">
        <v>0.459</v>
      </c>
      <c r="J196" s="10" t="n">
        <v>0.541</v>
      </c>
      <c r="K196" s="9" t="s">
        <v>3455</v>
      </c>
      <c r="L196" s="9" t="s">
        <v>3447</v>
      </c>
      <c r="M196" s="0" t="n">
        <v>29.6</v>
      </c>
      <c r="N196" s="10" t="n">
        <v>0.3</v>
      </c>
      <c r="O196" s="19"/>
      <c r="P196" s="0" t="str">
        <f aca="false">IF(O196="","",IF(O196&gt;G196,"OVER",IF(O196&lt;G196,"UNDER","PUSH")))</f>
        <v/>
      </c>
      <c r="Q196" s="0" t="n">
        <v>29.59</v>
      </c>
      <c r="R196" s="10" t="n">
        <v>0.4436</v>
      </c>
      <c r="S196" s="0" t="n">
        <v>0.9917</v>
      </c>
      <c r="T196" s="0" t="n">
        <v>29.14</v>
      </c>
      <c r="U196" s="0" t="n">
        <v>28.9</v>
      </c>
    </row>
    <row r="197" customFormat="false" ht="15" hidden="false" customHeight="false" outlineLevel="0" collapsed="false">
      <c r="A197" s="0" t="s">
        <v>1832</v>
      </c>
      <c r="B197" s="0" t="s">
        <v>1830</v>
      </c>
      <c r="C197" s="0" t="s">
        <v>1139</v>
      </c>
      <c r="D197" s="0" t="s">
        <v>1199</v>
      </c>
      <c r="E197" s="0" t="s">
        <v>1530</v>
      </c>
      <c r="F197" s="0" t="s">
        <v>1286</v>
      </c>
      <c r="G197" s="0" t="n">
        <v>9.5</v>
      </c>
      <c r="H197" s="0" t="n">
        <v>8.46</v>
      </c>
      <c r="I197" s="10" t="n">
        <v>0.3674</v>
      </c>
      <c r="J197" s="10" t="n">
        <v>0.6326</v>
      </c>
      <c r="K197" s="9" t="s">
        <v>3455</v>
      </c>
      <c r="L197" s="9" t="s">
        <v>3447</v>
      </c>
      <c r="N197" s="10" t="n">
        <v>0.6</v>
      </c>
      <c r="O197" s="19"/>
      <c r="P197" s="0" t="str">
        <f aca="false">IF(O197="","",IF(O197&gt;G197,"OVER",IF(O197&lt;G197,"UNDER","PUSH")))</f>
        <v/>
      </c>
      <c r="Q197" s="0" t="n">
        <v>8.37</v>
      </c>
      <c r="R197" s="10" t="n">
        <v>0.3563</v>
      </c>
      <c r="S197" s="0" t="n">
        <v>0.9899</v>
      </c>
      <c r="T197" s="0" t="n">
        <v>9</v>
      </c>
      <c r="U197" s="0" t="n">
        <v>8.92</v>
      </c>
    </row>
    <row r="198" customFormat="false" ht="15" hidden="false" customHeight="false" outlineLevel="0" collapsed="false">
      <c r="A198" s="0" t="s">
        <v>1832</v>
      </c>
      <c r="B198" s="0" t="s">
        <v>1830</v>
      </c>
      <c r="C198" s="0" t="s">
        <v>1139</v>
      </c>
      <c r="D198" s="0" t="s">
        <v>1199</v>
      </c>
      <c r="E198" s="0" t="s">
        <v>1530</v>
      </c>
      <c r="F198" s="0" t="s">
        <v>1290</v>
      </c>
      <c r="G198" s="0" t="n">
        <v>30.5</v>
      </c>
      <c r="H198" s="0" t="n">
        <v>29.29</v>
      </c>
      <c r="I198" s="10" t="n">
        <v>0.4249</v>
      </c>
      <c r="J198" s="10" t="n">
        <v>0.5751</v>
      </c>
      <c r="K198" s="9" t="s">
        <v>3455</v>
      </c>
      <c r="L198" s="9" t="s">
        <v>3447</v>
      </c>
      <c r="M198" s="0" t="n">
        <v>30</v>
      </c>
      <c r="N198" s="10" t="n">
        <v>0.4</v>
      </c>
      <c r="O198" s="19"/>
      <c r="P198" s="0" t="str">
        <f aca="false">IF(O198="","",IF(O198&gt;G198,"OVER",IF(O198&lt;G198,"UNDER","PUSH")))</f>
        <v/>
      </c>
      <c r="Q198" s="0" t="n">
        <v>29.02</v>
      </c>
      <c r="R198" s="10" t="n">
        <v>0.4085</v>
      </c>
      <c r="S198" s="0" t="n">
        <v>0.991</v>
      </c>
      <c r="T198" s="0" t="n">
        <v>28.29</v>
      </c>
      <c r="U198" s="0" t="n">
        <v>28.05</v>
      </c>
    </row>
    <row r="199" customFormat="false" ht="15" hidden="false" customHeight="false" outlineLevel="0" collapsed="false">
      <c r="A199" s="0" t="s">
        <v>1832</v>
      </c>
      <c r="B199" s="0" t="s">
        <v>1830</v>
      </c>
      <c r="C199" s="0" t="s">
        <v>1139</v>
      </c>
      <c r="D199" s="0" t="s">
        <v>1199</v>
      </c>
      <c r="E199" s="0" t="s">
        <v>1532</v>
      </c>
      <c r="F199" s="0" t="s">
        <v>1286</v>
      </c>
      <c r="G199" s="0" t="n">
        <v>18.5</v>
      </c>
      <c r="H199" s="0" t="n">
        <v>19.04</v>
      </c>
      <c r="I199" s="10" t="n">
        <v>0.5437</v>
      </c>
      <c r="J199" s="10" t="n">
        <v>0.4563</v>
      </c>
      <c r="K199" s="9" t="s">
        <v>3455</v>
      </c>
      <c r="L199" s="9" t="s">
        <v>3447</v>
      </c>
      <c r="N199" s="10" t="n">
        <v>0.6</v>
      </c>
      <c r="O199" s="19"/>
      <c r="P199" s="0" t="str">
        <f aca="false">IF(O199="","",IF(O199&gt;G199,"OVER",IF(O199&lt;G199,"UNDER","PUSH")))</f>
        <v/>
      </c>
      <c r="Q199" s="0" t="n">
        <v>18.88</v>
      </c>
      <c r="R199" s="10" t="n">
        <v>0.5312</v>
      </c>
      <c r="S199" s="0" t="n">
        <v>0.9918</v>
      </c>
      <c r="T199" s="0" t="n">
        <v>18.69</v>
      </c>
      <c r="U199" s="0" t="n">
        <v>18.54</v>
      </c>
    </row>
    <row r="200" customFormat="false" ht="15" hidden="false" customHeight="false" outlineLevel="0" collapsed="false">
      <c r="A200" s="0" t="s">
        <v>1832</v>
      </c>
      <c r="B200" s="0" t="s">
        <v>1830</v>
      </c>
      <c r="C200" s="0" t="s">
        <v>1139</v>
      </c>
      <c r="D200" s="0" t="s">
        <v>1199</v>
      </c>
      <c r="E200" s="0" t="s">
        <v>1532</v>
      </c>
      <c r="F200" s="0" t="s">
        <v>1290</v>
      </c>
      <c r="G200" s="0" t="n">
        <v>27.5</v>
      </c>
      <c r="H200" s="0" t="n">
        <v>28.64</v>
      </c>
      <c r="I200" s="10" t="n">
        <v>0.5712</v>
      </c>
      <c r="J200" s="10" t="n">
        <v>0.4288</v>
      </c>
      <c r="K200" s="9" t="s">
        <v>3455</v>
      </c>
      <c r="L200" s="9" t="s">
        <v>3447</v>
      </c>
      <c r="M200" s="0" t="n">
        <v>28.41</v>
      </c>
      <c r="N200" s="10" t="n">
        <v>0.4</v>
      </c>
      <c r="O200" s="19"/>
      <c r="P200" s="0" t="str">
        <f aca="false">IF(O200="","",IF(O200&gt;G200,"OVER",IF(O200&lt;G200,"UNDER","PUSH")))</f>
        <v/>
      </c>
      <c r="Q200" s="0" t="n">
        <v>28.41</v>
      </c>
      <c r="R200" s="10" t="n">
        <v>0.5576</v>
      </c>
      <c r="S200" s="0" t="n">
        <v>0.9922</v>
      </c>
      <c r="T200" s="0" t="n">
        <v>27.86</v>
      </c>
      <c r="U200" s="0" t="n">
        <v>27.63</v>
      </c>
    </row>
    <row r="201" customFormat="false" ht="15" hidden="false" customHeight="false" outlineLevel="0" collapsed="false">
      <c r="A201" s="0" t="s">
        <v>1832</v>
      </c>
      <c r="B201" s="0" t="s">
        <v>1830</v>
      </c>
      <c r="C201" s="0" t="s">
        <v>1139</v>
      </c>
      <c r="D201" s="0" t="s">
        <v>1199</v>
      </c>
      <c r="E201" s="0" t="s">
        <v>1534</v>
      </c>
      <c r="F201" s="0" t="s">
        <v>1286</v>
      </c>
      <c r="G201" s="0" t="n">
        <v>15.5</v>
      </c>
      <c r="H201" s="0" t="n">
        <v>16.98</v>
      </c>
      <c r="I201" s="10" t="n">
        <v>0.6276</v>
      </c>
      <c r="J201" s="10" t="n">
        <v>0.3724</v>
      </c>
      <c r="K201" s="9" t="s">
        <v>3455</v>
      </c>
      <c r="L201" s="9" t="s">
        <v>3447</v>
      </c>
      <c r="N201" s="10" t="n">
        <v>0.3</v>
      </c>
      <c r="O201" s="19"/>
      <c r="P201" s="0" t="str">
        <f aca="false">IF(O201="","",IF(O201&gt;G201,"OVER",IF(O201&lt;G201,"UNDER","PUSH")))</f>
        <v/>
      </c>
      <c r="Q201" s="0" t="n">
        <v>16.82</v>
      </c>
      <c r="R201" s="10" t="n">
        <v>0.6151</v>
      </c>
      <c r="S201" s="0" t="n">
        <v>0.9909</v>
      </c>
      <c r="T201" s="0" t="n">
        <v>15.18</v>
      </c>
      <c r="U201" s="0" t="n">
        <v>15.06</v>
      </c>
    </row>
    <row r="202" customFormat="false" ht="15" hidden="false" customHeight="false" outlineLevel="0" collapsed="false">
      <c r="A202" s="0" t="s">
        <v>1832</v>
      </c>
      <c r="B202" s="0" t="s">
        <v>1830</v>
      </c>
      <c r="C202" s="0" t="s">
        <v>1139</v>
      </c>
      <c r="D202" s="0" t="s">
        <v>1199</v>
      </c>
      <c r="E202" s="0" t="s">
        <v>1534</v>
      </c>
      <c r="F202" s="0" t="s">
        <v>1290</v>
      </c>
      <c r="G202" s="0" t="n">
        <v>29.5</v>
      </c>
      <c r="H202" s="0" t="n">
        <v>31.32</v>
      </c>
      <c r="I202" s="10" t="n">
        <v>0.6083</v>
      </c>
      <c r="J202" s="10" t="n">
        <v>0.3917</v>
      </c>
      <c r="K202" s="9" t="s">
        <v>3455</v>
      </c>
      <c r="L202" s="9" t="s">
        <v>3447</v>
      </c>
      <c r="M202" s="0" t="n">
        <v>29.77</v>
      </c>
      <c r="N202" s="10" t="n">
        <v>0.3</v>
      </c>
      <c r="O202" s="19"/>
      <c r="P202" s="0" t="str">
        <f aca="false">IF(O202="","",IF(O202&gt;G202,"OVER",IF(O202&lt;G202,"UNDER","PUSH")))</f>
        <v/>
      </c>
      <c r="Q202" s="0" t="n">
        <v>31.05</v>
      </c>
      <c r="R202" s="10" t="n">
        <v>0.593</v>
      </c>
      <c r="S202" s="0" t="n">
        <v>0.9914</v>
      </c>
      <c r="T202" s="0" t="n">
        <v>29.14</v>
      </c>
      <c r="U202" s="0" t="n">
        <v>28.9</v>
      </c>
    </row>
    <row r="203" customFormat="false" ht="15" hidden="false" customHeight="false" outlineLevel="0" collapsed="false">
      <c r="A203" s="0" t="s">
        <v>1832</v>
      </c>
      <c r="B203" s="0" t="s">
        <v>1830</v>
      </c>
      <c r="C203" s="0" t="s">
        <v>1139</v>
      </c>
      <c r="D203" s="0" t="s">
        <v>1229</v>
      </c>
      <c r="E203" s="0" t="s">
        <v>1536</v>
      </c>
      <c r="F203" s="0" t="s">
        <v>1286</v>
      </c>
      <c r="G203" s="0" t="n">
        <v>17.5</v>
      </c>
      <c r="H203" s="0" t="n">
        <v>17.34</v>
      </c>
      <c r="I203" s="10" t="n">
        <v>0.4865</v>
      </c>
      <c r="J203" s="10" t="n">
        <v>0.5135</v>
      </c>
      <c r="K203" s="9" t="s">
        <v>3448</v>
      </c>
      <c r="L203" s="9" t="s">
        <v>3440</v>
      </c>
      <c r="N203" s="10" t="n">
        <v>0.7</v>
      </c>
      <c r="O203" s="19"/>
      <c r="P203" s="0" t="str">
        <f aca="false">IF(O203="","",IF(O203&gt;G203,"OVER",IF(O203&lt;G203,"UNDER","PUSH")))</f>
        <v/>
      </c>
      <c r="Q203" s="0" t="n">
        <v>19.13</v>
      </c>
      <c r="R203" s="10" t="n">
        <v>0.6316</v>
      </c>
      <c r="S203" s="0" t="n">
        <v>1.1029</v>
      </c>
      <c r="T203" s="0" t="n">
        <v>17.55</v>
      </c>
      <c r="U203" s="0" t="n">
        <v>19.35</v>
      </c>
    </row>
    <row r="204" customFormat="false" ht="15" hidden="false" customHeight="false" outlineLevel="0" collapsed="false">
      <c r="A204" s="0" t="s">
        <v>1832</v>
      </c>
      <c r="B204" s="0" t="s">
        <v>1830</v>
      </c>
      <c r="C204" s="0" t="s">
        <v>1139</v>
      </c>
      <c r="D204" s="0" t="s">
        <v>1229</v>
      </c>
      <c r="E204" s="0" t="s">
        <v>1536</v>
      </c>
      <c r="F204" s="0" t="s">
        <v>1290</v>
      </c>
      <c r="G204" s="0" t="n">
        <v>32.5</v>
      </c>
      <c r="H204" s="0" t="n">
        <v>30.57</v>
      </c>
      <c r="I204" s="10" t="n">
        <v>0.3839</v>
      </c>
      <c r="J204" s="10" t="n">
        <v>0.6161</v>
      </c>
      <c r="K204" s="9" t="s">
        <v>3448</v>
      </c>
      <c r="L204" s="9" t="s">
        <v>3440</v>
      </c>
      <c r="N204" s="10" t="n">
        <v>0.4</v>
      </c>
      <c r="O204" s="19"/>
      <c r="P204" s="0" t="str">
        <f aca="false">IF(O204="","",IF(O204&gt;G204,"OVER",IF(O204&lt;G204,"UNDER","PUSH")))</f>
        <v/>
      </c>
      <c r="Q204" s="0" t="n">
        <v>33.68</v>
      </c>
      <c r="R204" s="10" t="n">
        <v>0.5682</v>
      </c>
      <c r="S204" s="0" t="n">
        <v>1.1018</v>
      </c>
      <c r="T204" s="0" t="n">
        <v>31.39</v>
      </c>
      <c r="U204" s="0" t="n">
        <v>34.61</v>
      </c>
    </row>
    <row r="205" customFormat="false" ht="15" hidden="false" customHeight="false" outlineLevel="0" collapsed="false">
      <c r="A205" s="0" t="s">
        <v>1832</v>
      </c>
      <c r="B205" s="0" t="s">
        <v>1830</v>
      </c>
      <c r="C205" s="0" t="s">
        <v>1139</v>
      </c>
      <c r="D205" s="0" t="s">
        <v>1229</v>
      </c>
      <c r="E205" s="0" t="s">
        <v>1538</v>
      </c>
      <c r="F205" s="0" t="s">
        <v>1286</v>
      </c>
      <c r="G205" s="0" t="n">
        <v>12.5</v>
      </c>
      <c r="H205" s="0" t="n">
        <v>11.84</v>
      </c>
      <c r="I205" s="10" t="n">
        <v>0.4292</v>
      </c>
      <c r="J205" s="10" t="n">
        <v>0.5708</v>
      </c>
      <c r="K205" s="9" t="s">
        <v>3448</v>
      </c>
      <c r="L205" s="9" t="s">
        <v>3440</v>
      </c>
      <c r="N205" s="10" t="n">
        <v>0.4</v>
      </c>
      <c r="O205" s="19"/>
      <c r="P205" s="0" t="str">
        <f aca="false">IF(O205="","",IF(O205&gt;G205,"OVER",IF(O205&lt;G205,"UNDER","PUSH")))</f>
        <v/>
      </c>
      <c r="Q205" s="0" t="n">
        <v>13.06</v>
      </c>
      <c r="R205" s="10" t="n">
        <v>0.5569</v>
      </c>
      <c r="S205" s="0" t="n">
        <v>1.1028</v>
      </c>
      <c r="T205" s="0" t="n">
        <v>12.2</v>
      </c>
      <c r="U205" s="0" t="n">
        <v>13.45</v>
      </c>
    </row>
    <row r="206" customFormat="false" ht="15" hidden="false" customHeight="false" outlineLevel="0" collapsed="false">
      <c r="A206" s="0" t="s">
        <v>1832</v>
      </c>
      <c r="B206" s="0" t="s">
        <v>1830</v>
      </c>
      <c r="C206" s="0" t="s">
        <v>1139</v>
      </c>
      <c r="D206" s="0" t="s">
        <v>1229</v>
      </c>
      <c r="E206" s="0" t="s">
        <v>1538</v>
      </c>
      <c r="F206" s="0" t="s">
        <v>1290</v>
      </c>
      <c r="G206" s="0" t="n">
        <v>31.5</v>
      </c>
      <c r="H206" s="0" t="n">
        <v>30.03</v>
      </c>
      <c r="I206" s="10" t="n">
        <v>0.4106</v>
      </c>
      <c r="J206" s="10" t="n">
        <v>0.5894</v>
      </c>
      <c r="K206" s="9" t="s">
        <v>3448</v>
      </c>
      <c r="L206" s="9" t="s">
        <v>3440</v>
      </c>
      <c r="N206" s="10" t="n">
        <v>0.4</v>
      </c>
      <c r="O206" s="19"/>
      <c r="P206" s="0" t="str">
        <f aca="false">IF(O206="","",IF(O206&gt;G206,"OVER",IF(O206&lt;G206,"UNDER","PUSH")))</f>
        <v/>
      </c>
      <c r="Q206" s="0" t="n">
        <v>33.1</v>
      </c>
      <c r="R206" s="10" t="n">
        <v>0.5929</v>
      </c>
      <c r="S206" s="0" t="n">
        <v>1.1021</v>
      </c>
      <c r="T206" s="0" t="n">
        <v>30.96</v>
      </c>
      <c r="U206" s="0" t="n">
        <v>34.13</v>
      </c>
    </row>
    <row r="207" customFormat="false" ht="15" hidden="false" customHeight="false" outlineLevel="0" collapsed="false">
      <c r="A207" s="0" t="s">
        <v>1832</v>
      </c>
      <c r="B207" s="0" t="s">
        <v>1830</v>
      </c>
      <c r="C207" s="0" t="s">
        <v>1139</v>
      </c>
      <c r="D207" s="0" t="s">
        <v>1229</v>
      </c>
      <c r="E207" s="0" t="s">
        <v>1540</v>
      </c>
      <c r="F207" s="0" t="s">
        <v>1286</v>
      </c>
      <c r="G207" s="0" t="n">
        <v>14.5</v>
      </c>
      <c r="H207" s="0" t="n">
        <v>12.69</v>
      </c>
      <c r="I207" s="10" t="n">
        <v>0.3206</v>
      </c>
      <c r="J207" s="10" t="n">
        <v>0.6794</v>
      </c>
      <c r="K207" s="9" t="s">
        <v>3448</v>
      </c>
      <c r="L207" s="9" t="s">
        <v>3440</v>
      </c>
      <c r="N207" s="10" t="n">
        <v>0.2</v>
      </c>
      <c r="O207" s="19"/>
      <c r="P207" s="0" t="str">
        <f aca="false">IF(O207="","",IF(O207&gt;G207,"OVER",IF(O207&lt;G207,"UNDER","PUSH")))</f>
        <v/>
      </c>
      <c r="Q207" s="0" t="n">
        <v>13.99</v>
      </c>
      <c r="R207" s="10" t="n">
        <v>0.4503</v>
      </c>
      <c r="S207" s="0" t="n">
        <v>1.1028</v>
      </c>
      <c r="T207" s="0" t="n">
        <v>13.17</v>
      </c>
      <c r="U207" s="0" t="n">
        <v>14.52</v>
      </c>
    </row>
    <row r="208" customFormat="false" ht="15" hidden="false" customHeight="false" outlineLevel="0" collapsed="false">
      <c r="A208" s="0" t="s">
        <v>1832</v>
      </c>
      <c r="B208" s="0" t="s">
        <v>1830</v>
      </c>
      <c r="C208" s="0" t="s">
        <v>1139</v>
      </c>
      <c r="D208" s="0" t="s">
        <v>1229</v>
      </c>
      <c r="E208" s="0" t="s">
        <v>1540</v>
      </c>
      <c r="F208" s="0" t="s">
        <v>1290</v>
      </c>
      <c r="G208" s="0" t="n">
        <v>28.5</v>
      </c>
      <c r="H208" s="0" t="n">
        <v>26.03</v>
      </c>
      <c r="I208" s="10" t="n">
        <v>0.341</v>
      </c>
      <c r="J208" s="10" t="n">
        <v>0.659</v>
      </c>
      <c r="K208" s="9" t="s">
        <v>3448</v>
      </c>
      <c r="L208" s="9" t="s">
        <v>3440</v>
      </c>
      <c r="N208" s="10" t="n">
        <v>0.3</v>
      </c>
      <c r="O208" s="19"/>
      <c r="P208" s="0" t="str">
        <f aca="false">IF(O208="","",IF(O208&gt;G208,"OVER",IF(O208&lt;G208,"UNDER","PUSH")))</f>
        <v/>
      </c>
      <c r="Q208" s="0" t="n">
        <v>28.7</v>
      </c>
      <c r="R208" s="10" t="n">
        <v>0.5124</v>
      </c>
      <c r="S208" s="0" t="n">
        <v>1.1026</v>
      </c>
      <c r="T208" s="0" t="n">
        <v>26.66</v>
      </c>
      <c r="U208" s="0" t="n">
        <v>29.39</v>
      </c>
    </row>
    <row r="209" customFormat="false" ht="15" hidden="false" customHeight="false" outlineLevel="0" collapsed="false">
      <c r="A209" s="0" t="s">
        <v>1832</v>
      </c>
      <c r="B209" s="0" t="s">
        <v>1830</v>
      </c>
      <c r="C209" s="0" t="s">
        <v>1139</v>
      </c>
      <c r="D209" s="0" t="s">
        <v>1229</v>
      </c>
      <c r="E209" s="0" t="s">
        <v>1542</v>
      </c>
      <c r="F209" s="0" t="s">
        <v>1286</v>
      </c>
      <c r="G209" s="0" t="n">
        <v>14.5</v>
      </c>
      <c r="H209" s="0" t="n">
        <v>15.11</v>
      </c>
      <c r="I209" s="10" t="n">
        <v>0.5561</v>
      </c>
      <c r="J209" s="10" t="n">
        <v>0.4439</v>
      </c>
      <c r="K209" s="9" t="s">
        <v>3448</v>
      </c>
      <c r="L209" s="9" t="s">
        <v>3440</v>
      </c>
      <c r="N209" s="10" t="n">
        <v>0.6</v>
      </c>
      <c r="O209" s="19"/>
      <c r="P209" s="0" t="str">
        <f aca="false">IF(O209="","",IF(O209&gt;G209,"OVER",IF(O209&lt;G209,"UNDER","PUSH")))</f>
        <v/>
      </c>
      <c r="Q209" s="0" t="n">
        <v>16.66</v>
      </c>
      <c r="R209" s="10" t="n">
        <v>0.6829</v>
      </c>
      <c r="S209" s="0" t="n">
        <v>1.1027</v>
      </c>
      <c r="T209" s="0" t="n">
        <v>15.61</v>
      </c>
      <c r="U209" s="0" t="n">
        <v>17.21</v>
      </c>
    </row>
    <row r="210" customFormat="false" ht="15" hidden="false" customHeight="false" outlineLevel="0" collapsed="false">
      <c r="A210" s="0" t="s">
        <v>1832</v>
      </c>
      <c r="B210" s="0" t="s">
        <v>1830</v>
      </c>
      <c r="C210" s="0" t="s">
        <v>1139</v>
      </c>
      <c r="D210" s="0" t="s">
        <v>1229</v>
      </c>
      <c r="E210" s="0" t="s">
        <v>1542</v>
      </c>
      <c r="F210" s="0" t="s">
        <v>1290</v>
      </c>
      <c r="G210" s="0" t="n">
        <v>26.5</v>
      </c>
      <c r="H210" s="0" t="n">
        <v>25.22</v>
      </c>
      <c r="I210" s="10" t="n">
        <v>0.4147</v>
      </c>
      <c r="J210" s="10" t="n">
        <v>0.5853</v>
      </c>
      <c r="K210" s="9" t="s">
        <v>3448</v>
      </c>
      <c r="L210" s="9" t="s">
        <v>3440</v>
      </c>
      <c r="N210" s="10" t="n">
        <v>0.4</v>
      </c>
      <c r="O210" s="19"/>
      <c r="P210" s="0" t="str">
        <f aca="false">IF(O210="","",IF(O210&gt;G210,"OVER",IF(O210&lt;G210,"UNDER","PUSH")))</f>
        <v/>
      </c>
      <c r="Q210" s="0" t="n">
        <v>27.81</v>
      </c>
      <c r="R210" s="10" t="n">
        <v>0.5833</v>
      </c>
      <c r="S210" s="0" t="n">
        <v>1.1028</v>
      </c>
      <c r="T210" s="0" t="n">
        <v>26.23</v>
      </c>
      <c r="U210" s="0" t="n">
        <v>28.92</v>
      </c>
    </row>
    <row r="211" customFormat="false" ht="15" hidden="false" customHeight="false" outlineLevel="0" collapsed="false">
      <c r="A211" s="0" t="s">
        <v>1832</v>
      </c>
      <c r="B211" s="0" t="s">
        <v>1830</v>
      </c>
      <c r="C211" s="0" t="s">
        <v>1139</v>
      </c>
      <c r="D211" s="0" t="s">
        <v>1229</v>
      </c>
      <c r="E211" s="0" t="s">
        <v>1544</v>
      </c>
      <c r="F211" s="0" t="s">
        <v>1290</v>
      </c>
      <c r="G211" s="0" t="n">
        <v>29.5</v>
      </c>
      <c r="H211" s="0" t="n">
        <v>27.57</v>
      </c>
      <c r="I211" s="10" t="n">
        <v>0.3777</v>
      </c>
      <c r="J211" s="10" t="n">
        <v>0.6223</v>
      </c>
      <c r="K211" s="9" t="s">
        <v>3448</v>
      </c>
      <c r="L211" s="9" t="s">
        <v>3440</v>
      </c>
      <c r="N211" s="10" t="n">
        <v>0.3</v>
      </c>
      <c r="O211" s="19"/>
      <c r="P211" s="0" t="str">
        <f aca="false">IF(O211="","",IF(O211&gt;G211,"OVER",IF(O211&lt;G211,"UNDER","PUSH")))</f>
        <v/>
      </c>
      <c r="Q211" s="0" t="n">
        <v>30.37</v>
      </c>
      <c r="R211" s="10" t="n">
        <v>0.5531</v>
      </c>
      <c r="S211" s="0" t="n">
        <v>1.1018</v>
      </c>
      <c r="T211" s="0" t="n">
        <v>28.38</v>
      </c>
      <c r="U211" s="0" t="n">
        <v>31.29</v>
      </c>
    </row>
    <row r="212" customFormat="false" ht="15" hidden="false" customHeight="false" outlineLevel="0" collapsed="false">
      <c r="A212" s="0" t="s">
        <v>1832</v>
      </c>
      <c r="B212" s="0" t="s">
        <v>1830</v>
      </c>
      <c r="C212" s="0" t="s">
        <v>1139</v>
      </c>
      <c r="D212" s="0" t="s">
        <v>1239</v>
      </c>
      <c r="E212" s="0" t="s">
        <v>1546</v>
      </c>
      <c r="F212" s="0" t="s">
        <v>1286</v>
      </c>
      <c r="G212" s="0" t="n">
        <v>13</v>
      </c>
      <c r="H212" s="0" t="n">
        <v>13.16</v>
      </c>
      <c r="I212" s="10" t="n">
        <v>0.4662</v>
      </c>
      <c r="J212" s="10" t="n">
        <v>0.4339</v>
      </c>
      <c r="K212" s="9" t="s">
        <v>3451</v>
      </c>
      <c r="L212" s="9" t="s">
        <v>3457</v>
      </c>
      <c r="N212" s="10" t="n">
        <v>0.6</v>
      </c>
      <c r="O212" s="19"/>
      <c r="P212" s="0" t="str">
        <f aca="false">IF(O212="","",IF(O212&gt;G212,"OVER",IF(O212&lt;G212,"UNDER","PUSH")))</f>
        <v/>
      </c>
      <c r="Q212" s="0" t="n">
        <v>12.75</v>
      </c>
      <c r="R212" s="10" t="n">
        <v>0.4243</v>
      </c>
      <c r="S212" s="0" t="n">
        <v>0.9689</v>
      </c>
      <c r="T212" s="0" t="n">
        <v>13.33</v>
      </c>
      <c r="U212" s="0" t="n">
        <v>12.93</v>
      </c>
    </row>
    <row r="213" customFormat="false" ht="15" hidden="false" customHeight="false" outlineLevel="0" collapsed="false">
      <c r="A213" s="0" t="s">
        <v>1832</v>
      </c>
      <c r="B213" s="0" t="s">
        <v>1830</v>
      </c>
      <c r="C213" s="0" t="s">
        <v>1139</v>
      </c>
      <c r="D213" s="0" t="s">
        <v>1239</v>
      </c>
      <c r="E213" s="0" t="s">
        <v>1546</v>
      </c>
      <c r="F213" s="0" t="s">
        <v>1290</v>
      </c>
      <c r="G213" s="0" t="n">
        <v>25.5</v>
      </c>
      <c r="H213" s="0" t="n">
        <v>25.82</v>
      </c>
      <c r="I213" s="10" t="n">
        <v>0.5215</v>
      </c>
      <c r="J213" s="10" t="n">
        <v>0.4785</v>
      </c>
      <c r="K213" s="9" t="s">
        <v>3451</v>
      </c>
      <c r="L213" s="9" t="s">
        <v>3457</v>
      </c>
      <c r="M213" s="0" t="n">
        <v>25.65</v>
      </c>
      <c r="N213" s="10" t="n">
        <v>0.6</v>
      </c>
      <c r="O213" s="19"/>
      <c r="P213" s="0" t="str">
        <f aca="false">IF(O213="","",IF(O213&gt;G213,"OVER",IF(O213&lt;G213,"UNDER","PUSH")))</f>
        <v/>
      </c>
      <c r="Q213" s="0" t="n">
        <v>25.03</v>
      </c>
      <c r="R213" s="10" t="n">
        <v>0.4682</v>
      </c>
      <c r="S213" s="0" t="n">
        <v>0.9691</v>
      </c>
      <c r="T213" s="0" t="n">
        <v>25.79</v>
      </c>
      <c r="U213" s="0" t="n">
        <v>25</v>
      </c>
    </row>
    <row r="214" customFormat="false" ht="15" hidden="false" customHeight="false" outlineLevel="0" collapsed="false">
      <c r="A214" s="0" t="s">
        <v>1832</v>
      </c>
      <c r="B214" s="0" t="s">
        <v>1830</v>
      </c>
      <c r="C214" s="0" t="s">
        <v>1139</v>
      </c>
      <c r="D214" s="0" t="s">
        <v>1239</v>
      </c>
      <c r="E214" s="0" t="s">
        <v>1548</v>
      </c>
      <c r="F214" s="0" t="s">
        <v>1286</v>
      </c>
      <c r="G214" s="0" t="n">
        <v>13</v>
      </c>
      <c r="H214" s="0" t="n">
        <v>13.57</v>
      </c>
      <c r="I214" s="10" t="n">
        <v>0.507</v>
      </c>
      <c r="J214" s="10" t="n">
        <v>0.3952</v>
      </c>
      <c r="K214" s="9" t="s">
        <v>3451</v>
      </c>
      <c r="L214" s="9" t="s">
        <v>3457</v>
      </c>
      <c r="N214" s="10" t="n">
        <v>0.4</v>
      </c>
      <c r="O214" s="19"/>
      <c r="P214" s="0" t="str">
        <f aca="false">IF(O214="","",IF(O214&gt;G214,"OVER",IF(O214&lt;G214,"UNDER","PUSH")))</f>
        <v/>
      </c>
      <c r="Q214" s="0" t="n">
        <v>13.15</v>
      </c>
      <c r="R214" s="10" t="n">
        <v>0.4649</v>
      </c>
      <c r="S214" s="0" t="n">
        <v>0.9691</v>
      </c>
      <c r="T214" s="0" t="n">
        <v>13.33</v>
      </c>
      <c r="U214" s="0" t="n">
        <v>12.92</v>
      </c>
    </row>
    <row r="215" customFormat="false" ht="15" hidden="false" customHeight="false" outlineLevel="0" collapsed="false">
      <c r="A215" s="0" t="s">
        <v>1832</v>
      </c>
      <c r="B215" s="0" t="s">
        <v>1830</v>
      </c>
      <c r="C215" s="0" t="s">
        <v>1139</v>
      </c>
      <c r="D215" s="0" t="s">
        <v>1239</v>
      </c>
      <c r="E215" s="0" t="s">
        <v>1548</v>
      </c>
      <c r="F215" s="0" t="s">
        <v>1290</v>
      </c>
      <c r="G215" s="0" t="n">
        <v>25.5</v>
      </c>
      <c r="H215" s="0" t="n">
        <v>27.9</v>
      </c>
      <c r="I215" s="10" t="n">
        <v>0.6493</v>
      </c>
      <c r="J215" s="10" t="n">
        <v>0.3507</v>
      </c>
      <c r="K215" s="9" t="s">
        <v>3451</v>
      </c>
      <c r="L215" s="9" t="s">
        <v>3457</v>
      </c>
      <c r="M215" s="0" t="n">
        <v>26.46</v>
      </c>
      <c r="N215" s="10" t="n">
        <v>0.5</v>
      </c>
      <c r="O215" s="19"/>
      <c r="P215" s="0" t="str">
        <f aca="false">IF(O215="","",IF(O215&gt;G215,"OVER",IF(O215&lt;G215,"UNDER","PUSH")))</f>
        <v/>
      </c>
      <c r="Q215" s="0" t="n">
        <v>27.04</v>
      </c>
      <c r="R215" s="10" t="n">
        <v>0.5989</v>
      </c>
      <c r="S215" s="0" t="n">
        <v>0.9693</v>
      </c>
      <c r="T215" s="0" t="n">
        <v>27.04</v>
      </c>
      <c r="U215" s="0" t="n">
        <v>26.21</v>
      </c>
    </row>
    <row r="216" customFormat="false" ht="15" hidden="false" customHeight="false" outlineLevel="0" collapsed="false">
      <c r="A216" s="0" t="s">
        <v>1832</v>
      </c>
      <c r="B216" s="0" t="s">
        <v>1830</v>
      </c>
      <c r="C216" s="0" t="s">
        <v>1139</v>
      </c>
      <c r="D216" s="0" t="s">
        <v>1239</v>
      </c>
      <c r="E216" s="0" t="s">
        <v>1550</v>
      </c>
      <c r="F216" s="0" t="s">
        <v>1286</v>
      </c>
      <c r="G216" s="0" t="n">
        <v>9.5</v>
      </c>
      <c r="H216" s="0" t="n">
        <v>10.78</v>
      </c>
      <c r="I216" s="10" t="n">
        <v>0.6426</v>
      </c>
      <c r="J216" s="10" t="n">
        <v>0.3574</v>
      </c>
      <c r="K216" s="9" t="s">
        <v>3451</v>
      </c>
      <c r="L216" s="9" t="s">
        <v>3457</v>
      </c>
      <c r="N216" s="10" t="n">
        <v>0.6</v>
      </c>
      <c r="O216" s="19"/>
      <c r="P216" s="0" t="str">
        <f aca="false">IF(O216="","",IF(O216&gt;G216,"OVER",IF(O216&lt;G216,"UNDER","PUSH")))</f>
        <v/>
      </c>
      <c r="Q216" s="0" t="n">
        <v>10.45</v>
      </c>
      <c r="R216" s="10" t="n">
        <v>0.6082</v>
      </c>
      <c r="S216" s="0" t="n">
        <v>0.969</v>
      </c>
      <c r="T216" s="0" t="n">
        <v>10.11</v>
      </c>
      <c r="U216" s="0" t="n">
        <v>9.8</v>
      </c>
    </row>
    <row r="217" customFormat="false" ht="15" hidden="false" customHeight="false" outlineLevel="0" collapsed="false">
      <c r="A217" s="0" t="s">
        <v>1832</v>
      </c>
      <c r="B217" s="0" t="s">
        <v>1830</v>
      </c>
      <c r="C217" s="0" t="s">
        <v>1139</v>
      </c>
      <c r="D217" s="0" t="s">
        <v>1239</v>
      </c>
      <c r="E217" s="0" t="s">
        <v>1550</v>
      </c>
      <c r="F217" s="0" t="s">
        <v>1290</v>
      </c>
      <c r="G217" s="0" t="n">
        <v>28.5</v>
      </c>
      <c r="H217" s="0" t="n">
        <v>30.07</v>
      </c>
      <c r="I217" s="10" t="n">
        <v>0.5959</v>
      </c>
      <c r="J217" s="10" t="n">
        <v>0.4041</v>
      </c>
      <c r="K217" s="9" t="s">
        <v>3451</v>
      </c>
      <c r="L217" s="9" t="s">
        <v>3457</v>
      </c>
      <c r="M217" s="0" t="n">
        <v>28.85</v>
      </c>
      <c r="N217" s="10" t="n">
        <v>0.5</v>
      </c>
      <c r="O217" s="19"/>
      <c r="P217" s="0" t="str">
        <f aca="false">IF(O217="","",IF(O217&gt;G217,"OVER",IF(O217&lt;G217,"UNDER","PUSH")))</f>
        <v/>
      </c>
      <c r="Q217" s="0" t="n">
        <v>29.15</v>
      </c>
      <c r="R217" s="10" t="n">
        <v>0.5407</v>
      </c>
      <c r="S217" s="0" t="n">
        <v>0.9694</v>
      </c>
      <c r="T217" s="0" t="n">
        <v>30.37</v>
      </c>
      <c r="U217" s="0" t="n">
        <v>29.44</v>
      </c>
    </row>
    <row r="218" customFormat="false" ht="15" hidden="false" customHeight="false" outlineLevel="0" collapsed="false">
      <c r="A218" s="0" t="s">
        <v>1832</v>
      </c>
      <c r="B218" s="0" t="s">
        <v>1830</v>
      </c>
      <c r="C218" s="0" t="s">
        <v>1139</v>
      </c>
      <c r="D218" s="0" t="s">
        <v>1239</v>
      </c>
      <c r="E218" s="0" t="s">
        <v>1552</v>
      </c>
      <c r="F218" s="0" t="s">
        <v>1286</v>
      </c>
      <c r="G218" s="0" t="n">
        <v>13</v>
      </c>
      <c r="H218" s="0" t="n">
        <v>12.76</v>
      </c>
      <c r="I218" s="10" t="n">
        <v>0.425</v>
      </c>
      <c r="J218" s="10" t="n">
        <v>0.4738</v>
      </c>
      <c r="K218" s="9" t="s">
        <v>3451</v>
      </c>
      <c r="L218" s="9" t="s">
        <v>3457</v>
      </c>
      <c r="N218" s="10" t="n">
        <v>0.4</v>
      </c>
      <c r="O218" s="19"/>
      <c r="P218" s="0" t="str">
        <f aca="false">IF(O218="","",IF(O218&gt;G218,"OVER",IF(O218&lt;G218,"UNDER","PUSH")))</f>
        <v/>
      </c>
      <c r="Q218" s="0" t="n">
        <v>12.36</v>
      </c>
      <c r="R218" s="10" t="n">
        <v>0.3844</v>
      </c>
      <c r="S218" s="0" t="n">
        <v>0.9691</v>
      </c>
      <c r="T218" s="0" t="n">
        <v>13.4</v>
      </c>
      <c r="U218" s="0" t="n">
        <v>12.99</v>
      </c>
    </row>
    <row r="219" customFormat="false" ht="15" hidden="false" customHeight="false" outlineLevel="0" collapsed="false">
      <c r="A219" s="0" t="s">
        <v>1832</v>
      </c>
      <c r="B219" s="0" t="s">
        <v>1830</v>
      </c>
      <c r="C219" s="0" t="s">
        <v>1139</v>
      </c>
      <c r="D219" s="0" t="s">
        <v>1239</v>
      </c>
      <c r="E219" s="0" t="s">
        <v>1552</v>
      </c>
      <c r="F219" s="0" t="s">
        <v>1290</v>
      </c>
      <c r="G219" s="0" t="n">
        <v>22.5</v>
      </c>
      <c r="H219" s="0" t="n">
        <v>24.67</v>
      </c>
      <c r="I219" s="10" t="n">
        <v>0.6438</v>
      </c>
      <c r="J219" s="10" t="n">
        <v>0.3562</v>
      </c>
      <c r="K219" s="9" t="s">
        <v>3451</v>
      </c>
      <c r="L219" s="9" t="s">
        <v>3457</v>
      </c>
      <c r="M219" s="0" t="n">
        <v>23.25</v>
      </c>
      <c r="N219" s="10" t="n">
        <v>0.7</v>
      </c>
      <c r="O219" s="19"/>
      <c r="P219" s="0" t="str">
        <f aca="false">IF(O219="","",IF(O219&gt;G219,"OVER",IF(O219&lt;G219,"UNDER","PUSH")))</f>
        <v/>
      </c>
      <c r="Q219" s="0" t="n">
        <v>23.91</v>
      </c>
      <c r="R219" s="10" t="n">
        <v>0.5963</v>
      </c>
      <c r="S219" s="0" t="n">
        <v>0.9694</v>
      </c>
      <c r="T219" s="0" t="n">
        <v>24.96</v>
      </c>
      <c r="U219" s="0" t="n">
        <v>24.19</v>
      </c>
    </row>
    <row r="220" customFormat="false" ht="15" hidden="false" customHeight="false" outlineLevel="0" collapsed="false">
      <c r="A220" s="0" t="s">
        <v>1832</v>
      </c>
      <c r="B220" s="0" t="s">
        <v>1830</v>
      </c>
      <c r="C220" s="0" t="s">
        <v>1139</v>
      </c>
      <c r="D220" s="0" t="s">
        <v>1239</v>
      </c>
      <c r="E220" s="0" t="s">
        <v>1554</v>
      </c>
      <c r="F220" s="0" t="s">
        <v>1286</v>
      </c>
      <c r="G220" s="0" t="n">
        <v>14.5</v>
      </c>
      <c r="H220" s="0" t="n">
        <v>15.86</v>
      </c>
      <c r="I220" s="10" t="n">
        <v>0.621</v>
      </c>
      <c r="J220" s="10" t="n">
        <v>0.379</v>
      </c>
      <c r="K220" s="9" t="s">
        <v>3451</v>
      </c>
      <c r="L220" s="9" t="s">
        <v>3457</v>
      </c>
      <c r="N220" s="10" t="n">
        <v>0.6</v>
      </c>
      <c r="O220" s="19"/>
      <c r="P220" s="0" t="str">
        <f aca="false">IF(O220="","",IF(O220&gt;G220,"OVER",IF(O220&lt;G220,"UNDER","PUSH")))</f>
        <v/>
      </c>
      <c r="Q220" s="0" t="n">
        <v>15.38</v>
      </c>
      <c r="R220" s="10" t="n">
        <v>0.58</v>
      </c>
      <c r="S220" s="0" t="n">
        <v>0.9696</v>
      </c>
      <c r="T220" s="0" t="n">
        <v>15.8</v>
      </c>
      <c r="U220" s="0" t="n">
        <v>15.32</v>
      </c>
    </row>
    <row r="221" customFormat="false" ht="15" hidden="false" customHeight="false" outlineLevel="0" collapsed="false">
      <c r="A221" s="0" t="s">
        <v>1832</v>
      </c>
      <c r="B221" s="0" t="s">
        <v>1830</v>
      </c>
      <c r="C221" s="0" t="s">
        <v>1139</v>
      </c>
      <c r="D221" s="0" t="s">
        <v>1239</v>
      </c>
      <c r="E221" s="0" t="s">
        <v>1554</v>
      </c>
      <c r="F221" s="0" t="s">
        <v>1290</v>
      </c>
      <c r="G221" s="0" t="n">
        <v>26.5</v>
      </c>
      <c r="H221" s="0" t="n">
        <v>27.58</v>
      </c>
      <c r="I221" s="10" t="n">
        <v>0.5689</v>
      </c>
      <c r="J221" s="10" t="n">
        <v>0.4311</v>
      </c>
      <c r="K221" s="9" t="s">
        <v>3451</v>
      </c>
      <c r="L221" s="9" t="s">
        <v>3457</v>
      </c>
      <c r="M221" s="0" t="n">
        <v>26.46</v>
      </c>
      <c r="N221" s="10" t="n">
        <v>0.7</v>
      </c>
      <c r="O221" s="19"/>
      <c r="P221" s="0" t="str">
        <f aca="false">IF(O221="","",IF(O221&gt;G221,"OVER",IF(O221&lt;G221,"UNDER","PUSH")))</f>
        <v/>
      </c>
      <c r="Q221" s="0" t="n">
        <v>26.73</v>
      </c>
      <c r="R221" s="10" t="n">
        <v>0.5152</v>
      </c>
      <c r="S221" s="0" t="n">
        <v>0.9694</v>
      </c>
      <c r="T221" s="0" t="n">
        <v>27.87</v>
      </c>
      <c r="U221" s="0" t="n">
        <v>27.02</v>
      </c>
    </row>
    <row r="222" customFormat="false" ht="15" hidden="false" customHeight="false" outlineLevel="0" collapsed="false">
      <c r="A222" s="0" t="s">
        <v>1832</v>
      </c>
      <c r="B222" s="0" t="s">
        <v>1830</v>
      </c>
      <c r="C222" s="0" t="s">
        <v>1139</v>
      </c>
      <c r="D222" s="0" t="s">
        <v>1239</v>
      </c>
      <c r="E222" s="0" t="s">
        <v>1556</v>
      </c>
      <c r="F222" s="0" t="s">
        <v>1286</v>
      </c>
      <c r="G222" s="0" t="n">
        <v>15.5</v>
      </c>
      <c r="H222" s="0" t="n">
        <v>14.44</v>
      </c>
      <c r="I222" s="10" t="n">
        <v>0.4004</v>
      </c>
      <c r="J222" s="10" t="n">
        <v>0.5996</v>
      </c>
      <c r="K222" s="9" t="s">
        <v>3451</v>
      </c>
      <c r="L222" s="9" t="s">
        <v>3457</v>
      </c>
      <c r="N222" s="10" t="n">
        <v>0.4</v>
      </c>
      <c r="O222" s="19"/>
      <c r="P222" s="0" t="str">
        <f aca="false">IF(O222="","",IF(O222&gt;G222,"OVER",IF(O222&lt;G222,"UNDER","PUSH")))</f>
        <v/>
      </c>
      <c r="Q222" s="0" t="n">
        <v>14.77</v>
      </c>
      <c r="R222" s="10" t="n">
        <v>0.4323</v>
      </c>
      <c r="S222" s="0" t="n">
        <v>1.0233</v>
      </c>
      <c r="T222" s="0" t="n">
        <v>13.92</v>
      </c>
      <c r="U222" s="0" t="n">
        <v>14.24</v>
      </c>
    </row>
    <row r="223" customFormat="false" ht="15" hidden="false" customHeight="false" outlineLevel="0" collapsed="false">
      <c r="A223" s="0" t="s">
        <v>1832</v>
      </c>
      <c r="B223" s="0" t="s">
        <v>1830</v>
      </c>
      <c r="C223" s="0" t="s">
        <v>1139</v>
      </c>
      <c r="D223" s="0" t="s">
        <v>1239</v>
      </c>
      <c r="E223" s="0" t="s">
        <v>1556</v>
      </c>
      <c r="F223" s="0" t="s">
        <v>1290</v>
      </c>
      <c r="G223" s="0" t="n">
        <v>29.5</v>
      </c>
      <c r="H223" s="0" t="n">
        <v>25.71</v>
      </c>
      <c r="I223" s="10" t="n">
        <v>0.2641</v>
      </c>
      <c r="J223" s="10" t="n">
        <v>0.7359</v>
      </c>
      <c r="K223" s="9" t="s">
        <v>3451</v>
      </c>
      <c r="L223" s="9" t="s">
        <v>3457</v>
      </c>
      <c r="M223" s="0" t="n">
        <v>29.2</v>
      </c>
      <c r="N223" s="10" t="n">
        <v>0.3</v>
      </c>
      <c r="O223" s="19"/>
      <c r="P223" s="0" t="str">
        <f aca="false">IF(O223="","",IF(O223&gt;G223,"OVER",IF(O223&lt;G223,"UNDER","PUSH")))</f>
        <v/>
      </c>
      <c r="Q223" s="0" t="n">
        <v>26.31</v>
      </c>
      <c r="R223" s="10" t="n">
        <v>0.2997</v>
      </c>
      <c r="S223" s="0" t="n">
        <v>1.0232</v>
      </c>
      <c r="T223" s="0" t="n">
        <v>26.21</v>
      </c>
      <c r="U223" s="0" t="n">
        <v>26.82</v>
      </c>
    </row>
    <row r="224" customFormat="false" ht="15" hidden="false" customHeight="false" outlineLevel="0" collapsed="false">
      <c r="A224" s="0" t="s">
        <v>1832</v>
      </c>
      <c r="B224" s="0" t="s">
        <v>1830</v>
      </c>
      <c r="C224" s="0" t="s">
        <v>1139</v>
      </c>
      <c r="D224" s="0" t="s">
        <v>1239</v>
      </c>
      <c r="E224" s="0" t="s">
        <v>1558</v>
      </c>
      <c r="F224" s="0" t="s">
        <v>1286</v>
      </c>
      <c r="G224" s="0" t="n">
        <v>18</v>
      </c>
      <c r="H224" s="0" t="n">
        <v>17.11</v>
      </c>
      <c r="I224" s="10" t="n">
        <v>0.3818</v>
      </c>
      <c r="J224" s="10" t="n">
        <v>0.5333</v>
      </c>
      <c r="K224" s="9" t="s">
        <v>3451</v>
      </c>
      <c r="L224" s="9" t="s">
        <v>3457</v>
      </c>
      <c r="N224" s="10" t="n">
        <v>0.6</v>
      </c>
      <c r="O224" s="19"/>
      <c r="P224" s="0" t="str">
        <f aca="false">IF(O224="","",IF(O224&gt;G224,"OVER",IF(O224&lt;G224,"UNDER","PUSH")))</f>
        <v/>
      </c>
      <c r="Q224" s="0" t="n">
        <v>17.51</v>
      </c>
      <c r="R224" s="10" t="n">
        <v>0.4158</v>
      </c>
      <c r="S224" s="0" t="n">
        <v>1.023</v>
      </c>
      <c r="T224" s="0" t="n">
        <v>17.28</v>
      </c>
      <c r="U224" s="0" t="n">
        <v>17.69</v>
      </c>
    </row>
    <row r="225" customFormat="false" ht="15" hidden="false" customHeight="false" outlineLevel="0" collapsed="false">
      <c r="A225" s="0" t="s">
        <v>1832</v>
      </c>
      <c r="B225" s="0" t="s">
        <v>1830</v>
      </c>
      <c r="C225" s="0" t="s">
        <v>1139</v>
      </c>
      <c r="D225" s="0" t="s">
        <v>1239</v>
      </c>
      <c r="E225" s="0" t="s">
        <v>1558</v>
      </c>
      <c r="F225" s="0" t="s">
        <v>1290</v>
      </c>
      <c r="G225" s="0" t="n">
        <v>30.5</v>
      </c>
      <c r="H225" s="0" t="n">
        <v>28.51</v>
      </c>
      <c r="I225" s="10" t="n">
        <v>0.3763</v>
      </c>
      <c r="J225" s="10" t="n">
        <v>0.6237</v>
      </c>
      <c r="K225" s="9" t="s">
        <v>3451</v>
      </c>
      <c r="L225" s="9" t="s">
        <v>3457</v>
      </c>
      <c r="M225" s="0" t="n">
        <v>30.5</v>
      </c>
      <c r="N225" s="10" t="n">
        <v>0.3</v>
      </c>
      <c r="O225" s="19"/>
      <c r="P225" s="0" t="str">
        <f aca="false">IF(O225="","",IF(O225&gt;G225,"OVER",IF(O225&lt;G225,"UNDER","PUSH")))</f>
        <v/>
      </c>
      <c r="Q225" s="0" t="n">
        <v>29.17</v>
      </c>
      <c r="R225" s="10" t="n">
        <v>0.4174</v>
      </c>
      <c r="S225" s="0" t="n">
        <v>1.0231</v>
      </c>
      <c r="T225" s="0" t="n">
        <v>28.29</v>
      </c>
      <c r="U225" s="0" t="n">
        <v>28.95</v>
      </c>
    </row>
    <row r="226" customFormat="false" ht="15" hidden="false" customHeight="false" outlineLevel="0" collapsed="false">
      <c r="A226" s="0" t="s">
        <v>1832</v>
      </c>
      <c r="B226" s="0" t="s">
        <v>1830</v>
      </c>
      <c r="C226" s="0" t="s">
        <v>1139</v>
      </c>
      <c r="D226" s="0" t="s">
        <v>1239</v>
      </c>
      <c r="E226" s="0" t="s">
        <v>1560</v>
      </c>
      <c r="F226" s="0" t="s">
        <v>1286</v>
      </c>
      <c r="G226" s="0" t="n">
        <v>14.5</v>
      </c>
      <c r="H226" s="0" t="n">
        <v>13.87</v>
      </c>
      <c r="I226" s="10" t="n">
        <v>0.4387</v>
      </c>
      <c r="J226" s="10" t="n">
        <v>0.5613</v>
      </c>
      <c r="K226" s="9" t="s">
        <v>3451</v>
      </c>
      <c r="L226" s="9" t="s">
        <v>3457</v>
      </c>
      <c r="N226" s="10" t="n">
        <v>0.5</v>
      </c>
      <c r="O226" s="19"/>
      <c r="P226" s="0" t="str">
        <f aca="false">IF(O226="","",IF(O226&gt;G226,"OVER",IF(O226&lt;G226,"UNDER","PUSH")))</f>
        <v/>
      </c>
      <c r="Q226" s="0" t="n">
        <v>14.19</v>
      </c>
      <c r="R226" s="10" t="n">
        <v>0.4703</v>
      </c>
      <c r="S226" s="0" t="n">
        <v>1.0233</v>
      </c>
      <c r="T226" s="0" t="n">
        <v>13.58</v>
      </c>
      <c r="U226" s="0" t="n">
        <v>13.89</v>
      </c>
    </row>
    <row r="227" customFormat="false" ht="15" hidden="false" customHeight="false" outlineLevel="0" collapsed="false">
      <c r="A227" s="0" t="s">
        <v>1832</v>
      </c>
      <c r="B227" s="0" t="s">
        <v>1830</v>
      </c>
      <c r="C227" s="0" t="s">
        <v>1139</v>
      </c>
      <c r="D227" s="0" t="s">
        <v>1239</v>
      </c>
      <c r="E227" s="0" t="s">
        <v>1560</v>
      </c>
      <c r="F227" s="0" t="s">
        <v>1290</v>
      </c>
      <c r="G227" s="0" t="n">
        <v>28.5</v>
      </c>
      <c r="H227" s="0" t="n">
        <v>26.09</v>
      </c>
      <c r="I227" s="10" t="n">
        <v>0.3448</v>
      </c>
      <c r="J227" s="10" t="n">
        <v>0.6552</v>
      </c>
      <c r="K227" s="9" t="s">
        <v>3451</v>
      </c>
      <c r="L227" s="9" t="s">
        <v>3457</v>
      </c>
      <c r="M227" s="0" t="n">
        <v>27.43</v>
      </c>
      <c r="N227" s="10" t="n">
        <v>0.4</v>
      </c>
      <c r="O227" s="19"/>
      <c r="P227" s="0" t="str">
        <f aca="false">IF(O227="","",IF(O227&gt;G227,"OVER",IF(O227&lt;G227,"UNDER","PUSH")))</f>
        <v/>
      </c>
      <c r="Q227" s="0" t="n">
        <v>26.69</v>
      </c>
      <c r="R227" s="10" t="n">
        <v>0.3838</v>
      </c>
      <c r="S227" s="0" t="n">
        <v>1.0233</v>
      </c>
      <c r="T227" s="0" t="n">
        <v>26.21</v>
      </c>
      <c r="U227" s="0" t="n">
        <v>26.82</v>
      </c>
    </row>
    <row r="228" customFormat="false" ht="15" hidden="false" customHeight="false" outlineLevel="0" collapsed="false">
      <c r="A228" s="0" t="s">
        <v>1832</v>
      </c>
      <c r="B228" s="0" t="s">
        <v>1830</v>
      </c>
      <c r="C228" s="0" t="s">
        <v>1139</v>
      </c>
      <c r="D228" s="0" t="s">
        <v>1239</v>
      </c>
      <c r="E228" s="0" t="s">
        <v>1562</v>
      </c>
      <c r="F228" s="0" t="s">
        <v>1286</v>
      </c>
      <c r="G228" s="0" t="n">
        <v>16.5</v>
      </c>
      <c r="H228" s="0" t="n">
        <v>16.88</v>
      </c>
      <c r="I228" s="10" t="n">
        <v>0.533</v>
      </c>
      <c r="J228" s="10" t="n">
        <v>0.467</v>
      </c>
      <c r="K228" s="9" t="s">
        <v>3451</v>
      </c>
      <c r="L228" s="9" t="s">
        <v>3457</v>
      </c>
      <c r="N228" s="10" t="n">
        <v>0.5</v>
      </c>
      <c r="O228" s="19"/>
      <c r="P228" s="0" t="str">
        <f aca="false">IF(O228="","",IF(O228&gt;G228,"OVER",IF(O228&lt;G228,"UNDER","PUSH")))</f>
        <v/>
      </c>
      <c r="Q228" s="0" t="n">
        <v>17.27</v>
      </c>
      <c r="R228" s="10" t="n">
        <v>0.5663</v>
      </c>
      <c r="S228" s="0" t="n">
        <v>1.0233</v>
      </c>
      <c r="T228" s="0" t="n">
        <v>16.13</v>
      </c>
      <c r="U228" s="0" t="n">
        <v>16.51</v>
      </c>
    </row>
    <row r="229" customFormat="false" ht="15" hidden="false" customHeight="false" outlineLevel="0" collapsed="false">
      <c r="A229" s="0" t="s">
        <v>1832</v>
      </c>
      <c r="B229" s="0" t="s">
        <v>1830</v>
      </c>
      <c r="C229" s="0" t="s">
        <v>1139</v>
      </c>
      <c r="D229" s="0" t="s">
        <v>1239</v>
      </c>
      <c r="E229" s="0" t="s">
        <v>1562</v>
      </c>
      <c r="F229" s="0" t="s">
        <v>1290</v>
      </c>
      <c r="G229" s="0" t="n">
        <v>30.5</v>
      </c>
      <c r="H229" s="0" t="n">
        <v>28.62</v>
      </c>
      <c r="I229" s="10" t="n">
        <v>0.3835</v>
      </c>
      <c r="J229" s="10" t="n">
        <v>0.6165</v>
      </c>
      <c r="K229" s="9" t="s">
        <v>3451</v>
      </c>
      <c r="L229" s="9" t="s">
        <v>3457</v>
      </c>
      <c r="M229" s="0" t="n">
        <v>29.63</v>
      </c>
      <c r="N229" s="10" t="n">
        <v>0.4</v>
      </c>
      <c r="O229" s="19"/>
      <c r="P229" s="0" t="str">
        <f aca="false">IF(O229="","",IF(O229&gt;G229,"OVER",IF(O229&lt;G229,"UNDER","PUSH")))</f>
        <v/>
      </c>
      <c r="Q229" s="0" t="n">
        <v>29.29</v>
      </c>
      <c r="R229" s="10" t="n">
        <v>0.4249</v>
      </c>
      <c r="S229" s="0" t="n">
        <v>1.0231</v>
      </c>
      <c r="T229" s="0" t="n">
        <v>28.7</v>
      </c>
      <c r="U229" s="0" t="n">
        <v>29.37</v>
      </c>
    </row>
    <row r="230" customFormat="false" ht="15" hidden="false" customHeight="false" outlineLevel="0" collapsed="false">
      <c r="A230" s="0" t="s">
        <v>1832</v>
      </c>
      <c r="B230" s="0" t="s">
        <v>1830</v>
      </c>
      <c r="C230" s="0" t="s">
        <v>1139</v>
      </c>
      <c r="D230" s="0" t="s">
        <v>1239</v>
      </c>
      <c r="E230" s="0" t="s">
        <v>1564</v>
      </c>
      <c r="F230" s="0" t="s">
        <v>1286</v>
      </c>
      <c r="G230" s="0" t="n">
        <v>8.5</v>
      </c>
      <c r="H230" s="0" t="n">
        <v>8.55</v>
      </c>
      <c r="I230" s="10" t="n">
        <v>0.5058</v>
      </c>
      <c r="J230" s="10" t="n">
        <v>0.4942</v>
      </c>
      <c r="K230" s="9" t="s">
        <v>3451</v>
      </c>
      <c r="L230" s="9" t="s">
        <v>3457</v>
      </c>
      <c r="N230" s="10" t="n">
        <v>0.6</v>
      </c>
      <c r="O230" s="19"/>
      <c r="P230" s="0" t="str">
        <f aca="false">IF(O230="","",IF(O230&gt;G230,"OVER",IF(O230&lt;G230,"UNDER","PUSH")))</f>
        <v/>
      </c>
      <c r="Q230" s="0" t="n">
        <v>8.74</v>
      </c>
      <c r="R230" s="10" t="n">
        <v>0.5308</v>
      </c>
      <c r="S230" s="0" t="n">
        <v>1.0232</v>
      </c>
      <c r="T230" s="0" t="n">
        <v>8.44</v>
      </c>
      <c r="U230" s="0" t="n">
        <v>8.64</v>
      </c>
    </row>
    <row r="231" customFormat="false" ht="15" hidden="false" customHeight="false" outlineLevel="0" collapsed="false">
      <c r="A231" s="0" t="s">
        <v>1832</v>
      </c>
      <c r="B231" s="0" t="s">
        <v>1830</v>
      </c>
      <c r="C231" s="0" t="s">
        <v>1139</v>
      </c>
      <c r="D231" s="0" t="s">
        <v>1239</v>
      </c>
      <c r="E231" s="0" t="s">
        <v>1564</v>
      </c>
      <c r="F231" s="0" t="s">
        <v>1290</v>
      </c>
      <c r="G231" s="0" t="n">
        <v>27</v>
      </c>
      <c r="H231" s="0" t="n">
        <v>25.6</v>
      </c>
      <c r="I231" s="10" t="n">
        <v>0.3757</v>
      </c>
      <c r="J231" s="10" t="n">
        <v>0.5596</v>
      </c>
      <c r="K231" s="9" t="s">
        <v>3451</v>
      </c>
      <c r="L231" s="9" t="s">
        <v>3457</v>
      </c>
      <c r="M231" s="0" t="n">
        <v>27.43</v>
      </c>
      <c r="N231" s="10" t="n">
        <v>0.3</v>
      </c>
      <c r="O231" s="19"/>
      <c r="P231" s="0" t="str">
        <f aca="false">IF(O231="","",IF(O231&gt;G231,"OVER",IF(O231&lt;G231,"UNDER","PUSH")))</f>
        <v/>
      </c>
      <c r="Q231" s="0" t="n">
        <v>26.2</v>
      </c>
      <c r="R231" s="10" t="n">
        <v>0.4148</v>
      </c>
      <c r="S231" s="0" t="n">
        <v>1.0232</v>
      </c>
      <c r="T231" s="0" t="n">
        <v>26.62</v>
      </c>
      <c r="U231" s="0" t="n">
        <v>27.25</v>
      </c>
    </row>
    <row r="232" customFormat="false" ht="15" hidden="false" customHeight="false" outlineLevel="0" collapsed="false">
      <c r="A232" s="0" t="s">
        <v>1832</v>
      </c>
      <c r="B232" s="0" t="s">
        <v>1830</v>
      </c>
      <c r="C232" s="0" t="s">
        <v>1139</v>
      </c>
      <c r="D232" s="0" t="s">
        <v>1161</v>
      </c>
      <c r="E232" s="0" t="s">
        <v>1566</v>
      </c>
      <c r="F232" s="0" t="s">
        <v>1286</v>
      </c>
      <c r="G232" s="0" t="n">
        <v>11</v>
      </c>
      <c r="H232" s="0" t="n">
        <v>11.17</v>
      </c>
      <c r="I232" s="10" t="n">
        <v>0.4639</v>
      </c>
      <c r="J232" s="10" t="n">
        <v>0.4277</v>
      </c>
      <c r="K232" s="9" t="s">
        <v>3458</v>
      </c>
      <c r="L232" s="9" t="s">
        <v>3459</v>
      </c>
      <c r="N232" s="10" t="n">
        <v>0.5</v>
      </c>
      <c r="O232" s="19"/>
      <c r="P232" s="0" t="str">
        <f aca="false">IF(O232="","",IF(O232&gt;G232,"OVER",IF(O232&lt;G232,"UNDER","PUSH")))</f>
        <v/>
      </c>
      <c r="Q232" s="0" t="n">
        <v>10.84</v>
      </c>
      <c r="R232" s="10" t="n">
        <v>0.4275</v>
      </c>
      <c r="S232" s="0" t="n">
        <v>0.9707</v>
      </c>
      <c r="T232" s="0" t="n">
        <v>11.34</v>
      </c>
      <c r="U232" s="0" t="n">
        <v>11.01</v>
      </c>
    </row>
    <row r="233" customFormat="false" ht="15" hidden="false" customHeight="false" outlineLevel="0" collapsed="false">
      <c r="A233" s="0" t="s">
        <v>1832</v>
      </c>
      <c r="B233" s="0" t="s">
        <v>1830</v>
      </c>
      <c r="C233" s="0" t="s">
        <v>1139</v>
      </c>
      <c r="D233" s="0" t="s">
        <v>1161</v>
      </c>
      <c r="E233" s="0" t="s">
        <v>1566</v>
      </c>
      <c r="F233" s="0" t="s">
        <v>1290</v>
      </c>
      <c r="G233" s="0" t="n">
        <v>21</v>
      </c>
      <c r="H233" s="0" t="n">
        <v>22.11</v>
      </c>
      <c r="I233" s="10" t="n">
        <v>0.5434</v>
      </c>
      <c r="J233" s="10" t="n">
        <v>0.3864</v>
      </c>
      <c r="K233" s="9" t="s">
        <v>3458</v>
      </c>
      <c r="L233" s="9" t="s">
        <v>3459</v>
      </c>
      <c r="M233" s="0" t="n">
        <v>21.39</v>
      </c>
      <c r="N233" s="10" t="n">
        <v>0.4</v>
      </c>
      <c r="O233" s="19"/>
      <c r="P233" s="0" t="str">
        <f aca="false">IF(O233="","",IF(O233&gt;G233,"OVER",IF(O233&lt;G233,"UNDER","PUSH")))</f>
        <v/>
      </c>
      <c r="Q233" s="0" t="n">
        <v>21.46</v>
      </c>
      <c r="R233" s="10" t="n">
        <v>0.4969</v>
      </c>
      <c r="S233" s="0" t="n">
        <v>0.9707</v>
      </c>
      <c r="T233" s="0" t="n">
        <v>21.23</v>
      </c>
      <c r="U233" s="0" t="n">
        <v>20.61</v>
      </c>
    </row>
    <row r="234" customFormat="false" ht="15" hidden="false" customHeight="false" outlineLevel="0" collapsed="false">
      <c r="A234" s="0" t="s">
        <v>1832</v>
      </c>
      <c r="B234" s="0" t="s">
        <v>1830</v>
      </c>
      <c r="C234" s="0" t="s">
        <v>1139</v>
      </c>
      <c r="D234" s="0" t="s">
        <v>1161</v>
      </c>
      <c r="E234" s="0" t="s">
        <v>1568</v>
      </c>
      <c r="F234" s="0" t="s">
        <v>1286</v>
      </c>
      <c r="G234" s="0" t="n">
        <v>17</v>
      </c>
      <c r="H234" s="0" t="n">
        <v>15.78</v>
      </c>
      <c r="I234" s="10" t="n">
        <v>0.3488</v>
      </c>
      <c r="J234" s="10" t="n">
        <v>0.5645</v>
      </c>
      <c r="K234" s="9" t="s">
        <v>3458</v>
      </c>
      <c r="L234" s="9" t="s">
        <v>3459</v>
      </c>
      <c r="N234" s="10" t="n">
        <v>0.6</v>
      </c>
      <c r="O234" s="19"/>
      <c r="P234" s="0" t="str">
        <f aca="false">IF(O234="","",IF(O234&gt;G234,"OVER",IF(O234&lt;G234,"UNDER","PUSH")))</f>
        <v/>
      </c>
      <c r="Q234" s="0" t="n">
        <v>15.32</v>
      </c>
      <c r="R234" s="10" t="n">
        <v>0.3083</v>
      </c>
      <c r="S234" s="0" t="n">
        <v>0.9707</v>
      </c>
      <c r="T234" s="0" t="n">
        <v>17.07</v>
      </c>
      <c r="U234" s="0" t="n">
        <v>16.57</v>
      </c>
    </row>
    <row r="235" customFormat="false" ht="15" hidden="false" customHeight="false" outlineLevel="0" collapsed="false">
      <c r="A235" s="0" t="s">
        <v>1832</v>
      </c>
      <c r="B235" s="0" t="s">
        <v>1830</v>
      </c>
      <c r="C235" s="0" t="s">
        <v>1139</v>
      </c>
      <c r="D235" s="0" t="s">
        <v>1161</v>
      </c>
      <c r="E235" s="0" t="s">
        <v>1568</v>
      </c>
      <c r="F235" s="0" t="s">
        <v>1290</v>
      </c>
      <c r="G235" s="0" t="n">
        <v>27.5</v>
      </c>
      <c r="H235" s="0" t="n">
        <v>26.51</v>
      </c>
      <c r="I235" s="10" t="n">
        <v>0.4355</v>
      </c>
      <c r="J235" s="10" t="n">
        <v>0.5645</v>
      </c>
      <c r="K235" s="9" t="s">
        <v>3458</v>
      </c>
      <c r="L235" s="9" t="s">
        <v>3459</v>
      </c>
      <c r="M235" s="0" t="n">
        <v>27.96</v>
      </c>
      <c r="N235" s="10" t="n">
        <v>0.5</v>
      </c>
      <c r="O235" s="19"/>
      <c r="P235" s="0" t="str">
        <f aca="false">IF(O235="","",IF(O235&gt;G235,"OVER",IF(O235&lt;G235,"UNDER","PUSH")))</f>
        <v/>
      </c>
      <c r="Q235" s="0" t="n">
        <v>25.73</v>
      </c>
      <c r="R235" s="10" t="n">
        <v>0.3843</v>
      </c>
      <c r="S235" s="0" t="n">
        <v>0.9707</v>
      </c>
      <c r="T235" s="0" t="n">
        <v>28.03</v>
      </c>
      <c r="U235" s="0" t="n">
        <v>27.21</v>
      </c>
    </row>
    <row r="236" customFormat="false" ht="15" hidden="false" customHeight="false" outlineLevel="0" collapsed="false">
      <c r="A236" s="0" t="s">
        <v>1832</v>
      </c>
      <c r="B236" s="0" t="s">
        <v>1830</v>
      </c>
      <c r="C236" s="0" t="s">
        <v>1139</v>
      </c>
      <c r="D236" s="0" t="s">
        <v>1161</v>
      </c>
      <c r="E236" s="0" t="s">
        <v>1570</v>
      </c>
      <c r="F236" s="0" t="s">
        <v>1286</v>
      </c>
      <c r="G236" s="0" t="n">
        <v>11.5</v>
      </c>
      <c r="H236" s="0" t="n">
        <v>11.62</v>
      </c>
      <c r="I236" s="10" t="n">
        <v>0.5124</v>
      </c>
      <c r="J236" s="10" t="n">
        <v>0.4876</v>
      </c>
      <c r="K236" s="9" t="s">
        <v>3458</v>
      </c>
      <c r="L236" s="9" t="s">
        <v>3459</v>
      </c>
      <c r="N236" s="10" t="n">
        <v>0.5</v>
      </c>
      <c r="O236" s="19"/>
      <c r="P236" s="0" t="str">
        <f aca="false">IF(O236="","",IF(O236&gt;G236,"OVER",IF(O236&lt;G236,"UNDER","PUSH")))</f>
        <v/>
      </c>
      <c r="Q236" s="0" t="n">
        <v>11.27</v>
      </c>
      <c r="R236" s="10" t="n">
        <v>0.4754</v>
      </c>
      <c r="S236" s="0" t="n">
        <v>0.9707</v>
      </c>
      <c r="T236" s="0" t="n">
        <v>12.26</v>
      </c>
      <c r="U236" s="0" t="n">
        <v>11.9</v>
      </c>
    </row>
    <row r="237" customFormat="false" ht="15" hidden="false" customHeight="false" outlineLevel="0" collapsed="false">
      <c r="A237" s="0" t="s">
        <v>1832</v>
      </c>
      <c r="B237" s="0" t="s">
        <v>1830</v>
      </c>
      <c r="C237" s="0" t="s">
        <v>1139</v>
      </c>
      <c r="D237" s="0" t="s">
        <v>1161</v>
      </c>
      <c r="E237" s="0" t="s">
        <v>1570</v>
      </c>
      <c r="F237" s="0" t="s">
        <v>1290</v>
      </c>
      <c r="G237" s="0" t="n">
        <v>26.5</v>
      </c>
      <c r="H237" s="0" t="n">
        <v>26.24</v>
      </c>
      <c r="I237" s="10" t="n">
        <v>0.4832</v>
      </c>
      <c r="J237" s="10" t="n">
        <v>0.5168</v>
      </c>
      <c r="K237" s="9" t="s">
        <v>3458</v>
      </c>
      <c r="L237" s="9" t="s">
        <v>3459</v>
      </c>
      <c r="M237" s="0" t="n">
        <v>26.76</v>
      </c>
      <c r="N237" s="10" t="n">
        <v>0.5</v>
      </c>
      <c r="O237" s="19"/>
      <c r="P237" s="0" t="str">
        <f aca="false">IF(O237="","",IF(O237&gt;G237,"OVER",IF(O237&lt;G237,"UNDER","PUSH")))</f>
        <v/>
      </c>
      <c r="Q237" s="0" t="n">
        <v>25.48</v>
      </c>
      <c r="R237" s="10" t="n">
        <v>0.4319</v>
      </c>
      <c r="S237" s="0" t="n">
        <v>0.9707</v>
      </c>
      <c r="T237" s="0" t="n">
        <v>27.18</v>
      </c>
      <c r="U237" s="0" t="n">
        <v>26.38</v>
      </c>
    </row>
    <row r="238" customFormat="false" ht="15" hidden="false" customHeight="false" outlineLevel="0" collapsed="false">
      <c r="A238" s="0" t="s">
        <v>1832</v>
      </c>
      <c r="B238" s="0" t="s">
        <v>1830</v>
      </c>
      <c r="C238" s="0" t="s">
        <v>1139</v>
      </c>
      <c r="D238" s="0" t="s">
        <v>1161</v>
      </c>
      <c r="E238" s="0" t="s">
        <v>1572</v>
      </c>
      <c r="F238" s="0" t="s">
        <v>1286</v>
      </c>
      <c r="G238" s="0" t="n">
        <v>14.5</v>
      </c>
      <c r="H238" s="0" t="n">
        <v>14.55</v>
      </c>
      <c r="I238" s="10" t="n">
        <v>0.5052</v>
      </c>
      <c r="J238" s="10" t="n">
        <v>0.4948</v>
      </c>
      <c r="K238" s="9" t="s">
        <v>3458</v>
      </c>
      <c r="L238" s="9" t="s">
        <v>3459</v>
      </c>
      <c r="N238" s="10" t="n">
        <v>0.6</v>
      </c>
      <c r="O238" s="19"/>
      <c r="P238" s="0" t="str">
        <f aca="false">IF(O238="","",IF(O238&gt;G238,"OVER",IF(O238&lt;G238,"UNDER","PUSH")))</f>
        <v/>
      </c>
      <c r="Q238" s="0" t="n">
        <v>14.13</v>
      </c>
      <c r="R238" s="10" t="n">
        <v>0.4641</v>
      </c>
      <c r="S238" s="0" t="n">
        <v>0.9707</v>
      </c>
      <c r="T238" s="0" t="n">
        <v>15.02</v>
      </c>
      <c r="U238" s="0" t="n">
        <v>14.58</v>
      </c>
    </row>
    <row r="239" customFormat="false" ht="15" hidden="false" customHeight="false" outlineLevel="0" collapsed="false">
      <c r="A239" s="0" t="s">
        <v>1832</v>
      </c>
      <c r="B239" s="0" t="s">
        <v>1830</v>
      </c>
      <c r="C239" s="0" t="s">
        <v>1139</v>
      </c>
      <c r="D239" s="0" t="s">
        <v>1161</v>
      </c>
      <c r="E239" s="0" t="s">
        <v>1572</v>
      </c>
      <c r="F239" s="0" t="s">
        <v>1290</v>
      </c>
      <c r="G239" s="0" t="n">
        <v>28</v>
      </c>
      <c r="H239" s="0" t="n">
        <v>28.49</v>
      </c>
      <c r="I239" s="10" t="n">
        <v>0.4996</v>
      </c>
      <c r="J239" s="10" t="n">
        <v>0.4375</v>
      </c>
      <c r="K239" s="9" t="s">
        <v>3458</v>
      </c>
      <c r="L239" s="9" t="s">
        <v>3459</v>
      </c>
      <c r="M239" s="0" t="n">
        <v>27.6</v>
      </c>
      <c r="N239" s="10" t="n">
        <v>0.6</v>
      </c>
      <c r="O239" s="19"/>
      <c r="P239" s="0" t="str">
        <f aca="false">IF(O239="","",IF(O239&gt;G239,"OVER",IF(O239&lt;G239,"UNDER","PUSH")))</f>
        <v/>
      </c>
      <c r="Q239" s="0" t="n">
        <v>27.66</v>
      </c>
      <c r="R239" s="10" t="n">
        <v>0.4463</v>
      </c>
      <c r="S239" s="0" t="n">
        <v>0.9707</v>
      </c>
      <c r="T239" s="0" t="n">
        <v>28.88</v>
      </c>
      <c r="U239" s="0" t="n">
        <v>28.03</v>
      </c>
    </row>
    <row r="240" customFormat="false" ht="15" hidden="false" customHeight="false" outlineLevel="0" collapsed="false">
      <c r="A240" s="0" t="s">
        <v>1832</v>
      </c>
      <c r="B240" s="0" t="s">
        <v>1830</v>
      </c>
      <c r="C240" s="0" t="s">
        <v>1139</v>
      </c>
      <c r="D240" s="0" t="s">
        <v>1161</v>
      </c>
      <c r="E240" s="0" t="s">
        <v>1576</v>
      </c>
      <c r="F240" s="0" t="s">
        <v>1286</v>
      </c>
      <c r="G240" s="0" t="n">
        <v>11.5</v>
      </c>
      <c r="H240" s="0" t="n">
        <v>12.74</v>
      </c>
      <c r="I240" s="10" t="n">
        <v>0.6268</v>
      </c>
      <c r="J240" s="10" t="n">
        <v>0.3732</v>
      </c>
      <c r="K240" s="9" t="s">
        <v>3458</v>
      </c>
      <c r="L240" s="9" t="s">
        <v>3459</v>
      </c>
      <c r="N240" s="10" t="n">
        <v>0.8</v>
      </c>
      <c r="O240" s="19"/>
      <c r="P240" s="0" t="str">
        <f aca="false">IF(O240="","",IF(O240&gt;G240,"OVER",IF(O240&lt;G240,"UNDER","PUSH")))</f>
        <v/>
      </c>
      <c r="Q240" s="0" t="n">
        <v>12.37</v>
      </c>
      <c r="R240" s="10" t="n">
        <v>0.5908</v>
      </c>
      <c r="S240" s="0" t="n">
        <v>0.9707</v>
      </c>
      <c r="T240" s="0" t="n">
        <v>12.49</v>
      </c>
      <c r="U240" s="0" t="n">
        <v>12.13</v>
      </c>
    </row>
    <row r="241" customFormat="false" ht="15" hidden="false" customHeight="false" outlineLevel="0" collapsed="false">
      <c r="A241" s="0" t="s">
        <v>1832</v>
      </c>
      <c r="B241" s="0" t="s">
        <v>1830</v>
      </c>
      <c r="C241" s="0" t="s">
        <v>1139</v>
      </c>
      <c r="D241" s="0" t="s">
        <v>1161</v>
      </c>
      <c r="E241" s="0" t="s">
        <v>1576</v>
      </c>
      <c r="F241" s="0" t="s">
        <v>1290</v>
      </c>
      <c r="G241" s="0" t="n">
        <v>30.5</v>
      </c>
      <c r="H241" s="0" t="n">
        <v>32.69</v>
      </c>
      <c r="I241" s="10" t="n">
        <v>0.6272</v>
      </c>
      <c r="J241" s="10" t="n">
        <v>0.3728</v>
      </c>
      <c r="K241" s="9" t="s">
        <v>3458</v>
      </c>
      <c r="L241" s="9" t="s">
        <v>3459</v>
      </c>
      <c r="M241" s="0" t="n">
        <v>32.14</v>
      </c>
      <c r="N241" s="10" t="n">
        <v>0.7</v>
      </c>
      <c r="O241" s="19"/>
      <c r="P241" s="0" t="str">
        <f aca="false">IF(O241="","",IF(O241&gt;G241,"OVER",IF(O241&lt;G241,"UNDER","PUSH")))</f>
        <v/>
      </c>
      <c r="Q241" s="0" t="n">
        <v>31.74</v>
      </c>
      <c r="R241" s="10" t="n">
        <v>0.5735</v>
      </c>
      <c r="S241" s="0" t="n">
        <v>0.9707</v>
      </c>
      <c r="T241" s="0" t="n">
        <v>32.7</v>
      </c>
      <c r="U241" s="0" t="n">
        <v>31.74</v>
      </c>
    </row>
    <row r="242" customFormat="false" ht="15" hidden="false" customHeight="false" outlineLevel="0" collapsed="false">
      <c r="A242" s="0" t="s">
        <v>1832</v>
      </c>
      <c r="B242" s="0" t="s">
        <v>1830</v>
      </c>
      <c r="C242" s="0" t="s">
        <v>1139</v>
      </c>
      <c r="D242" s="0" t="s">
        <v>1161</v>
      </c>
      <c r="E242" s="0" t="s">
        <v>1579</v>
      </c>
      <c r="F242" s="0" t="s">
        <v>1286</v>
      </c>
      <c r="G242" s="0" t="n">
        <v>15.5</v>
      </c>
      <c r="H242" s="0" t="n">
        <v>15.15</v>
      </c>
      <c r="I242" s="10" t="n">
        <v>0.4676</v>
      </c>
      <c r="J242" s="10" t="n">
        <v>0.5324</v>
      </c>
      <c r="K242" s="9" t="s">
        <v>3458</v>
      </c>
      <c r="L242" s="9" t="s">
        <v>3459</v>
      </c>
      <c r="N242" s="10" t="n">
        <v>0.5</v>
      </c>
      <c r="O242" s="19"/>
      <c r="P242" s="0" t="str">
        <f aca="false">IF(O242="","",IF(O242&gt;G242,"OVER",IF(O242&lt;G242,"UNDER","PUSH")))</f>
        <v/>
      </c>
      <c r="Q242" s="0" t="n">
        <v>14.9</v>
      </c>
      <c r="R242" s="10" t="n">
        <v>0.4433</v>
      </c>
      <c r="S242" s="0" t="n">
        <v>0.9831</v>
      </c>
      <c r="T242" s="0" t="n">
        <v>15.71</v>
      </c>
      <c r="U242" s="0" t="n">
        <v>15.44</v>
      </c>
    </row>
    <row r="243" customFormat="false" ht="15" hidden="false" customHeight="false" outlineLevel="0" collapsed="false">
      <c r="A243" s="0" t="s">
        <v>1832</v>
      </c>
      <c r="B243" s="0" t="s">
        <v>1830</v>
      </c>
      <c r="C243" s="0" t="s">
        <v>1139</v>
      </c>
      <c r="D243" s="0" t="s">
        <v>1161</v>
      </c>
      <c r="E243" s="0" t="s">
        <v>1579</v>
      </c>
      <c r="F243" s="0" t="s">
        <v>1290</v>
      </c>
      <c r="G243" s="0" t="n">
        <v>29.5</v>
      </c>
      <c r="H243" s="0" t="n">
        <v>30.15</v>
      </c>
      <c r="I243" s="10" t="n">
        <v>0.5399</v>
      </c>
      <c r="J243" s="10" t="n">
        <v>0.4601</v>
      </c>
      <c r="K243" s="9" t="s">
        <v>3458</v>
      </c>
      <c r="L243" s="9" t="s">
        <v>3459</v>
      </c>
      <c r="M243" s="0" t="n">
        <v>29.42</v>
      </c>
      <c r="N243" s="10" t="n">
        <v>0.5</v>
      </c>
      <c r="O243" s="19"/>
      <c r="P243" s="0" t="str">
        <f aca="false">IF(O243="","",IF(O243&gt;G243,"OVER",IF(O243&lt;G243,"UNDER","PUSH")))</f>
        <v/>
      </c>
      <c r="Q243" s="0" t="n">
        <v>29.64</v>
      </c>
      <c r="R243" s="10" t="n">
        <v>0.5087</v>
      </c>
      <c r="S243" s="0" t="n">
        <v>0.9831</v>
      </c>
      <c r="T243" s="0" t="n">
        <v>30.15</v>
      </c>
      <c r="U243" s="0" t="n">
        <v>29.64</v>
      </c>
    </row>
    <row r="244" customFormat="false" ht="15" hidden="false" customHeight="false" outlineLevel="0" collapsed="false">
      <c r="A244" s="0" t="s">
        <v>1832</v>
      </c>
      <c r="B244" s="0" t="s">
        <v>1830</v>
      </c>
      <c r="C244" s="0" t="s">
        <v>1139</v>
      </c>
      <c r="D244" s="0" t="s">
        <v>1161</v>
      </c>
      <c r="E244" s="0" t="s">
        <v>1581</v>
      </c>
      <c r="F244" s="0" t="s">
        <v>1286</v>
      </c>
      <c r="G244" s="0" t="n">
        <v>16</v>
      </c>
      <c r="H244" s="0" t="n">
        <v>15.76</v>
      </c>
      <c r="I244" s="10" t="n">
        <v>0.4331</v>
      </c>
      <c r="J244" s="10" t="n">
        <v>0.4765</v>
      </c>
      <c r="K244" s="9" t="s">
        <v>3458</v>
      </c>
      <c r="L244" s="9" t="s">
        <v>3459</v>
      </c>
      <c r="N244" s="10" t="n">
        <v>0.4</v>
      </c>
      <c r="O244" s="19"/>
      <c r="P244" s="0" t="str">
        <f aca="false">IF(O244="","",IF(O244&gt;G244,"OVER",IF(O244&lt;G244,"UNDER","PUSH")))</f>
        <v/>
      </c>
      <c r="Q244" s="0" t="n">
        <v>15.49</v>
      </c>
      <c r="R244" s="10" t="n">
        <v>0.4087</v>
      </c>
      <c r="S244" s="0" t="n">
        <v>0.9831</v>
      </c>
      <c r="T244" s="0" t="n">
        <v>15.16</v>
      </c>
      <c r="U244" s="0" t="n">
        <v>14.9</v>
      </c>
    </row>
    <row r="245" customFormat="false" ht="15" hidden="false" customHeight="false" outlineLevel="0" collapsed="false">
      <c r="A245" s="0" t="s">
        <v>1832</v>
      </c>
      <c r="B245" s="0" t="s">
        <v>1830</v>
      </c>
      <c r="C245" s="0" t="s">
        <v>1139</v>
      </c>
      <c r="D245" s="0" t="s">
        <v>1161</v>
      </c>
      <c r="E245" s="0" t="s">
        <v>1581</v>
      </c>
      <c r="F245" s="0" t="s">
        <v>1290</v>
      </c>
      <c r="G245" s="0" t="n">
        <v>26.5</v>
      </c>
      <c r="H245" s="0" t="n">
        <v>27.72</v>
      </c>
      <c r="I245" s="10" t="n">
        <v>0.5777</v>
      </c>
      <c r="J245" s="10" t="n">
        <v>0.4223</v>
      </c>
      <c r="K245" s="9" t="s">
        <v>3458</v>
      </c>
      <c r="L245" s="9" t="s">
        <v>3459</v>
      </c>
      <c r="M245" s="0" t="n">
        <v>28.58</v>
      </c>
      <c r="N245" s="10" t="n">
        <v>0.5</v>
      </c>
      <c r="O245" s="19"/>
      <c r="P245" s="0" t="str">
        <f aca="false">IF(O245="","",IF(O245&gt;G245,"OVER",IF(O245&lt;G245,"UNDER","PUSH")))</f>
        <v/>
      </c>
      <c r="Q245" s="0" t="n">
        <v>27.25</v>
      </c>
      <c r="R245" s="10" t="n">
        <v>0.5485</v>
      </c>
      <c r="S245" s="0" t="n">
        <v>0.9831</v>
      </c>
      <c r="T245" s="0" t="n">
        <v>27.61</v>
      </c>
      <c r="U245" s="0" t="n">
        <v>27.14</v>
      </c>
    </row>
    <row r="246" customFormat="false" ht="15" hidden="false" customHeight="false" outlineLevel="0" collapsed="false">
      <c r="A246" s="0" t="s">
        <v>1832</v>
      </c>
      <c r="B246" s="0" t="s">
        <v>1830</v>
      </c>
      <c r="C246" s="0" t="s">
        <v>1139</v>
      </c>
      <c r="D246" s="0" t="s">
        <v>1161</v>
      </c>
      <c r="E246" s="0" t="s">
        <v>1583</v>
      </c>
      <c r="F246" s="0" t="s">
        <v>1290</v>
      </c>
      <c r="G246" s="0" t="n">
        <v>26</v>
      </c>
      <c r="H246" s="0" t="n">
        <v>27.49</v>
      </c>
      <c r="I246" s="10" t="n">
        <v>0.5637</v>
      </c>
      <c r="J246" s="10" t="n">
        <v>0.3739</v>
      </c>
      <c r="K246" s="9" t="s">
        <v>3458</v>
      </c>
      <c r="L246" s="9" t="s">
        <v>3459</v>
      </c>
      <c r="M246" s="0" t="n">
        <v>25.49</v>
      </c>
      <c r="N246" s="10" t="n">
        <v>0.3</v>
      </c>
      <c r="O246" s="19"/>
      <c r="P246" s="0" t="str">
        <f aca="false">IF(O246="","",IF(O246&gt;G246,"OVER",IF(O246&lt;G246,"UNDER","PUSH")))</f>
        <v/>
      </c>
      <c r="Q246" s="0" t="n">
        <v>27.03</v>
      </c>
      <c r="R246" s="10" t="n">
        <v>0.5342</v>
      </c>
      <c r="S246" s="0" t="n">
        <v>0.983</v>
      </c>
      <c r="T246" s="0" t="n">
        <v>26.33</v>
      </c>
      <c r="U246" s="0" t="n">
        <v>25.89</v>
      </c>
    </row>
    <row r="247" customFormat="false" ht="15" hidden="false" customHeight="false" outlineLevel="0" collapsed="false">
      <c r="A247" s="0" t="s">
        <v>1832</v>
      </c>
      <c r="B247" s="0" t="s">
        <v>1830</v>
      </c>
      <c r="C247" s="0" t="s">
        <v>1139</v>
      </c>
      <c r="D247" s="0" t="s">
        <v>1161</v>
      </c>
      <c r="E247" s="0" t="s">
        <v>1585</v>
      </c>
      <c r="F247" s="0" t="s">
        <v>1286</v>
      </c>
      <c r="G247" s="0" t="n">
        <v>16</v>
      </c>
      <c r="H247" s="0" t="n">
        <v>17.33</v>
      </c>
      <c r="I247" s="10" t="n">
        <v>0.5715</v>
      </c>
      <c r="J247" s="10" t="n">
        <v>0.3452</v>
      </c>
      <c r="K247" s="9" t="s">
        <v>3458</v>
      </c>
      <c r="L247" s="9" t="s">
        <v>3459</v>
      </c>
      <c r="N247" s="10" t="n">
        <v>0.6</v>
      </c>
      <c r="O247" s="19"/>
      <c r="P247" s="0" t="str">
        <f aca="false">IF(O247="","",IF(O247&gt;G247,"OVER",IF(O247&lt;G247,"UNDER","PUSH")))</f>
        <v/>
      </c>
      <c r="Q247" s="0" t="n">
        <v>17.03</v>
      </c>
      <c r="R247" s="10" t="n">
        <v>0.5467</v>
      </c>
      <c r="S247" s="0" t="n">
        <v>0.9831</v>
      </c>
      <c r="T247" s="0" t="n">
        <v>16.59</v>
      </c>
      <c r="U247" s="0" t="n">
        <v>16.31</v>
      </c>
    </row>
    <row r="248" customFormat="false" ht="15" hidden="false" customHeight="false" outlineLevel="0" collapsed="false">
      <c r="A248" s="0" t="s">
        <v>1832</v>
      </c>
      <c r="B248" s="0" t="s">
        <v>1830</v>
      </c>
      <c r="C248" s="0" t="s">
        <v>1139</v>
      </c>
      <c r="D248" s="0" t="s">
        <v>1161</v>
      </c>
      <c r="E248" s="0" t="s">
        <v>1585</v>
      </c>
      <c r="F248" s="0" t="s">
        <v>1290</v>
      </c>
      <c r="G248" s="0" t="n">
        <v>30.5</v>
      </c>
      <c r="H248" s="0" t="n">
        <v>32.47</v>
      </c>
      <c r="I248" s="10" t="n">
        <v>0.6151</v>
      </c>
      <c r="J248" s="10" t="n">
        <v>0.3849</v>
      </c>
      <c r="K248" s="9" t="s">
        <v>3458</v>
      </c>
      <c r="L248" s="9" t="s">
        <v>3459</v>
      </c>
      <c r="M248" s="0" t="n">
        <v>30</v>
      </c>
      <c r="N248" s="10" t="n">
        <v>0.1</v>
      </c>
      <c r="O248" s="19"/>
      <c r="P248" s="0" t="str">
        <f aca="false">IF(O248="","",IF(O248&gt;G248,"OVER",IF(O248&lt;G248,"UNDER","PUSH")))</f>
        <v/>
      </c>
      <c r="Q248" s="0" t="n">
        <v>31.92</v>
      </c>
      <c r="R248" s="10" t="n">
        <v>0.5844</v>
      </c>
      <c r="S248" s="0" t="n">
        <v>0.9831</v>
      </c>
      <c r="T248" s="0" t="n">
        <v>31.43</v>
      </c>
      <c r="U248" s="0" t="n">
        <v>30.9</v>
      </c>
    </row>
    <row r="249" customFormat="false" ht="15" hidden="false" customHeight="false" outlineLevel="0" collapsed="false">
      <c r="A249" s="0" t="s">
        <v>1832</v>
      </c>
      <c r="B249" s="0" t="s">
        <v>1830</v>
      </c>
      <c r="C249" s="0" t="s">
        <v>1139</v>
      </c>
      <c r="D249" s="0" t="s">
        <v>1161</v>
      </c>
      <c r="E249" s="0" t="s">
        <v>1588</v>
      </c>
      <c r="F249" s="0" t="s">
        <v>1286</v>
      </c>
      <c r="G249" s="0" t="n">
        <v>15</v>
      </c>
      <c r="H249" s="0" t="n">
        <v>14.8</v>
      </c>
      <c r="I249" s="10" t="n">
        <v>0.4327</v>
      </c>
      <c r="J249" s="10" t="n">
        <v>0.4712</v>
      </c>
      <c r="K249" s="9" t="s">
        <v>3458</v>
      </c>
      <c r="L249" s="9" t="s">
        <v>3459</v>
      </c>
      <c r="N249" s="10" t="n">
        <v>0.7</v>
      </c>
      <c r="O249" s="19"/>
      <c r="P249" s="0" t="str">
        <f aca="false">IF(O249="","",IF(O249&gt;G249,"OVER",IF(O249&lt;G249,"UNDER","PUSH")))</f>
        <v/>
      </c>
      <c r="Q249" s="0" t="n">
        <v>14.55</v>
      </c>
      <c r="R249" s="10" t="n">
        <v>0.4084</v>
      </c>
      <c r="S249" s="0" t="n">
        <v>0.9832</v>
      </c>
      <c r="T249" s="0" t="n">
        <v>15.85</v>
      </c>
      <c r="U249" s="0" t="n">
        <v>15.58</v>
      </c>
    </row>
    <row r="250" customFormat="false" ht="15" hidden="false" customHeight="false" outlineLevel="0" collapsed="false">
      <c r="A250" s="0" t="s">
        <v>1832</v>
      </c>
      <c r="B250" s="0" t="s">
        <v>1830</v>
      </c>
      <c r="C250" s="0" t="s">
        <v>1139</v>
      </c>
      <c r="D250" s="0" t="s">
        <v>1161</v>
      </c>
      <c r="E250" s="0" t="s">
        <v>1588</v>
      </c>
      <c r="F250" s="0" t="s">
        <v>1290</v>
      </c>
      <c r="G250" s="0" t="n">
        <v>35</v>
      </c>
      <c r="H250" s="0" t="n">
        <v>37.6</v>
      </c>
      <c r="I250" s="10" t="n">
        <v>0.6141</v>
      </c>
      <c r="J250" s="10" t="n">
        <v>0.3344</v>
      </c>
      <c r="K250" s="9" t="s">
        <v>3458</v>
      </c>
      <c r="L250" s="9" t="s">
        <v>3459</v>
      </c>
      <c r="M250" s="0" t="n">
        <v>36.82</v>
      </c>
      <c r="N250" s="10" t="n">
        <v>0.4</v>
      </c>
      <c r="O250" s="19"/>
      <c r="P250" s="0" t="str">
        <f aca="false">IF(O250="","",IF(O250&gt;G250,"OVER",IF(O250&lt;G250,"UNDER","PUSH")))</f>
        <v/>
      </c>
      <c r="Q250" s="0" t="n">
        <v>36.97</v>
      </c>
      <c r="R250" s="10" t="n">
        <v>0.5809</v>
      </c>
      <c r="S250" s="0" t="n">
        <v>0.9831</v>
      </c>
      <c r="T250" s="0" t="n">
        <v>36.95</v>
      </c>
      <c r="U250" s="0" t="n">
        <v>36.32</v>
      </c>
    </row>
    <row r="251" customFormat="false" ht="15" hidden="false" customHeight="false" outlineLevel="0" collapsed="false">
      <c r="A251" s="0" t="s">
        <v>1832</v>
      </c>
      <c r="B251" s="0" t="s">
        <v>1830</v>
      </c>
      <c r="C251" s="0" t="s">
        <v>1139</v>
      </c>
      <c r="D251" s="0" t="s">
        <v>1210</v>
      </c>
      <c r="E251" s="0" t="s">
        <v>1591</v>
      </c>
      <c r="F251" s="0" t="s">
        <v>1286</v>
      </c>
      <c r="G251" s="0" t="n">
        <v>16.5</v>
      </c>
      <c r="H251" s="0" t="n">
        <v>14.28</v>
      </c>
      <c r="I251" s="10" t="n">
        <v>0.2973</v>
      </c>
      <c r="J251" s="10" t="n">
        <v>0.7027</v>
      </c>
      <c r="K251" s="9" t="s">
        <v>3455</v>
      </c>
      <c r="L251" s="9" t="s">
        <v>3460</v>
      </c>
      <c r="N251" s="10" t="n">
        <v>0.4</v>
      </c>
      <c r="O251" s="19"/>
      <c r="P251" s="0" t="str">
        <f aca="false">IF(O251="","",IF(O251&gt;G251,"OVER",IF(O251&lt;G251,"UNDER","PUSH")))</f>
        <v/>
      </c>
      <c r="Q251" s="0" t="n">
        <v>15.4</v>
      </c>
      <c r="R251" s="10" t="n">
        <v>0.4002</v>
      </c>
      <c r="S251" s="0" t="n">
        <v>1.0789</v>
      </c>
      <c r="T251" s="0" t="n">
        <v>13.96</v>
      </c>
      <c r="U251" s="0" t="n">
        <v>15.06</v>
      </c>
    </row>
    <row r="252" customFormat="false" ht="15" hidden="false" customHeight="false" outlineLevel="0" collapsed="false">
      <c r="A252" s="0" t="s">
        <v>1832</v>
      </c>
      <c r="B252" s="0" t="s">
        <v>1830</v>
      </c>
      <c r="C252" s="0" t="s">
        <v>1139</v>
      </c>
      <c r="D252" s="0" t="s">
        <v>1210</v>
      </c>
      <c r="E252" s="0" t="s">
        <v>1591</v>
      </c>
      <c r="F252" s="0" t="s">
        <v>1290</v>
      </c>
      <c r="G252" s="0" t="n">
        <v>29.5</v>
      </c>
      <c r="H252" s="0" t="n">
        <v>25.44</v>
      </c>
      <c r="I252" s="10" t="n">
        <v>0.2479</v>
      </c>
      <c r="J252" s="10" t="n">
        <v>0.7521</v>
      </c>
      <c r="K252" s="9" t="s">
        <v>3455</v>
      </c>
      <c r="L252" s="9" t="s">
        <v>3460</v>
      </c>
      <c r="N252" s="10" t="n">
        <v>0.2</v>
      </c>
      <c r="O252" s="19"/>
      <c r="P252" s="0" t="str">
        <f aca="false">IF(O252="","",IF(O252&gt;G252,"OVER",IF(O252&lt;G252,"UNDER","PUSH")))</f>
        <v/>
      </c>
      <c r="Q252" s="0" t="n">
        <v>27.44</v>
      </c>
      <c r="R252" s="10" t="n">
        <v>0.3697</v>
      </c>
      <c r="S252" s="0" t="n">
        <v>1.0787</v>
      </c>
      <c r="T252" s="0" t="n">
        <v>24.84</v>
      </c>
      <c r="U252" s="0" t="n">
        <v>26.79</v>
      </c>
    </row>
    <row r="253" customFormat="false" ht="15" hidden="false" customHeight="false" outlineLevel="0" collapsed="false">
      <c r="A253" s="0" t="s">
        <v>1832</v>
      </c>
      <c r="B253" s="0" t="s">
        <v>1830</v>
      </c>
      <c r="C253" s="0" t="s">
        <v>1139</v>
      </c>
      <c r="D253" s="0" t="s">
        <v>1210</v>
      </c>
      <c r="E253" s="0" t="s">
        <v>1593</v>
      </c>
      <c r="F253" s="0" t="s">
        <v>1286</v>
      </c>
      <c r="G253" s="0" t="n">
        <v>17.5</v>
      </c>
      <c r="H253" s="0" t="n">
        <v>14.81</v>
      </c>
      <c r="I253" s="10" t="n">
        <v>0.2645</v>
      </c>
      <c r="J253" s="10" t="n">
        <v>0.7355</v>
      </c>
      <c r="K253" s="9" t="s">
        <v>3455</v>
      </c>
      <c r="L253" s="9" t="s">
        <v>3460</v>
      </c>
      <c r="N253" s="10" t="n">
        <v>0.5</v>
      </c>
      <c r="O253" s="19"/>
      <c r="P253" s="0" t="str">
        <f aca="false">IF(O253="","",IF(O253&gt;G253,"OVER",IF(O253&lt;G253,"UNDER","PUSH")))</f>
        <v/>
      </c>
      <c r="Q253" s="0" t="n">
        <v>16.01</v>
      </c>
      <c r="R253" s="10" t="n">
        <v>0.3691</v>
      </c>
      <c r="S253" s="0" t="n">
        <v>1.0815</v>
      </c>
      <c r="T253" s="0" t="n">
        <v>14.29</v>
      </c>
      <c r="U253" s="0" t="n">
        <v>15.41</v>
      </c>
    </row>
    <row r="254" customFormat="false" ht="15" hidden="false" customHeight="false" outlineLevel="0" collapsed="false">
      <c r="A254" s="0" t="s">
        <v>1832</v>
      </c>
      <c r="B254" s="0" t="s">
        <v>1830</v>
      </c>
      <c r="C254" s="0" t="s">
        <v>1139</v>
      </c>
      <c r="D254" s="0" t="s">
        <v>1210</v>
      </c>
      <c r="E254" s="0" t="s">
        <v>1593</v>
      </c>
      <c r="F254" s="0" t="s">
        <v>1290</v>
      </c>
      <c r="G254" s="0" t="n">
        <v>28.5</v>
      </c>
      <c r="H254" s="0" t="n">
        <v>25.08</v>
      </c>
      <c r="I254" s="10" t="n">
        <v>0.282</v>
      </c>
      <c r="J254" s="10" t="n">
        <v>0.718</v>
      </c>
      <c r="K254" s="9" t="s">
        <v>3455</v>
      </c>
      <c r="L254" s="9" t="s">
        <v>3460</v>
      </c>
      <c r="N254" s="10" t="n">
        <v>0.4</v>
      </c>
      <c r="O254" s="19"/>
      <c r="P254" s="0" t="str">
        <f aca="false">IF(O254="","",IF(O254&gt;G254,"OVER",IF(O254&lt;G254,"UNDER","PUSH")))</f>
        <v/>
      </c>
      <c r="Q254" s="0" t="n">
        <v>27.11</v>
      </c>
      <c r="R254" s="10" t="n">
        <v>0.4105</v>
      </c>
      <c r="S254" s="0" t="n">
        <v>1.0808</v>
      </c>
      <c r="T254" s="0" t="n">
        <v>24.47</v>
      </c>
      <c r="U254" s="0" t="n">
        <v>26.39</v>
      </c>
    </row>
    <row r="255" customFormat="false" ht="15" hidden="false" customHeight="false" outlineLevel="0" collapsed="false">
      <c r="A255" s="0" t="s">
        <v>1832</v>
      </c>
      <c r="B255" s="0" t="s">
        <v>1830</v>
      </c>
      <c r="C255" s="0" t="s">
        <v>1139</v>
      </c>
      <c r="D255" s="0" t="s">
        <v>1210</v>
      </c>
      <c r="E255" s="0" t="s">
        <v>1595</v>
      </c>
      <c r="F255" s="0" t="s">
        <v>1290</v>
      </c>
      <c r="G255" s="0" t="n">
        <v>28.5</v>
      </c>
      <c r="H255" s="0" t="n">
        <v>24</v>
      </c>
      <c r="I255" s="10" t="n">
        <v>0.2187</v>
      </c>
      <c r="J255" s="10" t="n">
        <v>0.7813</v>
      </c>
      <c r="K255" s="9" t="s">
        <v>3455</v>
      </c>
      <c r="L255" s="9" t="s">
        <v>3460</v>
      </c>
      <c r="N255" s="10" t="n">
        <v>0.4</v>
      </c>
      <c r="O255" s="19"/>
      <c r="P255" s="0" t="str">
        <f aca="false">IF(O255="","",IF(O255&gt;G255,"OVER",IF(O255&lt;G255,"UNDER","PUSH")))</f>
        <v/>
      </c>
      <c r="Q255" s="0" t="n">
        <v>25.89</v>
      </c>
      <c r="R255" s="10" t="n">
        <v>0.3326</v>
      </c>
      <c r="S255" s="0" t="n">
        <v>1.079</v>
      </c>
      <c r="T255" s="0" t="n">
        <v>23.72</v>
      </c>
      <c r="U255" s="0" t="n">
        <v>25.59</v>
      </c>
    </row>
    <row r="256" customFormat="false" ht="15" hidden="false" customHeight="false" outlineLevel="0" collapsed="false">
      <c r="A256" s="0" t="s">
        <v>1832</v>
      </c>
      <c r="B256" s="0" t="s">
        <v>1830</v>
      </c>
      <c r="C256" s="0" t="s">
        <v>1139</v>
      </c>
      <c r="D256" s="0" t="s">
        <v>1210</v>
      </c>
      <c r="E256" s="0" t="s">
        <v>1597</v>
      </c>
      <c r="F256" s="0" t="s">
        <v>1286</v>
      </c>
      <c r="G256" s="0" t="n">
        <v>17.5</v>
      </c>
      <c r="H256" s="0" t="n">
        <v>15.57</v>
      </c>
      <c r="I256" s="10" t="n">
        <v>0.332</v>
      </c>
      <c r="J256" s="10" t="n">
        <v>0.668</v>
      </c>
      <c r="K256" s="9" t="s">
        <v>3455</v>
      </c>
      <c r="L256" s="9" t="s">
        <v>3460</v>
      </c>
      <c r="N256" s="10" t="n">
        <v>0.5</v>
      </c>
      <c r="O256" s="19"/>
      <c r="P256" s="0" t="str">
        <f aca="false">IF(O256="","",IF(O256&gt;G256,"OVER",IF(O256&lt;G256,"UNDER","PUSH")))</f>
        <v/>
      </c>
      <c r="Q256" s="0" t="n">
        <v>16.82</v>
      </c>
      <c r="R256" s="10" t="n">
        <v>0.4418</v>
      </c>
      <c r="S256" s="0" t="n">
        <v>1.0804</v>
      </c>
      <c r="T256" s="0" t="n">
        <v>14.85</v>
      </c>
      <c r="U256" s="0" t="n">
        <v>16.01</v>
      </c>
    </row>
    <row r="257" customFormat="false" ht="15" hidden="false" customHeight="false" outlineLevel="0" collapsed="false">
      <c r="A257" s="0" t="s">
        <v>1832</v>
      </c>
      <c r="B257" s="0" t="s">
        <v>1830</v>
      </c>
      <c r="C257" s="0" t="s">
        <v>1139</v>
      </c>
      <c r="D257" s="0" t="s">
        <v>1210</v>
      </c>
      <c r="E257" s="0" t="s">
        <v>1597</v>
      </c>
      <c r="F257" s="0" t="s">
        <v>1290</v>
      </c>
      <c r="G257" s="0" t="n">
        <v>27.5</v>
      </c>
      <c r="H257" s="0" t="n">
        <v>23.48</v>
      </c>
      <c r="I257" s="10" t="n">
        <v>0.2415</v>
      </c>
      <c r="J257" s="10" t="n">
        <v>0.7585</v>
      </c>
      <c r="K257" s="9" t="s">
        <v>3455</v>
      </c>
      <c r="L257" s="9" t="s">
        <v>3460</v>
      </c>
      <c r="N257" s="10" t="n">
        <v>0.3</v>
      </c>
      <c r="O257" s="19"/>
      <c r="P257" s="0" t="str">
        <f aca="false">IF(O257="","",IF(O257&gt;G257,"OVER",IF(O257&lt;G257,"UNDER","PUSH")))</f>
        <v/>
      </c>
      <c r="Q257" s="0" t="n">
        <v>25.33</v>
      </c>
      <c r="R257" s="10" t="n">
        <v>0.3579</v>
      </c>
      <c r="S257" s="0" t="n">
        <v>1.079</v>
      </c>
      <c r="T257" s="0" t="n">
        <v>22.98</v>
      </c>
      <c r="U257" s="0" t="n">
        <v>24.79</v>
      </c>
    </row>
    <row r="258" customFormat="false" ht="15" hidden="false" customHeight="false" outlineLevel="0" collapsed="false">
      <c r="A258" s="0" t="s">
        <v>1832</v>
      </c>
      <c r="B258" s="0" t="s">
        <v>1830</v>
      </c>
      <c r="C258" s="0" t="s">
        <v>1247</v>
      </c>
      <c r="D258" s="0" t="s">
        <v>1246</v>
      </c>
      <c r="E258" s="0" t="s">
        <v>1599</v>
      </c>
      <c r="F258" s="0" t="s">
        <v>1290</v>
      </c>
      <c r="G258" s="0" t="n">
        <v>31</v>
      </c>
      <c r="H258" s="0" t="n">
        <v>29.5</v>
      </c>
      <c r="I258" s="10" t="n">
        <v>0.3781</v>
      </c>
      <c r="J258" s="10" t="n">
        <v>0.5616</v>
      </c>
      <c r="K258" s="9" t="s">
        <v>3461</v>
      </c>
      <c r="L258" s="9" t="s">
        <v>3454</v>
      </c>
      <c r="N258" s="10"/>
      <c r="O258" s="19"/>
      <c r="P258" s="0" t="str">
        <f aca="false">IF(O258="","",IF(O258&gt;G258,"OVER",IF(O258&lt;G258,"UNDER","PUSH")))</f>
        <v/>
      </c>
      <c r="Q258" s="0" t="n">
        <v>29.5</v>
      </c>
      <c r="R258" s="10" t="n">
        <v>0.3781</v>
      </c>
      <c r="S258" s="0" t="n">
        <v>1</v>
      </c>
      <c r="T258" s="0" t="n">
        <v>29.5</v>
      </c>
      <c r="U258" s="0" t="n">
        <v>29.5</v>
      </c>
    </row>
    <row r="259" customFormat="false" ht="15" hidden="false" customHeight="false" outlineLevel="0" collapsed="false">
      <c r="A259" s="0" t="s">
        <v>1832</v>
      </c>
      <c r="B259" s="0" t="s">
        <v>1830</v>
      </c>
      <c r="C259" s="0" t="s">
        <v>1247</v>
      </c>
      <c r="D259" s="0" t="s">
        <v>1246</v>
      </c>
      <c r="E259" s="0" t="s">
        <v>1601</v>
      </c>
      <c r="F259" s="0" t="s">
        <v>1290</v>
      </c>
      <c r="G259" s="0" t="n">
        <v>31.5</v>
      </c>
      <c r="H259" s="0" t="n">
        <v>35.74</v>
      </c>
      <c r="I259" s="10" t="n">
        <v>0.7254</v>
      </c>
      <c r="J259" s="10" t="n">
        <v>0.2746</v>
      </c>
      <c r="K259" s="9" t="s">
        <v>3461</v>
      </c>
      <c r="L259" s="9" t="s">
        <v>3454</v>
      </c>
      <c r="N259" s="10" t="n">
        <v>0.5</v>
      </c>
      <c r="O259" s="19"/>
      <c r="P259" s="0" t="str">
        <f aca="false">IF(O259="","",IF(O259&gt;G259,"OVER",IF(O259&lt;G259,"UNDER","PUSH")))</f>
        <v/>
      </c>
      <c r="Q259" s="0" t="n">
        <v>35.74</v>
      </c>
      <c r="R259" s="10" t="n">
        <v>0.7254</v>
      </c>
      <c r="S259" s="0" t="n">
        <v>1</v>
      </c>
      <c r="T259" s="0" t="n">
        <v>35.92</v>
      </c>
      <c r="U259" s="0" t="n">
        <v>35.92</v>
      </c>
    </row>
    <row r="260" customFormat="false" ht="15" hidden="false" customHeight="false" outlineLevel="0" collapsed="false">
      <c r="A260" s="0" t="s">
        <v>1832</v>
      </c>
      <c r="B260" s="0" t="s">
        <v>1830</v>
      </c>
      <c r="C260" s="0" t="s">
        <v>1247</v>
      </c>
      <c r="D260" s="0" t="s">
        <v>1246</v>
      </c>
      <c r="E260" s="0" t="s">
        <v>1603</v>
      </c>
      <c r="F260" s="0" t="s">
        <v>1290</v>
      </c>
      <c r="G260" s="0" t="n">
        <v>28.5</v>
      </c>
      <c r="H260" s="0" t="n">
        <v>30.92</v>
      </c>
      <c r="I260" s="10" t="n">
        <v>0.6432</v>
      </c>
      <c r="J260" s="10" t="n">
        <v>0.3568</v>
      </c>
      <c r="K260" s="9" t="s">
        <v>3461</v>
      </c>
      <c r="L260" s="9" t="s">
        <v>3454</v>
      </c>
      <c r="N260" s="10" t="n">
        <v>0.4</v>
      </c>
      <c r="O260" s="19"/>
      <c r="P260" s="0" t="str">
        <f aca="false">IF(O260="","",IF(O260&gt;G260,"OVER",IF(O260&lt;G260,"UNDER","PUSH")))</f>
        <v/>
      </c>
      <c r="Q260" s="0" t="n">
        <v>30.92</v>
      </c>
      <c r="R260" s="10" t="n">
        <v>0.6432</v>
      </c>
      <c r="S260" s="0" t="n">
        <v>1</v>
      </c>
      <c r="T260" s="0" t="n">
        <v>30.36</v>
      </c>
      <c r="U260" s="0" t="n">
        <v>30.36</v>
      </c>
    </row>
    <row r="261" customFormat="false" ht="15" hidden="false" customHeight="false" outlineLevel="0" collapsed="false">
      <c r="A261" s="0" t="s">
        <v>1832</v>
      </c>
      <c r="B261" s="0" t="s">
        <v>1830</v>
      </c>
      <c r="C261" s="0" t="s">
        <v>1247</v>
      </c>
      <c r="D261" s="0" t="s">
        <v>1255</v>
      </c>
      <c r="E261" s="0" t="s">
        <v>1605</v>
      </c>
      <c r="F261" s="0" t="s">
        <v>1290</v>
      </c>
      <c r="G261" s="0" t="n">
        <v>27.5</v>
      </c>
      <c r="H261" s="0" t="n">
        <v>22.12</v>
      </c>
      <c r="I261" s="10" t="n">
        <v>0.167</v>
      </c>
      <c r="J261" s="10" t="n">
        <v>0.833</v>
      </c>
      <c r="K261" s="9" t="s">
        <v>3462</v>
      </c>
      <c r="L261" s="9" t="s">
        <v>3463</v>
      </c>
      <c r="N261" s="10" t="n">
        <v>0.4</v>
      </c>
      <c r="O261" s="19"/>
      <c r="P261" s="0" t="str">
        <f aca="false">IF(O261="","",IF(O261&gt;G261,"OVER",IF(O261&lt;G261,"UNDER","PUSH")))</f>
        <v/>
      </c>
      <c r="Q261" s="0" t="n">
        <v>22.12</v>
      </c>
      <c r="R261" s="10" t="n">
        <v>0.167</v>
      </c>
      <c r="S261" s="0" t="n">
        <v>1</v>
      </c>
      <c r="T261" s="0" t="n">
        <v>23.39</v>
      </c>
      <c r="U261" s="0" t="n">
        <v>23.39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3464</v>
      </c>
      <c r="B1" s="12" t="s">
        <v>3436</v>
      </c>
    </row>
    <row r="2" customFormat="false" ht="15" hidden="false" customHeight="false" outlineLevel="0" collapsed="false">
      <c r="A2" s="0" t="s">
        <v>3465</v>
      </c>
      <c r="B2" s="0" t="n">
        <v>260</v>
      </c>
    </row>
    <row r="3" customFormat="false" ht="15" hidden="false" customHeight="false" outlineLevel="0" collapsed="false">
      <c r="A3" s="0" t="s">
        <v>3466</v>
      </c>
      <c r="B3" s="0" t="n">
        <v>136</v>
      </c>
    </row>
    <row r="4" customFormat="false" ht="15" hidden="false" customHeight="false" outlineLevel="0" collapsed="false">
      <c r="A4" s="0" t="s">
        <v>3467</v>
      </c>
      <c r="B4" s="0" t="s">
        <v>3468</v>
      </c>
    </row>
    <row r="5" customFormat="false" ht="15" hidden="false" customHeight="false" outlineLevel="0" collapsed="false">
      <c r="A5" s="0" t="s">
        <v>3469</v>
      </c>
      <c r="B5" s="0" t="n">
        <v>0</v>
      </c>
    </row>
    <row r="6" customFormat="false" ht="15" hidden="false" customHeight="false" outlineLevel="0" collapsed="false">
      <c r="A6" s="0" t="s">
        <v>3470</v>
      </c>
      <c r="B6" s="0" t="s">
        <v>3471</v>
      </c>
    </row>
    <row r="7" customFormat="false" ht="15" hidden="false" customHeight="false" outlineLevel="0" collapsed="false">
      <c r="A7" s="0" t="s">
        <v>3472</v>
      </c>
      <c r="B7" s="0" t="n">
        <v>2</v>
      </c>
    </row>
    <row r="8" customFormat="false" ht="15" hidden="false" customHeight="false" outlineLevel="0" collapsed="false">
      <c r="A8" s="0" t="s">
        <v>3473</v>
      </c>
      <c r="B8" s="0" t="n">
        <v>15</v>
      </c>
    </row>
    <row r="9" customFormat="false" ht="15" hidden="false" customHeight="false" outlineLevel="0" collapsed="false">
      <c r="A9" s="0" t="s">
        <v>3474</v>
      </c>
      <c r="B9" s="0" t="n">
        <v>15</v>
      </c>
    </row>
    <row r="10" customFormat="false" ht="15" hidden="false" customHeight="false" outlineLevel="0" collapsed="false">
      <c r="A10" s="0" t="s">
        <v>3475</v>
      </c>
      <c r="B10" s="0" t="n">
        <v>0</v>
      </c>
    </row>
    <row r="11" customFormat="false" ht="15" hidden="false" customHeight="false" outlineLevel="0" collapsed="false">
      <c r="A11" s="0" t="s">
        <v>3476</v>
      </c>
      <c r="B11" s="0" t="n">
        <v>56</v>
      </c>
    </row>
    <row r="12" customFormat="false" ht="15" hidden="false" customHeight="false" outlineLevel="0" collapsed="false">
      <c r="A12" s="0" t="s">
        <v>3477</v>
      </c>
      <c r="B12" s="0" t="n">
        <f aca="false">SUMPRODUCT(--ISERROR(Projections!G2:L261))</f>
        <v>0</v>
      </c>
    </row>
    <row r="13" customFormat="false" ht="15" hidden="false" customHeight="false" outlineLevel="0" collapsed="false">
      <c r="A13" s="0" t="s">
        <v>3478</v>
      </c>
      <c r="B13" s="0" t="n">
        <f aca="false">COUNTBLANK(Projections!G2:G261)</f>
        <v>0</v>
      </c>
    </row>
    <row r="14" customFormat="false" ht="15" hidden="false" customHeight="false" outlineLevel="0" collapsed="false">
      <c r="A14" s="0" t="s">
        <v>3479</v>
      </c>
      <c r="B14" s="0" t="n">
        <f aca="false">SUMPRODUCT(--ISERROR(Calc!A2:BK137))</f>
        <v>0</v>
      </c>
    </row>
    <row r="15" customFormat="false" ht="15" hidden="false" customHeight="false" outlineLevel="0" collapsed="false">
      <c r="A15" s="0" t="s">
        <v>3480</v>
      </c>
      <c r="B15" s="0" t="n">
        <f aca="false">SUMPRODUCT(MAX(ABS(N(+Projections!G2:G261)-N(+Log!H2:H261))))</f>
        <v>0.00496363636364094</v>
      </c>
    </row>
    <row r="16" customFormat="false" ht="15" hidden="false" customHeight="false" outlineLevel="0" collapsed="false">
      <c r="A16" s="0" t="s">
        <v>3481</v>
      </c>
      <c r="B16" s="0" t="n">
        <f aca="false">SUMPRODUCT(MAX(ABS(N(+Projections!Z2:Z261)-N(+Log!Q2:Q261))))</f>
        <v>0.00497886494828492</v>
      </c>
    </row>
    <row r="17" customFormat="false" ht="15" hidden="false" customHeight="false" outlineLevel="0" collapsed="false">
      <c r="A17" s="0" t="s">
        <v>3482</v>
      </c>
      <c r="B17" s="0" t="n">
        <f aca="false">SUMPRODUCT(--ISERROR(Matches!A5:BB23))</f>
        <v>0</v>
      </c>
    </row>
    <row r="18" customFormat="false" ht="15" hidden="false" customHeight="false" outlineLevel="0" collapsed="false">
      <c r="A18" s="0" t="s">
        <v>3483</v>
      </c>
      <c r="B18" s="0" t="n">
        <v>17</v>
      </c>
    </row>
    <row r="19" customFormat="false" ht="15" hidden="false" customHeight="false" outlineLevel="0" collapsed="false">
      <c r="A19" s="0" t="s">
        <v>3484</v>
      </c>
      <c r="B19" s="0" t="s">
        <v>3485</v>
      </c>
    </row>
    <row r="20" customFormat="false" ht="15" hidden="false" customHeight="false" outlineLevel="0" collapsed="false">
      <c r="A20" s="0" t="s">
        <v>3484</v>
      </c>
      <c r="B20" s="0" t="s">
        <v>3486</v>
      </c>
    </row>
    <row r="21" customFormat="false" ht="15" hidden="false" customHeight="false" outlineLevel="0" collapsed="false">
      <c r="A21" s="0" t="s">
        <v>3484</v>
      </c>
      <c r="B21" s="0" t="s">
        <v>3487</v>
      </c>
    </row>
    <row r="22" customFormat="false" ht="15" hidden="false" customHeight="false" outlineLevel="0" collapsed="false">
      <c r="A22" s="0" t="s">
        <v>3484</v>
      </c>
      <c r="B22" s="0" t="s">
        <v>3488</v>
      </c>
    </row>
    <row r="23" customFormat="false" ht="15" hidden="false" customHeight="false" outlineLevel="0" collapsed="false">
      <c r="A23" s="0" t="s">
        <v>3484</v>
      </c>
      <c r="B23" s="0" t="s">
        <v>3489</v>
      </c>
    </row>
    <row r="24" customFormat="false" ht="15" hidden="false" customHeight="false" outlineLevel="0" collapsed="false">
      <c r="A24" s="0" t="s">
        <v>3484</v>
      </c>
      <c r="B24" s="0" t="s">
        <v>3490</v>
      </c>
    </row>
    <row r="25" customFormat="false" ht="15" hidden="false" customHeight="false" outlineLevel="0" collapsed="false">
      <c r="A25" s="0" t="s">
        <v>3484</v>
      </c>
      <c r="B25" s="0" t="s">
        <v>3491</v>
      </c>
    </row>
    <row r="26" customFormat="false" ht="15" hidden="false" customHeight="false" outlineLevel="0" collapsed="false">
      <c r="A26" s="0" t="s">
        <v>3484</v>
      </c>
      <c r="B26" s="0" t="s">
        <v>3492</v>
      </c>
    </row>
    <row r="27" customFormat="false" ht="15" hidden="false" customHeight="false" outlineLevel="0" collapsed="false">
      <c r="A27" s="0" t="s">
        <v>3484</v>
      </c>
      <c r="B27" s="0" t="s">
        <v>3493</v>
      </c>
    </row>
    <row r="28" customFormat="false" ht="15" hidden="false" customHeight="false" outlineLevel="0" collapsed="false">
      <c r="A28" s="0" t="s">
        <v>3484</v>
      </c>
      <c r="B28" s="0" t="s">
        <v>3494</v>
      </c>
    </row>
    <row r="29" customFormat="false" ht="15" hidden="false" customHeight="false" outlineLevel="0" collapsed="false">
      <c r="A29" s="0" t="s">
        <v>3484</v>
      </c>
      <c r="B29" s="0" t="s">
        <v>3495</v>
      </c>
    </row>
    <row r="30" customFormat="false" ht="15" hidden="false" customHeight="false" outlineLevel="0" collapsed="false">
      <c r="A30" s="0" t="s">
        <v>3484</v>
      </c>
      <c r="B30" s="0" t="s">
        <v>3496</v>
      </c>
    </row>
    <row r="31" customFormat="false" ht="15" hidden="false" customHeight="false" outlineLevel="0" collapsed="false">
      <c r="A31" s="0" t="s">
        <v>3484</v>
      </c>
      <c r="B31" s="0" t="s">
        <v>3497</v>
      </c>
    </row>
    <row r="32" customFormat="false" ht="15" hidden="false" customHeight="false" outlineLevel="0" collapsed="false">
      <c r="A32" s="0" t="s">
        <v>3484</v>
      </c>
      <c r="B32" s="0" t="s">
        <v>3498</v>
      </c>
    </row>
    <row r="33" customFormat="false" ht="15" hidden="false" customHeight="false" outlineLevel="0" collapsed="false">
      <c r="A33" s="0" t="s">
        <v>3484</v>
      </c>
      <c r="B33" s="0" t="s">
        <v>3499</v>
      </c>
    </row>
    <row r="34" customFormat="false" ht="15" hidden="false" customHeight="false" outlineLevel="0" collapsed="false">
      <c r="A34" s="0" t="s">
        <v>3484</v>
      </c>
      <c r="B34" s="0" t="s">
        <v>3500</v>
      </c>
    </row>
    <row r="35" customFormat="false" ht="15" hidden="false" customHeight="false" outlineLevel="0" collapsed="false">
      <c r="A35" s="0" t="s">
        <v>3484</v>
      </c>
      <c r="B35" s="0" t="s">
        <v>3501</v>
      </c>
    </row>
    <row r="36" customFormat="false" ht="15" hidden="false" customHeight="false" outlineLevel="0" collapsed="false">
      <c r="A36" s="0" t="s">
        <v>3484</v>
      </c>
      <c r="B36" s="0" t="s">
        <v>3502</v>
      </c>
    </row>
    <row r="37" customFormat="false" ht="15" hidden="false" customHeight="false" outlineLevel="0" collapsed="false">
      <c r="A37" s="0" t="s">
        <v>3484</v>
      </c>
      <c r="B37" s="0" t="s">
        <v>3503</v>
      </c>
    </row>
    <row r="38" customFormat="false" ht="15" hidden="false" customHeight="false" outlineLevel="0" collapsed="false">
      <c r="A38" s="0" t="s">
        <v>3484</v>
      </c>
      <c r="B38" s="0" t="s">
        <v>3504</v>
      </c>
    </row>
    <row r="39" customFormat="false" ht="15" hidden="false" customHeight="false" outlineLevel="0" collapsed="false">
      <c r="A39" s="0" t="s">
        <v>3484</v>
      </c>
      <c r="B39" s="0" t="s">
        <v>3505</v>
      </c>
    </row>
    <row r="40" customFormat="false" ht="15" hidden="false" customHeight="false" outlineLevel="0" collapsed="false">
      <c r="A40" s="0" t="s">
        <v>3484</v>
      </c>
      <c r="B40" s="0" t="s">
        <v>3506</v>
      </c>
    </row>
    <row r="41" customFormat="false" ht="15" hidden="false" customHeight="false" outlineLevel="0" collapsed="false">
      <c r="A41" s="0" t="s">
        <v>3484</v>
      </c>
      <c r="B41" s="0" t="s">
        <v>3507</v>
      </c>
    </row>
    <row r="42" customFormat="false" ht="15" hidden="false" customHeight="false" outlineLevel="0" collapsed="false">
      <c r="A42" s="0" t="s">
        <v>3484</v>
      </c>
      <c r="B42" s="0" t="s">
        <v>3508</v>
      </c>
    </row>
    <row r="43" customFormat="false" ht="15" hidden="false" customHeight="false" outlineLevel="0" collapsed="false">
      <c r="A43" s="0" t="s">
        <v>3484</v>
      </c>
      <c r="B43" s="0" t="s">
        <v>3509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2026-10-29T05:19:31Z</dcterms:created>
  <dc:creator>openpyxl</dc:creator>
  <dc:description/>
  <dc:language>en-US</dc:language>
  <cp:lastModifiedBy/>
  <dcterms:modified xsi:type="dcterms:W3CDTF">2026-10-29T05:19:31Z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