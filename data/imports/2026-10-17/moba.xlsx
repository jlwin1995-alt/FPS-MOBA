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Board" sheetId="2" state="visible" r:id="rId4"/>
    <sheet name="Matches" sheetId="3" state="visible" r:id="rId5"/>
    <sheet name="Projections" sheetId="4" state="visible" r:id="rId6"/>
    <sheet name="Calc" sheetId="5" state="visible" r:id="rId7"/>
    <sheet name="Config" sheetId="6" state="visible" r:id="rId8"/>
    <sheet name="Players" sheetId="7" state="visible" r:id="rId9"/>
    <sheet name="Gamelog" sheetId="8" state="visible" r:id="rId10"/>
    <sheet name="Book_Props" sheetId="9" state="visible" r:id="rId11"/>
    <sheet name="Log" sheetId="10" state="visible" r:id="rId12"/>
    <sheet name="Data_Checks" sheetId="11" state="visible" r:id="rId13"/>
  </sheets>
  <definedNames>
    <definedName function="false" hidden="true" localSheetId="3" name="_xlnm._FilterDatabase" vbProcedure="false">Projections!$A$1:$AA$18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<sst xmlns="http://schemas.openxmlformats.org/spreadsheetml/2006/main" count="1491" uniqueCount="383">
  <si>
    <t xml:space="preserve">MOBA Player Model — LoL + Dota 2</t>
  </si>
  <si>
    <t xml:space="preserve">Kills projections built on the one effect the record measured cleanly in LoL: players score about twice as many kills in map wins as in losses (25 of 25 players, median 2.2×).</t>
  </si>
  <si>
    <t xml:space="preserve">Slate 2026-10-17 · 17 board legs · 2 matches</t>
  </si>
  <si>
    <t xml:space="preserve">HOW TO USE</t>
  </si>
  <si>
    <t xml:space="preserve">1. Matches tab: one row per match. Shaded: P(A wins) for maps 1, 2 and 3, whether maps 2 and 3 get played, and a kill-environment multiplier. They arrive prefilled from Thunderpick (map-winner odds, devigged). Bo5 "Maps 1-3" props always play three maps; Bo1 props are Map 1 only.</t>
  </si>
  <si>
    <t xml:space="preserve">2. Board tab: pick a match in B2. Both rosters, ranked by projected Map 1 kills, with the PrizePicks line, P(over), Thunderpick's own kill-line median and PickFinder's L10.</t>
  </si>
  <si>
    <t xml:space="preserve">3. Projections: every leg. Naive proj = his plain average per map, for comparison. Exact-line landings counts how often his last 15 series finished exactly on a whole-number line — the push check.</t>
  </si>
  <si>
    <t xml:space="preserve">4. Log: the projections frozen as values when the sheet was built. Type Actual after settlement.</t>
  </si>
  <si>
    <t xml:space="preserve">THE MODEL</t>
  </si>
  <si>
    <t xml:space="preserve">K̄ = his kills per map, q = his map win rate (both from PickFinder Player Stats, same sample). r = WL_RATIO.</t>
  </si>
  <si>
    <t xml:space="preserve">k_win = K̄·r ÷ (q·r + 1 − q),  k_loss = K̄ ÷ (q·r + 1 − q).  These reproduce K̄ exactly at his own win rate.</t>
  </si>
  <si>
    <t xml:space="preserve">Map kills = Kills env × (P(win)·k_win + (1 − P(win))·k_loss). Maps 1-3 = sum over maps × P(map played).</t>
  </si>
  <si>
    <t xml:space="preserve">Spread: within-result variance KILLS_DISPERSION × mean, PLUS the win/loss mixture P(1−P)(k_win − k_loss)². That second term is why a LoL leg is wider than its average suggests: one coin flip on the map result moves him between two very different kill counts.</t>
  </si>
  <si>
    <t xml:space="preserve">WHERE EACH NUMBER COMES FROM</t>
  </si>
  <si>
    <t xml:space="preserve">PickFinder: /props board (lines, L5/L10/L15/H2H/streak) and each player page — Player Stats (Win Rate, Maps, K/D/A) and the 15-series gamelog (per-map kills).</t>
  </si>
  <si>
    <t xml:space="preserve">Thunderpick /api/markets: Match Winner, Map k Winner, Total Kills - Map k, each team's Total Kills, Map Kills Handicap, Map Duration, and each player's Total Kills ladder. Devigged; ladders read at the 50% crossing.</t>
  </si>
  <si>
    <t xml:space="preserve">Dota: same model, its own ratio (1.77) and dispersion (1.84), both measured on OpenDota before the sheet was extended — see Config. Dota's win/loss gap is smaller than LoL's; its kill counts scatter more.</t>
  </si>
  <si>
    <t xml:space="preserve">Players flagged "new roster" played most of their recent games with other teammates (OpenDota co-occurrence). Their K̄ and q were earned on another team — the level/role-change check, not something the model can fix.</t>
  </si>
  <si>
    <t xml:space="preserve">READ THIS BEFORE TRUSTING A NUMBER</t>
  </si>
  <si>
    <t xml:space="preserve">PAPER. The q-adjustment has been logged for retrodiction since 08-19 and never scored forward. This sheet's Log is the forward record.</t>
  </si>
  <si>
    <t xml:space="preserve">The record's caveat stands: price alone predicted almost nothing (dog 43.1% over, fav 53.7%). If the adjustment carries information, it is through the interaction with each player's own q — which is exactly what Naive vs Proj isolates.</t>
  </si>
  <si>
    <t xml:space="preserve">A likely sweep does NOT suppress LoL kills (6.60 vs 6.64, p = 0.69). Do not cut a leg on sweep risk.</t>
  </si>
  <si>
    <t xml:space="preserve">Demacia Cup Bo1s: teams from different leagues. A player's K̄ and q were earned in his own league's kill environment — that is what Kills env × is for, and it ships at 1.</t>
  </si>
  <si>
    <t xml:space="preserve">REFRESHING</t>
  </si>
  <si>
    <t xml:space="preserve">Rebuilt per slate from fresh captures and imported over this file (File → Import → Replace spreadsheet); the link stays the same.</t>
  </si>
  <si>
    <t xml:space="preserve">Board</t>
  </si>
  <si>
    <t xml:space="preserve">Match:</t>
  </si>
  <si>
    <t xml:space="preserve">LOL · BFX vs WE</t>
  </si>
  <si>
    <t xml:space="preserve">Teams</t>
  </si>
  <si>
    <t xml:space="preserve">Start (CT)</t>
  </si>
  <si>
    <t xml:space="preserve">Bo</t>
  </si>
  <si>
    <t xml:space="preserve">Event</t>
  </si>
  <si>
    <t xml:space="preserve">P(A wins)</t>
  </si>
  <si>
    <t xml:space="preserve">P(A wins M1)</t>
  </si>
  <si>
    <t xml:space="preserve">TP total kills M1</t>
  </si>
  <si>
    <t xml:space="preserve">TP A / B kills M1</t>
  </si>
  <si>
    <t xml:space="preserve">TP duration M1</t>
  </si>
  <si>
    <t xml:space="preserve">Kills env ×</t>
  </si>
  <si>
    <t xml:space="preserve">P(M2 / M3 played)</t>
  </si>
  <si>
    <t xml:space="preserve">TP A − B kills M1</t>
  </si>
  <si>
    <t xml:space="preserve">Team</t>
  </si>
  <si>
    <t xml:space="preserve">Player</t>
  </si>
  <si>
    <t xml:space="preserve">Map win q</t>
  </si>
  <si>
    <t xml:space="preserve">K avg</t>
  </si>
  <si>
    <t xml:space="preserve">k win</t>
  </si>
  <si>
    <t xml:space="preserve">k loss</t>
  </si>
  <si>
    <t xml:space="preserve">P(win M1)</t>
  </si>
  <si>
    <t xml:space="preserve">Proj M1</t>
  </si>
  <si>
    <t xml:space="preserve">Naive M1</t>
  </si>
  <si>
    <t xml:space="preserve">Line M1</t>
  </si>
  <si>
    <t xml:space="preserve">P(over) M1</t>
  </si>
  <si>
    <t xml:space="preserve">Proj series</t>
  </si>
  <si>
    <t xml:space="preserve">Line series</t>
  </si>
  <si>
    <t xml:space="preserve">P(over) series</t>
  </si>
  <si>
    <t xml:space="preserve">TP book</t>
  </si>
  <si>
    <t xml:space="preserve">PF L10</t>
  </si>
  <si>
    <t xml:space="preserve">Sample</t>
  </si>
  <si>
    <t xml:space="preserve">Flags</t>
  </si>
  <si>
    <t xml:space="preserve">row</t>
  </si>
  <si>
    <t xml:space="preserve">Proj = Σ maps of P(win map)·k_win + P(lose)·k_loss, with k_win = K̄·r/(q·r+1−q), k_loss = K̄/(q·r+1−q), r = WL_RATIO, q = his map win rate over PickFinder's sample. Naive = K̄ per map. At P(win) = q the two agree exactly. PAPER: no forward record.</t>
  </si>
  <si>
    <t xml:space="preserve">Matches — the shaded columns are yours: P(win) for each map, which maps get played, and the kill environment</t>
  </si>
  <si>
    <t xml:space="preserve">Prefilled from Thunderpick, devigged: P(A wins map k) from Map k Winner (Bo1: Match Winner). Kills env × scales every projection in the match (1 = the players' own history; 1.10 = a game 10% bloodier).</t>
  </si>
  <si>
    <t xml:space="preserve">Match</t>
  </si>
  <si>
    <t xml:space="preserve">Team A</t>
  </si>
  <si>
    <t xml:space="preserve">Team B</t>
  </si>
  <si>
    <t xml:space="preserve">TP A kills M1</t>
  </si>
  <si>
    <t xml:space="preserve">TP B kills M1</t>
  </si>
  <si>
    <t xml:space="preserve">TP markets</t>
  </si>
  <si>
    <t xml:space="preserve">P(A wins M2)</t>
  </si>
  <si>
    <t xml:space="preserve">P(A wins M3)</t>
  </si>
  <si>
    <t xml:space="preserve">P(M2 played)</t>
  </si>
  <si>
    <t xml:space="preserve">P(M3 played)</t>
  </si>
  <si>
    <t xml:space="preserve">Tag A</t>
  </si>
  <si>
    <t xml:space="preserve">Tag B</t>
  </si>
  <si>
    <t xml:space="preserve">Demacia Cup Global Invitational 2026</t>
  </si>
  <si>
    <t xml:space="preserve">Sat 04:00</t>
  </si>
  <si>
    <t xml:space="preserve">FearX (BFX)</t>
  </si>
  <si>
    <t xml:space="preserve">Team WE (WE)</t>
  </si>
  <si>
    <t xml:space="preserve">BFX</t>
  </si>
  <si>
    <t xml:space="preserve">WE</t>
  </si>
  <si>
    <t xml:space="preserve">LOL · MVK vs FUR</t>
  </si>
  <si>
    <t xml:space="preserve">Worlds 2026</t>
  </si>
  <si>
    <t xml:space="preserve">Sat 13:00</t>
  </si>
  <si>
    <t xml:space="preserve">MVK Esports (MVK)</t>
  </si>
  <si>
    <t xml:space="preserve">FURIA Esports (FUR)</t>
  </si>
  <si>
    <t xml:space="preserve">MVK</t>
  </si>
  <si>
    <t xml:space="preserve">FUR</t>
  </si>
  <si>
    <t xml:space="preserve">Market</t>
  </si>
  <si>
    <t xml:space="preserve">Line</t>
  </si>
  <si>
    <t xml:space="preserve">Proj</t>
  </si>
  <si>
    <t xml:space="preserve">Sigma</t>
  </si>
  <si>
    <t xml:space="preserve">P(over)</t>
  </si>
  <si>
    <t xml:space="preserve">P(under)</t>
  </si>
  <si>
    <t xml:space="preserve">P(push)</t>
  </si>
  <si>
    <t xml:space="preserve">Model side (paper)</t>
  </si>
  <si>
    <t xml:space="preserve">Naive proj</t>
  </si>
  <si>
    <t xml:space="preserve">P(over) naive</t>
  </si>
  <si>
    <t xml:space="preserve">TP book median</t>
  </si>
  <si>
    <t xml:space="preserve">Map win rate q</t>
  </si>
  <si>
    <t xml:space="preserve">PF Avg L10</t>
  </si>
  <si>
    <t xml:space="preserve">PF L5</t>
  </si>
  <si>
    <t xml:space="preserve">PF L15</t>
  </si>
  <si>
    <t xml:space="preserve">PF H2H</t>
  </si>
  <si>
    <t xml:space="preserve">PF streak</t>
  </si>
  <si>
    <t xml:space="preserve">Exact-line landings (15)</t>
  </si>
  <si>
    <t xml:space="preserve">Calc key</t>
  </si>
  <si>
    <t xml:space="preserve">Code</t>
  </si>
  <si>
    <t xml:space="preserve">Lookup</t>
  </si>
  <si>
    <t xml:space="preserve">Clear</t>
  </si>
  <si>
    <t xml:space="preserve">Maps 1-3 Kills</t>
  </si>
  <si>
    <t xml:space="preserve">-</t>
  </si>
  <si>
    <t xml:space="preserve">a40b96slvk58uel|LOL · BFX vs WE</t>
  </si>
  <si>
    <t xml:space="preserve">K13</t>
  </si>
  <si>
    <t xml:space="preserve">Raptor</t>
  </si>
  <si>
    <t xml:space="preserve">9rk91wvgkapc003|LOL · BFX vs WE</t>
  </si>
  <si>
    <t xml:space="preserve">Taeyoon</t>
  </si>
  <si>
    <t xml:space="preserve">levu3u8bffr7eia|LOL · BFX vs WE</t>
  </si>
  <si>
    <t xml:space="preserve">VicLa</t>
  </si>
  <si>
    <t xml:space="preserve">100%/1/1</t>
  </si>
  <si>
    <t xml:space="preserve">fykyrgu2gcp2ijb|LOL · BFX vs WE</t>
  </si>
  <si>
    <t xml:space="preserve">About</t>
  </si>
  <si>
    <t xml:space="preserve">3yzx0bm4qio0tw2|LOL · BFX vs WE</t>
  </si>
  <si>
    <t xml:space="preserve">Cube</t>
  </si>
  <si>
    <t xml:space="preserve">zx223uprdlwvwql|LOL · BFX vs WE</t>
  </si>
  <si>
    <t xml:space="preserve">Karis</t>
  </si>
  <si>
    <t xml:space="preserve">zqz2c02yeqcosjl|LOL · BFX vs WE</t>
  </si>
  <si>
    <t xml:space="preserve">Monki</t>
  </si>
  <si>
    <t xml:space="preserve">ww7x449hoa750ht|LOL · BFX vs WE</t>
  </si>
  <si>
    <t xml:space="preserve">Ayu</t>
  </si>
  <si>
    <t xml:space="preserve">0%/0/1</t>
  </si>
  <si>
    <t xml:space="preserve">e7oayaesoqb0bhf|LOL · MVK vs FUR</t>
  </si>
  <si>
    <t xml:space="preserve">GUIGO</t>
  </si>
  <si>
    <t xml:space="preserve">yfeamupxfsjv1hs|LOL · MVK vs FUR</t>
  </si>
  <si>
    <t xml:space="preserve">Jojo</t>
  </si>
  <si>
    <t xml:space="preserve">0puc7tc09n5mldx|LOL · MVK vs FUR</t>
  </si>
  <si>
    <t xml:space="preserve">Tatu</t>
  </si>
  <si>
    <t xml:space="preserve">bfa7dj819gxo5o8|LOL · MVK vs FUR</t>
  </si>
  <si>
    <t xml:space="preserve">Tutsz</t>
  </si>
  <si>
    <t xml:space="preserve">vx8t2exqb0pxqzs|LOL · MVK vs FUR</t>
  </si>
  <si>
    <t xml:space="preserve">Chika</t>
  </si>
  <si>
    <t xml:space="preserve">r22pe1iajr6mhdp|LOL · MVK vs FUR</t>
  </si>
  <si>
    <t xml:space="preserve">Harky</t>
  </si>
  <si>
    <t xml:space="preserve">tuhm132yvf0f8gg|LOL · MVK vs FUR</t>
  </si>
  <si>
    <t xml:space="preserve">Kratos</t>
  </si>
  <si>
    <t xml:space="preserve">zzsjtlvrbi44rqp|LOL · MVK vs FUR</t>
  </si>
  <si>
    <t xml:space="preserve">Siuloong</t>
  </si>
  <si>
    <t xml:space="preserve">16tiv29rhyefoti|LOL · MVK vs FUR</t>
  </si>
  <si>
    <t xml:space="preserve">Key</t>
  </si>
  <si>
    <t xml:space="preserve">PID</t>
  </si>
  <si>
    <t xml:space="preserve">Side</t>
  </si>
  <si>
    <t xml:space="preserve">Maps n</t>
  </si>
  <si>
    <t xml:space="preserve">Win rate q</t>
  </si>
  <si>
    <t xml:space="preserve">Env</t>
  </si>
  <si>
    <t xml:space="preserve">M1 p win</t>
  </si>
  <si>
    <t xml:space="preserve">M1 p played</t>
  </si>
  <si>
    <t xml:space="preserve">M1 mean</t>
  </si>
  <si>
    <t xml:space="preserve">M1 var</t>
  </si>
  <si>
    <t xml:space="preserve">M2 p win</t>
  </si>
  <si>
    <t xml:space="preserve">M2 p played</t>
  </si>
  <si>
    <t xml:space="preserve">M2 mean</t>
  </si>
  <si>
    <t xml:space="preserve">M2 var</t>
  </si>
  <si>
    <t xml:space="preserve">M3 p win</t>
  </si>
  <si>
    <t xml:space="preserve">M3 p played</t>
  </si>
  <si>
    <t xml:space="preserve">M3 mean</t>
  </si>
  <si>
    <t xml:space="preserve">M3 var</t>
  </si>
  <si>
    <t xml:space="preserve">K1</t>
  </si>
  <si>
    <t xml:space="preserve">K1 var</t>
  </si>
  <si>
    <t xml:space="preserve">K12</t>
  </si>
  <si>
    <t xml:space="preserve">K12 var</t>
  </si>
  <si>
    <t xml:space="preserve">K13 var</t>
  </si>
  <si>
    <t xml:space="preserve">Naive K1</t>
  </si>
  <si>
    <t xml:space="preserve">Naive K12</t>
  </si>
  <si>
    <t xml:space="preserve">Naive K13</t>
  </si>
  <si>
    <t xml:space="preserve">Board rank</t>
  </si>
  <si>
    <t xml:space="preserve">Series code</t>
  </si>
  <si>
    <t xml:space="preserve">Series proj</t>
  </si>
  <si>
    <t xml:space="preserve">a40b96slvk58uel</t>
  </si>
  <si>
    <t xml:space="preserve">9rk91wvgkapc003</t>
  </si>
  <si>
    <t xml:space="preserve">levu3u8bffr7eia</t>
  </si>
  <si>
    <t xml:space="preserve">fykyrgu2gcp2ijb</t>
  </si>
  <si>
    <t xml:space="preserve">3yzx0bm4qio0tw2</t>
  </si>
  <si>
    <t xml:space="preserve">zx223uprdlwvwql</t>
  </si>
  <si>
    <t xml:space="preserve">zqz2c02yeqcosjl</t>
  </si>
  <si>
    <t xml:space="preserve">ww7x449hoa750ht</t>
  </si>
  <si>
    <t xml:space="preserve">e7oayaesoqb0bhf</t>
  </si>
  <si>
    <t xml:space="preserve">yfeamupxfsjv1hs</t>
  </si>
  <si>
    <t xml:space="preserve">0puc7tc09n5mldx</t>
  </si>
  <si>
    <t xml:space="preserve">bfa7dj819gxo5o8</t>
  </si>
  <si>
    <t xml:space="preserve">vx8t2exqb0pxqzs</t>
  </si>
  <si>
    <t xml:space="preserve">r22pe1iajr6mhdp</t>
  </si>
  <si>
    <t xml:space="preserve">tuhm132yvf0f8gg</t>
  </si>
  <si>
    <t xml:space="preserve">zzsjtlvrbi44rqp</t>
  </si>
  <si>
    <t xml:space="preserve">16tiv29rhyefoti</t>
  </si>
  <si>
    <t xml:space="preserve">Config — edit the shaded cells only</t>
  </si>
  <si>
    <t xml:space="preserve">Setting</t>
  </si>
  <si>
    <t xml:space="preserve">Value</t>
  </si>
  <si>
    <t xml:space="preserve">Notes</t>
  </si>
  <si>
    <t xml:space="preserve">WL_RATIO_LOL</t>
  </si>
  <si>
    <t xml:space="preserve">LoL: kills in map WINS ÷ kills in map LOSSES. Measured on 25 LoL players 2026-08-19: median 2.21, range 1.20–4.16, 25 of 25 above 1 (sign test p = 3×10⁻⁸). One value per title: per-player ratios from ~10 losses are too noisy to use.</t>
  </si>
  <si>
    <t xml:space="preserve">WL_RATIO_DOTA</t>
  </si>
  <si>
    <t xml:space="preserve">Dota: same quantity, measured 2026-10-03 on the 28 players on that day's board, last 40 Captains-Mode lobby games each (OpenDota): median 1.77, IQR 1.45–2.04, 27 of 28 above 1 (p = 1×10⁻⁷), leave-one-team-out medians 1.65–1.81. Criterion was written before the pull.</t>
  </si>
  <si>
    <t xml:space="preserve">KILLS_DISPERSION_LOL</t>
  </si>
  <si>
    <t xml:space="preserve">Variance ÷ mean of kills WITHIN a known map result (1 = Poisson), LoL. The win/loss mixture variance is added on top. Set by judgment, not measured.</t>
  </si>
  <si>
    <t xml:space="preserve">KILLS_DISPERSION_DOTA</t>
  </si>
  <si>
    <t xml:space="preserve">Same for Dota, measured: pooled within-result variance ÷ mean over the same 28 players × 40 games. Dota kill counts scatter more than LoL's.</t>
  </si>
  <si>
    <t xml:space="preserve">EDGE_MIN</t>
  </si>
  <si>
    <t xml:space="preserve">Model side shows OVER/UNDER only past 50% + this. PAPER: no forward record.</t>
  </si>
  <si>
    <t xml:space="preserve">THIN_SAMPLE_MAPS</t>
  </si>
  <si>
    <t xml:space="preserve">Flag players whose PickFinder sample is below this many maps.</t>
  </si>
  <si>
    <t xml:space="preserve">SLATE_DATE</t>
  </si>
  <si>
    <t xml:space="preserve">2026-10-17</t>
  </si>
  <si>
    <t xml:space="preserve">BUILT_UTC</t>
  </si>
  <si>
    <t xml:space="preserve">2026-10-17 02:14</t>
  </si>
  <si>
    <t xml:space="preserve">PF matchup</t>
  </si>
  <si>
    <t xml:space="preserve">Maps</t>
  </si>
  <si>
    <t xml:space="preserve">Map win rate</t>
  </si>
  <si>
    <t xml:space="preserve">K</t>
  </si>
  <si>
    <t xml:space="preserve">D</t>
  </si>
  <si>
    <t xml:space="preserve">A</t>
  </si>
  <si>
    <t xml:space="preserve">K/D</t>
  </si>
  <si>
    <t xml:space="preserve">Gamelog maps</t>
  </si>
  <si>
    <t xml:space="preserve">Gamelog kills/map</t>
  </si>
  <si>
    <t xml:space="preserve">Identity</t>
  </si>
  <si>
    <t xml:space="preserve">PickFinder page</t>
  </si>
  <si>
    <t xml:space="preserve">Title</t>
  </si>
  <si>
    <t xml:space="preserve">Role</t>
  </si>
  <si>
    <t xml:space="preserve">OpenDota W</t>
  </si>
  <si>
    <t xml:space="preserve">OpenDota L</t>
  </si>
  <si>
    <t xml:space="preserve">Own W/L ratio</t>
  </si>
  <si>
    <t xml:space="preserve">With current teammates</t>
  </si>
  <si>
    <t xml:space="preserve">BFX vs WE</t>
  </si>
  <si>
    <t xml:space="preserve">OK</t>
  </si>
  <si>
    <t xml:space="preserve">https://www.pickfinder.app/players/lol/a40b96slvk58uel</t>
  </si>
  <si>
    <t xml:space="preserve">LOL</t>
  </si>
  <si>
    <t xml:space="preserve">top</t>
  </si>
  <si>
    <t xml:space="preserve">https://www.pickfinder.app/players/lol/9rk91wvgkapc003</t>
  </si>
  <si>
    <t xml:space="preserve">jun</t>
  </si>
  <si>
    <t xml:space="preserve">https://www.pickfinder.app/players/lol/levu3u8bffr7eia</t>
  </si>
  <si>
    <t xml:space="preserve">adc</t>
  </si>
  <si>
    <t xml:space="preserve">https://www.pickfinder.app/players/lol/fykyrgu2gcp2ijb</t>
  </si>
  <si>
    <t xml:space="preserve">mid</t>
  </si>
  <si>
    <t xml:space="preserve">FUR vs MVK</t>
  </si>
  <si>
    <t xml:space="preserve">https://www.pickfinder.app/players/lol/e7oayaesoqb0bhf</t>
  </si>
  <si>
    <t xml:space="preserve">https://www.pickfinder.app/players/lol/yfeamupxfsjv1hs</t>
  </si>
  <si>
    <t xml:space="preserve">https://www.pickfinder.app/players/lol/0puc7tc09n5mldx</t>
  </si>
  <si>
    <t xml:space="preserve">sup</t>
  </si>
  <si>
    <t xml:space="preserve">https://www.pickfinder.app/players/lol/bfa7dj819gxo5o8</t>
  </si>
  <si>
    <t xml:space="preserve">https://www.pickfinder.app/players/lol/vx8t2exqb0pxqzs</t>
  </si>
  <si>
    <t xml:space="preserve">MVK vs FUR</t>
  </si>
  <si>
    <t xml:space="preserve">https://www.pickfinder.app/players/lol/r22pe1iajr6mhdp</t>
  </si>
  <si>
    <t xml:space="preserve">https://www.pickfinder.app/players/lol/tuhm132yvf0f8gg</t>
  </si>
  <si>
    <t xml:space="preserve">https://www.pickfinder.app/players/lol/zzsjtlvrbi44rqp</t>
  </si>
  <si>
    <t xml:space="preserve">https://www.pickfinder.app/players/lol/16tiv29rhyefoti</t>
  </si>
  <si>
    <t xml:space="preserve">WE vs BFX</t>
  </si>
  <si>
    <t xml:space="preserve">https://www.pickfinder.app/players/lol/3yzx0bm4qio0tw2</t>
  </si>
  <si>
    <t xml:space="preserve">https://www.pickfinder.app/players/lol/zx223uprdlwvwql</t>
  </si>
  <si>
    <t xml:space="preserve">https://www.pickfinder.app/players/lol/zqz2c02yeqcosjl</t>
  </si>
  <si>
    <t xml:space="preserve">https://www.pickfinder.app/players/lol/ww7x449hoa750ht</t>
  </si>
  <si>
    <t xml:space="preserve">Date</t>
  </si>
  <si>
    <t xml:space="preserve">Opponent</t>
  </si>
  <si>
    <t xml:space="preserve">M 1K</t>
  </si>
  <si>
    <t xml:space="preserve">M 2K</t>
  </si>
  <si>
    <t xml:space="preserve">M 3K</t>
  </si>
  <si>
    <t xml:space="preserve">M 1-2K</t>
  </si>
  <si>
    <t xml:space="preserve">M 1-3K</t>
  </si>
  <si>
    <t xml:space="preserve">10/04</t>
  </si>
  <si>
    <t xml:space="preserve">LGD</t>
  </si>
  <si>
    <t xml:space="preserve">10/03</t>
  </si>
  <si>
    <t xml:space="preserve">VIT</t>
  </si>
  <si>
    <t xml:space="preserve">09/03</t>
  </si>
  <si>
    <t xml:space="preserve">DK</t>
  </si>
  <si>
    <t xml:space="preserve">08/29</t>
  </si>
  <si>
    <t xml:space="preserve">T1</t>
  </si>
  <si>
    <t xml:space="preserve">08/28</t>
  </si>
  <si>
    <t xml:space="preserve">BRO</t>
  </si>
  <si>
    <t xml:space="preserve">08/27</t>
  </si>
  <si>
    <t xml:space="preserve">NS</t>
  </si>
  <si>
    <t xml:space="preserve">08/23</t>
  </si>
  <si>
    <t xml:space="preserve">08/21</t>
  </si>
  <si>
    <t xml:space="preserve">08/15</t>
  </si>
  <si>
    <t xml:space="preserve">DNS</t>
  </si>
  <si>
    <t xml:space="preserve">08/13</t>
  </si>
  <si>
    <t xml:space="preserve">KRX</t>
  </si>
  <si>
    <t xml:space="preserve">08/09</t>
  </si>
  <si>
    <t xml:space="preserve">08/07</t>
  </si>
  <si>
    <t xml:space="preserve">08/01</t>
  </si>
  <si>
    <t xml:space="preserve">07/30</t>
  </si>
  <si>
    <t xml:space="preserve">07/27</t>
  </si>
  <si>
    <t xml:space="preserve">GEN</t>
  </si>
  <si>
    <t xml:space="preserve">10/15</t>
  </si>
  <si>
    <t xml:space="preserve">10/10</t>
  </si>
  <si>
    <t xml:space="preserve">LOS</t>
  </si>
  <si>
    <t xml:space="preserve">LLL</t>
  </si>
  <si>
    <t xml:space="preserve">09/26</t>
  </si>
  <si>
    <t xml:space="preserve">RED</t>
  </si>
  <si>
    <t xml:space="preserve">09/12</t>
  </si>
  <si>
    <t xml:space="preserve">09/06</t>
  </si>
  <si>
    <t xml:space="preserve">08/30</t>
  </si>
  <si>
    <t xml:space="preserve">LEV</t>
  </si>
  <si>
    <t xml:space="preserve">08/22</t>
  </si>
  <si>
    <t xml:space="preserve">PNG</t>
  </si>
  <si>
    <t xml:space="preserve">FXW7</t>
  </si>
  <si>
    <t xml:space="preserve">VKS</t>
  </si>
  <si>
    <t xml:space="preserve">07/25</t>
  </si>
  <si>
    <t xml:space="preserve">07/15</t>
  </si>
  <si>
    <t xml:space="preserve">G2</t>
  </si>
  <si>
    <t xml:space="preserve">07/06</t>
  </si>
  <si>
    <t xml:space="preserve">07/04</t>
  </si>
  <si>
    <t xml:space="preserve">LY</t>
  </si>
  <si>
    <t xml:space="preserve">10/16</t>
  </si>
  <si>
    <t xml:space="preserve">KC</t>
  </si>
  <si>
    <t xml:space="preserve">CFO</t>
  </si>
  <si>
    <t xml:space="preserve">GAM</t>
  </si>
  <si>
    <t xml:space="preserve">08/20</t>
  </si>
  <si>
    <t xml:space="preserve">08/14</t>
  </si>
  <si>
    <t xml:space="preserve">08/08</t>
  </si>
  <si>
    <t xml:space="preserve">DCG</t>
  </si>
  <si>
    <t xml:space="preserve">07/31</t>
  </si>
  <si>
    <t xml:space="preserve">TSW</t>
  </si>
  <si>
    <t xml:space="preserve">GZ</t>
  </si>
  <si>
    <t xml:space="preserve">05/13</t>
  </si>
  <si>
    <t xml:space="preserve">05/12</t>
  </si>
  <si>
    <t xml:space="preserve">05/09</t>
  </si>
  <si>
    <t xml:space="preserve">05/06</t>
  </si>
  <si>
    <t xml:space="preserve">SHG</t>
  </si>
  <si>
    <t xml:space="preserve">05/02</t>
  </si>
  <si>
    <t xml:space="preserve">06/05</t>
  </si>
  <si>
    <t xml:space="preserve">05/29</t>
  </si>
  <si>
    <t xml:space="preserve">05/23</t>
  </si>
  <si>
    <t xml:space="preserve">05/16</t>
  </si>
  <si>
    <t xml:space="preserve">09/18</t>
  </si>
  <si>
    <t xml:space="preserve">JDG</t>
  </si>
  <si>
    <t xml:space="preserve">IG</t>
  </si>
  <si>
    <t xml:space="preserve">BLG</t>
  </si>
  <si>
    <t xml:space="preserve">AL</t>
  </si>
  <si>
    <t xml:space="preserve">08/19</t>
  </si>
  <si>
    <t xml:space="preserve">EDG</t>
  </si>
  <si>
    <t xml:space="preserve">TES</t>
  </si>
  <si>
    <t xml:space="preserve">TT</t>
  </si>
  <si>
    <t xml:space="preserve">08/06</t>
  </si>
  <si>
    <t xml:space="preserve">08/02</t>
  </si>
  <si>
    <t xml:space="preserve">TP player name</t>
  </si>
  <si>
    <t xml:space="preserve">Map 1 median</t>
  </si>
  <si>
    <t xml:space="preserve">Map 2 median</t>
  </si>
  <si>
    <t xml:space="preserve">Map 3 median</t>
  </si>
  <si>
    <t xml:space="preserve">Rungs (M1)</t>
  </si>
  <si>
    <t xml:space="preserve">Matched PID</t>
  </si>
  <si>
    <t xml:space="preserve">about</t>
  </si>
  <si>
    <t xml:space="preserve">clear</t>
  </si>
  <si>
    <t xml:space="preserve">cube</t>
  </si>
  <si>
    <t xml:space="preserve">erha</t>
  </si>
  <si>
    <t xml:space="preserve">karis</t>
  </si>
  <si>
    <t xml:space="preserve">kellin</t>
  </si>
  <si>
    <t xml:space="preserve">monki</t>
  </si>
  <si>
    <t xml:space="preserve">raptor</t>
  </si>
  <si>
    <t xml:space="preserve">taeyoon</t>
  </si>
  <si>
    <t xml:space="preserve">vicla</t>
  </si>
  <si>
    <t xml:space="preserve">ayu</t>
  </si>
  <si>
    <t xml:space="preserve">chika</t>
  </si>
  <si>
    <t xml:space="preserve">guigo</t>
  </si>
  <si>
    <t xml:space="preserve">gury</t>
  </si>
  <si>
    <t xml:space="preserve">harky</t>
  </si>
  <si>
    <t xml:space="preserve">jojo</t>
  </si>
  <si>
    <t xml:space="preserve">kratos</t>
  </si>
  <si>
    <t xml:space="preserve">siuloong</t>
  </si>
  <si>
    <t xml:space="preserve">tatu</t>
  </si>
  <si>
    <t xml:space="preserve">tutsz</t>
  </si>
  <si>
    <t xml:space="preserve">Logged (UTC)</t>
  </si>
  <si>
    <t xml:space="preserve">Slate</t>
  </si>
  <si>
    <t xml:space="preserve">Actual</t>
  </si>
  <si>
    <t xml:space="preserve">Result</t>
  </si>
  <si>
    <t xml:space="preserve">Check</t>
  </si>
  <si>
    <t xml:space="preserve">PickFinder board rows (LoL + Dota)</t>
  </si>
  <si>
    <t xml:space="preserve">Players with stats</t>
  </si>
  <si>
    <t xml:space="preserve">Gamelog identity M1+M2 = M1-2 and M1-2+M3 = M1-3, every row</t>
  </si>
  <si>
    <t xml:space="preserve">17 / 17 players pass</t>
  </si>
  <si>
    <t xml:space="preserve">Matches resolved to Thunderpick</t>
  </si>
  <si>
    <t xml:space="preserve">2 / 2</t>
  </si>
  <si>
    <t xml:space="preserve">Thunderpick player kill ladders matched to board players</t>
  </si>
  <si>
    <t xml:space="preserve">LIVE: formula errors on Projections (should be 0)</t>
  </si>
  <si>
    <t xml:space="preserve">LIVE: legs with no projection (should be 0)</t>
  </si>
  <si>
    <t xml:space="preserve">LIVE: largest |Projections − Log| (≈0 at default settings)</t>
  </si>
  <si>
    <t xml:space="preserve">LIVE: identity — legs where P(win M1) = q but Proj ≠ Naive (should be 0)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</si>
</sst>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0.0"/>
    <numFmt numFmtId="168" formatCode="0.00"/>
    <numFmt numFmtId="169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3EE"/>
          <bgColor rgb="FF000000"/>
        </patternFill>
      </fill>
    </dxf>
    <dxf>
      <fill>
        <patternFill patternType="solid">
          <fgColor rgb="FFF3F9F6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8FCFA"/>
          <bgColor rgb="FF000000"/>
        </patternFill>
      </fill>
    </dxf>
    <dxf>
      <fill>
        <patternFill patternType="solid">
          <fgColor rgb="FFF9DFE2"/>
          <bgColor rgb="FF000000"/>
        </patternFill>
      </fill>
    </dxf>
    <dxf>
      <fill>
        <patternFill patternType="solid">
          <fgColor rgb="FFFAE2E4"/>
          <bgColor rgb="FF000000"/>
        </patternFill>
      </fill>
    </dxf>
    <dxf>
      <fill>
        <patternFill patternType="solid">
          <fgColor rgb="FFFAE4E6"/>
          <bgColor rgb="FF000000"/>
        </patternFill>
      </fill>
    </dxf>
    <dxf>
      <fill>
        <patternFill patternType="solid">
          <fgColor rgb="FFFAE5E7"/>
          <bgColor rgb="FF000000"/>
        </patternFill>
      </fill>
    </dxf>
    <dxf>
      <fill>
        <patternFill patternType="solid">
          <fgColor rgb="FFFAE6E8"/>
          <bgColor rgb="FF000000"/>
        </patternFill>
      </fill>
    </dxf>
    <dxf>
      <fill>
        <patternFill patternType="solid">
          <fgColor rgb="FFFBE9EB"/>
          <bgColor rgb="FF000000"/>
        </patternFill>
      </fill>
    </dxf>
    <dxf>
      <fill>
        <patternFill patternType="solid">
          <fgColor rgb="FFFBECEE"/>
          <bgColor rgb="FF000000"/>
        </patternFill>
      </fill>
    </dxf>
    <dxf>
      <fill>
        <patternFill patternType="solid">
          <fgColor rgb="FFFBEDEE"/>
          <bgColor rgb="FF000000"/>
        </patternFill>
      </fill>
    </dxf>
    <dxf>
      <fill>
        <patternFill patternType="solid">
          <fgColor rgb="FFFDF5F6"/>
          <bgColor rgb="FF000000"/>
        </patternFill>
      </fill>
    </dxf>
    <dxf>
      <fill>
        <patternFill patternType="solid">
          <fgColor rgb="FFFDF7F7"/>
          <bgColor rgb="FF000000"/>
        </patternFill>
      </fill>
    </dxf>
    <dxf>
      <fill>
        <patternFill patternType="solid">
          <fgColor rgb="FFFE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28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41.75" hidden="false" customHeight="false" outlineLevel="0" collapsed="false">
      <c r="A6" s="2" t="s">
        <v>4</v>
      </c>
    </row>
    <row r="7" customFormat="false" ht="28.35" hidden="false" customHeight="false" outlineLevel="0" collapsed="false">
      <c r="A7" s="2" t="s">
        <v>5</v>
      </c>
    </row>
    <row r="8" customFormat="false" ht="28.3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28.35" hidden="false" customHeight="false" outlineLevel="0" collapsed="false">
      <c r="A15" s="2" t="s">
        <v>12</v>
      </c>
    </row>
    <row r="17" customFormat="false" ht="15" hidden="false" customHeight="false" outlineLevel="0" collapsed="false">
      <c r="A17" s="4" t="s">
        <v>13</v>
      </c>
    </row>
    <row r="18" customFormat="false" ht="28.35" hidden="false" customHeight="false" outlineLevel="0" collapsed="false">
      <c r="A18" s="2" t="s">
        <v>14</v>
      </c>
    </row>
    <row r="19" customFormat="false" ht="28.35" hidden="false" customHeight="false" outlineLevel="0" collapsed="false">
      <c r="A19" s="2" t="s">
        <v>15</v>
      </c>
    </row>
    <row r="20" customFormat="false" ht="28.35" hidden="false" customHeight="false" outlineLevel="0" collapsed="false">
      <c r="A20" s="2" t="s">
        <v>16</v>
      </c>
    </row>
    <row r="21" customFormat="false" ht="28.35" hidden="false" customHeight="false" outlineLevel="0" collapsed="false">
      <c r="A21" s="2" t="s">
        <v>17</v>
      </c>
    </row>
    <row r="23" customFormat="false" ht="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2" t="s">
        <v>19</v>
      </c>
    </row>
    <row r="25" customFormat="false" ht="28.3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28.35" hidden="false" customHeight="false" outlineLevel="0" collapsed="false">
      <c r="A27" s="2" t="s">
        <v>22</v>
      </c>
    </row>
    <row r="29" customFormat="false" ht="15" hidden="false" customHeight="false" outlineLevel="0" collapsed="false">
      <c r="A29" s="4" t="s">
        <v>23</v>
      </c>
    </row>
    <row r="30" customFormat="false" ht="15" hidden="false" customHeight="false" outlineLevel="0" collapsed="false">
      <c r="A30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6" min="4" style="0" width="7"/>
    <col collapsed="false" customWidth="true" hidden="false" outlineLevel="0" max="7" min="7" style="0" width="9"/>
    <col collapsed="false" customWidth="true" hidden="false" outlineLevel="0" max="10" min="8" style="0" width="8"/>
    <col collapsed="false" customWidth="true" hidden="false" outlineLevel="0" max="11" min="11" style="0" width="10"/>
    <col collapsed="false" customWidth="true" hidden="false" outlineLevel="0" max="13" min="12" style="0" width="8"/>
    <col collapsed="false" customWidth="true" hidden="false" outlineLevel="0" max="14" min="14" style="0" width="10"/>
    <col collapsed="false" customWidth="true" hidden="false" outlineLevel="0" max="16" min="15" style="0" width="8"/>
    <col collapsed="false" customWidth="true" hidden="false" outlineLevel="0" max="17" min="17" style="0" width="7"/>
    <col collapsed="false" customWidth="true" hidden="false" outlineLevel="0" max="18" min="18" style="0" width="30"/>
    <col collapsed="false" customWidth="true" hidden="false" outlineLevel="0" max="19" min="19" style="0" width="2"/>
    <col collapsed="false" customWidth="true" hidden="true" outlineLevel="0" max="20" min="20" style="0" width="5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4" t="s">
        <v>26</v>
      </c>
      <c r="B2" s="5" t="s">
        <v>27</v>
      </c>
    </row>
    <row r="4" customFormat="false" ht="15" hidden="false" customHeight="false" outlineLevel="0" collapsed="false">
      <c r="A4" s="4" t="s">
        <v>28</v>
      </c>
      <c r="B4" s="0" t="str">
        <f aca="false">IFERROR(IF(INDEX(Matches!$E$5:$E$6,MATCH($B$2,Matches!$A$5:$A$6,0))="","",INDEX(Matches!$E$5:$E$6,MATCH($B$2,Matches!$A$5:$A$6,0))),"")&amp;"  vs  "&amp;IFERROR(IF(INDEX(Matches!$F$5:$F$6,MATCH($B$2,Matches!$A$5:$A$6,0))="","",INDEX(Matches!$F$5:$F$6,MATCH($B$2,Matches!$A$5:$A$6,0))),"")</f>
        <v>FearX (BFX)  vs  Team WE (WE)</v>
      </c>
      <c r="D4" s="4" t="s">
        <v>29</v>
      </c>
      <c r="E4" s="0" t="str">
        <f aca="false">IFERROR(IF(INDEX(Matches!$C$5:$C$6,MATCH($B$2,Matches!$A$5:$A$6,0))="","",INDEX(Matches!$C$5:$C$6,MATCH($B$2,Matches!$A$5:$A$6,0))),"")</f>
        <v>Sat 04:00</v>
      </c>
      <c r="G4" s="4" t="s">
        <v>30</v>
      </c>
      <c r="H4" s="6" t="n">
        <f aca="false">IFERROR(IF(INDEX(Matches!$D$5:$D$6,MATCH($B$2,Matches!$A$5:$A$6,0))="","",INDEX(Matches!$D$5:$D$6,MATCH($B$2,Matches!$A$5:$A$6,0))),"")</f>
        <v>5</v>
      </c>
    </row>
    <row r="5" customFormat="false" ht="15" hidden="false" customHeight="false" outlineLevel="0" collapsed="false">
      <c r="A5" s="4" t="s">
        <v>31</v>
      </c>
      <c r="B5" s="0" t="str">
        <f aca="false">IFERROR(IF(INDEX(Matches!$B$5:$B$6,MATCH($B$2,Matches!$A$5:$A$6,0))="","",INDEX(Matches!$B$5:$B$6,MATCH($B$2,Matches!$A$5:$A$6,0))),"")</f>
        <v>Demacia Cup Global Invitational 2026</v>
      </c>
      <c r="D5" s="4" t="s">
        <v>32</v>
      </c>
      <c r="E5" s="7" t="n">
        <f aca="false">IFERROR(IF(INDEX(Matches!$G$5:$G$6,MATCH($B$2,Matches!$A$5:$A$6,0))="","",INDEX(Matches!$G$5:$G$6,MATCH($B$2,Matches!$A$5:$A$6,0))),"")</f>
        <v>0.669856459330144</v>
      </c>
      <c r="G5" s="4" t="s">
        <v>33</v>
      </c>
      <c r="H5" s="7" t="n">
        <f aca="false">IFERROR(IF(INDEX(Matches!$M$5:$M$6,MATCH($B$2,Matches!$A$5:$A$6,0))="","",INDEX(Matches!$M$5:$M$6,MATCH($B$2,Matches!$A$5:$A$6,0))),"")</f>
        <v>0.6072</v>
      </c>
    </row>
    <row r="6" customFormat="false" ht="15" hidden="false" customHeight="false" outlineLevel="0" collapsed="false">
      <c r="A6" s="4" t="s">
        <v>34</v>
      </c>
      <c r="B6" s="8" t="n">
        <f aca="false">IFERROR(IF(INDEX(Matches!$H$5:$H$6,MATCH($B$2,Matches!$A$5:$A$6,0))="","",INDEX(Matches!$H$5:$H$6,MATCH($B$2,Matches!$A$5:$A$6,0))),"")</f>
        <v>28</v>
      </c>
      <c r="D6" s="4" t="s">
        <v>35</v>
      </c>
      <c r="E6" s="0" t="str">
        <f aca="false">IF(IFERROR(IF(INDEX(Matches!$I$5:$I$6,MATCH($B$2,Matches!$A$5:$A$6,0))="","",INDEX(Matches!$I$5:$I$6,MATCH($B$2,Matches!$A$5:$A$6,0))),"")="","",TEXT(IFERROR(IF(INDEX(Matches!$I$5:$I$6,MATCH($B$2,Matches!$A$5:$A$6,0))="","",INDEX(Matches!$I$5:$I$6,MATCH($B$2,Matches!$A$5:$A$6,0))),""),"0.0")&amp;" / "&amp;TEXT(IFERROR(IF(INDEX(Matches!$J$5:$J$6,MATCH($B$2,Matches!$A$5:$A$6,0))="","",INDEX(Matches!$J$5:$J$6,MATCH($B$2,Matches!$A$5:$A$6,0))),""),"0.0"))</f>
        <v>15.7 / 13.2</v>
      </c>
      <c r="G6" s="4" t="s">
        <v>36</v>
      </c>
      <c r="H6" s="8" t="n">
        <f aca="false">IFERROR(IF(INDEX(Matches!$K$5:$K$6,MATCH($B$2,Matches!$A$5:$A$6,0))="","",INDEX(Matches!$K$5:$K$6,MATCH($B$2,Matches!$A$5:$A$6,0))),"")</f>
        <v>31.5</v>
      </c>
    </row>
    <row r="7" customFormat="false" ht="15" hidden="false" customHeight="false" outlineLevel="0" collapsed="false">
      <c r="A7" s="4" t="s">
        <v>37</v>
      </c>
      <c r="B7" s="6" t="n">
        <f aca="false">IFERROR(IF(INDEX(Matches!$R$5:$R$6,MATCH($B$2,Matches!$A$5:$A$6,0))="","",INDEX(Matches!$R$5:$R$6,MATCH($B$2,Matches!$A$5:$A$6,0))),"")</f>
        <v>1</v>
      </c>
      <c r="D7" s="4" t="s">
        <v>38</v>
      </c>
      <c r="E7" s="0" t="str">
        <f aca="false">TEXT(IFERROR(IF(INDEX(Matches!$P$5:$P$6,MATCH($B$2,Matches!$A$5:$A$6,0))="","",INDEX(Matches!$P$5:$P$6,MATCH($B$2,Matches!$A$5:$A$6,0))),""),"0%")&amp;" / "&amp;TEXT(IFERROR(IF(INDEX(Matches!$Q$5:$Q$6,MATCH($B$2,Matches!$A$5:$A$6,0))="","",INDEX(Matches!$Q$5:$Q$6,MATCH($B$2,Matches!$A$5:$A$6,0))),""),"0%")</f>
        <v>100% / 100%</v>
      </c>
      <c r="G7" s="4" t="s">
        <v>39</v>
      </c>
      <c r="H7" s="8" t="n">
        <f aca="false">IF(IFERROR(IF(INDEX(Matches!$I$5:$I$6,MATCH($B$2,Matches!$A$5:$A$6,0))="","",INDEX(Matches!$I$5:$I$6,MATCH($B$2,Matches!$A$5:$A$6,0))),"")="","",IFERROR(IF(INDEX(Matches!$I$5:$I$6,MATCH($B$2,Matches!$A$5:$A$6,0))="","",INDEX(Matches!$I$5:$I$6,MATCH($B$2,Matches!$A$5:$A$6,0))),"")-IFERROR(IF(INDEX(Matches!$J$5:$J$6,MATCH($B$2,Matches!$A$5:$A$6,0))="","",INDEX(Matches!$J$5:$J$6,MATCH($B$2,Matches!$A$5:$A$6,0))),""))</f>
        <v>2.45024287915853</v>
      </c>
    </row>
    <row r="9" customFormat="false" ht="15" hidden="false" customHeight="false" outlineLevel="0" collapsed="false">
      <c r="B9" s="3" t="str">
        <f aca="false">"Change P(win), maps played or kill environment on the Matches tab, row "&amp;(MATCH($B$2,Matches!$A$5:$A$6,0)+4)&amp;"."</f>
        <v>Change P(win), maps played or kill environment on the Matches tab, row 5.</v>
      </c>
    </row>
    <row r="11" customFormat="false" ht="28.35" hidden="false" customHeight="false" outlineLevel="0" collapsed="false">
      <c r="A11" s="9" t="s">
        <v>40</v>
      </c>
      <c r="B11" s="9" t="s">
        <v>41</v>
      </c>
      <c r="C11" s="9" t="s">
        <v>42</v>
      </c>
      <c r="D11" s="9" t="s">
        <v>43</v>
      </c>
      <c r="E11" s="9" t="s">
        <v>44</v>
      </c>
      <c r="F11" s="9" t="s">
        <v>45</v>
      </c>
      <c r="G11" s="9" t="s">
        <v>46</v>
      </c>
      <c r="H11" s="9" t="s">
        <v>47</v>
      </c>
      <c r="I11" s="9" t="s">
        <v>48</v>
      </c>
      <c r="J11" s="9" t="s">
        <v>49</v>
      </c>
      <c r="K11" s="9" t="s">
        <v>50</v>
      </c>
      <c r="L11" s="9" t="s">
        <v>51</v>
      </c>
      <c r="M11" s="9" t="s">
        <v>52</v>
      </c>
      <c r="N11" s="9" t="s">
        <v>53</v>
      </c>
      <c r="O11" s="9" t="s">
        <v>54</v>
      </c>
      <c r="P11" s="9" t="s">
        <v>55</v>
      </c>
      <c r="Q11" s="9" t="s">
        <v>56</v>
      </c>
      <c r="R11" s="9" t="s">
        <v>57</v>
      </c>
      <c r="S11" s="9"/>
      <c r="T11" s="9" t="s">
        <v>58</v>
      </c>
    </row>
    <row r="12" customFormat="false" ht="15" hidden="false" customHeight="false" outlineLevel="0" collapsed="false">
      <c r="A12" s="0" t="str">
        <f aca="false">IF($T12="","",INDEX(Calc!$C$2:$C$18,$T12))</f>
        <v>BFX</v>
      </c>
      <c r="B12" s="0" t="str">
        <f aca="false">IF($T12="","",INDEX(Calc!$D$2:$D$18,$T12))</f>
        <v>Taeyoon</v>
      </c>
      <c r="C12" s="7" t="n">
        <f aca="false">IF($T12="","",INDEX(Calc!$H$2:$H$18,$T12))</f>
        <v>0.53</v>
      </c>
      <c r="D12" s="8" t="n">
        <f aca="false">IF($T12="","",INDEX(Calc!$I$2:$I$18,$T12))</f>
        <v>4</v>
      </c>
      <c r="E12" s="8" t="n">
        <f aca="false">IF($T12="","",INDEX(Calc!$J$2:$J$18,$T12))</f>
        <v>5.38597453238287</v>
      </c>
      <c r="F12" s="8" t="n">
        <f aca="false">IF($T12="","",INDEX(Calc!$K$2:$K$18,$T12))</f>
        <v>2.43709254858953</v>
      </c>
      <c r="G12" s="7" t="n">
        <f aca="false">IF($T12="","",INDEX(Calc!$M$2:$M$18,$T12))</f>
        <v>0.6072</v>
      </c>
      <c r="H12" s="8" t="n">
        <f aca="false">IF($T12="","",INDEX(Calc!$Y$2:$Y$18,$T12))</f>
        <v>4.22765368914885</v>
      </c>
      <c r="I12" s="8" t="n">
        <f aca="false">IF($T12="","",INDEX(Calc!$AE$2:$AE$18,$T12))</f>
        <v>4</v>
      </c>
      <c r="J12" s="0" t="str">
        <f aca="false">IF($T12="","",IFERROR(INDEX(Projections!$E$2:$E$18,MATCH(INDEX(Calc!$A$2:$A$18,$T12)&amp;"|K1",Projections!$AA$2:$AA$18,0)),""))</f>
        <v/>
      </c>
      <c r="K12" s="7" t="str">
        <f aca="false">IF($T12="","",IFERROR(INDEX(Projections!$H$2:$H$18,MATCH(INDEX(Calc!$A$2:$A$18,$T12)&amp;"|K1",Projections!$AA$2:$AA$18,0)),""))</f>
        <v/>
      </c>
      <c r="L12" s="8" t="n">
        <f aca="false">IF($T12="","",INDEX(Calc!$AK$2:$AK$18,$T12))</f>
        <v>12.6829610674465</v>
      </c>
      <c r="M12" s="6" t="n">
        <f aca="false">IF($T12="","",IFERROR(INDEX(Projections!$E$2:$E$18,MATCH(INDEX(Calc!$A$2:$A$18,$T12)&amp;"|"&amp;INDEX(Calc!$AJ$2:$AJ$18,$T12),Projections!$AA$2:$AA$18,0)),""))</f>
        <v>15.5</v>
      </c>
      <c r="N12" s="7" t="n">
        <f aca="false">IF($T12="","",IFERROR(INDEX(Projections!$H$2:$H$18,MATCH(INDEX(Calc!$A$2:$A$18,$T12)&amp;"|"&amp;INDEX(Calc!$AJ$2:$AJ$18,$T12),Projections!$AA$2:$AA$18,0)),""))</f>
        <v>0.277215998461265</v>
      </c>
      <c r="O12" s="6" t="n">
        <f aca="false">IF($T12="","",IFERROR(INDEX(Projections!$N$2:$N$18,MATCH(INDEX(Calc!$A$2:$A$18,$T12)&amp;"|K1",Projections!$AA$2:$AA$18,0)),IFERROR(INDEX(Projections!$N$2:$N$18,MATCH(INDEX(Calc!$A$2:$A$18,$T12)&amp;"|"&amp;INDEX(Calc!$AJ$2:$AJ$18,$T12),Projections!$AA$2:$AA$18,0)),"")))</f>
        <v>0</v>
      </c>
      <c r="P12" s="7" t="n">
        <f aca="false">IF($T12="","",IFERROR(INDEX(Projections!$S$2:$S$18,MATCH(INDEX(Calc!$A$2:$A$18,$T12)&amp;"|K1",Projections!$AA$2:$AA$18,0)),IFERROR(INDEX(Projections!$S$2:$S$18,MATCH(INDEX(Calc!$A$2:$A$18,$T12)&amp;"|"&amp;INDEX(Calc!$AJ$2:$AJ$18,$T12),Projections!$AA$2:$AA$18,0)),"")))</f>
        <v>0.2</v>
      </c>
      <c r="Q12" s="6" t="n">
        <f aca="false">IF($T12="","",INDEX(Calc!$G$2:$G$18,$T12))</f>
        <v>30</v>
      </c>
      <c r="R12" s="0" t="str">
        <f aca="false">IF($T12="","",INDEX(Calc!$AH$2:$AH$18,$T12))</f>
        <v>new roster: 0% of his recent games with these teammates</v>
      </c>
      <c r="T12" s="6" t="n">
        <f aca="false">IFERROR(MATCH(1,Calc!$AI$2:$AI$18,0),"")</f>
        <v>3</v>
      </c>
    </row>
    <row r="13" customFormat="false" ht="15" hidden="false" customHeight="false" outlineLevel="0" collapsed="false">
      <c r="A13" s="0" t="str">
        <f aca="false">IF($T13="","",INDEX(Calc!$C$2:$C$18,$T13))</f>
        <v>BFX</v>
      </c>
      <c r="B13" s="0" t="str">
        <f aca="false">IF($T13="","",INDEX(Calc!$D$2:$D$18,$T13))</f>
        <v>Raptor</v>
      </c>
      <c r="C13" s="7" t="n">
        <f aca="false">IF($T13="","",INDEX(Calc!$H$2:$H$18,$T13))</f>
        <v>0.53</v>
      </c>
      <c r="D13" s="8" t="n">
        <f aca="false">IF($T13="","",INDEX(Calc!$I$2:$I$18,$T13))</f>
        <v>3.8</v>
      </c>
      <c r="E13" s="8" t="n">
        <f aca="false">IF($T13="","",INDEX(Calc!$J$2:$J$18,$T13))</f>
        <v>5.11667580576372</v>
      </c>
      <c r="F13" s="8" t="n">
        <f aca="false">IF($T13="","",INDEX(Calc!$K$2:$K$18,$T13))</f>
        <v>2.31523792116006</v>
      </c>
      <c r="G13" s="7" t="n">
        <f aca="false">IF($T13="","",INDEX(Calc!$M$2:$M$18,$T13))</f>
        <v>0.6072</v>
      </c>
      <c r="H13" s="8" t="n">
        <f aca="false">IF($T13="","",INDEX(Calc!$Y$2:$Y$18,$T13))</f>
        <v>4.0162710046914</v>
      </c>
      <c r="I13" s="8" t="n">
        <f aca="false">IF($T13="","",INDEX(Calc!$AE$2:$AE$18,$T13))</f>
        <v>3.8</v>
      </c>
      <c r="J13" s="0" t="str">
        <f aca="false">IF($T13="","",IFERROR(INDEX(Projections!$E$2:$E$18,MATCH(INDEX(Calc!$A$2:$A$18,$T13)&amp;"|K1",Projections!$AA$2:$AA$18,0)),""))</f>
        <v/>
      </c>
      <c r="K13" s="7" t="str">
        <f aca="false">IF($T13="","",IFERROR(INDEX(Projections!$H$2:$H$18,MATCH(INDEX(Calc!$A$2:$A$18,$T13)&amp;"|K1",Projections!$AA$2:$AA$18,0)),""))</f>
        <v/>
      </c>
      <c r="L13" s="8" t="n">
        <f aca="false">IF($T13="","",INDEX(Calc!$AK$2:$AK$18,$T13))</f>
        <v>12.0488130140742</v>
      </c>
      <c r="M13" s="6" t="n">
        <f aca="false">IF($T13="","",IFERROR(INDEX(Projections!$E$2:$E$18,MATCH(INDEX(Calc!$A$2:$A$18,$T13)&amp;"|"&amp;INDEX(Calc!$AJ$2:$AJ$18,$T13),Projections!$AA$2:$AA$18,0)),""))</f>
        <v>12</v>
      </c>
      <c r="N13" s="7" t="n">
        <f aca="false">IF($T13="","",IFERROR(INDEX(Projections!$H$2:$H$18,MATCH(INDEX(Calc!$A$2:$A$18,$T13)&amp;"|"&amp;INDEX(Calc!$AJ$2:$AJ$18,$T13),Projections!$AA$2:$AA$18,0)),""))</f>
        <v>0.461041726933847</v>
      </c>
      <c r="O13" s="6" t="n">
        <f aca="false">IF($T13="","",IFERROR(INDEX(Projections!$N$2:$N$18,MATCH(INDEX(Calc!$A$2:$A$18,$T13)&amp;"|K1",Projections!$AA$2:$AA$18,0)),IFERROR(INDEX(Projections!$N$2:$N$18,MATCH(INDEX(Calc!$A$2:$A$18,$T13)&amp;"|"&amp;INDEX(Calc!$AJ$2:$AJ$18,$T13),Projections!$AA$2:$AA$18,0)),"")))</f>
        <v>0</v>
      </c>
      <c r="P13" s="7" t="n">
        <f aca="false">IF($T13="","",IFERROR(INDEX(Projections!$S$2:$S$18,MATCH(INDEX(Calc!$A$2:$A$18,$T13)&amp;"|K1",Projections!$AA$2:$AA$18,0)),IFERROR(INDEX(Projections!$S$2:$S$18,MATCH(INDEX(Calc!$A$2:$A$18,$T13)&amp;"|"&amp;INDEX(Calc!$AJ$2:$AJ$18,$T13),Projections!$AA$2:$AA$18,0)),"")))</f>
        <v>0.5</v>
      </c>
      <c r="Q13" s="6" t="n">
        <f aca="false">IF($T13="","",INDEX(Calc!$G$2:$G$18,$T13))</f>
        <v>30</v>
      </c>
      <c r="R13" s="0" t="str">
        <f aca="false">IF($T13="","",INDEX(Calc!$AH$2:$AH$18,$T13))</f>
        <v>new roster: 0% of his recent games with these teammates</v>
      </c>
      <c r="T13" s="6" t="n">
        <f aca="false">IFERROR(MATCH(2,Calc!$AI$2:$AI$18,0),"")</f>
        <v>2</v>
      </c>
    </row>
    <row r="14" customFormat="false" ht="15" hidden="false" customHeight="false" outlineLevel="0" collapsed="false">
      <c r="A14" s="0" t="str">
        <f aca="false">IF($T14="","",INDEX(Calc!$C$2:$C$18,$T14))</f>
        <v>WE</v>
      </c>
      <c r="B14" s="0" t="str">
        <f aca="false">IF($T14="","",INDEX(Calc!$D$2:$D$18,$T14))</f>
        <v>About</v>
      </c>
      <c r="C14" s="7" t="n">
        <f aca="false">IF($T14="","",INDEX(Calc!$H$2:$H$18,$T14))</f>
        <v>0.4</v>
      </c>
      <c r="D14" s="8" t="n">
        <f aca="false">IF($T14="","",INDEX(Calc!$I$2:$I$18,$T14))</f>
        <v>3.7</v>
      </c>
      <c r="E14" s="8" t="n">
        <f aca="false">IF($T14="","",INDEX(Calc!$J$2:$J$18,$T14))</f>
        <v>5.51010781671159</v>
      </c>
      <c r="F14" s="8" t="n">
        <f aca="false">IF($T14="","",INDEX(Calc!$K$2:$K$18,$T14))</f>
        <v>2.49326145552561</v>
      </c>
      <c r="G14" s="7" t="n">
        <f aca="false">IF($T14="","",INDEX(Calc!$M$2:$M$18,$T14))</f>
        <v>0.3928</v>
      </c>
      <c r="H14" s="8" t="n">
        <f aca="false">IF($T14="","",INDEX(Calc!$Y$2:$Y$18,$T14))</f>
        <v>3.67827870619946</v>
      </c>
      <c r="I14" s="8" t="n">
        <f aca="false">IF($T14="","",INDEX(Calc!$AE$2:$AE$18,$T14))</f>
        <v>3.7</v>
      </c>
      <c r="J14" s="0" t="str">
        <f aca="false">IF($T14="","",IFERROR(INDEX(Projections!$E$2:$E$18,MATCH(INDEX(Calc!$A$2:$A$18,$T14)&amp;"|K1",Projections!$AA$2:$AA$18,0)),""))</f>
        <v/>
      </c>
      <c r="K14" s="7" t="str">
        <f aca="false">IF($T14="","",IFERROR(INDEX(Projections!$H$2:$H$18,MATCH(INDEX(Calc!$A$2:$A$18,$T14)&amp;"|K1",Projections!$AA$2:$AA$18,0)),""))</f>
        <v/>
      </c>
      <c r="L14" s="8" t="n">
        <f aca="false">IF($T14="","",INDEX(Calc!$AK$2:$AK$18,$T14))</f>
        <v>11.0348361185984</v>
      </c>
      <c r="M14" s="6" t="n">
        <f aca="false">IF($T14="","",IFERROR(INDEX(Projections!$E$2:$E$18,MATCH(INDEX(Calc!$A$2:$A$18,$T14)&amp;"|"&amp;INDEX(Calc!$AJ$2:$AJ$18,$T14),Projections!$AA$2:$AA$18,0)),""))</f>
        <v>12</v>
      </c>
      <c r="N14" s="7" t="n">
        <f aca="false">IF($T14="","",IFERROR(INDEX(Projections!$H$2:$H$18,MATCH(INDEX(Calc!$A$2:$A$18,$T14)&amp;"|"&amp;INDEX(Calc!$AJ$2:$AJ$18,$T14),Projections!$AA$2:$AA$18,0)),""))</f>
        <v>0.374175280167481</v>
      </c>
      <c r="O14" s="6" t="n">
        <f aca="false">IF($T14="","",IFERROR(INDEX(Projections!$N$2:$N$18,MATCH(INDEX(Calc!$A$2:$A$18,$T14)&amp;"|K1",Projections!$AA$2:$AA$18,0)),IFERROR(INDEX(Projections!$N$2:$N$18,MATCH(INDEX(Calc!$A$2:$A$18,$T14)&amp;"|"&amp;INDEX(Calc!$AJ$2:$AJ$18,$T14),Projections!$AA$2:$AA$18,0)),"")))</f>
        <v>0</v>
      </c>
      <c r="P14" s="7" t="n">
        <f aca="false">IF($T14="","",IFERROR(INDEX(Projections!$S$2:$S$18,MATCH(INDEX(Calc!$A$2:$A$18,$T14)&amp;"|K1",Projections!$AA$2:$AA$18,0)),IFERROR(INDEX(Projections!$S$2:$S$18,MATCH(INDEX(Calc!$A$2:$A$18,$T14)&amp;"|"&amp;INDEX(Calc!$AJ$2:$AJ$18,$T14),Projections!$AA$2:$AA$18,0)),"")))</f>
        <v>0.5</v>
      </c>
      <c r="Q14" s="6" t="n">
        <f aca="false">IF($T14="","",INDEX(Calc!$G$2:$G$18,$T14))</f>
        <v>30</v>
      </c>
      <c r="R14" s="0" t="str">
        <f aca="false">IF($T14="","",INDEX(Calc!$AH$2:$AH$18,$T14))</f>
        <v>new roster: 0% of his recent games with these teammates</v>
      </c>
      <c r="T14" s="6" t="n">
        <f aca="false">IFERROR(MATCH(3,Calc!$AI$2:$AI$18,0),"")</f>
        <v>5</v>
      </c>
    </row>
    <row r="15" customFormat="false" ht="15" hidden="false" customHeight="false" outlineLevel="0" collapsed="false">
      <c r="A15" s="0" t="str">
        <f aca="false">IF($T15="","",INDEX(Calc!$C$2:$C$18,$T15))</f>
        <v>BFX</v>
      </c>
      <c r="B15" s="0" t="str">
        <f aca="false">IF($T15="","",INDEX(Calc!$D$2:$D$18,$T15))</f>
        <v>VicLa</v>
      </c>
      <c r="C15" s="7" t="n">
        <f aca="false">IF($T15="","",INDEX(Calc!$H$2:$H$18,$T15))</f>
        <v>0.53</v>
      </c>
      <c r="D15" s="8" t="n">
        <f aca="false">IF($T15="","",INDEX(Calc!$I$2:$I$18,$T15))</f>
        <v>3.4</v>
      </c>
      <c r="E15" s="8" t="n">
        <f aca="false">IF($T15="","",INDEX(Calc!$J$2:$J$18,$T15))</f>
        <v>4.57807835252544</v>
      </c>
      <c r="F15" s="8" t="n">
        <f aca="false">IF($T15="","",INDEX(Calc!$K$2:$K$18,$T15))</f>
        <v>2.0715286663011</v>
      </c>
      <c r="G15" s="7" t="n">
        <f aca="false">IF($T15="","",INDEX(Calc!$M$2:$M$18,$T15))</f>
        <v>0.6072</v>
      </c>
      <c r="H15" s="8" t="n">
        <f aca="false">IF($T15="","",INDEX(Calc!$Y$2:$Y$18,$T15))</f>
        <v>3.59350563577652</v>
      </c>
      <c r="I15" s="8" t="n">
        <f aca="false">IF($T15="","",INDEX(Calc!$AE$2:$AE$18,$T15))</f>
        <v>3.4</v>
      </c>
      <c r="J15" s="0" t="str">
        <f aca="false">IF($T15="","",IFERROR(INDEX(Projections!$E$2:$E$18,MATCH(INDEX(Calc!$A$2:$A$18,$T15)&amp;"|K1",Projections!$AA$2:$AA$18,0)),""))</f>
        <v/>
      </c>
      <c r="K15" s="7" t="str">
        <f aca="false">IF($T15="","",IFERROR(INDEX(Projections!$H$2:$H$18,MATCH(INDEX(Calc!$A$2:$A$18,$T15)&amp;"|K1",Projections!$AA$2:$AA$18,0)),""))</f>
        <v/>
      </c>
      <c r="L15" s="8" t="n">
        <f aca="false">IF($T15="","",INDEX(Calc!$AK$2:$AK$18,$T15))</f>
        <v>10.7805169073296</v>
      </c>
      <c r="M15" s="6" t="n">
        <f aca="false">IF($T15="","",IFERROR(INDEX(Projections!$E$2:$E$18,MATCH(INDEX(Calc!$A$2:$A$18,$T15)&amp;"|"&amp;INDEX(Calc!$AJ$2:$AJ$18,$T15),Projections!$AA$2:$AA$18,0)),""))</f>
        <v>12.5</v>
      </c>
      <c r="N15" s="7" t="n">
        <f aca="false">IF($T15="","",IFERROR(INDEX(Projections!$H$2:$H$18,MATCH(INDEX(Calc!$A$2:$A$18,$T15)&amp;"|"&amp;INDEX(Calc!$AJ$2:$AJ$18,$T15),Projections!$AA$2:$AA$18,0)),""))</f>
        <v>0.344702765439915</v>
      </c>
      <c r="O15" s="6" t="n">
        <f aca="false">IF($T15="","",IFERROR(INDEX(Projections!$N$2:$N$18,MATCH(INDEX(Calc!$A$2:$A$18,$T15)&amp;"|K1",Projections!$AA$2:$AA$18,0)),IFERROR(INDEX(Projections!$N$2:$N$18,MATCH(INDEX(Calc!$A$2:$A$18,$T15)&amp;"|"&amp;INDEX(Calc!$AJ$2:$AJ$18,$T15),Projections!$AA$2:$AA$18,0)),"")))</f>
        <v>0</v>
      </c>
      <c r="P15" s="7" t="n">
        <f aca="false">IF($T15="","",IFERROR(INDEX(Projections!$S$2:$S$18,MATCH(INDEX(Calc!$A$2:$A$18,$T15)&amp;"|K1",Projections!$AA$2:$AA$18,0)),IFERROR(INDEX(Projections!$S$2:$S$18,MATCH(INDEX(Calc!$A$2:$A$18,$T15)&amp;"|"&amp;INDEX(Calc!$AJ$2:$AJ$18,$T15),Projections!$AA$2:$AA$18,0)),"")))</f>
        <v>0.3</v>
      </c>
      <c r="Q15" s="6" t="n">
        <f aca="false">IF($T15="","",INDEX(Calc!$G$2:$G$18,$T15))</f>
        <v>30</v>
      </c>
      <c r="R15" s="0" t="str">
        <f aca="false">IF($T15="","",INDEX(Calc!$AH$2:$AH$18,$T15))</f>
        <v>new roster: 0% of his recent games with these teammates</v>
      </c>
      <c r="T15" s="6" t="n">
        <f aca="false">IFERROR(MATCH(4,Calc!$AI$2:$AI$18,0),"")</f>
        <v>4</v>
      </c>
    </row>
    <row r="16" customFormat="false" ht="15" hidden="false" customHeight="false" outlineLevel="0" collapsed="false">
      <c r="A16" s="0" t="str">
        <f aca="false">IF($T16="","",INDEX(Calc!$C$2:$C$18,$T16))</f>
        <v>WE</v>
      </c>
      <c r="B16" s="0" t="str">
        <f aca="false">IF($T16="","",INDEX(Calc!$D$2:$D$18,$T16))</f>
        <v>Monki</v>
      </c>
      <c r="C16" s="7" t="n">
        <f aca="false">IF($T16="","",INDEX(Calc!$H$2:$H$18,$T16))</f>
        <v>0.4</v>
      </c>
      <c r="D16" s="8" t="n">
        <f aca="false">IF($T16="","",INDEX(Calc!$I$2:$I$18,$T16))</f>
        <v>3.3</v>
      </c>
      <c r="E16" s="8" t="n">
        <f aca="false">IF($T16="","",INDEX(Calc!$J$2:$J$18,$T16))</f>
        <v>4.9144204851752</v>
      </c>
      <c r="F16" s="8" t="n">
        <f aca="false">IF($T16="","",INDEX(Calc!$K$2:$K$18,$T16))</f>
        <v>2.22371967654987</v>
      </c>
      <c r="G16" s="7" t="n">
        <f aca="false">IF($T16="","",INDEX(Calc!$M$2:$M$18,$T16))</f>
        <v>0.3928</v>
      </c>
      <c r="H16" s="8" t="n">
        <f aca="false">IF($T16="","",INDEX(Calc!$Y$2:$Y$18,$T16))</f>
        <v>3.2806269541779</v>
      </c>
      <c r="I16" s="8" t="n">
        <f aca="false">IF($T16="","",INDEX(Calc!$AE$2:$AE$18,$T16))</f>
        <v>3.3</v>
      </c>
      <c r="J16" s="0" t="str">
        <f aca="false">IF($T16="","",IFERROR(INDEX(Projections!$E$2:$E$18,MATCH(INDEX(Calc!$A$2:$A$18,$T16)&amp;"|K1",Projections!$AA$2:$AA$18,0)),""))</f>
        <v/>
      </c>
      <c r="K16" s="7" t="str">
        <f aca="false">IF($T16="","",IFERROR(INDEX(Projections!$H$2:$H$18,MATCH(INDEX(Calc!$A$2:$A$18,$T16)&amp;"|K1",Projections!$AA$2:$AA$18,0)),""))</f>
        <v/>
      </c>
      <c r="L16" s="8" t="n">
        <f aca="false">IF($T16="","",INDEX(Calc!$AK$2:$AK$18,$T16))</f>
        <v>9.84188086253369</v>
      </c>
      <c r="M16" s="6" t="n">
        <f aca="false">IF($T16="","",IFERROR(INDEX(Projections!$E$2:$E$18,MATCH(INDEX(Calc!$A$2:$A$18,$T16)&amp;"|"&amp;INDEX(Calc!$AJ$2:$AJ$18,$T16),Projections!$AA$2:$AA$18,0)),""))</f>
        <v>9.5</v>
      </c>
      <c r="N16" s="7" t="n">
        <f aca="false">IF($T16="","",IFERROR(INDEX(Projections!$H$2:$H$18,MATCH(INDEX(Calc!$A$2:$A$18,$T16)&amp;"|"&amp;INDEX(Calc!$AJ$2:$AJ$18,$T16),Projections!$AA$2:$AA$18,0)),""))</f>
        <v>0.532135344393489</v>
      </c>
      <c r="O16" s="6" t="n">
        <f aca="false">IF($T16="","",IFERROR(INDEX(Projections!$N$2:$N$18,MATCH(INDEX(Calc!$A$2:$A$18,$T16)&amp;"|K1",Projections!$AA$2:$AA$18,0)),IFERROR(INDEX(Projections!$N$2:$N$18,MATCH(INDEX(Calc!$A$2:$A$18,$T16)&amp;"|"&amp;INDEX(Calc!$AJ$2:$AJ$18,$T16),Projections!$AA$2:$AA$18,0)),"")))</f>
        <v>0</v>
      </c>
      <c r="P16" s="7" t="n">
        <f aca="false">IF($T16="","",IFERROR(INDEX(Projections!$S$2:$S$18,MATCH(INDEX(Calc!$A$2:$A$18,$T16)&amp;"|K1",Projections!$AA$2:$AA$18,0)),IFERROR(INDEX(Projections!$S$2:$S$18,MATCH(INDEX(Calc!$A$2:$A$18,$T16)&amp;"|"&amp;INDEX(Calc!$AJ$2:$AJ$18,$T16),Projections!$AA$2:$AA$18,0)),"")))</f>
        <v>0.6</v>
      </c>
      <c r="Q16" s="6" t="n">
        <f aca="false">IF($T16="","",INDEX(Calc!$G$2:$G$18,$T16))</f>
        <v>30</v>
      </c>
      <c r="R16" s="0" t="str">
        <f aca="false">IF($T16="","",INDEX(Calc!$AH$2:$AH$18,$T16))</f>
        <v>new roster: 0% of his recent games with these teammates</v>
      </c>
      <c r="T16" s="6" t="n">
        <f aca="false">IFERROR(MATCH(5,Calc!$AI$2:$AI$18,0),"")</f>
        <v>8</v>
      </c>
    </row>
    <row r="17" customFormat="false" ht="15" hidden="false" customHeight="false" outlineLevel="0" collapsed="false">
      <c r="A17" s="0" t="str">
        <f aca="false">IF($T17="","",INDEX(Calc!$C$2:$C$18,$T17))</f>
        <v>WE</v>
      </c>
      <c r="B17" s="0" t="str">
        <f aca="false">IF($T17="","",INDEX(Calc!$D$2:$D$18,$T17))</f>
        <v>Karis</v>
      </c>
      <c r="C17" s="7" t="n">
        <f aca="false">IF($T17="","",INDEX(Calc!$H$2:$H$18,$T17))</f>
        <v>0.4</v>
      </c>
      <c r="D17" s="8" t="n">
        <f aca="false">IF($T17="","",INDEX(Calc!$I$2:$I$18,$T17))</f>
        <v>3.2</v>
      </c>
      <c r="E17" s="8" t="n">
        <f aca="false">IF($T17="","",INDEX(Calc!$J$2:$J$18,$T17))</f>
        <v>4.76549865229111</v>
      </c>
      <c r="F17" s="8" t="n">
        <f aca="false">IF($T17="","",INDEX(Calc!$K$2:$K$18,$T17))</f>
        <v>2.15633423180593</v>
      </c>
      <c r="G17" s="7" t="n">
        <f aca="false">IF($T17="","",INDEX(Calc!$M$2:$M$18,$T17))</f>
        <v>0.3928</v>
      </c>
      <c r="H17" s="8" t="n">
        <f aca="false">IF($T17="","",INDEX(Calc!$Y$2:$Y$18,$T17))</f>
        <v>3.18121401617251</v>
      </c>
      <c r="I17" s="8" t="n">
        <f aca="false">IF($T17="","",INDEX(Calc!$AE$2:$AE$18,$T17))</f>
        <v>3.2</v>
      </c>
      <c r="J17" s="0" t="str">
        <f aca="false">IF($T17="","",IFERROR(INDEX(Projections!$E$2:$E$18,MATCH(INDEX(Calc!$A$2:$A$18,$T17)&amp;"|K1",Projections!$AA$2:$AA$18,0)),""))</f>
        <v/>
      </c>
      <c r="K17" s="7" t="str">
        <f aca="false">IF($T17="","",IFERROR(INDEX(Projections!$H$2:$H$18,MATCH(INDEX(Calc!$A$2:$A$18,$T17)&amp;"|K1",Projections!$AA$2:$AA$18,0)),""))</f>
        <v/>
      </c>
      <c r="L17" s="8" t="n">
        <f aca="false">IF($T17="","",INDEX(Calc!$AK$2:$AK$18,$T17))</f>
        <v>9.54364204851752</v>
      </c>
      <c r="M17" s="6" t="n">
        <f aca="false">IF($T17="","",IFERROR(INDEX(Projections!$E$2:$E$18,MATCH(INDEX(Calc!$A$2:$A$18,$T17)&amp;"|"&amp;INDEX(Calc!$AJ$2:$AJ$18,$T17),Projections!$AA$2:$AA$18,0)),""))</f>
        <v>10.5</v>
      </c>
      <c r="N17" s="7" t="n">
        <f aca="false">IF($T17="","",IFERROR(INDEX(Projections!$H$2:$H$18,MATCH(INDEX(Calc!$A$2:$A$18,$T17)&amp;"|"&amp;INDEX(Calc!$AJ$2:$AJ$18,$T17),Projections!$AA$2:$AA$18,0)),""))</f>
        <v>0.409015441213773</v>
      </c>
      <c r="O17" s="6" t="n">
        <f aca="false">IF($T17="","",IFERROR(INDEX(Projections!$N$2:$N$18,MATCH(INDEX(Calc!$A$2:$A$18,$T17)&amp;"|K1",Projections!$AA$2:$AA$18,0)),IFERROR(INDEX(Projections!$N$2:$N$18,MATCH(INDEX(Calc!$A$2:$A$18,$T17)&amp;"|"&amp;INDEX(Calc!$AJ$2:$AJ$18,$T17),Projections!$AA$2:$AA$18,0)),"")))</f>
        <v>0</v>
      </c>
      <c r="P17" s="7" t="n">
        <f aca="false">IF($T17="","",IFERROR(INDEX(Projections!$S$2:$S$18,MATCH(INDEX(Calc!$A$2:$A$18,$T17)&amp;"|K1",Projections!$AA$2:$AA$18,0)),IFERROR(INDEX(Projections!$S$2:$S$18,MATCH(INDEX(Calc!$A$2:$A$18,$T17)&amp;"|"&amp;INDEX(Calc!$AJ$2:$AJ$18,$T17),Projections!$AA$2:$AA$18,0)),"")))</f>
        <v>0.4</v>
      </c>
      <c r="Q17" s="6" t="n">
        <f aca="false">IF($T17="","",INDEX(Calc!$G$2:$G$18,$T17))</f>
        <v>30</v>
      </c>
      <c r="R17" s="0" t="str">
        <f aca="false">IF($T17="","",INDEX(Calc!$AH$2:$AH$18,$T17))</f>
        <v>new roster: 0% of his recent games with these teammates</v>
      </c>
      <c r="T17" s="6" t="n">
        <f aca="false">IFERROR(MATCH(6,Calc!$AI$2:$AI$18,0),"")</f>
        <v>7</v>
      </c>
    </row>
    <row r="18" customFormat="false" ht="15" hidden="false" customHeight="false" outlineLevel="0" collapsed="false">
      <c r="A18" s="0" t="str">
        <f aca="false">IF($T18="","",INDEX(Calc!$C$2:$C$18,$T18))</f>
        <v>BFX</v>
      </c>
      <c r="B18" s="0" t="str">
        <f aca="false">IF($T18="","",INDEX(Calc!$D$2:$D$18,$T18))</f>
        <v>Clear</v>
      </c>
      <c r="C18" s="7" t="n">
        <f aca="false">IF($T18="","",INDEX(Calc!$H$2:$H$18,$T18))</f>
        <v>0.53</v>
      </c>
      <c r="D18" s="8" t="n">
        <f aca="false">IF($T18="","",INDEX(Calc!$I$2:$I$18,$T18))</f>
        <v>2.6</v>
      </c>
      <c r="E18" s="8" t="n">
        <f aca="false">IF($T18="","",INDEX(Calc!$J$2:$J$18,$T18))</f>
        <v>3.50088344604886</v>
      </c>
      <c r="F18" s="8" t="n">
        <f aca="false">IF($T18="","",INDEX(Calc!$K$2:$K$18,$T18))</f>
        <v>1.5841101565832</v>
      </c>
      <c r="G18" s="7" t="n">
        <f aca="false">IF($T18="","",INDEX(Calc!$M$2:$M$18,$T18))</f>
        <v>0.6072</v>
      </c>
      <c r="H18" s="8" t="n">
        <f aca="false">IF($T18="","",INDEX(Calc!$Y$2:$Y$18,$T18))</f>
        <v>2.74797489794675</v>
      </c>
      <c r="I18" s="8" t="n">
        <f aca="false">IF($T18="","",INDEX(Calc!$AE$2:$AE$18,$T18))</f>
        <v>2.6</v>
      </c>
      <c r="J18" s="0" t="str">
        <f aca="false">IF($T18="","",IFERROR(INDEX(Projections!$E$2:$E$18,MATCH(INDEX(Calc!$A$2:$A$18,$T18)&amp;"|K1",Projections!$AA$2:$AA$18,0)),""))</f>
        <v/>
      </c>
      <c r="K18" s="7" t="str">
        <f aca="false">IF($T18="","",IFERROR(INDEX(Projections!$H$2:$H$18,MATCH(INDEX(Calc!$A$2:$A$18,$T18)&amp;"|K1",Projections!$AA$2:$AA$18,0)),""))</f>
        <v/>
      </c>
      <c r="L18" s="8" t="n">
        <f aca="false">IF($T18="","",INDEX(Calc!$AK$2:$AK$18,$T18))</f>
        <v>8.24392469384025</v>
      </c>
      <c r="M18" s="6" t="n">
        <f aca="false">IF($T18="","",IFERROR(INDEX(Projections!$E$2:$E$18,MATCH(INDEX(Calc!$A$2:$A$18,$T18)&amp;"|"&amp;INDEX(Calc!$AJ$2:$AJ$18,$T18),Projections!$AA$2:$AA$18,0)),""))</f>
        <v>9</v>
      </c>
      <c r="N18" s="7" t="n">
        <f aca="false">IF($T18="","",IFERROR(INDEX(Projections!$H$2:$H$18,MATCH(INDEX(Calc!$A$2:$A$18,$T18)&amp;"|"&amp;INDEX(Calc!$AJ$2:$AJ$18,$T18),Projections!$AA$2:$AA$18,0)),""))</f>
        <v>0.365487928821545</v>
      </c>
      <c r="O18" s="6" t="n">
        <f aca="false">IF($T18="","",IFERROR(INDEX(Projections!$N$2:$N$18,MATCH(INDEX(Calc!$A$2:$A$18,$T18)&amp;"|K1",Projections!$AA$2:$AA$18,0)),IFERROR(INDEX(Projections!$N$2:$N$18,MATCH(INDEX(Calc!$A$2:$A$18,$T18)&amp;"|"&amp;INDEX(Calc!$AJ$2:$AJ$18,$T18),Projections!$AA$2:$AA$18,0)),"")))</f>
        <v>0</v>
      </c>
      <c r="P18" s="7" t="n">
        <f aca="false">IF($T18="","",IFERROR(INDEX(Projections!$S$2:$S$18,MATCH(INDEX(Calc!$A$2:$A$18,$T18)&amp;"|K1",Projections!$AA$2:$AA$18,0)),IFERROR(INDEX(Projections!$S$2:$S$18,MATCH(INDEX(Calc!$A$2:$A$18,$T18)&amp;"|"&amp;INDEX(Calc!$AJ$2:$AJ$18,$T18),Projections!$AA$2:$AA$18,0)),"")))</f>
        <v>0.6</v>
      </c>
      <c r="Q18" s="6" t="n">
        <f aca="false">IF($T18="","",INDEX(Calc!$G$2:$G$18,$T18))</f>
        <v>30</v>
      </c>
      <c r="R18" s="0" t="str">
        <f aca="false">IF($T18="","",INDEX(Calc!$AH$2:$AH$18,$T18))</f>
        <v>new roster: 0% of his recent games with these teammates</v>
      </c>
      <c r="T18" s="6" t="n">
        <f aca="false">IFERROR(MATCH(7,Calc!$AI$2:$AI$18,0),"")</f>
        <v>1</v>
      </c>
    </row>
    <row r="19" customFormat="false" ht="15" hidden="false" customHeight="false" outlineLevel="0" collapsed="false">
      <c r="A19" s="0" t="str">
        <f aca="false">IF($T19="","",INDEX(Calc!$C$2:$C$18,$T19))</f>
        <v>WE</v>
      </c>
      <c r="B19" s="0" t="str">
        <f aca="false">IF($T19="","",INDEX(Calc!$D$2:$D$18,$T19))</f>
        <v>Cube</v>
      </c>
      <c r="C19" s="7" t="n">
        <f aca="false">IF($T19="","",INDEX(Calc!$H$2:$H$18,$T19))</f>
        <v>0.4</v>
      </c>
      <c r="D19" s="8" t="n">
        <f aca="false">IF($T19="","",INDEX(Calc!$I$2:$I$18,$T19))</f>
        <v>1.5</v>
      </c>
      <c r="E19" s="8" t="n">
        <f aca="false">IF($T19="","",INDEX(Calc!$J$2:$J$18,$T19))</f>
        <v>2.23382749326146</v>
      </c>
      <c r="F19" s="8" t="n">
        <f aca="false">IF($T19="","",INDEX(Calc!$K$2:$K$18,$T19))</f>
        <v>1.01078167115903</v>
      </c>
      <c r="G19" s="7" t="n">
        <f aca="false">IF($T19="","",INDEX(Calc!$M$2:$M$18,$T19))</f>
        <v>0.3928</v>
      </c>
      <c r="H19" s="8" t="n">
        <f aca="false">IF($T19="","",INDEX(Calc!$Y$2:$Y$18,$T19))</f>
        <v>1.49119407008086</v>
      </c>
      <c r="I19" s="8" t="n">
        <f aca="false">IF($T19="","",INDEX(Calc!$AE$2:$AE$18,$T19))</f>
        <v>1.5</v>
      </c>
      <c r="J19" s="0" t="str">
        <f aca="false">IF($T19="","",IFERROR(INDEX(Projections!$E$2:$E$18,MATCH(INDEX(Calc!$A$2:$A$18,$T19)&amp;"|K1",Projections!$AA$2:$AA$18,0)),""))</f>
        <v/>
      </c>
      <c r="K19" s="7" t="str">
        <f aca="false">IF($T19="","",IFERROR(INDEX(Projections!$H$2:$H$18,MATCH(INDEX(Calc!$A$2:$A$18,$T19)&amp;"|K1",Projections!$AA$2:$AA$18,0)),""))</f>
        <v/>
      </c>
      <c r="L19" s="8" t="n">
        <f aca="false">IF($T19="","",INDEX(Calc!$AK$2:$AK$18,$T19))</f>
        <v>4.47358221024259</v>
      </c>
      <c r="M19" s="6" t="n">
        <f aca="false">IF($T19="","",IFERROR(INDEX(Projections!$E$2:$E$18,MATCH(INDEX(Calc!$A$2:$A$18,$T19)&amp;"|"&amp;INDEX(Calc!$AJ$2:$AJ$18,$T19),Projections!$AA$2:$AA$18,0)),""))</f>
        <v>6</v>
      </c>
      <c r="N19" s="7" t="n">
        <f aca="false">IF($T19="","",IFERROR(INDEX(Projections!$H$2:$H$18,MATCH(INDEX(Calc!$A$2:$A$18,$T19)&amp;"|"&amp;INDEX(Calc!$AJ$2:$AJ$18,$T19),Projections!$AA$2:$AA$18,0)),""))</f>
        <v>0.219989199308484</v>
      </c>
      <c r="O19" s="6" t="n">
        <f aca="false">IF($T19="","",IFERROR(INDEX(Projections!$N$2:$N$18,MATCH(INDEX(Calc!$A$2:$A$18,$T19)&amp;"|K1",Projections!$AA$2:$AA$18,0)),IFERROR(INDEX(Projections!$N$2:$N$18,MATCH(INDEX(Calc!$A$2:$A$18,$T19)&amp;"|"&amp;INDEX(Calc!$AJ$2:$AJ$18,$T19),Projections!$AA$2:$AA$18,0)),"")))</f>
        <v>0</v>
      </c>
      <c r="P19" s="7" t="n">
        <f aca="false">IF($T19="","",IFERROR(INDEX(Projections!$S$2:$S$18,MATCH(INDEX(Calc!$A$2:$A$18,$T19)&amp;"|K1",Projections!$AA$2:$AA$18,0)),IFERROR(INDEX(Projections!$S$2:$S$18,MATCH(INDEX(Calc!$A$2:$A$18,$T19)&amp;"|"&amp;INDEX(Calc!$AJ$2:$AJ$18,$T19),Projections!$AA$2:$AA$18,0)),"")))</f>
        <v>0.5</v>
      </c>
      <c r="Q19" s="6" t="n">
        <f aca="false">IF($T19="","",INDEX(Calc!$G$2:$G$18,$T19))</f>
        <v>30</v>
      </c>
      <c r="R19" s="0" t="str">
        <f aca="false">IF($T19="","",INDEX(Calc!$AH$2:$AH$18,$T19))</f>
        <v>new roster: 0% of his recent games with these teammates</v>
      </c>
      <c r="T19" s="6" t="n">
        <f aca="false">IFERROR(MATCH(8,Calc!$AI$2:$AI$18,0),"")</f>
        <v>6</v>
      </c>
    </row>
    <row r="20" customFormat="false" ht="15" hidden="false" customHeight="false" outlineLevel="0" collapsed="false">
      <c r="A20" s="0" t="str">
        <f aca="false">IF($T20="","",INDEX(Calc!$C$2:$C$18,$T20))</f>
        <v/>
      </c>
      <c r="B20" s="0" t="str">
        <f aca="false">IF($T20="","",INDEX(Calc!$D$2:$D$18,$T20))</f>
        <v/>
      </c>
      <c r="C20" s="7" t="str">
        <f aca="false">IF($T20="","",INDEX(Calc!$H$2:$H$18,$T20))</f>
        <v/>
      </c>
      <c r="D20" s="8" t="str">
        <f aca="false">IF($T20="","",INDEX(Calc!$I$2:$I$18,$T20))</f>
        <v/>
      </c>
      <c r="E20" s="8" t="str">
        <f aca="false">IF($T20="","",INDEX(Calc!$J$2:$J$18,$T20))</f>
        <v/>
      </c>
      <c r="F20" s="8" t="str">
        <f aca="false">IF($T20="","",INDEX(Calc!$K$2:$K$18,$T20))</f>
        <v/>
      </c>
      <c r="G20" s="7" t="str">
        <f aca="false">IF($T20="","",INDEX(Calc!$M$2:$M$18,$T20))</f>
        <v/>
      </c>
      <c r="H20" s="8" t="str">
        <f aca="false">IF($T20="","",INDEX(Calc!$Y$2:$Y$18,$T20))</f>
        <v/>
      </c>
      <c r="I20" s="8" t="str">
        <f aca="false">IF($T20="","",INDEX(Calc!$AE$2:$AE$18,$T20))</f>
        <v/>
      </c>
      <c r="J20" s="0" t="str">
        <f aca="false">IF($T20="","",IFERROR(INDEX(Projections!$E$2:$E$18,MATCH(INDEX(Calc!$A$2:$A$18,$T20)&amp;"|K1",Projections!$AA$2:$AA$18,0)),""))</f>
        <v/>
      </c>
      <c r="K20" s="7" t="str">
        <f aca="false">IF($T20="","",IFERROR(INDEX(Projections!$H$2:$H$18,MATCH(INDEX(Calc!$A$2:$A$18,$T20)&amp;"|K1",Projections!$AA$2:$AA$18,0)),""))</f>
        <v/>
      </c>
      <c r="L20" s="8" t="str">
        <f aca="false">IF($T20="","",INDEX(Calc!$AK$2:$AK$18,$T20))</f>
        <v/>
      </c>
      <c r="M20" s="0" t="str">
        <f aca="false">IF($T20="","",IFERROR(INDEX(Projections!$E$2:$E$18,MATCH(INDEX(Calc!$A$2:$A$18,$T20)&amp;"|"&amp;INDEX(Calc!$AJ$2:$AJ$18,$T20),Projections!$AA$2:$AA$18,0)),""))</f>
        <v/>
      </c>
      <c r="N20" s="7" t="str">
        <f aca="false">IF($T20="","",IFERROR(INDEX(Projections!$H$2:$H$18,MATCH(INDEX(Calc!$A$2:$A$18,$T20)&amp;"|"&amp;INDEX(Calc!$AJ$2:$AJ$18,$T20),Projections!$AA$2:$AA$18,0)),""))</f>
        <v/>
      </c>
      <c r="O20" s="0" t="str">
        <f aca="false">IF($T20="","",IFERROR(INDEX(Projections!$N$2:$N$18,MATCH(INDEX(Calc!$A$2:$A$18,$T20)&amp;"|K1",Projections!$AA$2:$AA$18,0)),IFERROR(INDEX(Projections!$N$2:$N$18,MATCH(INDEX(Calc!$A$2:$A$18,$T20)&amp;"|"&amp;INDEX(Calc!$AJ$2:$AJ$18,$T20),Projections!$AA$2:$AA$18,0)),"")))</f>
        <v/>
      </c>
      <c r="P20" s="7" t="str">
        <f aca="false">IF($T20="","",IFERROR(INDEX(Projections!$S$2:$S$18,MATCH(INDEX(Calc!$A$2:$A$18,$T20)&amp;"|K1",Projections!$AA$2:$AA$18,0)),IFERROR(INDEX(Projections!$S$2:$S$18,MATCH(INDEX(Calc!$A$2:$A$18,$T20)&amp;"|"&amp;INDEX(Calc!$AJ$2:$AJ$18,$T20),Projections!$AA$2:$AA$18,0)),"")))</f>
        <v/>
      </c>
      <c r="Q20" s="0" t="str">
        <f aca="false">IF($T20="","",INDEX(Calc!$G$2:$G$18,$T20))</f>
        <v/>
      </c>
      <c r="R20" s="0" t="str">
        <f aca="false">IF($T20="","",INDEX(Calc!$AH$2:$AH$18,$T20))</f>
        <v/>
      </c>
      <c r="T20" s="0" t="str">
        <f aca="false">IFERROR(MATCH(9,Calc!$AI$2:$AI$18,0),"")</f>
        <v/>
      </c>
    </row>
    <row r="21" customFormat="false" ht="15" hidden="false" customHeight="false" outlineLevel="0" collapsed="false">
      <c r="A21" s="0" t="str">
        <f aca="false">IF($T21="","",INDEX(Calc!$C$2:$C$18,$T21))</f>
        <v/>
      </c>
      <c r="B21" s="0" t="str">
        <f aca="false">IF($T21="","",INDEX(Calc!$D$2:$D$18,$T21))</f>
        <v/>
      </c>
      <c r="C21" s="7" t="str">
        <f aca="false">IF($T21="","",INDEX(Calc!$H$2:$H$18,$T21))</f>
        <v/>
      </c>
      <c r="D21" s="8" t="str">
        <f aca="false">IF($T21="","",INDEX(Calc!$I$2:$I$18,$T21))</f>
        <v/>
      </c>
      <c r="E21" s="8" t="str">
        <f aca="false">IF($T21="","",INDEX(Calc!$J$2:$J$18,$T21))</f>
        <v/>
      </c>
      <c r="F21" s="8" t="str">
        <f aca="false">IF($T21="","",INDEX(Calc!$K$2:$K$18,$T21))</f>
        <v/>
      </c>
      <c r="G21" s="7" t="str">
        <f aca="false">IF($T21="","",INDEX(Calc!$M$2:$M$18,$T21))</f>
        <v/>
      </c>
      <c r="H21" s="8" t="str">
        <f aca="false">IF($T21="","",INDEX(Calc!$Y$2:$Y$18,$T21))</f>
        <v/>
      </c>
      <c r="I21" s="8" t="str">
        <f aca="false">IF($T21="","",INDEX(Calc!$AE$2:$AE$18,$T21))</f>
        <v/>
      </c>
      <c r="J21" s="0" t="str">
        <f aca="false">IF($T21="","",IFERROR(INDEX(Projections!$E$2:$E$18,MATCH(INDEX(Calc!$A$2:$A$18,$T21)&amp;"|K1",Projections!$AA$2:$AA$18,0)),""))</f>
        <v/>
      </c>
      <c r="K21" s="7" t="str">
        <f aca="false">IF($T21="","",IFERROR(INDEX(Projections!$H$2:$H$18,MATCH(INDEX(Calc!$A$2:$A$18,$T21)&amp;"|K1",Projections!$AA$2:$AA$18,0)),""))</f>
        <v/>
      </c>
      <c r="L21" s="8" t="str">
        <f aca="false">IF($T21="","",INDEX(Calc!$AK$2:$AK$18,$T21))</f>
        <v/>
      </c>
      <c r="M21" s="0" t="str">
        <f aca="false">IF($T21="","",IFERROR(INDEX(Projections!$E$2:$E$18,MATCH(INDEX(Calc!$A$2:$A$18,$T21)&amp;"|"&amp;INDEX(Calc!$AJ$2:$AJ$18,$T21),Projections!$AA$2:$AA$18,0)),""))</f>
        <v/>
      </c>
      <c r="N21" s="7" t="str">
        <f aca="false">IF($T21="","",IFERROR(INDEX(Projections!$H$2:$H$18,MATCH(INDEX(Calc!$A$2:$A$18,$T21)&amp;"|"&amp;INDEX(Calc!$AJ$2:$AJ$18,$T21),Projections!$AA$2:$AA$18,0)),""))</f>
        <v/>
      </c>
      <c r="O21" s="0" t="str">
        <f aca="false">IF($T21="","",IFERROR(INDEX(Projections!$N$2:$N$18,MATCH(INDEX(Calc!$A$2:$A$18,$T21)&amp;"|K1",Projections!$AA$2:$AA$18,0)),IFERROR(INDEX(Projections!$N$2:$N$18,MATCH(INDEX(Calc!$A$2:$A$18,$T21)&amp;"|"&amp;INDEX(Calc!$AJ$2:$AJ$18,$T21),Projections!$AA$2:$AA$18,0)),"")))</f>
        <v/>
      </c>
      <c r="P21" s="7" t="str">
        <f aca="false">IF($T21="","",IFERROR(INDEX(Projections!$S$2:$S$18,MATCH(INDEX(Calc!$A$2:$A$18,$T21)&amp;"|K1",Projections!$AA$2:$AA$18,0)),IFERROR(INDEX(Projections!$S$2:$S$18,MATCH(INDEX(Calc!$A$2:$A$18,$T21)&amp;"|"&amp;INDEX(Calc!$AJ$2:$AJ$18,$T21),Projections!$AA$2:$AA$18,0)),"")))</f>
        <v/>
      </c>
      <c r="Q21" s="0" t="str">
        <f aca="false">IF($T21="","",INDEX(Calc!$G$2:$G$18,$T21))</f>
        <v/>
      </c>
      <c r="R21" s="0" t="str">
        <f aca="false">IF($T21="","",INDEX(Calc!$AH$2:$AH$18,$T21))</f>
        <v/>
      </c>
      <c r="T21" s="0" t="str">
        <f aca="false">IFERROR(MATCH(10,Calc!$AI$2:$AI$18,0),"")</f>
        <v/>
      </c>
    </row>
    <row r="22" customFormat="false" ht="15" hidden="false" customHeight="false" outlineLevel="0" collapsed="false">
      <c r="A22" s="0" t="str">
        <f aca="false">IF($T22="","",INDEX(Calc!$C$2:$C$18,$T22))</f>
        <v/>
      </c>
      <c r="B22" s="0" t="str">
        <f aca="false">IF($T22="","",INDEX(Calc!$D$2:$D$18,$T22))</f>
        <v/>
      </c>
      <c r="C22" s="7" t="str">
        <f aca="false">IF($T22="","",INDEX(Calc!$H$2:$H$18,$T22))</f>
        <v/>
      </c>
      <c r="D22" s="8" t="str">
        <f aca="false">IF($T22="","",INDEX(Calc!$I$2:$I$18,$T22))</f>
        <v/>
      </c>
      <c r="E22" s="8" t="str">
        <f aca="false">IF($T22="","",INDEX(Calc!$J$2:$J$18,$T22))</f>
        <v/>
      </c>
      <c r="F22" s="8" t="str">
        <f aca="false">IF($T22="","",INDEX(Calc!$K$2:$K$18,$T22))</f>
        <v/>
      </c>
      <c r="G22" s="7" t="str">
        <f aca="false">IF($T22="","",INDEX(Calc!$M$2:$M$18,$T22))</f>
        <v/>
      </c>
      <c r="H22" s="8" t="str">
        <f aca="false">IF($T22="","",INDEX(Calc!$Y$2:$Y$18,$T22))</f>
        <v/>
      </c>
      <c r="I22" s="8" t="str">
        <f aca="false">IF($T22="","",INDEX(Calc!$AE$2:$AE$18,$T22))</f>
        <v/>
      </c>
      <c r="J22" s="0" t="str">
        <f aca="false">IF($T22="","",IFERROR(INDEX(Projections!$E$2:$E$18,MATCH(INDEX(Calc!$A$2:$A$18,$T22)&amp;"|K1",Projections!$AA$2:$AA$18,0)),""))</f>
        <v/>
      </c>
      <c r="K22" s="7" t="str">
        <f aca="false">IF($T22="","",IFERROR(INDEX(Projections!$H$2:$H$18,MATCH(INDEX(Calc!$A$2:$A$18,$T22)&amp;"|K1",Projections!$AA$2:$AA$18,0)),""))</f>
        <v/>
      </c>
      <c r="L22" s="8" t="str">
        <f aca="false">IF($T22="","",INDEX(Calc!$AK$2:$AK$18,$T22))</f>
        <v/>
      </c>
      <c r="M22" s="0" t="str">
        <f aca="false">IF($T22="","",IFERROR(INDEX(Projections!$E$2:$E$18,MATCH(INDEX(Calc!$A$2:$A$18,$T22)&amp;"|"&amp;INDEX(Calc!$AJ$2:$AJ$18,$T22),Projections!$AA$2:$AA$18,0)),""))</f>
        <v/>
      </c>
      <c r="N22" s="7" t="str">
        <f aca="false">IF($T22="","",IFERROR(INDEX(Projections!$H$2:$H$18,MATCH(INDEX(Calc!$A$2:$A$18,$T22)&amp;"|"&amp;INDEX(Calc!$AJ$2:$AJ$18,$T22),Projections!$AA$2:$AA$18,0)),""))</f>
        <v/>
      </c>
      <c r="O22" s="0" t="str">
        <f aca="false">IF($T22="","",IFERROR(INDEX(Projections!$N$2:$N$18,MATCH(INDEX(Calc!$A$2:$A$18,$T22)&amp;"|K1",Projections!$AA$2:$AA$18,0)),IFERROR(INDEX(Projections!$N$2:$N$18,MATCH(INDEX(Calc!$A$2:$A$18,$T22)&amp;"|"&amp;INDEX(Calc!$AJ$2:$AJ$18,$T22),Projections!$AA$2:$AA$18,0)),"")))</f>
        <v/>
      </c>
      <c r="P22" s="7" t="str">
        <f aca="false">IF($T22="","",IFERROR(INDEX(Projections!$S$2:$S$18,MATCH(INDEX(Calc!$A$2:$A$18,$T22)&amp;"|K1",Projections!$AA$2:$AA$18,0)),IFERROR(INDEX(Projections!$S$2:$S$18,MATCH(INDEX(Calc!$A$2:$A$18,$T22)&amp;"|"&amp;INDEX(Calc!$AJ$2:$AJ$18,$T22),Projections!$AA$2:$AA$18,0)),"")))</f>
        <v/>
      </c>
      <c r="Q22" s="0" t="str">
        <f aca="false">IF($T22="","",INDEX(Calc!$G$2:$G$18,$T22))</f>
        <v/>
      </c>
      <c r="R22" s="0" t="str">
        <f aca="false">IF($T22="","",INDEX(Calc!$AH$2:$AH$18,$T22))</f>
        <v/>
      </c>
      <c r="T22" s="0" t="str">
        <f aca="false">IFERROR(MATCH(11,Calc!$AI$2:$AI$18,0),"")</f>
        <v/>
      </c>
    </row>
    <row r="23" customFormat="false" ht="15" hidden="false" customHeight="false" outlineLevel="0" collapsed="false">
      <c r="A23" s="0" t="str">
        <f aca="false">IF($T23="","",INDEX(Calc!$C$2:$C$18,$T23))</f>
        <v/>
      </c>
      <c r="B23" s="0" t="str">
        <f aca="false">IF($T23="","",INDEX(Calc!$D$2:$D$18,$T23))</f>
        <v/>
      </c>
      <c r="C23" s="7" t="str">
        <f aca="false">IF($T23="","",INDEX(Calc!$H$2:$H$18,$T23))</f>
        <v/>
      </c>
      <c r="D23" s="8" t="str">
        <f aca="false">IF($T23="","",INDEX(Calc!$I$2:$I$18,$T23))</f>
        <v/>
      </c>
      <c r="E23" s="8" t="str">
        <f aca="false">IF($T23="","",INDEX(Calc!$J$2:$J$18,$T23))</f>
        <v/>
      </c>
      <c r="F23" s="8" t="str">
        <f aca="false">IF($T23="","",INDEX(Calc!$K$2:$K$18,$T23))</f>
        <v/>
      </c>
      <c r="G23" s="7" t="str">
        <f aca="false">IF($T23="","",INDEX(Calc!$M$2:$M$18,$T23))</f>
        <v/>
      </c>
      <c r="H23" s="8" t="str">
        <f aca="false">IF($T23="","",INDEX(Calc!$Y$2:$Y$18,$T23))</f>
        <v/>
      </c>
      <c r="I23" s="8" t="str">
        <f aca="false">IF($T23="","",INDEX(Calc!$AE$2:$AE$18,$T23))</f>
        <v/>
      </c>
      <c r="J23" s="0" t="str">
        <f aca="false">IF($T23="","",IFERROR(INDEX(Projections!$E$2:$E$18,MATCH(INDEX(Calc!$A$2:$A$18,$T23)&amp;"|K1",Projections!$AA$2:$AA$18,0)),""))</f>
        <v/>
      </c>
      <c r="K23" s="7" t="str">
        <f aca="false">IF($T23="","",IFERROR(INDEX(Projections!$H$2:$H$18,MATCH(INDEX(Calc!$A$2:$A$18,$T23)&amp;"|K1",Projections!$AA$2:$AA$18,0)),""))</f>
        <v/>
      </c>
      <c r="L23" s="8" t="str">
        <f aca="false">IF($T23="","",INDEX(Calc!$AK$2:$AK$18,$T23))</f>
        <v/>
      </c>
      <c r="M23" s="0" t="str">
        <f aca="false">IF($T23="","",IFERROR(INDEX(Projections!$E$2:$E$18,MATCH(INDEX(Calc!$A$2:$A$18,$T23)&amp;"|"&amp;INDEX(Calc!$AJ$2:$AJ$18,$T23),Projections!$AA$2:$AA$18,0)),""))</f>
        <v/>
      </c>
      <c r="N23" s="7" t="str">
        <f aca="false">IF($T23="","",IFERROR(INDEX(Projections!$H$2:$H$18,MATCH(INDEX(Calc!$A$2:$A$18,$T23)&amp;"|"&amp;INDEX(Calc!$AJ$2:$AJ$18,$T23),Projections!$AA$2:$AA$18,0)),""))</f>
        <v/>
      </c>
      <c r="O23" s="0" t="str">
        <f aca="false">IF($T23="","",IFERROR(INDEX(Projections!$N$2:$N$18,MATCH(INDEX(Calc!$A$2:$A$18,$T23)&amp;"|K1",Projections!$AA$2:$AA$18,0)),IFERROR(INDEX(Projections!$N$2:$N$18,MATCH(INDEX(Calc!$A$2:$A$18,$T23)&amp;"|"&amp;INDEX(Calc!$AJ$2:$AJ$18,$T23),Projections!$AA$2:$AA$18,0)),"")))</f>
        <v/>
      </c>
      <c r="P23" s="7" t="str">
        <f aca="false">IF($T23="","",IFERROR(INDEX(Projections!$S$2:$S$18,MATCH(INDEX(Calc!$A$2:$A$18,$T23)&amp;"|K1",Projections!$AA$2:$AA$18,0)),IFERROR(INDEX(Projections!$S$2:$S$18,MATCH(INDEX(Calc!$A$2:$A$18,$T23)&amp;"|"&amp;INDEX(Calc!$AJ$2:$AJ$18,$T23),Projections!$AA$2:$AA$18,0)),"")))</f>
        <v/>
      </c>
      <c r="Q23" s="0" t="str">
        <f aca="false">IF($T23="","",INDEX(Calc!$G$2:$G$18,$T23))</f>
        <v/>
      </c>
      <c r="R23" s="0" t="str">
        <f aca="false">IF($T23="","",INDEX(Calc!$AH$2:$AH$18,$T23))</f>
        <v/>
      </c>
      <c r="T23" s="0" t="str">
        <f aca="false">IFERROR(MATCH(12,Calc!$AI$2:$AI$18,0),"")</f>
        <v/>
      </c>
    </row>
    <row r="25" customFormat="false" ht="15" hidden="false" customHeight="false" outlineLevel="0" collapsed="false">
      <c r="A25" s="3" t="s">
        <v>59</v>
      </c>
    </row>
  </sheetData>
  <conditionalFormatting sqref="K12:K23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N12:N23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dataValidations count="1">
    <dataValidation allowBlank="false" errorStyle="stop" operator="between" showDropDown="false" showErrorMessage="false" showInputMessage="false" sqref="B2" type="list">
      <formula1>Matches!$A$5:$A$6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4"/>
    <col collapsed="false" customWidth="true" hidden="false" outlineLevel="0" max="6" min="5" style="0" width="18"/>
    <col collapsed="false" customWidth="true" hidden="false" outlineLevel="0" max="7" min="7" style="0" width="8"/>
    <col collapsed="false" customWidth="true" hidden="false" outlineLevel="0" max="11" min="8" style="0" width="9"/>
    <col collapsed="false" customWidth="true" hidden="false" outlineLevel="0" max="12" min="12" style="0" width="7"/>
    <col collapsed="false" customWidth="true" hidden="false" outlineLevel="0" max="15" min="13" style="0" width="10"/>
    <col collapsed="false" customWidth="true" hidden="false" outlineLevel="0" max="18" min="16" style="0" width="9"/>
    <col collapsed="false" customWidth="true" hidden="false" outlineLevel="0" max="20" min="19" style="0" width="7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3" t="s">
        <v>61</v>
      </c>
    </row>
    <row r="4" customFormat="false" ht="41.75" hidden="false" customHeight="false" outlineLevel="0" collapsed="false">
      <c r="A4" s="9" t="s">
        <v>62</v>
      </c>
      <c r="B4" s="9" t="s">
        <v>31</v>
      </c>
      <c r="C4" s="9" t="s">
        <v>29</v>
      </c>
      <c r="D4" s="9" t="s">
        <v>30</v>
      </c>
      <c r="E4" s="9" t="s">
        <v>63</v>
      </c>
      <c r="F4" s="9" t="s">
        <v>64</v>
      </c>
      <c r="G4" s="9" t="s">
        <v>32</v>
      </c>
      <c r="H4" s="9" t="s">
        <v>34</v>
      </c>
      <c r="I4" s="9" t="s">
        <v>65</v>
      </c>
      <c r="J4" s="9" t="s">
        <v>66</v>
      </c>
      <c r="K4" s="9" t="s">
        <v>36</v>
      </c>
      <c r="L4" s="9" t="s">
        <v>67</v>
      </c>
      <c r="M4" s="9" t="s">
        <v>33</v>
      </c>
      <c r="N4" s="9" t="s">
        <v>68</v>
      </c>
      <c r="O4" s="9" t="s">
        <v>69</v>
      </c>
      <c r="P4" s="9" t="s">
        <v>70</v>
      </c>
      <c r="Q4" s="9" t="s">
        <v>71</v>
      </c>
      <c r="R4" s="9" t="s">
        <v>37</v>
      </c>
      <c r="S4" s="9" t="s">
        <v>72</v>
      </c>
      <c r="T4" s="9" t="s">
        <v>73</v>
      </c>
    </row>
    <row r="5" customFormat="false" ht="15" hidden="false" customHeight="false" outlineLevel="0" collapsed="false">
      <c r="A5" s="0" t="s">
        <v>27</v>
      </c>
      <c r="B5" s="0" t="s">
        <v>74</v>
      </c>
      <c r="C5" s="0" t="s">
        <v>75</v>
      </c>
      <c r="D5" s="0" t="n">
        <v>5</v>
      </c>
      <c r="E5" s="0" t="s">
        <v>76</v>
      </c>
      <c r="F5" s="0" t="s">
        <v>77</v>
      </c>
      <c r="G5" s="7" t="n">
        <v>0.669856459330144</v>
      </c>
      <c r="H5" s="8" t="n">
        <v>28</v>
      </c>
      <c r="I5" s="8" t="n">
        <v>15.6904549509367</v>
      </c>
      <c r="J5" s="8" t="n">
        <v>13.2402120717781</v>
      </c>
      <c r="K5" s="8" t="n">
        <v>31.5</v>
      </c>
      <c r="L5" s="0" t="n">
        <v>664</v>
      </c>
      <c r="M5" s="10" t="n">
        <v>0.6072</v>
      </c>
      <c r="N5" s="10" t="n">
        <v>0.6072</v>
      </c>
      <c r="O5" s="10" t="n">
        <v>0.6072</v>
      </c>
      <c r="P5" s="10" t="n">
        <v>1</v>
      </c>
      <c r="Q5" s="10" t="n">
        <v>1</v>
      </c>
      <c r="R5" s="11" t="n">
        <v>1</v>
      </c>
      <c r="S5" s="6" t="s">
        <v>78</v>
      </c>
      <c r="T5" s="6" t="s">
        <v>79</v>
      </c>
    </row>
    <row r="6" customFormat="false" ht="15" hidden="false" customHeight="false" outlineLevel="0" collapsed="false">
      <c r="A6" s="0" t="s">
        <v>80</v>
      </c>
      <c r="B6" s="0" t="s">
        <v>81</v>
      </c>
      <c r="C6" s="0" t="s">
        <v>82</v>
      </c>
      <c r="D6" s="0" t="n">
        <v>5</v>
      </c>
      <c r="E6" s="0" t="s">
        <v>83</v>
      </c>
      <c r="F6" s="0" t="s">
        <v>84</v>
      </c>
      <c r="G6" s="7" t="n">
        <v>0.392764857881137</v>
      </c>
      <c r="H6" s="8"/>
      <c r="I6" s="8"/>
      <c r="J6" s="8"/>
      <c r="K6" s="8"/>
      <c r="L6" s="0" t="n">
        <v>183</v>
      </c>
      <c r="M6" s="10" t="n">
        <v>0.44</v>
      </c>
      <c r="N6" s="10" t="n">
        <v>0.44</v>
      </c>
      <c r="O6" s="10" t="n">
        <v>0.44</v>
      </c>
      <c r="P6" s="10" t="n">
        <v>1</v>
      </c>
      <c r="Q6" s="10" t="n">
        <v>1</v>
      </c>
      <c r="R6" s="11" t="n">
        <v>1</v>
      </c>
      <c r="S6" s="6" t="s">
        <v>85</v>
      </c>
      <c r="T6" s="6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7" min="7" style="0" width="6"/>
    <col collapsed="false" customWidth="true" hidden="false" outlineLevel="0" max="9" min="8" style="0" width="8"/>
    <col collapsed="false" customWidth="true" hidden="false" outlineLevel="0" max="10" min="10" style="0" width="7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5" min="13" style="0" width="9"/>
    <col collapsed="false" customWidth="true" hidden="false" outlineLevel="0" max="17" min="16" style="0" width="8"/>
    <col collapsed="false" customWidth="true" hidden="false" outlineLevel="0" max="20" min="18" style="0" width="6"/>
    <col collapsed="false" customWidth="true" hidden="false" outlineLevel="0" max="21" min="21" style="0" width="9"/>
    <col collapsed="false" customWidth="true" hidden="false" outlineLevel="0" max="22" min="22" style="0" width="6"/>
    <col collapsed="false" customWidth="true" hidden="false" outlineLevel="0" max="23" min="23" style="0" width="10"/>
    <col collapsed="false" customWidth="true" hidden="false" outlineLevel="0" max="24" min="24" style="0" width="30"/>
    <col collapsed="false" customWidth="true" hidden="true" outlineLevel="0" max="25" min="25" style="0" width="22"/>
    <col collapsed="false" customWidth="true" hidden="true" outlineLevel="0" max="26" min="26" style="0" width="5"/>
    <col collapsed="false" customWidth="true" hidden="true" outlineLevel="0" max="27" min="27" style="0" width="26"/>
  </cols>
  <sheetData>
    <row r="1" customFormat="false" ht="55.2" hidden="false" customHeight="false" outlineLevel="0" collapsed="false">
      <c r="A1" s="9" t="s">
        <v>62</v>
      </c>
      <c r="B1" s="9" t="s">
        <v>41</v>
      </c>
      <c r="C1" s="9" t="s">
        <v>40</v>
      </c>
      <c r="D1" s="9" t="s">
        <v>87</v>
      </c>
      <c r="E1" s="9" t="s">
        <v>88</v>
      </c>
      <c r="F1" s="9" t="s">
        <v>89</v>
      </c>
      <c r="G1" s="9" t="s">
        <v>90</v>
      </c>
      <c r="H1" s="9" t="s">
        <v>91</v>
      </c>
      <c r="I1" s="9" t="s">
        <v>92</v>
      </c>
      <c r="J1" s="9" t="s">
        <v>93</v>
      </c>
      <c r="K1" s="9" t="s">
        <v>94</v>
      </c>
      <c r="L1" s="9" t="s">
        <v>95</v>
      </c>
      <c r="M1" s="9" t="s">
        <v>96</v>
      </c>
      <c r="N1" s="9" t="s">
        <v>97</v>
      </c>
      <c r="O1" s="9" t="s">
        <v>98</v>
      </c>
      <c r="P1" s="9" t="s">
        <v>46</v>
      </c>
      <c r="Q1" s="9" t="s">
        <v>99</v>
      </c>
      <c r="R1" s="9" t="s">
        <v>100</v>
      </c>
      <c r="S1" s="9" t="s">
        <v>55</v>
      </c>
      <c r="T1" s="9" t="s">
        <v>101</v>
      </c>
      <c r="U1" s="9" t="s">
        <v>102</v>
      </c>
      <c r="V1" s="9" t="s">
        <v>103</v>
      </c>
      <c r="W1" s="9" t="s">
        <v>104</v>
      </c>
      <c r="X1" s="9" t="s">
        <v>57</v>
      </c>
      <c r="Y1" s="9" t="s">
        <v>105</v>
      </c>
      <c r="Z1" s="9" t="s">
        <v>106</v>
      </c>
      <c r="AA1" s="9" t="s">
        <v>107</v>
      </c>
    </row>
    <row r="2" customFormat="false" ht="15" hidden="false" customHeight="false" outlineLevel="0" collapsed="false">
      <c r="A2" s="0" t="s">
        <v>27</v>
      </c>
      <c r="B2" s="0" t="s">
        <v>108</v>
      </c>
      <c r="C2" s="0" t="s">
        <v>78</v>
      </c>
      <c r="D2" s="0" t="s">
        <v>109</v>
      </c>
      <c r="E2" s="0" t="n">
        <v>9</v>
      </c>
      <c r="F2" s="8" t="n">
        <f aca="false">IFERROR(INDEX(CHOOSE(MATCH($Z2,{"K1","K12","K13"},0),Calc!$Y$2:$Y$18,Calc!$AA$2:$AA$18,Calc!$AC$2:$AC$18),MATCH($Y2,Calc!$A$2:$A$18,0)),"")</f>
        <v>8.24392469384025</v>
      </c>
      <c r="G2" s="8" t="n">
        <f aca="false">IFERROR(SQRT(INDEX(CHOOSE(MATCH($Z2,{"K1","K12","K13"},0),Calc!$Z$2:$Z$18,Calc!$AB$2:$AB$18,Calc!$AD$2:$AD$18),MATCH($Y2,Calc!$A$2:$A$18,0))),"")</f>
        <v>3.65321135986055</v>
      </c>
      <c r="H2" s="7" t="n">
        <f aca="false">IF(OR($E2="",$F2="",N($G2)&lt;=0),"",1-NORMDIST(FLOOR($E2,1)+0.5,$F2,$G2,TRUE()))</f>
        <v>0.365487928821545</v>
      </c>
      <c r="I2" s="7" t="n">
        <f aca="false">IF($H2="","",NORMDIST(CEILING($E2,1)-0.5,$F2,$G2,TRUE()))</f>
        <v>0.527941353299428</v>
      </c>
      <c r="J2" s="7" t="n">
        <f aca="false">IF($H2="","",MAX(0,1-$H2-$I2))</f>
        <v>0.106570717879028</v>
      </c>
      <c r="K2" s="0" t="str">
        <f aca="false">IF($H2="","",IF($H2&gt;=0.5+Config!$B$8,"OVER",IF($I2&gt;=0.5+Config!$B$8,"UNDER","—")))</f>
        <v>—</v>
      </c>
      <c r="L2" s="8" t="n">
        <f aca="false">IFERROR(INDEX(CHOOSE(MATCH($Z2,{"K1","K12","K13"},0),Calc!$AE$2:$AE$18,Calc!$AF$2:$AF$18,Calc!$AG$2:$AG$18),MATCH($Y2,Calc!$A$2:$A$18,0)),"")</f>
        <v>7.8</v>
      </c>
      <c r="M2" s="7" t="n">
        <f aca="false">IF(OR($E2="",$L2="",N($G2)&lt;=0),"",1-NORMDIST(FLOOR($E2,1)+0.5,$L2,$G2*SQRT($L2/$F2),TRUE()))</f>
        <v>0.316181725196797</v>
      </c>
      <c r="O2" s="7" t="n">
        <f aca="false">IFERROR(INDEX(Calc!$H$2:$H$18,MATCH($Y2,Calc!$A$2:$A$18,0)),"")</f>
        <v>0.53</v>
      </c>
      <c r="P2" s="7" t="n">
        <f aca="false">IFERROR(INDEX(Calc!$M$2:$M$18,MATCH($Y2,Calc!$A$2:$A$18,0)),"")</f>
        <v>0.6072</v>
      </c>
      <c r="Q2" s="0" t="n">
        <v>9.5</v>
      </c>
      <c r="R2" s="7" t="n">
        <v>0.8</v>
      </c>
      <c r="S2" s="7" t="n">
        <v>0.6</v>
      </c>
      <c r="T2" s="7" t="n">
        <v>0.6</v>
      </c>
      <c r="U2" s="6" t="s">
        <v>110</v>
      </c>
      <c r="V2" s="0" t="n">
        <v>-1</v>
      </c>
      <c r="W2" s="0" t="n">
        <v>2</v>
      </c>
      <c r="X2" s="0" t="str">
        <f aca="false">IFERROR(INDEX(Calc!$AH$2:$AH$18,MATCH($Y2,Calc!$A$2:$A$18,0)),"")</f>
        <v>new roster: 0% of his recent games with these teammates</v>
      </c>
      <c r="Y2" s="6" t="s">
        <v>111</v>
      </c>
      <c r="Z2" s="6" t="s">
        <v>112</v>
      </c>
      <c r="AA2" s="0" t="str">
        <f aca="false">Y2&amp;"|"&amp;Z2</f>
        <v>a40b96slvk58uel|LOL · BFX vs WE|K13</v>
      </c>
    </row>
    <row r="3" customFormat="false" ht="15" hidden="false" customHeight="false" outlineLevel="0" collapsed="false">
      <c r="A3" s="0" t="s">
        <v>27</v>
      </c>
      <c r="B3" s="0" t="s">
        <v>113</v>
      </c>
      <c r="C3" s="0" t="s">
        <v>78</v>
      </c>
      <c r="D3" s="0" t="s">
        <v>109</v>
      </c>
      <c r="E3" s="0" t="n">
        <v>12</v>
      </c>
      <c r="F3" s="8" t="n">
        <f aca="false">IFERROR(INDEX(CHOOSE(MATCH($Z3,{"K1","K12","K13"},0),Calc!$Y$2:$Y$18,Calc!$AA$2:$AA$18,Calc!$AC$2:$AC$18),MATCH($Y3,Calc!$A$2:$A$18,0)),"")</f>
        <v>12.0488130140742</v>
      </c>
      <c r="G3" s="8" t="n">
        <f aca="false">IFERROR(SQRT(INDEX(CHOOSE(MATCH($Z3,{"K1","K12","K13"},0),Calc!$Z$2:$Z$18,Calc!$AB$2:$AB$18,Calc!$AD$2:$AD$18),MATCH($Y3,Calc!$A$2:$A$18,0))),"")</f>
        <v>4.6129092592418</v>
      </c>
      <c r="H3" s="7" t="n">
        <f aca="false">IF(OR($E3="",$F3="",N($G3)&lt;=0),"",1-NORMDIST(FLOOR($E3,1)+0.5,$F3,$G3,TRUE()))</f>
        <v>0.461041726933847</v>
      </c>
      <c r="I3" s="7" t="n">
        <f aca="false">IF($H3="","",NORMDIST(CEILING($E3,1)-0.5,$F3,$G3,TRUE()))</f>
        <v>0.452648256496785</v>
      </c>
      <c r="J3" s="7" t="n">
        <f aca="false">IF($H3="","",MAX(0,1-$H3-$I3))</f>
        <v>0.0863100165693677</v>
      </c>
      <c r="K3" s="0" t="str">
        <f aca="false">IF($H3="","",IF($H3&gt;=0.5+Config!$B$8,"OVER",IF($I3&gt;=0.5+Config!$B$8,"UNDER","—")))</f>
        <v>—</v>
      </c>
      <c r="L3" s="8" t="n">
        <f aca="false">IFERROR(INDEX(CHOOSE(MATCH($Z3,{"K1","K12","K13"},0),Calc!$AE$2:$AE$18,Calc!$AF$2:$AF$18,Calc!$AG$2:$AG$18),MATCH($Y3,Calc!$A$2:$A$18,0)),"")</f>
        <v>11.4</v>
      </c>
      <c r="M3" s="7" t="n">
        <f aca="false">IF(OR($E3="",$L3="",N($G3)&lt;=0),"",1-NORMDIST(FLOOR($E3,1)+0.5,$L3,$G3*SQRT($L3/$F3),TRUE()))</f>
        <v>0.403168924759123</v>
      </c>
      <c r="O3" s="7" t="n">
        <f aca="false">IFERROR(INDEX(Calc!$H$2:$H$18,MATCH($Y3,Calc!$A$2:$A$18,0)),"")</f>
        <v>0.53</v>
      </c>
      <c r="P3" s="7" t="n">
        <f aca="false">IFERROR(INDEX(Calc!$M$2:$M$18,MATCH($Y3,Calc!$A$2:$A$18,0)),"")</f>
        <v>0.6072</v>
      </c>
      <c r="Q3" s="0" t="n">
        <v>12.1</v>
      </c>
      <c r="R3" s="7" t="n">
        <v>0.6</v>
      </c>
      <c r="S3" s="7" t="n">
        <v>0.5</v>
      </c>
      <c r="T3" s="7" t="n">
        <v>0.47</v>
      </c>
      <c r="U3" s="6" t="s">
        <v>110</v>
      </c>
      <c r="V3" s="0" t="n">
        <v>1</v>
      </c>
      <c r="W3" s="0" t="n">
        <v>2</v>
      </c>
      <c r="X3" s="0" t="str">
        <f aca="false">IFERROR(INDEX(Calc!$AH$2:$AH$18,MATCH($Y3,Calc!$A$2:$A$18,0)),"")</f>
        <v>new roster: 0% of his recent games with these teammates</v>
      </c>
      <c r="Y3" s="6" t="s">
        <v>114</v>
      </c>
      <c r="Z3" s="6" t="s">
        <v>112</v>
      </c>
      <c r="AA3" s="0" t="str">
        <f aca="false">Y3&amp;"|"&amp;Z3</f>
        <v>9rk91wvgkapc003|LOL · BFX vs WE|K13</v>
      </c>
    </row>
    <row r="4" customFormat="false" ht="15" hidden="false" customHeight="false" outlineLevel="0" collapsed="false">
      <c r="A4" s="0" t="s">
        <v>27</v>
      </c>
      <c r="B4" s="0" t="s">
        <v>115</v>
      </c>
      <c r="C4" s="0" t="s">
        <v>78</v>
      </c>
      <c r="D4" s="0" t="s">
        <v>109</v>
      </c>
      <c r="E4" s="0" t="n">
        <v>15.5</v>
      </c>
      <c r="F4" s="8" t="n">
        <f aca="false">IFERROR(INDEX(CHOOSE(MATCH($Z4,{"K1","K12","K13"},0),Calc!$Y$2:$Y$18,Calc!$AA$2:$AA$18,Calc!$AC$2:$AC$18),MATCH($Y4,Calc!$A$2:$A$18,0)),"")</f>
        <v>12.6829610674465</v>
      </c>
      <c r="G4" s="8" t="n">
        <f aca="false">IFERROR(SQRT(INDEX(CHOOSE(MATCH($Z4,{"K1","K12","K13"},0),Calc!$Z$2:$Z$18,Calc!$AB$2:$AB$18,Calc!$AD$2:$AD$18),MATCH($Y4,Calc!$A$2:$A$18,0))),"")</f>
        <v>4.76549916150079</v>
      </c>
      <c r="H4" s="7" t="n">
        <f aca="false">IF(OR($E4="",$F4="",N($G4)&lt;=0),"",1-NORMDIST(FLOOR($E4,1)+0.5,$F4,$G4,TRUE()))</f>
        <v>0.277215998461265</v>
      </c>
      <c r="I4" s="7" t="n">
        <f aca="false">IF($H4="","",NORMDIST(CEILING($E4,1)-0.5,$F4,$G4,TRUE()))</f>
        <v>0.722784001538735</v>
      </c>
      <c r="J4" s="7" t="n">
        <f aca="false">IF($H4="","",MAX(0,1-$H4-$I4))</f>
        <v>0</v>
      </c>
      <c r="K4" s="0" t="str">
        <f aca="false">IF($H4="","",IF($H4&gt;=0.5+Config!$B$8,"OVER",IF($I4&gt;=0.5+Config!$B$8,"UNDER","—")))</f>
        <v>UNDER</v>
      </c>
      <c r="L4" s="8" t="n">
        <f aca="false">IFERROR(INDEX(CHOOSE(MATCH($Z4,{"K1","K12","K13"},0),Calc!$AE$2:$AE$18,Calc!$AF$2:$AF$18,Calc!$AG$2:$AG$18),MATCH($Y4,Calc!$A$2:$A$18,0)),"")</f>
        <v>12</v>
      </c>
      <c r="M4" s="7" t="n">
        <f aca="false">IF(OR($E4="",$L4="",N($G4)&lt;=0),"",1-NORMDIST(FLOOR($E4,1)+0.5,$L4,$G4*SQRT($L4/$F4),TRUE()))</f>
        <v>0.225107591736543</v>
      </c>
      <c r="O4" s="7" t="n">
        <f aca="false">IFERROR(INDEX(Calc!$H$2:$H$18,MATCH($Y4,Calc!$A$2:$A$18,0)),"")</f>
        <v>0.53</v>
      </c>
      <c r="P4" s="7" t="n">
        <f aca="false">IFERROR(INDEX(Calc!$M$2:$M$18,MATCH($Y4,Calc!$A$2:$A$18,0)),"")</f>
        <v>0.6072</v>
      </c>
      <c r="Q4" s="0" t="n">
        <v>12.9</v>
      </c>
      <c r="R4" s="7" t="n">
        <v>0.2</v>
      </c>
      <c r="S4" s="7" t="n">
        <v>0.2</v>
      </c>
      <c r="T4" s="7" t="n">
        <v>0.13</v>
      </c>
      <c r="U4" s="6" t="s">
        <v>110</v>
      </c>
      <c r="V4" s="0" t="n">
        <v>-1</v>
      </c>
      <c r="X4" s="0" t="str">
        <f aca="false">IFERROR(INDEX(Calc!$AH$2:$AH$18,MATCH($Y4,Calc!$A$2:$A$18,0)),"")</f>
        <v>new roster: 0% of his recent games with these teammates</v>
      </c>
      <c r="Y4" s="6" t="s">
        <v>116</v>
      </c>
      <c r="Z4" s="6" t="s">
        <v>112</v>
      </c>
      <c r="AA4" s="0" t="str">
        <f aca="false">Y4&amp;"|"&amp;Z4</f>
        <v>levu3u8bffr7eia|LOL · BFX vs WE|K13</v>
      </c>
    </row>
    <row r="5" customFormat="false" ht="15" hidden="false" customHeight="false" outlineLevel="0" collapsed="false">
      <c r="A5" s="0" t="s">
        <v>27</v>
      </c>
      <c r="B5" s="0" t="s">
        <v>117</v>
      </c>
      <c r="C5" s="0" t="s">
        <v>78</v>
      </c>
      <c r="D5" s="0" t="s">
        <v>109</v>
      </c>
      <c r="E5" s="0" t="n">
        <v>12.5</v>
      </c>
      <c r="F5" s="8" t="n">
        <f aca="false">IFERROR(INDEX(CHOOSE(MATCH($Z5,{"K1","K12","K13"},0),Calc!$Y$2:$Y$18,Calc!$AA$2:$AA$18,Calc!$AC$2:$AC$18),MATCH($Y5,Calc!$A$2:$A$18,0)),"")</f>
        <v>10.7805169073296</v>
      </c>
      <c r="G5" s="8" t="n">
        <f aca="false">IFERROR(SQRT(INDEX(CHOOSE(MATCH($Z5,{"K1","K12","K13"},0),Calc!$Z$2:$Z$18,Calc!$AB$2:$AB$18,Calc!$AD$2:$AD$18),MATCH($Y5,Calc!$A$2:$A$18,0))),"")</f>
        <v>4.30234389356843</v>
      </c>
      <c r="H5" s="7" t="n">
        <f aca="false">IF(OR($E5="",$F5="",N($G5)&lt;=0),"",1-NORMDIST(FLOOR($E5,1)+0.5,$F5,$G5,TRUE()))</f>
        <v>0.344702765439915</v>
      </c>
      <c r="I5" s="7" t="n">
        <f aca="false">IF($H5="","",NORMDIST(CEILING($E5,1)-0.5,$F5,$G5,TRUE()))</f>
        <v>0.655297234560085</v>
      </c>
      <c r="J5" s="7" t="n">
        <f aca="false">IF($H5="","",MAX(0,1-$H5-$I5))</f>
        <v>0</v>
      </c>
      <c r="K5" s="0" t="str">
        <f aca="false">IF($H5="","",IF($H5&gt;=0.5+Config!$B$8,"OVER",IF($I5&gt;=0.5+Config!$B$8,"UNDER","—")))</f>
        <v>UNDER</v>
      </c>
      <c r="L5" s="8" t="n">
        <f aca="false">IFERROR(INDEX(CHOOSE(MATCH($Z5,{"K1","K12","K13"},0),Calc!$AE$2:$AE$18,Calc!$AF$2:$AF$18,Calc!$AG$2:$AG$18),MATCH($Y5,Calc!$A$2:$A$18,0)),"")</f>
        <v>10.2</v>
      </c>
      <c r="M5" s="7" t="n">
        <f aca="false">IF(OR($E5="",$L5="",N($G5)&lt;=0),"",1-NORMDIST(FLOOR($E5,1)+0.5,$L5,$G5*SQRT($L5/$F5),TRUE()))</f>
        <v>0.29129874718673</v>
      </c>
      <c r="O5" s="7" t="n">
        <f aca="false">IFERROR(INDEX(Calc!$H$2:$H$18,MATCH($Y5,Calc!$A$2:$A$18,0)),"")</f>
        <v>0.53</v>
      </c>
      <c r="P5" s="7" t="n">
        <f aca="false">IFERROR(INDEX(Calc!$M$2:$M$18,MATCH($Y5,Calc!$A$2:$A$18,0)),"")</f>
        <v>0.6072</v>
      </c>
      <c r="Q5" s="0" t="n">
        <v>10.4</v>
      </c>
      <c r="R5" s="7" t="n">
        <v>0.4</v>
      </c>
      <c r="S5" s="7" t="n">
        <v>0.3</v>
      </c>
      <c r="T5" s="7" t="n">
        <v>0.33</v>
      </c>
      <c r="U5" s="6" t="s">
        <v>118</v>
      </c>
      <c r="V5" s="0" t="n">
        <v>1</v>
      </c>
      <c r="X5" s="0" t="str">
        <f aca="false">IFERROR(INDEX(Calc!$AH$2:$AH$18,MATCH($Y5,Calc!$A$2:$A$18,0)),"")</f>
        <v>new roster: 0% of his recent games with these teammates</v>
      </c>
      <c r="Y5" s="6" t="s">
        <v>119</v>
      </c>
      <c r="Z5" s="6" t="s">
        <v>112</v>
      </c>
      <c r="AA5" s="0" t="str">
        <f aca="false">Y5&amp;"|"&amp;Z5</f>
        <v>fykyrgu2gcp2ijb|LOL · BFX vs WE|K13</v>
      </c>
    </row>
    <row r="6" customFormat="false" ht="15" hidden="false" customHeight="false" outlineLevel="0" collapsed="false">
      <c r="A6" s="0" t="s">
        <v>27</v>
      </c>
      <c r="B6" s="0" t="s">
        <v>120</v>
      </c>
      <c r="C6" s="0" t="s">
        <v>79</v>
      </c>
      <c r="D6" s="0" t="s">
        <v>109</v>
      </c>
      <c r="E6" s="0" t="n">
        <v>12</v>
      </c>
      <c r="F6" s="8" t="n">
        <f aca="false">IFERROR(INDEX(CHOOSE(MATCH($Z6,{"K1","K12","K13"},0),Calc!$Y$2:$Y$18,Calc!$AA$2:$AA$18,Calc!$AC$2:$AC$18),MATCH($Y6,Calc!$A$2:$A$18,0)),"")</f>
        <v>11.0348361185984</v>
      </c>
      <c r="G6" s="8" t="n">
        <f aca="false">IFERROR(SQRT(INDEX(CHOOSE(MATCH($Z6,{"K1","K12","K13"},0),Calc!$Z$2:$Z$18,Calc!$AB$2:$AB$18,Calc!$AD$2:$AD$18),MATCH($Y6,Calc!$A$2:$A$18,0))),"")</f>
        <v>4.56700495323885</v>
      </c>
      <c r="H6" s="7" t="n">
        <f aca="false">IF(OR($E6="",$F6="",N($G6)&lt;=0),"",1-NORMDIST(FLOOR($E6,1)+0.5,$F6,$G6,TRUE()))</f>
        <v>0.374175280167481</v>
      </c>
      <c r="I6" s="7" t="n">
        <f aca="false">IF($H6="","",NORMDIST(CEILING($E6,1)-0.5,$F6,$G6,TRUE()))</f>
        <v>0.54056338486339</v>
      </c>
      <c r="J6" s="7" t="n">
        <f aca="false">IF($H6="","",MAX(0,1-$H6-$I6))</f>
        <v>0.0852613349691296</v>
      </c>
      <c r="K6" s="0" t="str">
        <f aca="false">IF($H6="","",IF($H6&gt;=0.5+Config!$B$8,"OVER",IF($I6&gt;=0.5+Config!$B$8,"UNDER","—")))</f>
        <v>UNDER</v>
      </c>
      <c r="L6" s="8" t="n">
        <f aca="false">IFERROR(INDEX(CHOOSE(MATCH($Z6,{"K1","K12","K13"},0),Calc!$AE$2:$AE$18,Calc!$AF$2:$AF$18,Calc!$AG$2:$AG$18),MATCH($Y6,Calc!$A$2:$A$18,0)),"")</f>
        <v>11.1</v>
      </c>
      <c r="M6" s="7" t="n">
        <f aca="false">IF(OR($E6="",$L6="",N($G6)&lt;=0),"",1-NORMDIST(FLOOR($E6,1)+0.5,$L6,$G6*SQRT($L6/$F6),TRUE()))</f>
        <v>0.379937286228957</v>
      </c>
      <c r="O6" s="7" t="n">
        <f aca="false">IFERROR(INDEX(Calc!$H$2:$H$18,MATCH($Y6,Calc!$A$2:$A$18,0)),"")</f>
        <v>0.4</v>
      </c>
      <c r="P6" s="7" t="n">
        <f aca="false">IFERROR(INDEX(Calc!$M$2:$M$18,MATCH($Y6,Calc!$A$2:$A$18,0)),"")</f>
        <v>0.3928</v>
      </c>
      <c r="Q6" s="0" t="n">
        <v>12.7</v>
      </c>
      <c r="R6" s="7" t="n">
        <v>0.4</v>
      </c>
      <c r="S6" s="7" t="n">
        <v>0.5</v>
      </c>
      <c r="T6" s="7" t="n">
        <v>0.6</v>
      </c>
      <c r="U6" s="6" t="s">
        <v>110</v>
      </c>
      <c r="V6" s="0" t="n">
        <v>-3</v>
      </c>
      <c r="W6" s="0" t="n">
        <v>1</v>
      </c>
      <c r="X6" s="0" t="str">
        <f aca="false">IFERROR(INDEX(Calc!$AH$2:$AH$18,MATCH($Y6,Calc!$A$2:$A$18,0)),"")</f>
        <v>new roster: 0% of his recent games with these teammates</v>
      </c>
      <c r="Y6" s="6" t="s">
        <v>121</v>
      </c>
      <c r="Z6" s="6" t="s">
        <v>112</v>
      </c>
      <c r="AA6" s="0" t="str">
        <f aca="false">Y6&amp;"|"&amp;Z6</f>
        <v>3yzx0bm4qio0tw2|LOL · BFX vs WE|K13</v>
      </c>
    </row>
    <row r="7" customFormat="false" ht="15" hidden="false" customHeight="false" outlineLevel="0" collapsed="false">
      <c r="A7" s="0" t="s">
        <v>27</v>
      </c>
      <c r="B7" s="0" t="s">
        <v>122</v>
      </c>
      <c r="C7" s="0" t="s">
        <v>79</v>
      </c>
      <c r="D7" s="0" t="s">
        <v>109</v>
      </c>
      <c r="E7" s="0" t="n">
        <v>6</v>
      </c>
      <c r="F7" s="8" t="n">
        <f aca="false">IFERROR(INDEX(CHOOSE(MATCH($Z7,{"K1","K12","K13"},0),Calc!$Y$2:$Y$18,Calc!$AA$2:$AA$18,Calc!$AC$2:$AC$18),MATCH($Y7,Calc!$A$2:$A$18,0)),"")</f>
        <v>4.47358221024259</v>
      </c>
      <c r="G7" s="8" t="n">
        <f aca="false">IFERROR(SQRT(INDEX(CHOOSE(MATCH($Z7,{"K1","K12","K13"},0),Calc!$Z$2:$Z$18,Calc!$AB$2:$AB$18,Calc!$AD$2:$AD$18),MATCH($Y7,Calc!$A$2:$A$18,0))),"")</f>
        <v>2.6241127617472</v>
      </c>
      <c r="H7" s="7" t="n">
        <f aca="false">IF(OR($E7="",$F7="",N($G7)&lt;=0),"",1-NORMDIST(FLOOR($E7,1)+0.5,$F7,$G7,TRUE()))</f>
        <v>0.219989199308484</v>
      </c>
      <c r="I7" s="7" t="n">
        <f aca="false">IF($H7="","",NORMDIST(CEILING($E7,1)-0.5,$F7,$G7,TRUE()))</f>
        <v>0.652156266302133</v>
      </c>
      <c r="J7" s="7" t="n">
        <f aca="false">IF($H7="","",MAX(0,1-$H7-$I7))</f>
        <v>0.127854534389382</v>
      </c>
      <c r="K7" s="0" t="str">
        <f aca="false">IF($H7="","",IF($H7&gt;=0.5+Config!$B$8,"OVER",IF($I7&gt;=0.5+Config!$B$8,"UNDER","—")))</f>
        <v>UNDER</v>
      </c>
      <c r="L7" s="8" t="n">
        <f aca="false">IFERROR(INDEX(CHOOSE(MATCH($Z7,{"K1","K12","K13"},0),Calc!$AE$2:$AE$18,Calc!$AF$2:$AF$18,Calc!$AG$2:$AG$18),MATCH($Y7,Calc!$A$2:$A$18,0)),"")</f>
        <v>4.5</v>
      </c>
      <c r="M7" s="7" t="n">
        <f aca="false">IF(OR($E7="",$L7="",N($G7)&lt;=0),"",1-NORMDIST(FLOOR($E7,1)+0.5,$L7,$G7*SQRT($L7/$F7),TRUE()))</f>
        <v>0.223650637012464</v>
      </c>
      <c r="O7" s="7" t="n">
        <f aca="false">IFERROR(INDEX(Calc!$H$2:$H$18,MATCH($Y7,Calc!$A$2:$A$18,0)),"")</f>
        <v>0.4</v>
      </c>
      <c r="P7" s="7" t="n">
        <f aca="false">IFERROR(INDEX(Calc!$M$2:$M$18,MATCH($Y7,Calc!$A$2:$A$18,0)),"")</f>
        <v>0.3928</v>
      </c>
      <c r="Q7" s="0" t="n">
        <v>6.8</v>
      </c>
      <c r="R7" s="7" t="n">
        <v>0.2</v>
      </c>
      <c r="S7" s="7" t="n">
        <v>0.5</v>
      </c>
      <c r="T7" s="7" t="n">
        <v>0.53</v>
      </c>
      <c r="U7" s="6" t="s">
        <v>110</v>
      </c>
      <c r="V7" s="0" t="n">
        <v>-4</v>
      </c>
      <c r="W7" s="0" t="n">
        <v>1</v>
      </c>
      <c r="X7" s="0" t="str">
        <f aca="false">IFERROR(INDEX(Calc!$AH$2:$AH$18,MATCH($Y7,Calc!$A$2:$A$18,0)),"")</f>
        <v>new roster: 0% of his recent games with these teammates</v>
      </c>
      <c r="Y7" s="6" t="s">
        <v>123</v>
      </c>
      <c r="Z7" s="6" t="s">
        <v>112</v>
      </c>
      <c r="AA7" s="0" t="str">
        <f aca="false">Y7&amp;"|"&amp;Z7</f>
        <v>zx223uprdlwvwql|LOL · BFX vs WE|K13</v>
      </c>
    </row>
    <row r="8" customFormat="false" ht="15" hidden="false" customHeight="false" outlineLevel="0" collapsed="false">
      <c r="A8" s="0" t="s">
        <v>27</v>
      </c>
      <c r="B8" s="0" t="s">
        <v>124</v>
      </c>
      <c r="C8" s="0" t="s">
        <v>79</v>
      </c>
      <c r="D8" s="0" t="s">
        <v>109</v>
      </c>
      <c r="E8" s="0" t="n">
        <v>10.5</v>
      </c>
      <c r="F8" s="8" t="n">
        <f aca="false">IFERROR(INDEX(CHOOSE(MATCH($Z8,{"K1","K12","K13"},0),Calc!$Y$2:$Y$18,Calc!$AA$2:$AA$18,Calc!$AC$2:$AC$18),MATCH($Y8,Calc!$A$2:$A$18,0)),"")</f>
        <v>9.54364204851752</v>
      </c>
      <c r="G8" s="8" t="n">
        <f aca="false">IFERROR(SQRT(INDEX(CHOOSE(MATCH($Z8,{"K1","K12","K13"},0),Calc!$Z$2:$Z$18,Calc!$AB$2:$AB$18,Calc!$AD$2:$AD$18),MATCH($Y8,Calc!$A$2:$A$18,0))),"")</f>
        <v>4.15666194822171</v>
      </c>
      <c r="H8" s="7" t="n">
        <f aca="false">IF(OR($E8="",$F8="",N($G8)&lt;=0),"",1-NORMDIST(FLOOR($E8,1)+0.5,$F8,$G8,TRUE()))</f>
        <v>0.409015441213773</v>
      </c>
      <c r="I8" s="7" t="n">
        <f aca="false">IF($H8="","",NORMDIST(CEILING($E8,1)-0.5,$F8,$G8,TRUE()))</f>
        <v>0.590984558786227</v>
      </c>
      <c r="J8" s="7" t="n">
        <f aca="false">IF($H8="","",MAX(0,1-$H8-$I8))</f>
        <v>0</v>
      </c>
      <c r="K8" s="0" t="str">
        <f aca="false">IF($H8="","",IF($H8&gt;=0.5+Config!$B$8,"OVER",IF($I8&gt;=0.5+Config!$B$8,"UNDER","—")))</f>
        <v>UNDER</v>
      </c>
      <c r="L8" s="8" t="n">
        <f aca="false">IFERROR(INDEX(CHOOSE(MATCH($Z8,{"K1","K12","K13"},0),Calc!$AE$2:$AE$18,Calc!$AF$2:$AF$18,Calc!$AG$2:$AG$18),MATCH($Y8,Calc!$A$2:$A$18,0)),"")</f>
        <v>9.6</v>
      </c>
      <c r="M8" s="7" t="n">
        <f aca="false">IF(OR($E8="",$L8="",N($G8)&lt;=0),"",1-NORMDIST(FLOOR($E8,1)+0.5,$L8,$G8*SQRT($L8/$F8),TRUE()))</f>
        <v>0.414539316722387</v>
      </c>
      <c r="O8" s="7" t="n">
        <f aca="false">IFERROR(INDEX(Calc!$H$2:$H$18,MATCH($Y8,Calc!$A$2:$A$18,0)),"")</f>
        <v>0.4</v>
      </c>
      <c r="P8" s="7" t="n">
        <f aca="false">IFERROR(INDEX(Calc!$M$2:$M$18,MATCH($Y8,Calc!$A$2:$A$18,0)),"")</f>
        <v>0.3928</v>
      </c>
      <c r="Q8" s="0" t="n">
        <v>10.2</v>
      </c>
      <c r="R8" s="7" t="n">
        <v>0.6</v>
      </c>
      <c r="S8" s="7" t="n">
        <v>0.4</v>
      </c>
      <c r="T8" s="7" t="n">
        <v>0.47</v>
      </c>
      <c r="U8" s="6" t="s">
        <v>110</v>
      </c>
      <c r="V8" s="0" t="n">
        <v>1</v>
      </c>
      <c r="X8" s="0" t="str">
        <f aca="false">IFERROR(INDEX(Calc!$AH$2:$AH$18,MATCH($Y8,Calc!$A$2:$A$18,0)),"")</f>
        <v>new roster: 0% of his recent games with these teammates</v>
      </c>
      <c r="Y8" s="6" t="s">
        <v>125</v>
      </c>
      <c r="Z8" s="6" t="s">
        <v>112</v>
      </c>
      <c r="AA8" s="0" t="str">
        <f aca="false">Y8&amp;"|"&amp;Z8</f>
        <v>zqz2c02yeqcosjl|LOL · BFX vs WE|K13</v>
      </c>
    </row>
    <row r="9" customFormat="false" ht="15" hidden="false" customHeight="false" outlineLevel="0" collapsed="false">
      <c r="A9" s="0" t="s">
        <v>27</v>
      </c>
      <c r="B9" s="0" t="s">
        <v>126</v>
      </c>
      <c r="C9" s="0" t="s">
        <v>79</v>
      </c>
      <c r="D9" s="0" t="s">
        <v>109</v>
      </c>
      <c r="E9" s="0" t="n">
        <v>9.5</v>
      </c>
      <c r="F9" s="8" t="n">
        <f aca="false">IFERROR(INDEX(CHOOSE(MATCH($Z9,{"K1","K12","K13"},0),Calc!$Y$2:$Y$18,Calc!$AA$2:$AA$18,Calc!$AC$2:$AC$18),MATCH($Y9,Calc!$A$2:$A$18,0)),"")</f>
        <v>9.84188086253369</v>
      </c>
      <c r="G9" s="8" t="n">
        <f aca="false">IFERROR(SQRT(INDEX(CHOOSE(MATCH($Z9,{"K1","K12","K13"},0),Calc!$Z$2:$Z$18,Calc!$AB$2:$AB$18,Calc!$AD$2:$AD$18),MATCH($Y9,Calc!$A$2:$A$18,0))),"")</f>
        <v>4.23966389475059</v>
      </c>
      <c r="H9" s="7" t="n">
        <f aca="false">IF(OR($E9="",$F9="",N($G9)&lt;=0),"",1-NORMDIST(FLOOR($E9,1)+0.5,$F9,$G9,TRUE()))</f>
        <v>0.532135344393489</v>
      </c>
      <c r="I9" s="7" t="n">
        <f aca="false">IF($H9="","",NORMDIST(CEILING($E9,1)-0.5,$F9,$G9,TRUE()))</f>
        <v>0.467864655606511</v>
      </c>
      <c r="J9" s="7" t="n">
        <f aca="false">IF($H9="","",MAX(0,1-$H9-$I9))</f>
        <v>0</v>
      </c>
      <c r="K9" s="0" t="str">
        <f aca="false">IF($H9="","",IF($H9&gt;=0.5+Config!$B$8,"OVER",IF($I9&gt;=0.5+Config!$B$8,"UNDER","—")))</f>
        <v>—</v>
      </c>
      <c r="L9" s="8" t="n">
        <f aca="false">IFERROR(INDEX(CHOOSE(MATCH($Z9,{"K1","K12","K13"},0),Calc!$AE$2:$AE$18,Calc!$AF$2:$AF$18,Calc!$AG$2:$AG$18),MATCH($Y9,Calc!$A$2:$A$18,0)),"")</f>
        <v>9.9</v>
      </c>
      <c r="M9" s="7" t="n">
        <f aca="false">IF(OR($E9="",$L9="",N($G9)&lt;=0),"",1-NORMDIST(FLOOR($E9,1)+0.5,$L9,$G9*SQRT($L9/$F9),TRUE()))</f>
        <v>0.537473127447278</v>
      </c>
      <c r="O9" s="7" t="n">
        <f aca="false">IFERROR(INDEX(Calc!$H$2:$H$18,MATCH($Y9,Calc!$A$2:$A$18,0)),"")</f>
        <v>0.4</v>
      </c>
      <c r="P9" s="7" t="n">
        <f aca="false">IFERROR(INDEX(Calc!$M$2:$M$18,MATCH($Y9,Calc!$A$2:$A$18,0)),"")</f>
        <v>0.3928</v>
      </c>
      <c r="Q9" s="0" t="n">
        <v>10.6</v>
      </c>
      <c r="R9" s="7" t="n">
        <v>0.6</v>
      </c>
      <c r="S9" s="7" t="n">
        <v>0.6</v>
      </c>
      <c r="T9" s="7" t="n">
        <v>0.6</v>
      </c>
      <c r="U9" s="6" t="s">
        <v>110</v>
      </c>
      <c r="V9" s="0" t="n">
        <v>-1</v>
      </c>
      <c r="X9" s="0" t="str">
        <f aca="false">IFERROR(INDEX(Calc!$AH$2:$AH$18,MATCH($Y9,Calc!$A$2:$A$18,0)),"")</f>
        <v>new roster: 0% of his recent games with these teammates</v>
      </c>
      <c r="Y9" s="6" t="s">
        <v>127</v>
      </c>
      <c r="Z9" s="6" t="s">
        <v>112</v>
      </c>
      <c r="AA9" s="0" t="str">
        <f aca="false">Y9&amp;"|"&amp;Z9</f>
        <v>ww7x449hoa750ht|LOL · BFX vs WE|K13</v>
      </c>
    </row>
    <row r="10" customFormat="false" ht="15" hidden="false" customHeight="false" outlineLevel="0" collapsed="false">
      <c r="A10" s="0" t="s">
        <v>80</v>
      </c>
      <c r="B10" s="0" t="s">
        <v>128</v>
      </c>
      <c r="C10" s="0" t="s">
        <v>86</v>
      </c>
      <c r="D10" s="0" t="s">
        <v>109</v>
      </c>
      <c r="E10" s="0" t="n">
        <v>14</v>
      </c>
      <c r="F10" s="8" t="n">
        <f aca="false">IFERROR(INDEX(CHOOSE(MATCH($Z10,{"K1","K12","K13"},0),Calc!$Y$2:$Y$18,Calc!$AA$2:$AA$18,Calc!$AC$2:$AC$18),MATCH($Y10,Calc!$A$2:$A$18,0)),"")</f>
        <v>13.4033260342073</v>
      </c>
      <c r="G10" s="8" t="n">
        <f aca="false">IFERROR(SQRT(INDEX(CHOOSE(MATCH($Z10,{"K1","K12","K13"},0),Calc!$Z$2:$Z$18,Calc!$AB$2:$AB$18,Calc!$AD$2:$AD$18),MATCH($Y10,Calc!$A$2:$A$18,0))),"")</f>
        <v>5.01002860553426</v>
      </c>
      <c r="H10" s="7" t="n">
        <f aca="false">IF(OR($E10="",$F10="",N($G10)&lt;=0),"",1-NORMDIST(FLOOR($E10,1)+0.5,$F10,$G10,TRUE()))</f>
        <v>0.41336562885966</v>
      </c>
      <c r="I10" s="7" t="n">
        <f aca="false">IF($H10="","",NORMDIST(CEILING($E10,1)-0.5,$F10,$G10,TRUE()))</f>
        <v>0.507697548693732</v>
      </c>
      <c r="J10" s="7" t="n">
        <f aca="false">IF($H10="","",MAX(0,1-$H10-$I10))</f>
        <v>0.0789368224466072</v>
      </c>
      <c r="K10" s="0" t="str">
        <f aca="false">IF($H10="","",IF($H10&gt;=0.5+Config!$B$8,"OVER",IF($I10&gt;=0.5+Config!$B$8,"UNDER","—")))</f>
        <v>—</v>
      </c>
      <c r="L10" s="8" t="n">
        <f aca="false">IFERROR(INDEX(CHOOSE(MATCH($Z10,{"K1","K12","K13"},0),Calc!$AE$2:$AE$18,Calc!$AF$2:$AF$18,Calc!$AG$2:$AG$18),MATCH($Y10,Calc!$A$2:$A$18,0)),"")</f>
        <v>13.5</v>
      </c>
      <c r="M10" s="7" t="n">
        <f aca="false">IF(OR($E10="",$L10="",N($G10)&lt;=0),"",1-NORMDIST(FLOOR($E10,1)+0.5,$L10,$G10*SQRT($L10/$F10),TRUE()))</f>
        <v>0.421176858329876</v>
      </c>
      <c r="O10" s="7" t="n">
        <f aca="false">IFERROR(INDEX(Calc!$H$2:$H$18,MATCH($Y10,Calc!$A$2:$A$18,0)),"")</f>
        <v>0.57</v>
      </c>
      <c r="P10" s="7" t="n">
        <f aca="false">IFERROR(INDEX(Calc!$M$2:$M$18,MATCH($Y10,Calc!$A$2:$A$18,0)),"")</f>
        <v>0.56</v>
      </c>
      <c r="Q10" s="0" t="n">
        <v>13.3</v>
      </c>
      <c r="R10" s="7" t="n">
        <v>0.2</v>
      </c>
      <c r="S10" s="7" t="n">
        <v>0.2</v>
      </c>
      <c r="T10" s="7" t="n">
        <v>0.33</v>
      </c>
      <c r="U10" s="6" t="s">
        <v>129</v>
      </c>
      <c r="V10" s="0" t="n">
        <v>-2</v>
      </c>
      <c r="W10" s="0" t="n">
        <v>1</v>
      </c>
      <c r="X10" s="0" t="str">
        <f aca="false">IFERROR(INDEX(Calc!$AH$2:$AH$18,MATCH($Y10,Calc!$A$2:$A$18,0)),"")</f>
        <v>new roster: 0% of his recent games with these teammates</v>
      </c>
      <c r="Y10" s="6" t="s">
        <v>130</v>
      </c>
      <c r="Z10" s="6" t="s">
        <v>112</v>
      </c>
      <c r="AA10" s="0" t="str">
        <f aca="false">Y10&amp;"|"&amp;Z10</f>
        <v>e7oayaesoqb0bhf|LOL · MVK vs FUR|K13</v>
      </c>
    </row>
    <row r="11" customFormat="false" ht="15" hidden="false" customHeight="false" outlineLevel="0" collapsed="false">
      <c r="A11" s="0" t="s">
        <v>80</v>
      </c>
      <c r="B11" s="0" t="s">
        <v>131</v>
      </c>
      <c r="C11" s="0" t="s">
        <v>86</v>
      </c>
      <c r="D11" s="0" t="s">
        <v>109</v>
      </c>
      <c r="E11" s="0" t="n">
        <v>9</v>
      </c>
      <c r="F11" s="8" t="n">
        <f aca="false">IFERROR(INDEX(CHOOSE(MATCH($Z11,{"K1","K12","K13"},0),Calc!$Y$2:$Y$18,Calc!$AA$2:$AA$18,Calc!$AC$2:$AC$18),MATCH($Y11,Calc!$A$2:$A$18,0)),"")</f>
        <v>8.16444959443801</v>
      </c>
      <c r="G11" s="8" t="n">
        <f aca="false">IFERROR(SQRT(INDEX(CHOOSE(MATCH($Z11,{"K1","K12","K13"},0),Calc!$Z$2:$Z$18,Calc!$AB$2:$AB$18,Calc!$AD$2:$AD$18),MATCH($Y11,Calc!$A$2:$A$18,0))),"")</f>
        <v>3.66905475686463</v>
      </c>
      <c r="H11" s="7" t="n">
        <f aca="false">IF(OR($E11="",$F11="",N($G11)&lt;=0),"",1-NORMDIST(FLOOR($E11,1)+0.5,$F11,$G11,TRUE()))</f>
        <v>0.357927531784908</v>
      </c>
      <c r="I11" s="7" t="n">
        <f aca="false">IF($H11="","",NORMDIST(CEILING($E11,1)-0.5,$F11,$G11,TRUE()))</f>
        <v>0.536434144902404</v>
      </c>
      <c r="J11" s="7" t="n">
        <f aca="false">IF($H11="","",MAX(0,1-$H11-$I11))</f>
        <v>0.105638323312689</v>
      </c>
      <c r="K11" s="0" t="str">
        <f aca="false">IF($H11="","",IF($H11&gt;=0.5+Config!$B$8,"OVER",IF($I11&gt;=0.5+Config!$B$8,"UNDER","—")))</f>
        <v>—</v>
      </c>
      <c r="L11" s="8" t="n">
        <f aca="false">IFERROR(INDEX(CHOOSE(MATCH($Z11,{"K1","K12","K13"},0),Calc!$AE$2:$AE$18,Calc!$AF$2:$AF$18,Calc!$AG$2:$AG$18),MATCH($Y11,Calc!$A$2:$A$18,0)),"")</f>
        <v>8.4</v>
      </c>
      <c r="M11" s="7" t="n">
        <f aca="false">IF(OR($E11="",$L11="",N($G11)&lt;=0),"",1-NORMDIST(FLOOR($E11,1)+0.5,$L11,$G11*SQRT($L11/$F11),TRUE()))</f>
        <v>0.3837787358023</v>
      </c>
      <c r="O11" s="7" t="n">
        <f aca="false">IFERROR(INDEX(Calc!$H$2:$H$18,MATCH($Y11,Calc!$A$2:$A$18,0)),"")</f>
        <v>0.6</v>
      </c>
      <c r="P11" s="7" t="n">
        <f aca="false">IFERROR(INDEX(Calc!$M$2:$M$18,MATCH($Y11,Calc!$A$2:$A$18,0)),"")</f>
        <v>0.56</v>
      </c>
      <c r="Q11" s="0" t="n">
        <v>9</v>
      </c>
      <c r="R11" s="7" t="n">
        <v>0.6</v>
      </c>
      <c r="S11" s="7" t="n">
        <v>0.5</v>
      </c>
      <c r="T11" s="7" t="n">
        <v>0.47</v>
      </c>
      <c r="U11" s="6" t="s">
        <v>129</v>
      </c>
      <c r="V11" s="0" t="n">
        <v>-2</v>
      </c>
      <c r="W11" s="0" t="n">
        <v>0</v>
      </c>
      <c r="X11" s="0" t="str">
        <f aca="false">IFERROR(INDEX(Calc!$AH$2:$AH$18,MATCH($Y11,Calc!$A$2:$A$18,0)),"")</f>
        <v>new roster: 0% of his recent games with these teammates</v>
      </c>
      <c r="Y11" s="6" t="s">
        <v>132</v>
      </c>
      <c r="Z11" s="6" t="s">
        <v>112</v>
      </c>
      <c r="AA11" s="0" t="str">
        <f aca="false">Y11&amp;"|"&amp;Z11</f>
        <v>yfeamupxfsjv1hs|LOL · MVK vs FUR|K13</v>
      </c>
    </row>
    <row r="12" customFormat="false" ht="15" hidden="false" customHeight="false" outlineLevel="0" collapsed="false">
      <c r="A12" s="0" t="s">
        <v>80</v>
      </c>
      <c r="B12" s="0" t="s">
        <v>133</v>
      </c>
      <c r="C12" s="0" t="s">
        <v>86</v>
      </c>
      <c r="D12" s="0" t="s">
        <v>109</v>
      </c>
      <c r="E12" s="0" t="n">
        <v>2</v>
      </c>
      <c r="F12" s="8" t="n">
        <f aca="false">IFERROR(INDEX(CHOOSE(MATCH($Z12,{"K1","K12","K13"},0),Calc!$Y$2:$Y$18,Calc!$AA$2:$AA$18,Calc!$AC$2:$AC$18),MATCH($Y12,Calc!$A$2:$A$18,0)),"")</f>
        <v>2.0411123986095</v>
      </c>
      <c r="G12" s="8" t="n">
        <f aca="false">IFERROR(SQRT(INDEX(CHOOSE(MATCH($Z12,{"K1","K12","K13"},0),Calc!$Z$2:$Z$18,Calc!$AB$2:$AB$18,Calc!$AD$2:$AD$18),MATCH($Y12,Calc!$A$2:$A$18,0))),"")</f>
        <v>1.68269345520766</v>
      </c>
      <c r="H12" s="7" t="n">
        <f aca="false">IF(OR($E12="",$F12="",N($G12)&lt;=0),"",1-NORMDIST(FLOOR($E12,1)+0.5,$F12,$G12,TRUE()))</f>
        <v>0.392538012048773</v>
      </c>
      <c r="I12" s="7" t="n">
        <f aca="false">IF($H12="","",NORMDIST(CEILING($E12,1)-0.5,$F12,$G12,TRUE()))</f>
        <v>0.373887286402929</v>
      </c>
      <c r="J12" s="7" t="n">
        <f aca="false">IF($H12="","",MAX(0,1-$H12-$I12))</f>
        <v>0.233574701548298</v>
      </c>
      <c r="K12" s="0" t="str">
        <f aca="false">IF($H12="","",IF($H12&gt;=0.5+Config!$B$8,"OVER",IF($I12&gt;=0.5+Config!$B$8,"UNDER","—")))</f>
        <v>—</v>
      </c>
      <c r="L12" s="8" t="n">
        <f aca="false">IFERROR(INDEX(CHOOSE(MATCH($Z12,{"K1","K12","K13"},0),Calc!$AE$2:$AE$18,Calc!$AF$2:$AF$18,Calc!$AG$2:$AG$18),MATCH($Y12,Calc!$A$2:$A$18,0)),"")</f>
        <v>2.1</v>
      </c>
      <c r="M12" s="7" t="n">
        <f aca="false">IF(OR($E12="",$L12="",N($G12)&lt;=0),"",1-NORMDIST(FLOOR($E12,1)+0.5,$L12,$G12*SQRT($L12/$F12),TRUE()))</f>
        <v>0.40735373709909</v>
      </c>
      <c r="O12" s="7" t="n">
        <f aca="false">IFERROR(INDEX(Calc!$H$2:$H$18,MATCH($Y12,Calc!$A$2:$A$18,0)),"")</f>
        <v>0.6</v>
      </c>
      <c r="P12" s="7" t="n">
        <f aca="false">IFERROR(INDEX(Calc!$M$2:$M$18,MATCH($Y12,Calc!$A$2:$A$18,0)),"")</f>
        <v>0.56</v>
      </c>
      <c r="Q12" s="0" t="n">
        <v>2.3</v>
      </c>
      <c r="R12" s="7" t="n">
        <v>0.6</v>
      </c>
      <c r="S12" s="7" t="n">
        <v>0.6</v>
      </c>
      <c r="T12" s="7" t="n">
        <v>0.6</v>
      </c>
      <c r="U12" s="6" t="s">
        <v>118</v>
      </c>
      <c r="V12" s="0" t="n">
        <v>1</v>
      </c>
      <c r="W12" s="0" t="n">
        <v>2</v>
      </c>
      <c r="X12" s="0" t="str">
        <f aca="false">IFERROR(INDEX(Calc!$AH$2:$AH$18,MATCH($Y12,Calc!$A$2:$A$18,0)),"")</f>
        <v>new roster: 0% of his recent games with these teammates</v>
      </c>
      <c r="Y12" s="6" t="s">
        <v>134</v>
      </c>
      <c r="Z12" s="6" t="s">
        <v>112</v>
      </c>
      <c r="AA12" s="0" t="str">
        <f aca="false">Y12&amp;"|"&amp;Z12</f>
        <v>0puc7tc09n5mldx|LOL · MVK vs FUR|K13</v>
      </c>
    </row>
    <row r="13" customFormat="false" ht="15" hidden="false" customHeight="false" outlineLevel="0" collapsed="false">
      <c r="A13" s="0" t="s">
        <v>80</v>
      </c>
      <c r="B13" s="0" t="s">
        <v>135</v>
      </c>
      <c r="C13" s="0" t="s">
        <v>86</v>
      </c>
      <c r="D13" s="0" t="s">
        <v>109</v>
      </c>
      <c r="E13" s="0" t="n">
        <v>10</v>
      </c>
      <c r="F13" s="8" t="n">
        <f aca="false">IFERROR(INDEX(CHOOSE(MATCH($Z13,{"K1","K12","K13"},0),Calc!$Y$2:$Y$18,Calc!$AA$2:$AA$18,Calc!$AC$2:$AC$18),MATCH($Y13,Calc!$A$2:$A$18,0)),"")</f>
        <v>7.50458938532059</v>
      </c>
      <c r="G13" s="8" t="n">
        <f aca="false">IFERROR(SQRT(INDEX(CHOOSE(MATCH($Z13,{"K1","K12","K13"},0),Calc!$Z$2:$Z$18,Calc!$AB$2:$AB$18,Calc!$AD$2:$AD$18),MATCH($Y13,Calc!$A$2:$A$18,0))),"")</f>
        <v>3.48745794303558</v>
      </c>
      <c r="H13" s="7" t="n">
        <f aca="false">IF(OR($E13="",$F13="",N($G13)&lt;=0),"",1-NORMDIST(FLOOR($E13,1)+0.5,$F13,$G13,TRUE()))</f>
        <v>0.195195235219891</v>
      </c>
      <c r="I13" s="7" t="n">
        <f aca="false">IF($H13="","",NORMDIST(CEILING($E13,1)-0.5,$F13,$G13,TRUE()))</f>
        <v>0.716395799147976</v>
      </c>
      <c r="J13" s="7" t="n">
        <f aca="false">IF($H13="","",MAX(0,1-$H13-$I13))</f>
        <v>0.088408965632133</v>
      </c>
      <c r="K13" s="0" t="str">
        <f aca="false">IF($H13="","",IF($H13&gt;=0.5+Config!$B$8,"OVER",IF($I13&gt;=0.5+Config!$B$8,"UNDER","—")))</f>
        <v>UNDER</v>
      </c>
      <c r="L13" s="8" t="n">
        <f aca="false">IFERROR(INDEX(CHOOSE(MATCH($Z13,{"K1","K12","K13"},0),Calc!$AE$2:$AE$18,Calc!$AF$2:$AF$18,Calc!$AG$2:$AG$18),MATCH($Y13,Calc!$A$2:$A$18,0)),"")</f>
        <v>8.1</v>
      </c>
      <c r="M13" s="7" t="n">
        <f aca="false">IF(OR($E13="",$L13="",N($G13)&lt;=0),"",1-NORMDIST(FLOOR($E13,1)+0.5,$L13,$G13*SQRT($L13/$F13),TRUE()))</f>
        <v>0.253856036370717</v>
      </c>
      <c r="O13" s="7" t="n">
        <f aca="false">IFERROR(INDEX(Calc!$H$2:$H$18,MATCH($Y13,Calc!$A$2:$A$18,0)),"")</f>
        <v>0.67</v>
      </c>
      <c r="P13" s="7" t="n">
        <f aca="false">IFERROR(INDEX(Calc!$M$2:$M$18,MATCH($Y13,Calc!$A$2:$A$18,0)),"")</f>
        <v>0.56</v>
      </c>
      <c r="Q13" s="0" t="n">
        <v>10.6</v>
      </c>
      <c r="R13" s="7" t="n">
        <v>0.4</v>
      </c>
      <c r="S13" s="7" t="n">
        <v>0.6</v>
      </c>
      <c r="T13" s="7" t="n">
        <v>0.53</v>
      </c>
      <c r="U13" s="6" t="s">
        <v>129</v>
      </c>
      <c r="V13" s="0" t="n">
        <v>-1</v>
      </c>
      <c r="W13" s="0" t="n">
        <v>2</v>
      </c>
      <c r="X13" s="0" t="str">
        <f aca="false">IFERROR(INDEX(Calc!$AH$2:$AH$18,MATCH($Y13,Calc!$A$2:$A$18,0)),"")</f>
        <v>new roster: 0% of his recent games with these teammates</v>
      </c>
      <c r="Y13" s="6" t="s">
        <v>136</v>
      </c>
      <c r="Z13" s="6" t="s">
        <v>112</v>
      </c>
      <c r="AA13" s="0" t="str">
        <f aca="false">Y13&amp;"|"&amp;Z13</f>
        <v>bfa7dj819gxo5o8|LOL · MVK vs FUR|K13</v>
      </c>
    </row>
    <row r="14" customFormat="false" ht="15" hidden="false" customHeight="false" outlineLevel="0" collapsed="false">
      <c r="A14" s="0" t="s">
        <v>80</v>
      </c>
      <c r="B14" s="0" t="s">
        <v>137</v>
      </c>
      <c r="C14" s="0" t="s">
        <v>86</v>
      </c>
      <c r="D14" s="0" t="s">
        <v>109</v>
      </c>
      <c r="E14" s="0" t="n">
        <v>11</v>
      </c>
      <c r="F14" s="8" t="n">
        <f aca="false">IFERROR(INDEX(CHOOSE(MATCH($Z14,{"K1","K12","K13"},0),Calc!$Y$2:$Y$18,Calc!$AA$2:$AA$18,Calc!$AC$2:$AC$18),MATCH($Y14,Calc!$A$2:$A$18,0)),"")</f>
        <v>10.2055619930475</v>
      </c>
      <c r="G14" s="8" t="n">
        <f aca="false">IFERROR(SQRT(INDEX(CHOOSE(MATCH($Z14,{"K1","K12","K13"},0),Calc!$Z$2:$Z$18,Calc!$AB$2:$AB$18,Calc!$AD$2:$AD$18),MATCH($Y14,Calc!$A$2:$A$18,0))),"")</f>
        <v>4.20921717675869</v>
      </c>
      <c r="H14" s="7" t="n">
        <f aca="false">IF(OR($E14="",$F14="",N($G14)&lt;=0),"",1-NORMDIST(FLOOR($E14,1)+0.5,$F14,$G14,TRUE()))</f>
        <v>0.379222034634469</v>
      </c>
      <c r="I14" s="7" t="n">
        <f aca="false">IF($H14="","",NORMDIST(CEILING($E14,1)-0.5,$F14,$G14,TRUE()))</f>
        <v>0.527883580578595</v>
      </c>
      <c r="J14" s="7" t="n">
        <f aca="false">IF($H14="","",MAX(0,1-$H14-$I14))</f>
        <v>0.0928943847869354</v>
      </c>
      <c r="K14" s="0" t="str">
        <f aca="false">IF($H14="","",IF($H14&gt;=0.5+Config!$B$8,"OVER",IF($I14&gt;=0.5+Config!$B$8,"UNDER","—")))</f>
        <v>—</v>
      </c>
      <c r="L14" s="8" t="n">
        <f aca="false">IFERROR(INDEX(CHOOSE(MATCH($Z14,{"K1","K12","K13"},0),Calc!$AE$2:$AE$18,Calc!$AF$2:$AF$18,Calc!$AG$2:$AG$18),MATCH($Y14,Calc!$A$2:$A$18,0)),"")</f>
        <v>10.5</v>
      </c>
      <c r="M14" s="7" t="n">
        <f aca="false">IF(OR($E14="",$L14="",N($G14)&lt;=0),"",1-NORMDIST(FLOOR($E14,1)+0.5,$L14,$G14*SQRT($L14/$F14),TRUE()))</f>
        <v>0.407407408018511</v>
      </c>
      <c r="O14" s="7" t="n">
        <f aca="false">IFERROR(INDEX(Calc!$H$2:$H$18,MATCH($Y14,Calc!$A$2:$A$18,0)),"")</f>
        <v>0.6</v>
      </c>
      <c r="P14" s="7" t="n">
        <f aca="false">IFERROR(INDEX(Calc!$M$2:$M$18,MATCH($Y14,Calc!$A$2:$A$18,0)),"")</f>
        <v>0.56</v>
      </c>
      <c r="Q14" s="0" t="n">
        <v>8.5</v>
      </c>
      <c r="R14" s="7" t="n">
        <v>0.2</v>
      </c>
      <c r="S14" s="7" t="n">
        <v>0.4</v>
      </c>
      <c r="T14" s="7" t="n">
        <v>0.47</v>
      </c>
      <c r="U14" s="6" t="s">
        <v>129</v>
      </c>
      <c r="V14" s="0" t="n">
        <v>-4</v>
      </c>
      <c r="W14" s="0" t="n">
        <v>3</v>
      </c>
      <c r="X14" s="0" t="str">
        <f aca="false">IFERROR(INDEX(Calc!$AH$2:$AH$18,MATCH($Y14,Calc!$A$2:$A$18,0)),"")</f>
        <v>new roster: 0% of his recent games with these teammates</v>
      </c>
      <c r="Y14" s="6" t="s">
        <v>138</v>
      </c>
      <c r="Z14" s="6" t="s">
        <v>112</v>
      </c>
      <c r="AA14" s="0" t="str">
        <f aca="false">Y14&amp;"|"&amp;Z14</f>
        <v>vx8t2exqb0pxqzs|LOL · MVK vs FUR|K13</v>
      </c>
    </row>
    <row r="15" customFormat="false" ht="15" hidden="false" customHeight="false" outlineLevel="0" collapsed="false">
      <c r="A15" s="0" t="s">
        <v>80</v>
      </c>
      <c r="B15" s="0" t="s">
        <v>139</v>
      </c>
      <c r="C15" s="0" t="s">
        <v>85</v>
      </c>
      <c r="D15" s="0" t="s">
        <v>109</v>
      </c>
      <c r="E15" s="0" t="n">
        <v>10</v>
      </c>
      <c r="F15" s="8" t="n">
        <f aca="false">IFERROR(INDEX(CHOOSE(MATCH($Z15,{"K1","K12","K13"},0),Calc!$Y$2:$Y$18,Calc!$AA$2:$AA$18,Calc!$AC$2:$AC$18),MATCH($Y15,Calc!$A$2:$A$18,0)),"")</f>
        <v>11.7223178427998</v>
      </c>
      <c r="G15" s="8" t="n">
        <f aca="false">IFERROR(SQRT(INDEX(CHOOSE(MATCH($Z15,{"K1","K12","K13"},0),Calc!$Z$2:$Z$18,Calc!$AB$2:$AB$18,Calc!$AD$2:$AD$18),MATCH($Y15,Calc!$A$2:$A$18,0))),"")</f>
        <v>4.71972198512409</v>
      </c>
      <c r="H15" s="7" t="n">
        <f aca="false">IF(OR($E15="",$F15="",N($G15)&lt;=0),"",1-NORMDIST(FLOOR($E15,1)+0.5,$F15,$G15,TRUE()))</f>
        <v>0.602175010890538</v>
      </c>
      <c r="I15" s="7" t="n">
        <f aca="false">IF($H15="","",NORMDIST(CEILING($E15,1)-0.5,$F15,$G15,TRUE()))</f>
        <v>0.318871147822565</v>
      </c>
      <c r="J15" s="7" t="n">
        <f aca="false">IF($H15="","",MAX(0,1-$H15-$I15))</f>
        <v>0.0789538412868974</v>
      </c>
      <c r="K15" s="0" t="str">
        <f aca="false">IF($H15="","",IF($H15&gt;=0.5+Config!$B$8,"OVER",IF($I15&gt;=0.5+Config!$B$8,"UNDER","—")))</f>
        <v>OVER</v>
      </c>
      <c r="L15" s="8" t="n">
        <f aca="false">IFERROR(INDEX(CHOOSE(MATCH($Z15,{"K1","K12","K13"},0),Calc!$AE$2:$AE$18,Calc!$AF$2:$AF$18,Calc!$AG$2:$AG$18),MATCH($Y15,Calc!$A$2:$A$18,0)),"")</f>
        <v>12</v>
      </c>
      <c r="M15" s="7" t="n">
        <f aca="false">IF(OR($E15="",$L15="",N($G15)&lt;=0),"",1-NORMDIST(FLOOR($E15,1)+0.5,$L15,$G15*SQRT($L15/$F15),TRUE()))</f>
        <v>0.623283780090192</v>
      </c>
      <c r="O15" s="7" t="n">
        <f aca="false">IFERROR(INDEX(Calc!$H$2:$H$18,MATCH($Y15,Calc!$A$2:$A$18,0)),"")</f>
        <v>0.47</v>
      </c>
      <c r="P15" s="7" t="n">
        <f aca="false">IFERROR(INDEX(Calc!$M$2:$M$18,MATCH($Y15,Calc!$A$2:$A$18,0)),"")</f>
        <v>0.44</v>
      </c>
      <c r="Q15" s="0" t="n">
        <v>11</v>
      </c>
      <c r="R15" s="7" t="n">
        <v>0.4</v>
      </c>
      <c r="S15" s="7" t="n">
        <v>0.5</v>
      </c>
      <c r="T15" s="7"/>
      <c r="U15" s="6" t="s">
        <v>118</v>
      </c>
      <c r="V15" s="0" t="n">
        <v>-1</v>
      </c>
      <c r="W15" s="0" t="n">
        <v>0</v>
      </c>
      <c r="X15" s="0" t="str">
        <f aca="false">IFERROR(INDEX(Calc!$AH$2:$AH$18,MATCH($Y15,Calc!$A$2:$A$18,0)),"")</f>
        <v>new roster: 0% of his recent games with these teammates</v>
      </c>
      <c r="Y15" s="6" t="s">
        <v>140</v>
      </c>
      <c r="Z15" s="6" t="s">
        <v>112</v>
      </c>
      <c r="AA15" s="0" t="str">
        <f aca="false">Y15&amp;"|"&amp;Z15</f>
        <v>r22pe1iajr6mhdp|LOL · MVK vs FUR|K13</v>
      </c>
    </row>
    <row r="16" customFormat="false" ht="15" hidden="false" customHeight="false" outlineLevel="0" collapsed="false">
      <c r="A16" s="0" t="s">
        <v>80</v>
      </c>
      <c r="B16" s="0" t="s">
        <v>141</v>
      </c>
      <c r="C16" s="0" t="s">
        <v>85</v>
      </c>
      <c r="D16" s="0" t="s">
        <v>109</v>
      </c>
      <c r="E16" s="0" t="n">
        <v>10.5</v>
      </c>
      <c r="F16" s="8" t="n">
        <f aca="false">IFERROR(INDEX(CHOOSE(MATCH($Z16,{"K1","K12","K13"},0),Calc!$Y$2:$Y$18,Calc!$AA$2:$AA$18,Calc!$AC$2:$AC$18),MATCH($Y16,Calc!$A$2:$A$18,0)),"")</f>
        <v>10.5500860585198</v>
      </c>
      <c r="G16" s="8" t="n">
        <f aca="false">IFERROR(SQRT(INDEX(CHOOSE(MATCH($Z16,{"K1","K12","K13"},0),Calc!$Z$2:$Z$18,Calc!$AB$2:$AB$18,Calc!$AD$2:$AD$18),MATCH($Y16,Calc!$A$2:$A$18,0))),"")</f>
        <v>4.40623302121746</v>
      </c>
      <c r="H16" s="7" t="n">
        <f aca="false">IF(OR($E16="",$F16="",N($G16)&lt;=0),"",1-NORMDIST(FLOOR($E16,1)+0.5,$F16,$G16,TRUE()))</f>
        <v>0.504534716164861</v>
      </c>
      <c r="I16" s="7" t="n">
        <f aca="false">IF($H16="","",NORMDIST(CEILING($E16,1)-0.5,$F16,$G16,TRUE()))</f>
        <v>0.495465283835139</v>
      </c>
      <c r="J16" s="7" t="n">
        <f aca="false">IF($H16="","",MAX(0,1-$H16-$I16))</f>
        <v>0</v>
      </c>
      <c r="K16" s="0" t="str">
        <f aca="false">IF($H16="","",IF($H16&gt;=0.5+Config!$B$8,"OVER",IF($I16&gt;=0.5+Config!$B$8,"UNDER","—")))</f>
        <v>—</v>
      </c>
      <c r="L16" s="8" t="n">
        <f aca="false">IFERROR(INDEX(CHOOSE(MATCH($Z16,{"K1","K12","K13"},0),Calc!$AE$2:$AE$18,Calc!$AF$2:$AF$18,Calc!$AG$2:$AG$18),MATCH($Y16,Calc!$A$2:$A$18,0)),"")</f>
        <v>10.8</v>
      </c>
      <c r="M16" s="7" t="n">
        <f aca="false">IF(OR($E16="",$L16="",N($G16)&lt;=0),"",1-NORMDIST(FLOOR($E16,1)+0.5,$L16,$G16*SQRT($L16/$F16),TRUE()))</f>
        <v>0.526825776950747</v>
      </c>
      <c r="O16" s="7" t="n">
        <f aca="false">IFERROR(INDEX(Calc!$H$2:$H$18,MATCH($Y16,Calc!$A$2:$A$18,0)),"")</f>
        <v>0.47</v>
      </c>
      <c r="P16" s="7" t="n">
        <f aca="false">IFERROR(INDEX(Calc!$M$2:$M$18,MATCH($Y16,Calc!$A$2:$A$18,0)),"")</f>
        <v>0.44</v>
      </c>
      <c r="Q16" s="0" t="n">
        <v>9.4</v>
      </c>
      <c r="R16" s="7" t="n">
        <v>0.4</v>
      </c>
      <c r="S16" s="7" t="n">
        <v>0.4</v>
      </c>
      <c r="T16" s="7" t="n">
        <v>0.47</v>
      </c>
      <c r="U16" s="6" t="s">
        <v>118</v>
      </c>
      <c r="V16" s="0" t="n">
        <v>-1</v>
      </c>
      <c r="X16" s="0" t="str">
        <f aca="false">IFERROR(INDEX(Calc!$AH$2:$AH$18,MATCH($Y16,Calc!$A$2:$A$18,0)),"")</f>
        <v>new roster: 0% of his recent games with these teammates</v>
      </c>
      <c r="Y16" s="6" t="s">
        <v>142</v>
      </c>
      <c r="Z16" s="6" t="s">
        <v>112</v>
      </c>
      <c r="AA16" s="0" t="str">
        <f aca="false">Y16&amp;"|"&amp;Z16</f>
        <v>tuhm132yvf0f8gg|LOL · MVK vs FUR|K13</v>
      </c>
    </row>
    <row r="17" customFormat="false" ht="15" hidden="false" customHeight="false" outlineLevel="0" collapsed="false">
      <c r="A17" s="0" t="s">
        <v>80</v>
      </c>
      <c r="B17" s="0" t="s">
        <v>143</v>
      </c>
      <c r="C17" s="0" t="s">
        <v>85</v>
      </c>
      <c r="D17" s="0" t="s">
        <v>109</v>
      </c>
      <c r="E17" s="0" t="n">
        <v>7.5</v>
      </c>
      <c r="F17" s="8" t="n">
        <f aca="false">IFERROR(INDEX(CHOOSE(MATCH($Z17,{"K1","K12","K13"},0),Calc!$Y$2:$Y$18,Calc!$AA$2:$AA$18,Calc!$AC$2:$AC$18),MATCH($Y17,Calc!$A$2:$A$18,0)),"")</f>
        <v>8.02003738317757</v>
      </c>
      <c r="G17" s="8" t="n">
        <f aca="false">IFERROR(SQRT(INDEX(CHOOSE(MATCH($Z17,{"K1","K12","K13"},0),Calc!$Z$2:$Z$18,Calc!$AB$2:$AB$18,Calc!$AD$2:$AD$18),MATCH($Y17,Calc!$A$2:$A$18,0))),"")</f>
        <v>3.70403289573217</v>
      </c>
      <c r="H17" s="7" t="n">
        <f aca="false">IF(OR($E17="",$F17="",N($G17)&lt;=0),"",1-NORMDIST(FLOOR($E17,1)+0.5,$F17,$G17,TRUE()))</f>
        <v>0.555827078792921</v>
      </c>
      <c r="I17" s="7" t="n">
        <f aca="false">IF($H17="","",NORMDIST(CEILING($E17,1)-0.5,$F17,$G17,TRUE()))</f>
        <v>0.444172921207079</v>
      </c>
      <c r="J17" s="7" t="n">
        <f aca="false">IF($H17="","",MAX(0,1-$H17-$I17))</f>
        <v>0</v>
      </c>
      <c r="K17" s="0" t="str">
        <f aca="false">IF($H17="","",IF($H17&gt;=0.5+Config!$B$8,"OVER",IF($I17&gt;=0.5+Config!$B$8,"UNDER","—")))</f>
        <v>OVER</v>
      </c>
      <c r="L17" s="8" t="n">
        <f aca="false">IFERROR(INDEX(CHOOSE(MATCH($Z17,{"K1","K12","K13"},0),Calc!$AE$2:$AE$18,Calc!$AF$2:$AF$18,Calc!$AG$2:$AG$18),MATCH($Y17,Calc!$A$2:$A$18,0)),"")</f>
        <v>8.4</v>
      </c>
      <c r="M17" s="7" t="n">
        <f aca="false">IF(OR($E17="",$L17="",N($G17)&lt;=0),"",1-NORMDIST(FLOOR($E17,1)+0.5,$L17,$G17*SQRT($L17/$F17),TRUE()))</f>
        <v>0.593834284761514</v>
      </c>
      <c r="O17" s="7" t="n">
        <f aca="false">IFERROR(INDEX(Calc!$H$2:$H$18,MATCH($Y17,Calc!$A$2:$A$18,0)),"")</f>
        <v>0.5</v>
      </c>
      <c r="P17" s="7" t="n">
        <f aca="false">IFERROR(INDEX(Calc!$M$2:$M$18,MATCH($Y17,Calc!$A$2:$A$18,0)),"")</f>
        <v>0.44</v>
      </c>
      <c r="Q17" s="0" t="n">
        <v>7.9</v>
      </c>
      <c r="R17" s="7" t="n">
        <v>0.4</v>
      </c>
      <c r="S17" s="7" t="n">
        <v>0.6</v>
      </c>
      <c r="T17" s="7" t="n">
        <v>0.47</v>
      </c>
      <c r="U17" s="6" t="s">
        <v>118</v>
      </c>
      <c r="V17" s="0" t="n">
        <v>-1</v>
      </c>
      <c r="X17" s="0" t="str">
        <f aca="false">IFERROR(INDEX(Calc!$AH$2:$AH$18,MATCH($Y17,Calc!$A$2:$A$18,0)),"")</f>
        <v>new roster: 0% of his recent games with these teammates</v>
      </c>
      <c r="Y17" s="6" t="s">
        <v>144</v>
      </c>
      <c r="Z17" s="6" t="s">
        <v>112</v>
      </c>
      <c r="AA17" s="0" t="str">
        <f aca="false">Y17&amp;"|"&amp;Z17</f>
        <v>zzsjtlvrbi44rqp|LOL · MVK vs FUR|K13</v>
      </c>
    </row>
    <row r="18" customFormat="false" ht="15" hidden="false" customHeight="false" outlineLevel="0" collapsed="false">
      <c r="A18" s="0" t="s">
        <v>80</v>
      </c>
      <c r="B18" s="0" t="s">
        <v>145</v>
      </c>
      <c r="C18" s="0" t="s">
        <v>85</v>
      </c>
      <c r="D18" s="0" t="s">
        <v>109</v>
      </c>
      <c r="E18" s="0" t="n">
        <v>2</v>
      </c>
      <c r="F18" s="8" t="n">
        <f aca="false">IFERROR(INDEX(CHOOSE(MATCH($Z18,{"K1","K12","K13"},0),Calc!$Y$2:$Y$18,Calc!$AA$2:$AA$18,Calc!$AC$2:$AC$18),MATCH($Y18,Calc!$A$2:$A$18,0)),"")</f>
        <v>2.29143925233645</v>
      </c>
      <c r="G18" s="8" t="n">
        <f aca="false">IFERROR(SQRT(INDEX(CHOOSE(MATCH($Z18,{"K1","K12","K13"},0),Calc!$Z$2:$Z$18,Calc!$AB$2:$AB$18,Calc!$AD$2:$AD$18),MATCH($Y18,Calc!$A$2:$A$18,0))),"")</f>
        <v>1.80215248144179</v>
      </c>
      <c r="H18" s="7" t="n">
        <f aca="false">IF(OR($E18="",$F18="",N($G18)&lt;=0),"",1-NORMDIST(FLOOR($E18,1)+0.5,$F18,$G18,TRUE()))</f>
        <v>0.453933783447031</v>
      </c>
      <c r="I18" s="7" t="n">
        <f aca="false">IF($H18="","",NORMDIST(CEILING($E18,1)-0.5,$F18,$G18,TRUE()))</f>
        <v>0.330271603343729</v>
      </c>
      <c r="J18" s="7" t="n">
        <f aca="false">IF($H18="","",MAX(0,1-$H18-$I18))</f>
        <v>0.21579461320924</v>
      </c>
      <c r="K18" s="0" t="str">
        <f aca="false">IF($H18="","",IF($H18&gt;=0.5+Config!$B$8,"OVER",IF($I18&gt;=0.5+Config!$B$8,"UNDER","—")))</f>
        <v>—</v>
      </c>
      <c r="L18" s="8" t="n">
        <f aca="false">IFERROR(INDEX(CHOOSE(MATCH($Z18,{"K1","K12","K13"},0),Calc!$AE$2:$AE$18,Calc!$AF$2:$AF$18,Calc!$AG$2:$AG$18),MATCH($Y18,Calc!$A$2:$A$18,0)),"")</f>
        <v>2.4</v>
      </c>
      <c r="M18" s="7" t="n">
        <f aca="false">IF(OR($E18="",$L18="",N($G18)&lt;=0),"",1-NORMDIST(FLOOR($E18,1)+0.5,$L18,$G18*SQRT($L18/$F18),TRUE()))</f>
        <v>0.47838006725361</v>
      </c>
      <c r="O18" s="7" t="n">
        <f aca="false">IFERROR(INDEX(Calc!$H$2:$H$18,MATCH($Y18,Calc!$A$2:$A$18,0)),"")</f>
        <v>0.5</v>
      </c>
      <c r="P18" s="7" t="n">
        <f aca="false">IFERROR(INDEX(Calc!$M$2:$M$18,MATCH($Y18,Calc!$A$2:$A$18,0)),"")</f>
        <v>0.44</v>
      </c>
      <c r="Q18" s="0" t="n">
        <v>2.6</v>
      </c>
      <c r="R18" s="7" t="n">
        <v>0.8</v>
      </c>
      <c r="S18" s="7" t="n">
        <v>0.8</v>
      </c>
      <c r="T18" s="7" t="n">
        <v>0.87</v>
      </c>
      <c r="U18" s="6" t="s">
        <v>118</v>
      </c>
      <c r="V18" s="0" t="n">
        <v>4</v>
      </c>
      <c r="W18" s="0" t="n">
        <v>5</v>
      </c>
      <c r="X18" s="0" t="str">
        <f aca="false">IFERROR(INDEX(Calc!$AH$2:$AH$18,MATCH($Y18,Calc!$A$2:$A$18,0)),"")</f>
        <v>new roster: 0% of his recent games with these teammates</v>
      </c>
      <c r="Y18" s="6" t="s">
        <v>146</v>
      </c>
      <c r="Z18" s="6" t="s">
        <v>112</v>
      </c>
      <c r="AA18" s="0" t="str">
        <f aca="false">Y18&amp;"|"&amp;Z18</f>
        <v>16tiv29rhyefoti|LOL · MVK vs FUR|K13</v>
      </c>
    </row>
  </sheetData>
  <autoFilter ref="A1:AA18"/>
  <conditionalFormatting sqref="H2:H18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37" min="6" style="0" width="8"/>
  </cols>
  <sheetData>
    <row r="1" customFormat="false" ht="28.35" hidden="false" customHeight="false" outlineLevel="0" collapsed="false">
      <c r="A1" s="9" t="s">
        <v>147</v>
      </c>
      <c r="B1" s="9" t="s">
        <v>62</v>
      </c>
      <c r="C1" s="9" t="s">
        <v>40</v>
      </c>
      <c r="D1" s="9" t="s">
        <v>41</v>
      </c>
      <c r="E1" s="9" t="s">
        <v>148</v>
      </c>
      <c r="F1" s="9" t="s">
        <v>149</v>
      </c>
      <c r="G1" s="9" t="s">
        <v>150</v>
      </c>
      <c r="H1" s="9" t="s">
        <v>151</v>
      </c>
      <c r="I1" s="9" t="s">
        <v>43</v>
      </c>
      <c r="J1" s="9" t="s">
        <v>44</v>
      </c>
      <c r="K1" s="9" t="s">
        <v>45</v>
      </c>
      <c r="L1" s="9" t="s">
        <v>152</v>
      </c>
      <c r="M1" s="9" t="s">
        <v>153</v>
      </c>
      <c r="N1" s="9" t="s">
        <v>154</v>
      </c>
      <c r="O1" s="9" t="s">
        <v>155</v>
      </c>
      <c r="P1" s="9" t="s">
        <v>156</v>
      </c>
      <c r="Q1" s="9" t="s">
        <v>157</v>
      </c>
      <c r="R1" s="9" t="s">
        <v>158</v>
      </c>
      <c r="S1" s="9" t="s">
        <v>159</v>
      </c>
      <c r="T1" s="9" t="s">
        <v>160</v>
      </c>
      <c r="U1" s="9" t="s">
        <v>161</v>
      </c>
      <c r="V1" s="9" t="s">
        <v>162</v>
      </c>
      <c r="W1" s="9" t="s">
        <v>163</v>
      </c>
      <c r="X1" s="9" t="s">
        <v>164</v>
      </c>
      <c r="Y1" s="9" t="s">
        <v>165</v>
      </c>
      <c r="Z1" s="9" t="s">
        <v>166</v>
      </c>
      <c r="AA1" s="9" t="s">
        <v>167</v>
      </c>
      <c r="AB1" s="9" t="s">
        <v>168</v>
      </c>
      <c r="AC1" s="9" t="s">
        <v>112</v>
      </c>
      <c r="AD1" s="9" t="s">
        <v>169</v>
      </c>
      <c r="AE1" s="9" t="s">
        <v>170</v>
      </c>
      <c r="AF1" s="9" t="s">
        <v>171</v>
      </c>
      <c r="AG1" s="9" t="s">
        <v>172</v>
      </c>
      <c r="AH1" s="9" t="s">
        <v>57</v>
      </c>
      <c r="AI1" s="9" t="s">
        <v>173</v>
      </c>
      <c r="AJ1" s="9" t="s">
        <v>174</v>
      </c>
      <c r="AK1" s="9" t="s">
        <v>175</v>
      </c>
    </row>
    <row r="2" customFormat="false" ht="15" hidden="false" customHeight="false" outlineLevel="0" collapsed="false">
      <c r="A2" s="0" t="s">
        <v>111</v>
      </c>
      <c r="B2" s="0" t="s">
        <v>27</v>
      </c>
      <c r="C2" s="0" t="s">
        <v>78</v>
      </c>
      <c r="D2" s="0" t="s">
        <v>108</v>
      </c>
      <c r="E2" s="0" t="s">
        <v>176</v>
      </c>
      <c r="F2" s="0" t="str">
        <f aca="false">IFERROR(IF($C2=INDEX(Matches!$S$5:$S$6,MATCH($B2,Matches!$A$5:$A$6,0)),"A",IF($C2=INDEX(Matches!$T$5:$T$6,MATCH($B2,Matches!$A$5:$A$6,0)),"B","")),"")</f>
        <v>A</v>
      </c>
      <c r="G2" s="0" t="n">
        <f aca="false">IFERROR(INDEX(Players!$E$2:$E$18,MATCH($E2,Players!$A$2:$A$18,0)),0)</f>
        <v>30</v>
      </c>
      <c r="H2" s="7" t="n">
        <f aca="false">IFERROR(INDEX(Players!$F$2:$F$18,MATCH($E2,Players!$A$2:$A$18,0)),"")</f>
        <v>0.53</v>
      </c>
      <c r="I2" s="6" t="n">
        <f aca="false">IFERROR(INDEX(Players!$G$2:$G$18,MATCH($E2,Players!$A$2:$A$18,0)),"")</f>
        <v>2.6</v>
      </c>
      <c r="J2" s="12" t="n">
        <f aca="false">IF(OR($I2="",$H2=""),"",$I2*IF(LEFT($B2,4)="DOTA",Config!$B$5,Config!$B$4)/($H2*IF(LEFT($B2,4)="DOTA",Config!$B$5,Config!$B$4)+1-$H2))</f>
        <v>3.50088344604886</v>
      </c>
      <c r="K2" s="12" t="n">
        <f aca="false">IF(OR($I2="",$H2=""),"",$I2/($H2*IF(LEFT($B2,4)="DOTA",Config!$B$5,Config!$B$4)+1-$H2))</f>
        <v>1.5841101565832</v>
      </c>
      <c r="L2" s="6" t="n">
        <f aca="false">IFERROR(INDEX(Matches!$R$5:$R$6,MATCH($B2,Matches!$A$5:$A$6,0)),1)</f>
        <v>1</v>
      </c>
      <c r="M2" s="7" t="n">
        <f aca="false">IFERROR(IF(INDEX(Matches!$M$5:$M$6,MATCH($B2,Matches!$A$5:$A$6,0))="","",IF($F2="A",INDEX(Matches!$M$5:$M$6,MATCH($B2,Matches!$A$5:$A$6,0)),1-INDEX(Matches!$M$5:$M$6,MATCH($B2,Matches!$A$5:$A$6,0)))),"")</f>
        <v>0.6072</v>
      </c>
      <c r="N2" s="6" t="n">
        <f aca="false">1</f>
        <v>1</v>
      </c>
      <c r="O2" s="12" t="n">
        <f aca="false">IF(OR($M2="",$J2=""),"",$L2*($M2*$J2+(1-$M2)*$K2))</f>
        <v>2.74797489794675</v>
      </c>
      <c r="P2" s="6" t="n">
        <f aca="false">IF($O2="","",IF(LEFT($B2,4)="DOTA",Config!$B$7,Config!$B$6)*$O2+$L2^2*$M2*(1-$M2)*($J2-$K2)^2)</f>
        <v>4.44865107993805</v>
      </c>
      <c r="Q2" s="7" t="n">
        <f aca="false">IFERROR(IF(INDEX(Matches!$N$5:$N$6,MATCH($B2,Matches!$A$5:$A$6,0))="","",IF($F2="A",INDEX(Matches!$N$5:$N$6,MATCH($B2,Matches!$A$5:$A$6,0)),1-INDEX(Matches!$N$5:$N$6,MATCH($B2,Matches!$A$5:$A$6,0)))),"")</f>
        <v>0.6072</v>
      </c>
      <c r="R2" s="6" t="n">
        <f aca="false">IFERROR(N(INDEX(Matches!$P$5:$P$6,MATCH($B2,Matches!$A$5:$A$6,0))),0)</f>
        <v>1</v>
      </c>
      <c r="S2" s="12" t="n">
        <f aca="false">IF(OR($Q2="",$J2=""),"",$L2*($Q2*$J2+(1-$Q2)*$K2))</f>
        <v>2.74797489794675</v>
      </c>
      <c r="T2" s="6" t="n">
        <f aca="false">IF($S2="","",IF(LEFT($B2,4)="DOTA",Config!$B$7,Config!$B$6)*$S2+$L2^2*$Q2*(1-$Q2)*($J2-$K2)^2)</f>
        <v>4.44865107993805</v>
      </c>
      <c r="U2" s="7" t="n">
        <f aca="false">IFERROR(IF(INDEX(Matches!$O$5:$O$6,MATCH($B2,Matches!$A$5:$A$6,0))="","",IF($F2="A",INDEX(Matches!$O$5:$O$6,MATCH($B2,Matches!$A$5:$A$6,0)),1-INDEX(Matches!$O$5:$O$6,MATCH($B2,Matches!$A$5:$A$6,0)))),"")</f>
        <v>0.6072</v>
      </c>
      <c r="V2" s="6" t="n">
        <f aca="false">IFERROR(N(INDEX(Matches!$Q$5:$Q$6,MATCH($B2,Matches!$A$5:$A$6,0))),0)</f>
        <v>1</v>
      </c>
      <c r="W2" s="12" t="n">
        <f aca="false">IF(OR($U2="",$J2=""),"",$L2*($U2*$J2+(1-$U2)*$K2))</f>
        <v>2.74797489794675</v>
      </c>
      <c r="X2" s="6" t="n">
        <f aca="false">IF($W2="","",IF(LEFT($B2,4)="DOTA",Config!$B$7,Config!$B$6)*$W2+$L2^2*$U2*(1-$U2)*($J2-$K2)^2)</f>
        <v>4.44865107993805</v>
      </c>
      <c r="Y2" s="12" t="n">
        <f aca="false">IF($O2="","",$O2)</f>
        <v>2.74797489794675</v>
      </c>
      <c r="Z2" s="6" t="n">
        <f aca="false">IF($P2="","",$P2)</f>
        <v>4.44865107993805</v>
      </c>
      <c r="AA2" s="12" t="n">
        <f aca="false">IF($O2="","",N($N2)*N($O2)+N($R2)*N($S2))</f>
        <v>5.4959497958935</v>
      </c>
      <c r="AB2" s="6" t="n">
        <f aca="false">IF($O2="","",(N($N2)*N($P2)+N($N2)*(1-N($N2))*N($O2)^2)+(N($R2)*N($T2)+N($R2)*(1-N($R2))*N($S2)^2))</f>
        <v>8.8973021598761</v>
      </c>
      <c r="AC2" s="12" t="n">
        <f aca="false">IF($O2="","",N($N2)*N($O2)+N($R2)*N($S2)+N($V2)*N($W2))</f>
        <v>8.24392469384025</v>
      </c>
      <c r="AD2" s="6" t="n">
        <f aca="false">IF($O2="","",(N($N2)*N($P2)+N($N2)*(1-N($N2))*N($O2)^2)+(N($R2)*N($T2)+N($R2)*(1-N($R2))*N($S2)^2)+(N($V2)*N($X2)+N($V2)*(1-N($V2))*N($W2)^2))</f>
        <v>13.3459532398142</v>
      </c>
      <c r="AE2" s="12" t="n">
        <f aca="false">IF($I2="","",$I2*$L2)</f>
        <v>2.6</v>
      </c>
      <c r="AF2" s="12" t="n">
        <f aca="false">IF($I2="","",$I2*$L2*(1+N($R2)))</f>
        <v>5.2</v>
      </c>
      <c r="AG2" s="12" t="n">
        <f aca="false">IF($I2="","",$I2*$L2*(1+N($R2)+N($V2)))</f>
        <v>7.8</v>
      </c>
      <c r="AH2" s="0" t="str">
        <f aca="false">TRIM(IF($G2&lt;Config!$B$9,"thin sample ("&amp;$G2&amp;" maps) · ","")&amp;IF($I2="","no PickFinder stats · ","")&amp;IFERROR(IF(INDEX(Players!$T$2:$T$18,MATCH($E2,Players!$A$2:$A$18,0))&lt;0.5,"new roster: "&amp;TEXT(INDEX(Players!$T$2:$T$18,MATCH($E2,Players!$A$2:$A$18,0)),"0%")&amp;" of his recent games with these teammates",""),""))</f>
        <v>new roster: 0% of his recent games with these teammates</v>
      </c>
      <c r="AI2" s="6" t="n">
        <f aca="false">IF($B2=Board!$B$2,COUNTIFS($B$2:$B$18,Board!$B$2,$Y$2:$Y$18,"&gt;"&amp;$Y2)+COUNTIFS($B$1:$B1,Board!$B$2,$Y$1:$Y1,$Y2)+1,"")</f>
        <v>7</v>
      </c>
      <c r="AJ2" s="0" t="str">
        <f aca="false">IFERROR(IF(INDEX(Matches!$D$5:$D$6,MATCH($B2,Matches!$A$5:$A$6,0))=3,"K12","K13"),"K13")</f>
        <v>K13</v>
      </c>
      <c r="AK2" s="12" t="n">
        <f aca="false">IF($AJ2="K12",$AA2,$AC2)</f>
        <v>8.24392469384025</v>
      </c>
    </row>
    <row r="3" customFormat="false" ht="15" hidden="false" customHeight="false" outlineLevel="0" collapsed="false">
      <c r="A3" s="0" t="s">
        <v>114</v>
      </c>
      <c r="B3" s="0" t="s">
        <v>27</v>
      </c>
      <c r="C3" s="0" t="s">
        <v>78</v>
      </c>
      <c r="D3" s="0" t="s">
        <v>113</v>
      </c>
      <c r="E3" s="0" t="s">
        <v>177</v>
      </c>
      <c r="F3" s="0" t="str">
        <f aca="false">IFERROR(IF($C3=INDEX(Matches!$S$5:$S$6,MATCH($B3,Matches!$A$5:$A$6,0)),"A",IF($C3=INDEX(Matches!$T$5:$T$6,MATCH($B3,Matches!$A$5:$A$6,0)),"B","")),"")</f>
        <v>A</v>
      </c>
      <c r="G3" s="0" t="n">
        <f aca="false">IFERROR(INDEX(Players!$E$2:$E$18,MATCH($E3,Players!$A$2:$A$18,0)),0)</f>
        <v>30</v>
      </c>
      <c r="H3" s="7" t="n">
        <f aca="false">IFERROR(INDEX(Players!$F$2:$F$18,MATCH($E3,Players!$A$2:$A$18,0)),"")</f>
        <v>0.53</v>
      </c>
      <c r="I3" s="6" t="n">
        <f aca="false">IFERROR(INDEX(Players!$G$2:$G$18,MATCH($E3,Players!$A$2:$A$18,0)),"")</f>
        <v>3.8</v>
      </c>
      <c r="J3" s="12" t="n">
        <f aca="false">IF(OR($I3="",$H3=""),"",$I3*IF(LEFT($B3,4)="DOTA",Config!$B$5,Config!$B$4)/($H3*IF(LEFT($B3,4)="DOTA",Config!$B$5,Config!$B$4)+1-$H3))</f>
        <v>5.11667580576372</v>
      </c>
      <c r="K3" s="12" t="n">
        <f aca="false">IF(OR($I3="",$H3=""),"",$I3/($H3*IF(LEFT($B3,4)="DOTA",Config!$B$5,Config!$B$4)+1-$H3))</f>
        <v>2.31523792116006</v>
      </c>
      <c r="L3" s="6" t="n">
        <f aca="false">IFERROR(INDEX(Matches!$R$5:$R$6,MATCH($B3,Matches!$A$5:$A$6,0)),1)</f>
        <v>1</v>
      </c>
      <c r="M3" s="7" t="n">
        <f aca="false">IFERROR(IF(INDEX(Matches!$M$5:$M$6,MATCH($B3,Matches!$A$5:$A$6,0))="","",IF($F3="A",INDEX(Matches!$M$5:$M$6,MATCH($B3,Matches!$A$5:$A$6,0)),1-INDEX(Matches!$M$5:$M$6,MATCH($B3,Matches!$A$5:$A$6,0)))),"")</f>
        <v>0.6072</v>
      </c>
      <c r="N3" s="6" t="n">
        <f aca="false">1</f>
        <v>1</v>
      </c>
      <c r="O3" s="12" t="n">
        <f aca="false">IF(OR($M3="",$J3=""),"",$L3*($M3*$J3+(1-$M3)*$K3))</f>
        <v>4.0162710046914</v>
      </c>
      <c r="P3" s="6" t="n">
        <f aca="false">IF($O3="","",IF(LEFT($B3,4)="DOTA",Config!$B$7,Config!$B$6)*$O3+$L3^2*$M3*(1-$M3)*($J3-$K3)^2)</f>
        <v>7.09297727799957</v>
      </c>
      <c r="Q3" s="7" t="n">
        <f aca="false">IFERROR(IF(INDEX(Matches!$N$5:$N$6,MATCH($B3,Matches!$A$5:$A$6,0))="","",IF($F3="A",INDEX(Matches!$N$5:$N$6,MATCH($B3,Matches!$A$5:$A$6,0)),1-INDEX(Matches!$N$5:$N$6,MATCH($B3,Matches!$A$5:$A$6,0)))),"")</f>
        <v>0.6072</v>
      </c>
      <c r="R3" s="6" t="n">
        <f aca="false">IFERROR(N(INDEX(Matches!$P$5:$P$6,MATCH($B3,Matches!$A$5:$A$6,0))),0)</f>
        <v>1</v>
      </c>
      <c r="S3" s="12" t="n">
        <f aca="false">IF(OR($Q3="",$J3=""),"",$L3*($Q3*$J3+(1-$Q3)*$K3))</f>
        <v>4.0162710046914</v>
      </c>
      <c r="T3" s="6" t="n">
        <f aca="false">IF($S3="","",IF(LEFT($B3,4)="DOTA",Config!$B$7,Config!$B$6)*$S3+$L3^2*$Q3*(1-$Q3)*($J3-$K3)^2)</f>
        <v>7.09297727799957</v>
      </c>
      <c r="U3" s="7" t="n">
        <f aca="false">IFERROR(IF(INDEX(Matches!$O$5:$O$6,MATCH($B3,Matches!$A$5:$A$6,0))="","",IF($F3="A",INDEX(Matches!$O$5:$O$6,MATCH($B3,Matches!$A$5:$A$6,0)),1-INDEX(Matches!$O$5:$O$6,MATCH($B3,Matches!$A$5:$A$6,0)))),"")</f>
        <v>0.6072</v>
      </c>
      <c r="V3" s="6" t="n">
        <f aca="false">IFERROR(N(INDEX(Matches!$Q$5:$Q$6,MATCH($B3,Matches!$A$5:$A$6,0))),0)</f>
        <v>1</v>
      </c>
      <c r="W3" s="12" t="n">
        <f aca="false">IF(OR($U3="",$J3=""),"",$L3*($U3*$J3+(1-$U3)*$K3))</f>
        <v>4.0162710046914</v>
      </c>
      <c r="X3" s="6" t="n">
        <f aca="false">IF($W3="","",IF(LEFT($B3,4)="DOTA",Config!$B$7,Config!$B$6)*$W3+$L3^2*$U3*(1-$U3)*($J3-$K3)^2)</f>
        <v>7.09297727799957</v>
      </c>
      <c r="Y3" s="12" t="n">
        <f aca="false">IF($O3="","",$O3)</f>
        <v>4.0162710046914</v>
      </c>
      <c r="Z3" s="6" t="n">
        <f aca="false">IF($P3="","",$P3)</f>
        <v>7.09297727799957</v>
      </c>
      <c r="AA3" s="12" t="n">
        <f aca="false">IF($O3="","",N($N3)*N($O3)+N($R3)*N($S3))</f>
        <v>8.03254200938281</v>
      </c>
      <c r="AB3" s="6" t="n">
        <f aca="false">IF($O3="","",(N($N3)*N($P3)+N($N3)*(1-N($N3))*N($O3)^2)+(N($R3)*N($T3)+N($R3)*(1-N($R3))*N($S3)^2))</f>
        <v>14.1859545559991</v>
      </c>
      <c r="AC3" s="12" t="n">
        <f aca="false">IF($O3="","",N($N3)*N($O3)+N($R3)*N($S3)+N($V3)*N($W3))</f>
        <v>12.0488130140742</v>
      </c>
      <c r="AD3" s="6" t="n">
        <f aca="false">IF($O3="","",(N($N3)*N($P3)+N($N3)*(1-N($N3))*N($O3)^2)+(N($R3)*N($T3)+N($R3)*(1-N($R3))*N($S3)^2)+(N($V3)*N($X3)+N($V3)*(1-N($V3))*N($W3)^2))</f>
        <v>21.2789318339987</v>
      </c>
      <c r="AE3" s="12" t="n">
        <f aca="false">IF($I3="","",$I3*$L3)</f>
        <v>3.8</v>
      </c>
      <c r="AF3" s="12" t="n">
        <f aca="false">IF($I3="","",$I3*$L3*(1+N($R3)))</f>
        <v>7.6</v>
      </c>
      <c r="AG3" s="12" t="n">
        <f aca="false">IF($I3="","",$I3*$L3*(1+N($R3)+N($V3)))</f>
        <v>11.4</v>
      </c>
      <c r="AH3" s="0" t="str">
        <f aca="false">TRIM(IF($G3&lt;Config!$B$9,"thin sample ("&amp;$G3&amp;" maps) · ","")&amp;IF($I3="","no PickFinder stats · ","")&amp;IFERROR(IF(INDEX(Players!$T$2:$T$18,MATCH($E3,Players!$A$2:$A$18,0))&lt;0.5,"new roster: "&amp;TEXT(INDEX(Players!$T$2:$T$18,MATCH($E3,Players!$A$2:$A$18,0)),"0%")&amp;" of his recent games with these teammates",""),""))</f>
        <v>new roster: 0% of his recent games with these teammates</v>
      </c>
      <c r="AI3" s="6" t="n">
        <f aca="false">IF($B3=Board!$B$2,COUNTIFS($B$2:$B$18,Board!$B$2,$Y$2:$Y$18,"&gt;"&amp;$Y3)+COUNTIFS($B$1:$B2,Board!$B$2,$Y$1:$Y2,$Y3)+1,"")</f>
        <v>2</v>
      </c>
      <c r="AJ3" s="0" t="str">
        <f aca="false">IFERROR(IF(INDEX(Matches!$D$5:$D$6,MATCH($B3,Matches!$A$5:$A$6,0))=3,"K12","K13"),"K13")</f>
        <v>K13</v>
      </c>
      <c r="AK3" s="12" t="n">
        <f aca="false">IF($AJ3="K12",$AA3,$AC3)</f>
        <v>12.0488130140742</v>
      </c>
    </row>
    <row r="4" customFormat="false" ht="15" hidden="false" customHeight="false" outlineLevel="0" collapsed="false">
      <c r="A4" s="0" t="s">
        <v>116</v>
      </c>
      <c r="B4" s="0" t="s">
        <v>27</v>
      </c>
      <c r="C4" s="0" t="s">
        <v>78</v>
      </c>
      <c r="D4" s="0" t="s">
        <v>115</v>
      </c>
      <c r="E4" s="0" t="s">
        <v>178</v>
      </c>
      <c r="F4" s="0" t="str">
        <f aca="false">IFERROR(IF($C4=INDEX(Matches!$S$5:$S$6,MATCH($B4,Matches!$A$5:$A$6,0)),"A",IF($C4=INDEX(Matches!$T$5:$T$6,MATCH($B4,Matches!$A$5:$A$6,0)),"B","")),"")</f>
        <v>A</v>
      </c>
      <c r="G4" s="0" t="n">
        <f aca="false">IFERROR(INDEX(Players!$E$2:$E$18,MATCH($E4,Players!$A$2:$A$18,0)),0)</f>
        <v>30</v>
      </c>
      <c r="H4" s="7" t="n">
        <f aca="false">IFERROR(INDEX(Players!$F$2:$F$18,MATCH($E4,Players!$A$2:$A$18,0)),"")</f>
        <v>0.53</v>
      </c>
      <c r="I4" s="6" t="n">
        <f aca="false">IFERROR(INDEX(Players!$G$2:$G$18,MATCH($E4,Players!$A$2:$A$18,0)),"")</f>
        <v>4</v>
      </c>
      <c r="J4" s="12" t="n">
        <f aca="false">IF(OR($I4="",$H4=""),"",$I4*IF(LEFT($B4,4)="DOTA",Config!$B$5,Config!$B$4)/($H4*IF(LEFT($B4,4)="DOTA",Config!$B$5,Config!$B$4)+1-$H4))</f>
        <v>5.38597453238287</v>
      </c>
      <c r="K4" s="12" t="n">
        <f aca="false">IF(OR($I4="",$H4=""),"",$I4/($H4*IF(LEFT($B4,4)="DOTA",Config!$B$5,Config!$B$4)+1-$H4))</f>
        <v>2.43709254858953</v>
      </c>
      <c r="L4" s="6" t="n">
        <f aca="false">IFERROR(INDEX(Matches!$R$5:$R$6,MATCH($B4,Matches!$A$5:$A$6,0)),1)</f>
        <v>1</v>
      </c>
      <c r="M4" s="7" t="n">
        <f aca="false">IFERROR(IF(INDEX(Matches!$M$5:$M$6,MATCH($B4,Matches!$A$5:$A$6,0))="","",IF($F4="A",INDEX(Matches!$M$5:$M$6,MATCH($B4,Matches!$A$5:$A$6,0)),1-INDEX(Matches!$M$5:$M$6,MATCH($B4,Matches!$A$5:$A$6,0)))),"")</f>
        <v>0.6072</v>
      </c>
      <c r="N4" s="6" t="n">
        <f aca="false">1</f>
        <v>1</v>
      </c>
      <c r="O4" s="12" t="n">
        <f aca="false">IF(OR($M4="",$J4=""),"",$L4*($M4*$J4+(1-$M4)*$K4))</f>
        <v>4.22765368914885</v>
      </c>
      <c r="P4" s="6" t="n">
        <f aca="false">IF($O4="","",IF(LEFT($B4,4)="DOTA",Config!$B$7,Config!$B$6)*$O4+$L4^2*$M4*(1-$M4)*($J4-$K4)^2)</f>
        <v>7.56999408608824</v>
      </c>
      <c r="Q4" s="7" t="n">
        <f aca="false">IFERROR(IF(INDEX(Matches!$N$5:$N$6,MATCH($B4,Matches!$A$5:$A$6,0))="","",IF($F4="A",INDEX(Matches!$N$5:$N$6,MATCH($B4,Matches!$A$5:$A$6,0)),1-INDEX(Matches!$N$5:$N$6,MATCH($B4,Matches!$A$5:$A$6,0)))),"")</f>
        <v>0.6072</v>
      </c>
      <c r="R4" s="6" t="n">
        <f aca="false">IFERROR(N(INDEX(Matches!$P$5:$P$6,MATCH($B4,Matches!$A$5:$A$6,0))),0)</f>
        <v>1</v>
      </c>
      <c r="S4" s="12" t="n">
        <f aca="false">IF(OR($Q4="",$J4=""),"",$L4*($Q4*$J4+(1-$Q4)*$K4))</f>
        <v>4.22765368914885</v>
      </c>
      <c r="T4" s="6" t="n">
        <f aca="false">IF($S4="","",IF(LEFT($B4,4)="DOTA",Config!$B$7,Config!$B$6)*$S4+$L4^2*$Q4*(1-$Q4)*($J4-$K4)^2)</f>
        <v>7.56999408608824</v>
      </c>
      <c r="U4" s="7" t="n">
        <f aca="false">IFERROR(IF(INDEX(Matches!$O$5:$O$6,MATCH($B4,Matches!$A$5:$A$6,0))="","",IF($F4="A",INDEX(Matches!$O$5:$O$6,MATCH($B4,Matches!$A$5:$A$6,0)),1-INDEX(Matches!$O$5:$O$6,MATCH($B4,Matches!$A$5:$A$6,0)))),"")</f>
        <v>0.6072</v>
      </c>
      <c r="V4" s="6" t="n">
        <f aca="false">IFERROR(N(INDEX(Matches!$Q$5:$Q$6,MATCH($B4,Matches!$A$5:$A$6,0))),0)</f>
        <v>1</v>
      </c>
      <c r="W4" s="12" t="n">
        <f aca="false">IF(OR($U4="",$J4=""),"",$L4*($U4*$J4+(1-$U4)*$K4))</f>
        <v>4.22765368914885</v>
      </c>
      <c r="X4" s="6" t="n">
        <f aca="false">IF($W4="","",IF(LEFT($B4,4)="DOTA",Config!$B$7,Config!$B$6)*$W4+$L4^2*$U4*(1-$U4)*($J4-$K4)^2)</f>
        <v>7.56999408608824</v>
      </c>
      <c r="Y4" s="12" t="n">
        <f aca="false">IF($O4="","",$O4)</f>
        <v>4.22765368914885</v>
      </c>
      <c r="Z4" s="6" t="n">
        <f aca="false">IF($P4="","",$P4)</f>
        <v>7.56999408608824</v>
      </c>
      <c r="AA4" s="12" t="n">
        <f aca="false">IF($O4="","",N($N4)*N($O4)+N($R4)*N($S4))</f>
        <v>8.45530737829769</v>
      </c>
      <c r="AB4" s="6" t="n">
        <f aca="false">IF($O4="","",(N($N4)*N($P4)+N($N4)*(1-N($N4))*N($O4)^2)+(N($R4)*N($T4)+N($R4)*(1-N($R4))*N($S4)^2))</f>
        <v>15.1399881721765</v>
      </c>
      <c r="AC4" s="12" t="n">
        <f aca="false">IF($O4="","",N($N4)*N($O4)+N($R4)*N($S4)+N($V4)*N($W4))</f>
        <v>12.6829610674465</v>
      </c>
      <c r="AD4" s="6" t="n">
        <f aca="false">IF($O4="","",(N($N4)*N($P4)+N($N4)*(1-N($N4))*N($O4)^2)+(N($R4)*N($T4)+N($R4)*(1-N($R4))*N($S4)^2)+(N($V4)*N($X4)+N($V4)*(1-N($V4))*N($W4)^2))</f>
        <v>22.7099822582647</v>
      </c>
      <c r="AE4" s="12" t="n">
        <f aca="false">IF($I4="","",$I4*$L4)</f>
        <v>4</v>
      </c>
      <c r="AF4" s="12" t="n">
        <f aca="false">IF($I4="","",$I4*$L4*(1+N($R4)))</f>
        <v>8</v>
      </c>
      <c r="AG4" s="12" t="n">
        <f aca="false">IF($I4="","",$I4*$L4*(1+N($R4)+N($V4)))</f>
        <v>12</v>
      </c>
      <c r="AH4" s="0" t="str">
        <f aca="false">TRIM(IF($G4&lt;Config!$B$9,"thin sample ("&amp;$G4&amp;" maps) · ","")&amp;IF($I4="","no PickFinder stats · ","")&amp;IFERROR(IF(INDEX(Players!$T$2:$T$18,MATCH($E4,Players!$A$2:$A$18,0))&lt;0.5,"new roster: "&amp;TEXT(INDEX(Players!$T$2:$T$18,MATCH($E4,Players!$A$2:$A$18,0)),"0%")&amp;" of his recent games with these teammates",""),""))</f>
        <v>new roster: 0% of his recent games with these teammates</v>
      </c>
      <c r="AI4" s="6" t="n">
        <f aca="false">IF($B4=Board!$B$2,COUNTIFS($B$2:$B$18,Board!$B$2,$Y$2:$Y$18,"&gt;"&amp;$Y4)+COUNTIFS($B$1:$B3,Board!$B$2,$Y$1:$Y3,$Y4)+1,"")</f>
        <v>1</v>
      </c>
      <c r="AJ4" s="0" t="str">
        <f aca="false">IFERROR(IF(INDEX(Matches!$D$5:$D$6,MATCH($B4,Matches!$A$5:$A$6,0))=3,"K12","K13"),"K13")</f>
        <v>K13</v>
      </c>
      <c r="AK4" s="12" t="n">
        <f aca="false">IF($AJ4="K12",$AA4,$AC4)</f>
        <v>12.6829610674465</v>
      </c>
    </row>
    <row r="5" customFormat="false" ht="15" hidden="false" customHeight="false" outlineLevel="0" collapsed="false">
      <c r="A5" s="0" t="s">
        <v>119</v>
      </c>
      <c r="B5" s="0" t="s">
        <v>27</v>
      </c>
      <c r="C5" s="0" t="s">
        <v>78</v>
      </c>
      <c r="D5" s="0" t="s">
        <v>117</v>
      </c>
      <c r="E5" s="0" t="s">
        <v>179</v>
      </c>
      <c r="F5" s="0" t="str">
        <f aca="false">IFERROR(IF($C5=INDEX(Matches!$S$5:$S$6,MATCH($B5,Matches!$A$5:$A$6,0)),"A",IF($C5=INDEX(Matches!$T$5:$T$6,MATCH($B5,Matches!$A$5:$A$6,0)),"B","")),"")</f>
        <v>A</v>
      </c>
      <c r="G5" s="0" t="n">
        <f aca="false">IFERROR(INDEX(Players!$E$2:$E$18,MATCH($E5,Players!$A$2:$A$18,0)),0)</f>
        <v>30</v>
      </c>
      <c r="H5" s="7" t="n">
        <f aca="false">IFERROR(INDEX(Players!$F$2:$F$18,MATCH($E5,Players!$A$2:$A$18,0)),"")</f>
        <v>0.53</v>
      </c>
      <c r="I5" s="6" t="n">
        <f aca="false">IFERROR(INDEX(Players!$G$2:$G$18,MATCH($E5,Players!$A$2:$A$18,0)),"")</f>
        <v>3.4</v>
      </c>
      <c r="J5" s="12" t="n">
        <f aca="false">IF(OR($I5="",$H5=""),"",$I5*IF(LEFT($B5,4)="DOTA",Config!$B$5,Config!$B$4)/($H5*IF(LEFT($B5,4)="DOTA",Config!$B$5,Config!$B$4)+1-$H5))</f>
        <v>4.57807835252544</v>
      </c>
      <c r="K5" s="12" t="n">
        <f aca="false">IF(OR($I5="",$H5=""),"",$I5/($H5*IF(LEFT($B5,4)="DOTA",Config!$B$5,Config!$B$4)+1-$H5))</f>
        <v>2.0715286663011</v>
      </c>
      <c r="L5" s="6" t="n">
        <f aca="false">IFERROR(INDEX(Matches!$R$5:$R$6,MATCH($B5,Matches!$A$5:$A$6,0)),1)</f>
        <v>1</v>
      </c>
      <c r="M5" s="7" t="n">
        <f aca="false">IFERROR(IF(INDEX(Matches!$M$5:$M$6,MATCH($B5,Matches!$A$5:$A$6,0))="","",IF($F5="A",INDEX(Matches!$M$5:$M$6,MATCH($B5,Matches!$A$5:$A$6,0)),1-INDEX(Matches!$M$5:$M$6,MATCH($B5,Matches!$A$5:$A$6,0)))),"")</f>
        <v>0.6072</v>
      </c>
      <c r="N5" s="6" t="n">
        <f aca="false">1</f>
        <v>1</v>
      </c>
      <c r="O5" s="12" t="n">
        <f aca="false">IF(OR($M5="",$J5=""),"",$L5*($M5*$J5+(1-$M5)*$K5))</f>
        <v>3.59350563577652</v>
      </c>
      <c r="P5" s="6" t="n">
        <f aca="false">IF($O5="","",IF(LEFT($B5,4)="DOTA",Config!$B$7,Config!$B$6)*$O5+$L5^2*$M5*(1-$M5)*($J5-$K5)^2)</f>
        <v>6.17005432617517</v>
      </c>
      <c r="Q5" s="7" t="n">
        <f aca="false">IFERROR(IF(INDEX(Matches!$N$5:$N$6,MATCH($B5,Matches!$A$5:$A$6,0))="","",IF($F5="A",INDEX(Matches!$N$5:$N$6,MATCH($B5,Matches!$A$5:$A$6,0)),1-INDEX(Matches!$N$5:$N$6,MATCH($B5,Matches!$A$5:$A$6,0)))),"")</f>
        <v>0.6072</v>
      </c>
      <c r="R5" s="6" t="n">
        <f aca="false">IFERROR(N(INDEX(Matches!$P$5:$P$6,MATCH($B5,Matches!$A$5:$A$6,0))),0)</f>
        <v>1</v>
      </c>
      <c r="S5" s="12" t="n">
        <f aca="false">IF(OR($Q5="",$J5=""),"",$L5*($Q5*$J5+(1-$Q5)*$K5))</f>
        <v>3.59350563577652</v>
      </c>
      <c r="T5" s="6" t="n">
        <f aca="false">IF($S5="","",IF(LEFT($B5,4)="DOTA",Config!$B$7,Config!$B$6)*$S5+$L5^2*$Q5*(1-$Q5)*($J5-$K5)^2)</f>
        <v>6.17005432617517</v>
      </c>
      <c r="U5" s="7" t="n">
        <f aca="false">IFERROR(IF(INDEX(Matches!$O$5:$O$6,MATCH($B5,Matches!$A$5:$A$6,0))="","",IF($F5="A",INDEX(Matches!$O$5:$O$6,MATCH($B5,Matches!$A$5:$A$6,0)),1-INDEX(Matches!$O$5:$O$6,MATCH($B5,Matches!$A$5:$A$6,0)))),"")</f>
        <v>0.6072</v>
      </c>
      <c r="V5" s="6" t="n">
        <f aca="false">IFERROR(N(INDEX(Matches!$Q$5:$Q$6,MATCH($B5,Matches!$A$5:$A$6,0))),0)</f>
        <v>1</v>
      </c>
      <c r="W5" s="12" t="n">
        <f aca="false">IF(OR($U5="",$J5=""),"",$L5*($U5*$J5+(1-$U5)*$K5))</f>
        <v>3.59350563577652</v>
      </c>
      <c r="X5" s="6" t="n">
        <f aca="false">IF($W5="","",IF(LEFT($B5,4)="DOTA",Config!$B$7,Config!$B$6)*$W5+$L5^2*$U5*(1-$U5)*($J5-$K5)^2)</f>
        <v>6.17005432617517</v>
      </c>
      <c r="Y5" s="12" t="n">
        <f aca="false">IF($O5="","",$O5)</f>
        <v>3.59350563577652</v>
      </c>
      <c r="Z5" s="6" t="n">
        <f aca="false">IF($P5="","",$P5)</f>
        <v>6.17005432617517</v>
      </c>
      <c r="AA5" s="12" t="n">
        <f aca="false">IF($O5="","",N($N5)*N($O5)+N($R5)*N($S5))</f>
        <v>7.18701127155304</v>
      </c>
      <c r="AB5" s="6" t="n">
        <f aca="false">IF($O5="","",(N($N5)*N($P5)+N($N5)*(1-N($N5))*N($O5)^2)+(N($R5)*N($T5)+N($R5)*(1-N($R5))*N($S5)^2))</f>
        <v>12.3401086523503</v>
      </c>
      <c r="AC5" s="12" t="n">
        <f aca="false">IF($O5="","",N($N5)*N($O5)+N($R5)*N($S5)+N($V5)*N($W5))</f>
        <v>10.7805169073296</v>
      </c>
      <c r="AD5" s="6" t="n">
        <f aca="false">IF($O5="","",(N($N5)*N($P5)+N($N5)*(1-N($N5))*N($O5)^2)+(N($R5)*N($T5)+N($R5)*(1-N($R5))*N($S5)^2)+(N($V5)*N($X5)+N($V5)*(1-N($V5))*N($W5)^2))</f>
        <v>18.5101629785255</v>
      </c>
      <c r="AE5" s="12" t="n">
        <f aca="false">IF($I5="","",$I5*$L5)</f>
        <v>3.4</v>
      </c>
      <c r="AF5" s="12" t="n">
        <f aca="false">IF($I5="","",$I5*$L5*(1+N($R5)))</f>
        <v>6.8</v>
      </c>
      <c r="AG5" s="12" t="n">
        <f aca="false">IF($I5="","",$I5*$L5*(1+N($R5)+N($V5)))</f>
        <v>10.2</v>
      </c>
      <c r="AH5" s="0" t="str">
        <f aca="false">TRIM(IF($G5&lt;Config!$B$9,"thin sample ("&amp;$G5&amp;" maps) · ","")&amp;IF($I5="","no PickFinder stats · ","")&amp;IFERROR(IF(INDEX(Players!$T$2:$T$18,MATCH($E5,Players!$A$2:$A$18,0))&lt;0.5,"new roster: "&amp;TEXT(INDEX(Players!$T$2:$T$18,MATCH($E5,Players!$A$2:$A$18,0)),"0%")&amp;" of his recent games with these teammates",""),""))</f>
        <v>new roster: 0% of his recent games with these teammates</v>
      </c>
      <c r="AI5" s="6" t="n">
        <f aca="false">IF($B5=Board!$B$2,COUNTIFS($B$2:$B$18,Board!$B$2,$Y$2:$Y$18,"&gt;"&amp;$Y5)+COUNTIFS($B$1:$B4,Board!$B$2,$Y$1:$Y4,$Y5)+1,"")</f>
        <v>4</v>
      </c>
      <c r="AJ5" s="0" t="str">
        <f aca="false">IFERROR(IF(INDEX(Matches!$D$5:$D$6,MATCH($B5,Matches!$A$5:$A$6,0))=3,"K12","K13"),"K13")</f>
        <v>K13</v>
      </c>
      <c r="AK5" s="12" t="n">
        <f aca="false">IF($AJ5="K12",$AA5,$AC5)</f>
        <v>10.7805169073296</v>
      </c>
    </row>
    <row r="6" customFormat="false" ht="15" hidden="false" customHeight="false" outlineLevel="0" collapsed="false">
      <c r="A6" s="0" t="s">
        <v>121</v>
      </c>
      <c r="B6" s="0" t="s">
        <v>27</v>
      </c>
      <c r="C6" s="0" t="s">
        <v>79</v>
      </c>
      <c r="D6" s="0" t="s">
        <v>120</v>
      </c>
      <c r="E6" s="0" t="s">
        <v>180</v>
      </c>
      <c r="F6" s="0" t="str">
        <f aca="false">IFERROR(IF($C6=INDEX(Matches!$S$5:$S$6,MATCH($B6,Matches!$A$5:$A$6,0)),"A",IF($C6=INDEX(Matches!$T$5:$T$6,MATCH($B6,Matches!$A$5:$A$6,0)),"B","")),"")</f>
        <v>B</v>
      </c>
      <c r="G6" s="0" t="n">
        <f aca="false">IFERROR(INDEX(Players!$E$2:$E$18,MATCH($E6,Players!$A$2:$A$18,0)),0)</f>
        <v>30</v>
      </c>
      <c r="H6" s="7" t="n">
        <f aca="false">IFERROR(INDEX(Players!$F$2:$F$18,MATCH($E6,Players!$A$2:$A$18,0)),"")</f>
        <v>0.4</v>
      </c>
      <c r="I6" s="6" t="n">
        <f aca="false">IFERROR(INDEX(Players!$G$2:$G$18,MATCH($E6,Players!$A$2:$A$18,0)),"")</f>
        <v>3.7</v>
      </c>
      <c r="J6" s="12" t="n">
        <f aca="false">IF(OR($I6="",$H6=""),"",$I6*IF(LEFT($B6,4)="DOTA",Config!$B$5,Config!$B$4)/($H6*IF(LEFT($B6,4)="DOTA",Config!$B$5,Config!$B$4)+1-$H6))</f>
        <v>5.51010781671159</v>
      </c>
      <c r="K6" s="12" t="n">
        <f aca="false">IF(OR($I6="",$H6=""),"",$I6/($H6*IF(LEFT($B6,4)="DOTA",Config!$B$5,Config!$B$4)+1-$H6))</f>
        <v>2.49326145552561</v>
      </c>
      <c r="L6" s="6" t="n">
        <f aca="false">IFERROR(INDEX(Matches!$R$5:$R$6,MATCH($B6,Matches!$A$5:$A$6,0)),1)</f>
        <v>1</v>
      </c>
      <c r="M6" s="7" t="n">
        <f aca="false">IFERROR(IF(INDEX(Matches!$M$5:$M$6,MATCH($B6,Matches!$A$5:$A$6,0))="","",IF($F6="A",INDEX(Matches!$M$5:$M$6,MATCH($B6,Matches!$A$5:$A$6,0)),1-INDEX(Matches!$M$5:$M$6,MATCH($B6,Matches!$A$5:$A$6,0)))),"")</f>
        <v>0.3928</v>
      </c>
      <c r="N6" s="6" t="n">
        <f aca="false">1</f>
        <v>1</v>
      </c>
      <c r="O6" s="12" t="n">
        <f aca="false">IF(OR($M6="",$J6=""),"",$L6*($M6*$J6+(1-$M6)*$K6))</f>
        <v>3.67827870619946</v>
      </c>
      <c r="P6" s="6" t="n">
        <f aca="false">IF($O6="","",IF(LEFT($B6,4)="DOTA",Config!$B$7,Config!$B$6)*$O6+$L6^2*$M6*(1-$M6)*($J6-$K6)^2)</f>
        <v>6.95251141430272</v>
      </c>
      <c r="Q6" s="7" t="n">
        <f aca="false">IFERROR(IF(INDEX(Matches!$N$5:$N$6,MATCH($B6,Matches!$A$5:$A$6,0))="","",IF($F6="A",INDEX(Matches!$N$5:$N$6,MATCH($B6,Matches!$A$5:$A$6,0)),1-INDEX(Matches!$N$5:$N$6,MATCH($B6,Matches!$A$5:$A$6,0)))),"")</f>
        <v>0.3928</v>
      </c>
      <c r="R6" s="6" t="n">
        <f aca="false">IFERROR(N(INDEX(Matches!$P$5:$P$6,MATCH($B6,Matches!$A$5:$A$6,0))),0)</f>
        <v>1</v>
      </c>
      <c r="S6" s="12" t="n">
        <f aca="false">IF(OR($Q6="",$J6=""),"",$L6*($Q6*$J6+(1-$Q6)*$K6))</f>
        <v>3.67827870619946</v>
      </c>
      <c r="T6" s="6" t="n">
        <f aca="false">IF($S6="","",IF(LEFT($B6,4)="DOTA",Config!$B$7,Config!$B$6)*$S6+$L6^2*$Q6*(1-$Q6)*($J6-$K6)^2)</f>
        <v>6.95251141430272</v>
      </c>
      <c r="U6" s="7" t="n">
        <f aca="false">IFERROR(IF(INDEX(Matches!$O$5:$O$6,MATCH($B6,Matches!$A$5:$A$6,0))="","",IF($F6="A",INDEX(Matches!$O$5:$O$6,MATCH($B6,Matches!$A$5:$A$6,0)),1-INDEX(Matches!$O$5:$O$6,MATCH($B6,Matches!$A$5:$A$6,0)))),"")</f>
        <v>0.3928</v>
      </c>
      <c r="V6" s="6" t="n">
        <f aca="false">IFERROR(N(INDEX(Matches!$Q$5:$Q$6,MATCH($B6,Matches!$A$5:$A$6,0))),0)</f>
        <v>1</v>
      </c>
      <c r="W6" s="12" t="n">
        <f aca="false">IF(OR($U6="",$J6=""),"",$L6*($U6*$J6+(1-$U6)*$K6))</f>
        <v>3.67827870619946</v>
      </c>
      <c r="X6" s="6" t="n">
        <f aca="false">IF($W6="","",IF(LEFT($B6,4)="DOTA",Config!$B$7,Config!$B$6)*$W6+$L6^2*$U6*(1-$U6)*($J6-$K6)^2)</f>
        <v>6.95251141430272</v>
      </c>
      <c r="Y6" s="12" t="n">
        <f aca="false">IF($O6="","",$O6)</f>
        <v>3.67827870619946</v>
      </c>
      <c r="Z6" s="6" t="n">
        <f aca="false">IF($P6="","",$P6)</f>
        <v>6.95251141430272</v>
      </c>
      <c r="AA6" s="12" t="n">
        <f aca="false">IF($O6="","",N($N6)*N($O6)+N($R6)*N($S6))</f>
        <v>7.35655741239892</v>
      </c>
      <c r="AB6" s="6" t="n">
        <f aca="false">IF($O6="","",(N($N6)*N($P6)+N($N6)*(1-N($N6))*N($O6)^2)+(N($R6)*N($T6)+N($R6)*(1-N($R6))*N($S6)^2))</f>
        <v>13.9050228286054</v>
      </c>
      <c r="AC6" s="12" t="n">
        <f aca="false">IF($O6="","",N($N6)*N($O6)+N($R6)*N($S6)+N($V6)*N($W6))</f>
        <v>11.0348361185984</v>
      </c>
      <c r="AD6" s="6" t="n">
        <f aca="false">IF($O6="","",(N($N6)*N($P6)+N($N6)*(1-N($N6))*N($O6)^2)+(N($R6)*N($T6)+N($R6)*(1-N($R6))*N($S6)^2)+(N($V6)*N($X6)+N($V6)*(1-N($V6))*N($W6)^2))</f>
        <v>20.8575342429081</v>
      </c>
      <c r="AE6" s="12" t="n">
        <f aca="false">IF($I6="","",$I6*$L6)</f>
        <v>3.7</v>
      </c>
      <c r="AF6" s="12" t="n">
        <f aca="false">IF($I6="","",$I6*$L6*(1+N($R6)))</f>
        <v>7.4</v>
      </c>
      <c r="AG6" s="12" t="n">
        <f aca="false">IF($I6="","",$I6*$L6*(1+N($R6)+N($V6)))</f>
        <v>11.1</v>
      </c>
      <c r="AH6" s="0" t="str">
        <f aca="false">TRIM(IF($G6&lt;Config!$B$9,"thin sample ("&amp;$G6&amp;" maps) · ","")&amp;IF($I6="","no PickFinder stats · ","")&amp;IFERROR(IF(INDEX(Players!$T$2:$T$18,MATCH($E6,Players!$A$2:$A$18,0))&lt;0.5,"new roster: "&amp;TEXT(INDEX(Players!$T$2:$T$18,MATCH($E6,Players!$A$2:$A$18,0)),"0%")&amp;" of his recent games with these teammates",""),""))</f>
        <v>new roster: 0% of his recent games with these teammates</v>
      </c>
      <c r="AI6" s="6" t="n">
        <f aca="false">IF($B6=Board!$B$2,COUNTIFS($B$2:$B$18,Board!$B$2,$Y$2:$Y$18,"&gt;"&amp;$Y6)+COUNTIFS($B$1:$B5,Board!$B$2,$Y$1:$Y5,$Y6)+1,"")</f>
        <v>3</v>
      </c>
      <c r="AJ6" s="0" t="str">
        <f aca="false">IFERROR(IF(INDEX(Matches!$D$5:$D$6,MATCH($B6,Matches!$A$5:$A$6,0))=3,"K12","K13"),"K13")</f>
        <v>K13</v>
      </c>
      <c r="AK6" s="12" t="n">
        <f aca="false">IF($AJ6="K12",$AA6,$AC6)</f>
        <v>11.0348361185984</v>
      </c>
    </row>
    <row r="7" customFormat="false" ht="15" hidden="false" customHeight="false" outlineLevel="0" collapsed="false">
      <c r="A7" s="0" t="s">
        <v>123</v>
      </c>
      <c r="B7" s="0" t="s">
        <v>27</v>
      </c>
      <c r="C7" s="0" t="s">
        <v>79</v>
      </c>
      <c r="D7" s="0" t="s">
        <v>122</v>
      </c>
      <c r="E7" s="0" t="s">
        <v>181</v>
      </c>
      <c r="F7" s="0" t="str">
        <f aca="false">IFERROR(IF($C7=INDEX(Matches!$S$5:$S$6,MATCH($B7,Matches!$A$5:$A$6,0)),"A",IF($C7=INDEX(Matches!$T$5:$T$6,MATCH($B7,Matches!$A$5:$A$6,0)),"B","")),"")</f>
        <v>B</v>
      </c>
      <c r="G7" s="0" t="n">
        <f aca="false">IFERROR(INDEX(Players!$E$2:$E$18,MATCH($E7,Players!$A$2:$A$18,0)),0)</f>
        <v>30</v>
      </c>
      <c r="H7" s="7" t="n">
        <f aca="false">IFERROR(INDEX(Players!$F$2:$F$18,MATCH($E7,Players!$A$2:$A$18,0)),"")</f>
        <v>0.4</v>
      </c>
      <c r="I7" s="6" t="n">
        <f aca="false">IFERROR(INDEX(Players!$G$2:$G$18,MATCH($E7,Players!$A$2:$A$18,0)),"")</f>
        <v>1.5</v>
      </c>
      <c r="J7" s="12" t="n">
        <f aca="false">IF(OR($I7="",$H7=""),"",$I7*IF(LEFT($B7,4)="DOTA",Config!$B$5,Config!$B$4)/($H7*IF(LEFT($B7,4)="DOTA",Config!$B$5,Config!$B$4)+1-$H7))</f>
        <v>2.23382749326146</v>
      </c>
      <c r="K7" s="12" t="n">
        <f aca="false">IF(OR($I7="",$H7=""),"",$I7/($H7*IF(LEFT($B7,4)="DOTA",Config!$B$5,Config!$B$4)+1-$H7))</f>
        <v>1.01078167115903</v>
      </c>
      <c r="L7" s="6" t="n">
        <f aca="false">IFERROR(INDEX(Matches!$R$5:$R$6,MATCH($B7,Matches!$A$5:$A$6,0)),1)</f>
        <v>1</v>
      </c>
      <c r="M7" s="7" t="n">
        <f aca="false">IFERROR(IF(INDEX(Matches!$M$5:$M$6,MATCH($B7,Matches!$A$5:$A$6,0))="","",IF($F7="A",INDEX(Matches!$M$5:$M$6,MATCH($B7,Matches!$A$5:$A$6,0)),1-INDEX(Matches!$M$5:$M$6,MATCH($B7,Matches!$A$5:$A$6,0)))),"")</f>
        <v>0.3928</v>
      </c>
      <c r="N7" s="6" t="n">
        <f aca="false">1</f>
        <v>1</v>
      </c>
      <c r="O7" s="12" t="n">
        <f aca="false">IF(OR($M7="",$J7=""),"",$L7*($M7*$J7+(1-$M7)*$K7))</f>
        <v>1.49119407008086</v>
      </c>
      <c r="P7" s="6" t="n">
        <f aca="false">IF($O7="","",IF(LEFT($B7,4)="DOTA",Config!$B$7,Config!$B$6)*$O7+$L7^2*$M7*(1-$M7)*($J7-$K7)^2)</f>
        <v>2.29532259545484</v>
      </c>
      <c r="Q7" s="7" t="n">
        <f aca="false">IFERROR(IF(INDEX(Matches!$N$5:$N$6,MATCH($B7,Matches!$A$5:$A$6,0))="","",IF($F7="A",INDEX(Matches!$N$5:$N$6,MATCH($B7,Matches!$A$5:$A$6,0)),1-INDEX(Matches!$N$5:$N$6,MATCH($B7,Matches!$A$5:$A$6,0)))),"")</f>
        <v>0.3928</v>
      </c>
      <c r="R7" s="6" t="n">
        <f aca="false">IFERROR(N(INDEX(Matches!$P$5:$P$6,MATCH($B7,Matches!$A$5:$A$6,0))),0)</f>
        <v>1</v>
      </c>
      <c r="S7" s="12" t="n">
        <f aca="false">IF(OR($Q7="",$J7=""),"",$L7*($Q7*$J7+(1-$Q7)*$K7))</f>
        <v>1.49119407008086</v>
      </c>
      <c r="T7" s="6" t="n">
        <f aca="false">IF($S7="","",IF(LEFT($B7,4)="DOTA",Config!$B$7,Config!$B$6)*$S7+$L7^2*$Q7*(1-$Q7)*($J7-$K7)^2)</f>
        <v>2.29532259545484</v>
      </c>
      <c r="U7" s="7" t="n">
        <f aca="false">IFERROR(IF(INDEX(Matches!$O$5:$O$6,MATCH($B7,Matches!$A$5:$A$6,0))="","",IF($F7="A",INDEX(Matches!$O$5:$O$6,MATCH($B7,Matches!$A$5:$A$6,0)),1-INDEX(Matches!$O$5:$O$6,MATCH($B7,Matches!$A$5:$A$6,0)))),"")</f>
        <v>0.3928</v>
      </c>
      <c r="V7" s="6" t="n">
        <f aca="false">IFERROR(N(INDEX(Matches!$Q$5:$Q$6,MATCH($B7,Matches!$A$5:$A$6,0))),0)</f>
        <v>1</v>
      </c>
      <c r="W7" s="12" t="n">
        <f aca="false">IF(OR($U7="",$J7=""),"",$L7*($U7*$J7+(1-$U7)*$K7))</f>
        <v>1.49119407008086</v>
      </c>
      <c r="X7" s="6" t="n">
        <f aca="false">IF($W7="","",IF(LEFT($B7,4)="DOTA",Config!$B$7,Config!$B$6)*$W7+$L7^2*$U7*(1-$U7)*($J7-$K7)^2)</f>
        <v>2.29532259545484</v>
      </c>
      <c r="Y7" s="12" t="n">
        <f aca="false">IF($O7="","",$O7)</f>
        <v>1.49119407008086</v>
      </c>
      <c r="Z7" s="6" t="n">
        <f aca="false">IF($P7="","",$P7)</f>
        <v>2.29532259545484</v>
      </c>
      <c r="AA7" s="12" t="n">
        <f aca="false">IF($O7="","",N($N7)*N($O7)+N($R7)*N($S7))</f>
        <v>2.98238814016173</v>
      </c>
      <c r="AB7" s="6" t="n">
        <f aca="false">IF($O7="","",(N($N7)*N($P7)+N($N7)*(1-N($N7))*N($O7)^2)+(N($R7)*N($T7)+N($R7)*(1-N($R7))*N($S7)^2))</f>
        <v>4.59064519090969</v>
      </c>
      <c r="AC7" s="12" t="n">
        <f aca="false">IF($O7="","",N($N7)*N($O7)+N($R7)*N($S7)+N($V7)*N($W7))</f>
        <v>4.47358221024259</v>
      </c>
      <c r="AD7" s="6" t="n">
        <f aca="false">IF($O7="","",(N($N7)*N($P7)+N($N7)*(1-N($N7))*N($O7)^2)+(N($R7)*N($T7)+N($R7)*(1-N($R7))*N($S7)^2)+(N($V7)*N($X7)+N($V7)*(1-N($V7))*N($W7)^2))</f>
        <v>6.88596778636453</v>
      </c>
      <c r="AE7" s="12" t="n">
        <f aca="false">IF($I7="","",$I7*$L7)</f>
        <v>1.5</v>
      </c>
      <c r="AF7" s="12" t="n">
        <f aca="false">IF($I7="","",$I7*$L7*(1+N($R7)))</f>
        <v>3</v>
      </c>
      <c r="AG7" s="12" t="n">
        <f aca="false">IF($I7="","",$I7*$L7*(1+N($R7)+N($V7)))</f>
        <v>4.5</v>
      </c>
      <c r="AH7" s="0" t="str">
        <f aca="false">TRIM(IF($G7&lt;Config!$B$9,"thin sample ("&amp;$G7&amp;" maps) · ","")&amp;IF($I7="","no PickFinder stats · ","")&amp;IFERROR(IF(INDEX(Players!$T$2:$T$18,MATCH($E7,Players!$A$2:$A$18,0))&lt;0.5,"new roster: "&amp;TEXT(INDEX(Players!$T$2:$T$18,MATCH($E7,Players!$A$2:$A$18,0)),"0%")&amp;" of his recent games with these teammates",""),""))</f>
        <v>new roster: 0% of his recent games with these teammates</v>
      </c>
      <c r="AI7" s="6" t="n">
        <f aca="false">IF($B7=Board!$B$2,COUNTIFS($B$2:$B$18,Board!$B$2,$Y$2:$Y$18,"&gt;"&amp;$Y7)+COUNTIFS($B$1:$B6,Board!$B$2,$Y$1:$Y6,$Y7)+1,"")</f>
        <v>8</v>
      </c>
      <c r="AJ7" s="0" t="str">
        <f aca="false">IFERROR(IF(INDEX(Matches!$D$5:$D$6,MATCH($B7,Matches!$A$5:$A$6,0))=3,"K12","K13"),"K13")</f>
        <v>K13</v>
      </c>
      <c r="AK7" s="12" t="n">
        <f aca="false">IF($AJ7="K12",$AA7,$AC7)</f>
        <v>4.47358221024259</v>
      </c>
    </row>
    <row r="8" customFormat="false" ht="15" hidden="false" customHeight="false" outlineLevel="0" collapsed="false">
      <c r="A8" s="0" t="s">
        <v>125</v>
      </c>
      <c r="B8" s="0" t="s">
        <v>27</v>
      </c>
      <c r="C8" s="0" t="s">
        <v>79</v>
      </c>
      <c r="D8" s="0" t="s">
        <v>124</v>
      </c>
      <c r="E8" s="0" t="s">
        <v>182</v>
      </c>
      <c r="F8" s="0" t="str">
        <f aca="false">IFERROR(IF($C8=INDEX(Matches!$S$5:$S$6,MATCH($B8,Matches!$A$5:$A$6,0)),"A",IF($C8=INDEX(Matches!$T$5:$T$6,MATCH($B8,Matches!$A$5:$A$6,0)),"B","")),"")</f>
        <v>B</v>
      </c>
      <c r="G8" s="0" t="n">
        <f aca="false">IFERROR(INDEX(Players!$E$2:$E$18,MATCH($E8,Players!$A$2:$A$18,0)),0)</f>
        <v>30</v>
      </c>
      <c r="H8" s="7" t="n">
        <f aca="false">IFERROR(INDEX(Players!$F$2:$F$18,MATCH($E8,Players!$A$2:$A$18,0)),"")</f>
        <v>0.4</v>
      </c>
      <c r="I8" s="6" t="n">
        <f aca="false">IFERROR(INDEX(Players!$G$2:$G$18,MATCH($E8,Players!$A$2:$A$18,0)),"")</f>
        <v>3.2</v>
      </c>
      <c r="J8" s="12" t="n">
        <f aca="false">IF(OR($I8="",$H8=""),"",$I8*IF(LEFT($B8,4)="DOTA",Config!$B$5,Config!$B$4)/($H8*IF(LEFT($B8,4)="DOTA",Config!$B$5,Config!$B$4)+1-$H8))</f>
        <v>4.76549865229111</v>
      </c>
      <c r="K8" s="12" t="n">
        <f aca="false">IF(OR($I8="",$H8=""),"",$I8/($H8*IF(LEFT($B8,4)="DOTA",Config!$B$5,Config!$B$4)+1-$H8))</f>
        <v>2.15633423180593</v>
      </c>
      <c r="L8" s="6" t="n">
        <f aca="false">IFERROR(INDEX(Matches!$R$5:$R$6,MATCH($B8,Matches!$A$5:$A$6,0)),1)</f>
        <v>1</v>
      </c>
      <c r="M8" s="7" t="n">
        <f aca="false">IFERROR(IF(INDEX(Matches!$M$5:$M$6,MATCH($B8,Matches!$A$5:$A$6,0))="","",IF($F8="A",INDEX(Matches!$M$5:$M$6,MATCH($B8,Matches!$A$5:$A$6,0)),1-INDEX(Matches!$M$5:$M$6,MATCH($B8,Matches!$A$5:$A$6,0)))),"")</f>
        <v>0.3928</v>
      </c>
      <c r="N8" s="6" t="n">
        <f aca="false">1</f>
        <v>1</v>
      </c>
      <c r="O8" s="12" t="n">
        <f aca="false">IF(OR($M8="",$J8=""),"",$L8*($M8*$J8+(1-$M8)*$K8))</f>
        <v>3.18121401617251</v>
      </c>
      <c r="P8" s="6" t="n">
        <f aca="false">IF($O8="","",IF(LEFT($B8,4)="DOTA",Config!$B$7,Config!$B$6)*$O8+$L8^2*$M8*(1-$M8)*($J8-$K8)^2)</f>
        <v>5.75927951726477</v>
      </c>
      <c r="Q8" s="7" t="n">
        <f aca="false">IFERROR(IF(INDEX(Matches!$N$5:$N$6,MATCH($B8,Matches!$A$5:$A$6,0))="","",IF($F8="A",INDEX(Matches!$N$5:$N$6,MATCH($B8,Matches!$A$5:$A$6,0)),1-INDEX(Matches!$N$5:$N$6,MATCH($B8,Matches!$A$5:$A$6,0)))),"")</f>
        <v>0.3928</v>
      </c>
      <c r="R8" s="6" t="n">
        <f aca="false">IFERROR(N(INDEX(Matches!$P$5:$P$6,MATCH($B8,Matches!$A$5:$A$6,0))),0)</f>
        <v>1</v>
      </c>
      <c r="S8" s="12" t="n">
        <f aca="false">IF(OR($Q8="",$J8=""),"",$L8*($Q8*$J8+(1-$Q8)*$K8))</f>
        <v>3.18121401617251</v>
      </c>
      <c r="T8" s="6" t="n">
        <f aca="false">IF($S8="","",IF(LEFT($B8,4)="DOTA",Config!$B$7,Config!$B$6)*$S8+$L8^2*$Q8*(1-$Q8)*($J8-$K8)^2)</f>
        <v>5.75927951726477</v>
      </c>
      <c r="U8" s="7" t="n">
        <f aca="false">IFERROR(IF(INDEX(Matches!$O$5:$O$6,MATCH($B8,Matches!$A$5:$A$6,0))="","",IF($F8="A",INDEX(Matches!$O$5:$O$6,MATCH($B8,Matches!$A$5:$A$6,0)),1-INDEX(Matches!$O$5:$O$6,MATCH($B8,Matches!$A$5:$A$6,0)))),"")</f>
        <v>0.3928</v>
      </c>
      <c r="V8" s="6" t="n">
        <f aca="false">IFERROR(N(INDEX(Matches!$Q$5:$Q$6,MATCH($B8,Matches!$A$5:$A$6,0))),0)</f>
        <v>1</v>
      </c>
      <c r="W8" s="12" t="n">
        <f aca="false">IF(OR($U8="",$J8=""),"",$L8*($U8*$J8+(1-$U8)*$K8))</f>
        <v>3.18121401617251</v>
      </c>
      <c r="X8" s="6" t="n">
        <f aca="false">IF($W8="","",IF(LEFT($B8,4)="DOTA",Config!$B$7,Config!$B$6)*$W8+$L8^2*$U8*(1-$U8)*($J8-$K8)^2)</f>
        <v>5.75927951726477</v>
      </c>
      <c r="Y8" s="12" t="n">
        <f aca="false">IF($O8="","",$O8)</f>
        <v>3.18121401617251</v>
      </c>
      <c r="Z8" s="6" t="n">
        <f aca="false">IF($P8="","",$P8)</f>
        <v>5.75927951726477</v>
      </c>
      <c r="AA8" s="12" t="n">
        <f aca="false">IF($O8="","",N($N8)*N($O8)+N($R8)*N($S8))</f>
        <v>6.36242803234501</v>
      </c>
      <c r="AB8" s="6" t="n">
        <f aca="false">IF($O8="","",(N($N8)*N($P8)+N($N8)*(1-N($N8))*N($O8)^2)+(N($R8)*N($T8)+N($R8)*(1-N($R8))*N($S8)^2))</f>
        <v>11.5185590345295</v>
      </c>
      <c r="AC8" s="12" t="n">
        <f aca="false">IF($O8="","",N($N8)*N($O8)+N($R8)*N($S8)+N($V8)*N($W8))</f>
        <v>9.54364204851752</v>
      </c>
      <c r="AD8" s="6" t="n">
        <f aca="false">IF($O8="","",(N($N8)*N($P8)+N($N8)*(1-N($N8))*N($O8)^2)+(N($R8)*N($T8)+N($R8)*(1-N($R8))*N($S8)^2)+(N($V8)*N($X8)+N($V8)*(1-N($V8))*N($W8)^2))</f>
        <v>17.2778385517943</v>
      </c>
      <c r="AE8" s="12" t="n">
        <f aca="false">IF($I8="","",$I8*$L8)</f>
        <v>3.2</v>
      </c>
      <c r="AF8" s="12" t="n">
        <f aca="false">IF($I8="","",$I8*$L8*(1+N($R8)))</f>
        <v>6.4</v>
      </c>
      <c r="AG8" s="12" t="n">
        <f aca="false">IF($I8="","",$I8*$L8*(1+N($R8)+N($V8)))</f>
        <v>9.6</v>
      </c>
      <c r="AH8" s="0" t="str">
        <f aca="false">TRIM(IF($G8&lt;Config!$B$9,"thin sample ("&amp;$G8&amp;" maps) · ","")&amp;IF($I8="","no PickFinder stats · ","")&amp;IFERROR(IF(INDEX(Players!$T$2:$T$18,MATCH($E8,Players!$A$2:$A$18,0))&lt;0.5,"new roster: "&amp;TEXT(INDEX(Players!$T$2:$T$18,MATCH($E8,Players!$A$2:$A$18,0)),"0%")&amp;" of his recent games with these teammates",""),""))</f>
        <v>new roster: 0% of his recent games with these teammates</v>
      </c>
      <c r="AI8" s="6" t="n">
        <f aca="false">IF($B8=Board!$B$2,COUNTIFS($B$2:$B$18,Board!$B$2,$Y$2:$Y$18,"&gt;"&amp;$Y8)+COUNTIFS($B$1:$B7,Board!$B$2,$Y$1:$Y7,$Y8)+1,"")</f>
        <v>6</v>
      </c>
      <c r="AJ8" s="0" t="str">
        <f aca="false">IFERROR(IF(INDEX(Matches!$D$5:$D$6,MATCH($B8,Matches!$A$5:$A$6,0))=3,"K12","K13"),"K13")</f>
        <v>K13</v>
      </c>
      <c r="AK8" s="12" t="n">
        <f aca="false">IF($AJ8="K12",$AA8,$AC8)</f>
        <v>9.54364204851752</v>
      </c>
    </row>
    <row r="9" customFormat="false" ht="15" hidden="false" customHeight="false" outlineLevel="0" collapsed="false">
      <c r="A9" s="0" t="s">
        <v>127</v>
      </c>
      <c r="B9" s="0" t="s">
        <v>27</v>
      </c>
      <c r="C9" s="0" t="s">
        <v>79</v>
      </c>
      <c r="D9" s="0" t="s">
        <v>126</v>
      </c>
      <c r="E9" s="0" t="s">
        <v>183</v>
      </c>
      <c r="F9" s="0" t="str">
        <f aca="false">IFERROR(IF($C9=INDEX(Matches!$S$5:$S$6,MATCH($B9,Matches!$A$5:$A$6,0)),"A",IF($C9=INDEX(Matches!$T$5:$T$6,MATCH($B9,Matches!$A$5:$A$6,0)),"B","")),"")</f>
        <v>B</v>
      </c>
      <c r="G9" s="0" t="n">
        <f aca="false">IFERROR(INDEX(Players!$E$2:$E$18,MATCH($E9,Players!$A$2:$A$18,0)),0)</f>
        <v>30</v>
      </c>
      <c r="H9" s="7" t="n">
        <f aca="false">IFERROR(INDEX(Players!$F$2:$F$18,MATCH($E9,Players!$A$2:$A$18,0)),"")</f>
        <v>0.4</v>
      </c>
      <c r="I9" s="6" t="n">
        <f aca="false">IFERROR(INDEX(Players!$G$2:$G$18,MATCH($E9,Players!$A$2:$A$18,0)),"")</f>
        <v>3.3</v>
      </c>
      <c r="J9" s="12" t="n">
        <f aca="false">IF(OR($I9="",$H9=""),"",$I9*IF(LEFT($B9,4)="DOTA",Config!$B$5,Config!$B$4)/($H9*IF(LEFT($B9,4)="DOTA",Config!$B$5,Config!$B$4)+1-$H9))</f>
        <v>4.9144204851752</v>
      </c>
      <c r="K9" s="12" t="n">
        <f aca="false">IF(OR($I9="",$H9=""),"",$I9/($H9*IF(LEFT($B9,4)="DOTA",Config!$B$5,Config!$B$4)+1-$H9))</f>
        <v>2.22371967654987</v>
      </c>
      <c r="L9" s="6" t="n">
        <f aca="false">IFERROR(INDEX(Matches!$R$5:$R$6,MATCH($B9,Matches!$A$5:$A$6,0)),1)</f>
        <v>1</v>
      </c>
      <c r="M9" s="7" t="n">
        <f aca="false">IFERROR(IF(INDEX(Matches!$M$5:$M$6,MATCH($B9,Matches!$A$5:$A$6,0))="","",IF($F9="A",INDEX(Matches!$M$5:$M$6,MATCH($B9,Matches!$A$5:$A$6,0)),1-INDEX(Matches!$M$5:$M$6,MATCH($B9,Matches!$A$5:$A$6,0)))),"")</f>
        <v>0.3928</v>
      </c>
      <c r="N9" s="6" t="n">
        <f aca="false">1</f>
        <v>1</v>
      </c>
      <c r="O9" s="12" t="n">
        <f aca="false">IF(OR($M9="",$J9=""),"",$L9*($M9*$J9+(1-$M9)*$K9))</f>
        <v>3.2806269541779</v>
      </c>
      <c r="P9" s="6" t="n">
        <f aca="false">IF($O9="","",IF(LEFT($B9,4)="DOTA",Config!$B$7,Config!$B$6)*$O9+$L9^2*$M9*(1-$M9)*($J9-$K9)^2)</f>
        <v>5.99158331348392</v>
      </c>
      <c r="Q9" s="7" t="n">
        <f aca="false">IFERROR(IF(INDEX(Matches!$N$5:$N$6,MATCH($B9,Matches!$A$5:$A$6,0))="","",IF($F9="A",INDEX(Matches!$N$5:$N$6,MATCH($B9,Matches!$A$5:$A$6,0)),1-INDEX(Matches!$N$5:$N$6,MATCH($B9,Matches!$A$5:$A$6,0)))),"")</f>
        <v>0.3928</v>
      </c>
      <c r="R9" s="6" t="n">
        <f aca="false">IFERROR(N(INDEX(Matches!$P$5:$P$6,MATCH($B9,Matches!$A$5:$A$6,0))),0)</f>
        <v>1</v>
      </c>
      <c r="S9" s="12" t="n">
        <f aca="false">IF(OR($Q9="",$J9=""),"",$L9*($Q9*$J9+(1-$Q9)*$K9))</f>
        <v>3.2806269541779</v>
      </c>
      <c r="T9" s="6" t="n">
        <f aca="false">IF($S9="","",IF(LEFT($B9,4)="DOTA",Config!$B$7,Config!$B$6)*$S9+$L9^2*$Q9*(1-$Q9)*($J9-$K9)^2)</f>
        <v>5.99158331348392</v>
      </c>
      <c r="U9" s="7" t="n">
        <f aca="false">IFERROR(IF(INDEX(Matches!$O$5:$O$6,MATCH($B9,Matches!$A$5:$A$6,0))="","",IF($F9="A",INDEX(Matches!$O$5:$O$6,MATCH($B9,Matches!$A$5:$A$6,0)),1-INDEX(Matches!$O$5:$O$6,MATCH($B9,Matches!$A$5:$A$6,0)))),"")</f>
        <v>0.3928</v>
      </c>
      <c r="V9" s="6" t="n">
        <f aca="false">IFERROR(N(INDEX(Matches!$Q$5:$Q$6,MATCH($B9,Matches!$A$5:$A$6,0))),0)</f>
        <v>1</v>
      </c>
      <c r="W9" s="12" t="n">
        <f aca="false">IF(OR($U9="",$J9=""),"",$L9*($U9*$J9+(1-$U9)*$K9))</f>
        <v>3.2806269541779</v>
      </c>
      <c r="X9" s="6" t="n">
        <f aca="false">IF($W9="","",IF(LEFT($B9,4)="DOTA",Config!$B$7,Config!$B$6)*$W9+$L9^2*$U9*(1-$U9)*($J9-$K9)^2)</f>
        <v>5.99158331348392</v>
      </c>
      <c r="Y9" s="12" t="n">
        <f aca="false">IF($O9="","",$O9)</f>
        <v>3.2806269541779</v>
      </c>
      <c r="Z9" s="6" t="n">
        <f aca="false">IF($P9="","",$P9)</f>
        <v>5.99158331348392</v>
      </c>
      <c r="AA9" s="12" t="n">
        <f aca="false">IF($O9="","",N($N9)*N($O9)+N($R9)*N($S9))</f>
        <v>6.5612539083558</v>
      </c>
      <c r="AB9" s="6" t="n">
        <f aca="false">IF($O9="","",(N($N9)*N($P9)+N($N9)*(1-N($N9))*N($O9)^2)+(N($R9)*N($T9)+N($R9)*(1-N($R9))*N($S9)^2))</f>
        <v>11.9831666269678</v>
      </c>
      <c r="AC9" s="12" t="n">
        <f aca="false">IF($O9="","",N($N9)*N($O9)+N($R9)*N($S9)+N($V9)*N($W9))</f>
        <v>9.84188086253369</v>
      </c>
      <c r="AD9" s="6" t="n">
        <f aca="false">IF($O9="","",(N($N9)*N($P9)+N($N9)*(1-N($N9))*N($O9)^2)+(N($R9)*N($T9)+N($R9)*(1-N($R9))*N($S9)^2)+(N($V9)*N($X9)+N($V9)*(1-N($V9))*N($W9)^2))</f>
        <v>17.9747499404518</v>
      </c>
      <c r="AE9" s="12" t="n">
        <f aca="false">IF($I9="","",$I9*$L9)</f>
        <v>3.3</v>
      </c>
      <c r="AF9" s="12" t="n">
        <f aca="false">IF($I9="","",$I9*$L9*(1+N($R9)))</f>
        <v>6.6</v>
      </c>
      <c r="AG9" s="12" t="n">
        <f aca="false">IF($I9="","",$I9*$L9*(1+N($R9)+N($V9)))</f>
        <v>9.9</v>
      </c>
      <c r="AH9" s="0" t="str">
        <f aca="false">TRIM(IF($G9&lt;Config!$B$9,"thin sample ("&amp;$G9&amp;" maps) · ","")&amp;IF($I9="","no PickFinder stats · ","")&amp;IFERROR(IF(INDEX(Players!$T$2:$T$18,MATCH($E9,Players!$A$2:$A$18,0))&lt;0.5,"new roster: "&amp;TEXT(INDEX(Players!$T$2:$T$18,MATCH($E9,Players!$A$2:$A$18,0)),"0%")&amp;" of his recent games with these teammates",""),""))</f>
        <v>new roster: 0% of his recent games with these teammates</v>
      </c>
      <c r="AI9" s="6" t="n">
        <f aca="false">IF($B9=Board!$B$2,COUNTIFS($B$2:$B$18,Board!$B$2,$Y$2:$Y$18,"&gt;"&amp;$Y9)+COUNTIFS($B$1:$B8,Board!$B$2,$Y$1:$Y8,$Y9)+1,"")</f>
        <v>5</v>
      </c>
      <c r="AJ9" s="0" t="str">
        <f aca="false">IFERROR(IF(INDEX(Matches!$D$5:$D$6,MATCH($B9,Matches!$A$5:$A$6,0))=3,"K12","K13"),"K13")</f>
        <v>K13</v>
      </c>
      <c r="AK9" s="12" t="n">
        <f aca="false">IF($AJ9="K12",$AA9,$AC9)</f>
        <v>9.84188086253369</v>
      </c>
    </row>
    <row r="10" customFormat="false" ht="15" hidden="false" customHeight="false" outlineLevel="0" collapsed="false">
      <c r="A10" s="0" t="s">
        <v>130</v>
      </c>
      <c r="B10" s="0" t="s">
        <v>80</v>
      </c>
      <c r="C10" s="0" t="s">
        <v>86</v>
      </c>
      <c r="D10" s="0" t="s">
        <v>128</v>
      </c>
      <c r="E10" s="0" t="s">
        <v>184</v>
      </c>
      <c r="F10" s="0" t="str">
        <f aca="false">IFERROR(IF($C10=INDEX(Matches!$S$5:$S$6,MATCH($B10,Matches!$A$5:$A$6,0)),"A",IF($C10=INDEX(Matches!$T$5:$T$6,MATCH($B10,Matches!$A$5:$A$6,0)),"B","")),"")</f>
        <v>B</v>
      </c>
      <c r="G10" s="0" t="n">
        <f aca="false">IFERROR(INDEX(Players!$E$2:$E$18,MATCH($E10,Players!$A$2:$A$18,0)),0)</f>
        <v>30</v>
      </c>
      <c r="H10" s="7" t="n">
        <f aca="false">IFERROR(INDEX(Players!$F$2:$F$18,MATCH($E10,Players!$A$2:$A$18,0)),"")</f>
        <v>0.57</v>
      </c>
      <c r="I10" s="6" t="n">
        <f aca="false">IFERROR(INDEX(Players!$G$2:$G$18,MATCH($E10,Players!$A$2:$A$18,0)),"")</f>
        <v>4.5</v>
      </c>
      <c r="J10" s="12" t="n">
        <f aca="false">IF(OR($I10="",$H10=""),"",$I10*IF(LEFT($B10,4)="DOTA",Config!$B$5,Config!$B$4)/($H10*IF(LEFT($B10,4)="DOTA",Config!$B$5,Config!$B$4)+1-$H10))</f>
        <v>5.88566017636267</v>
      </c>
      <c r="K10" s="12" t="n">
        <f aca="false">IF(OR($I10="",$H10=""),"",$I10/($H10*IF(LEFT($B10,4)="DOTA",Config!$B$5,Config!$B$4)+1-$H10))</f>
        <v>2.66319464993786</v>
      </c>
      <c r="L10" s="6" t="n">
        <f aca="false">IFERROR(INDEX(Matches!$R$5:$R$6,MATCH($B10,Matches!$A$5:$A$6,0)),1)</f>
        <v>1</v>
      </c>
      <c r="M10" s="7" t="n">
        <f aca="false">IFERROR(IF(INDEX(Matches!$M$5:$M$6,MATCH($B10,Matches!$A$5:$A$6,0))="","",IF($F10="A",INDEX(Matches!$M$5:$M$6,MATCH($B10,Matches!$A$5:$A$6,0)),1-INDEX(Matches!$M$5:$M$6,MATCH($B10,Matches!$A$5:$A$6,0)))),"")</f>
        <v>0.56</v>
      </c>
      <c r="N10" s="6" t="n">
        <f aca="false">1</f>
        <v>1</v>
      </c>
      <c r="O10" s="12" t="n">
        <f aca="false">IF(OR($M10="",$J10=""),"",$L10*($M10*$J10+(1-$M10)*$K10))</f>
        <v>4.46777534473575</v>
      </c>
      <c r="P10" s="6" t="n">
        <f aca="false">IF($O10="","",IF(LEFT($B10,4)="DOTA",Config!$B$7,Config!$B$6)*$O10+$L10^2*$M10*(1-$M10)*($J10-$K10)^2)</f>
        <v>8.36679554275717</v>
      </c>
      <c r="Q10" s="7" t="n">
        <f aca="false">IFERROR(IF(INDEX(Matches!$N$5:$N$6,MATCH($B10,Matches!$A$5:$A$6,0))="","",IF($F10="A",INDEX(Matches!$N$5:$N$6,MATCH($B10,Matches!$A$5:$A$6,0)),1-INDEX(Matches!$N$5:$N$6,MATCH($B10,Matches!$A$5:$A$6,0)))),"")</f>
        <v>0.56</v>
      </c>
      <c r="R10" s="6" t="n">
        <f aca="false">IFERROR(N(INDEX(Matches!$P$5:$P$6,MATCH($B10,Matches!$A$5:$A$6,0))),0)</f>
        <v>1</v>
      </c>
      <c r="S10" s="12" t="n">
        <f aca="false">IF(OR($Q10="",$J10=""),"",$L10*($Q10*$J10+(1-$Q10)*$K10))</f>
        <v>4.46777534473575</v>
      </c>
      <c r="T10" s="6" t="n">
        <f aca="false">IF($S10="","",IF(LEFT($B10,4)="DOTA",Config!$B$7,Config!$B$6)*$S10+$L10^2*$Q10*(1-$Q10)*($J10-$K10)^2)</f>
        <v>8.36679554275717</v>
      </c>
      <c r="U10" s="7" t="n">
        <f aca="false">IFERROR(IF(INDEX(Matches!$O$5:$O$6,MATCH($B10,Matches!$A$5:$A$6,0))="","",IF($F10="A",INDEX(Matches!$O$5:$O$6,MATCH($B10,Matches!$A$5:$A$6,0)),1-INDEX(Matches!$O$5:$O$6,MATCH($B10,Matches!$A$5:$A$6,0)))),"")</f>
        <v>0.56</v>
      </c>
      <c r="V10" s="6" t="n">
        <f aca="false">IFERROR(N(INDEX(Matches!$Q$5:$Q$6,MATCH($B10,Matches!$A$5:$A$6,0))),0)</f>
        <v>1</v>
      </c>
      <c r="W10" s="12" t="n">
        <f aca="false">IF(OR($U10="",$J10=""),"",$L10*($U10*$J10+(1-$U10)*$K10))</f>
        <v>4.46777534473575</v>
      </c>
      <c r="X10" s="6" t="n">
        <f aca="false">IF($W10="","",IF(LEFT($B10,4)="DOTA",Config!$B$7,Config!$B$6)*$W10+$L10^2*$U10*(1-$U10)*($J10-$K10)^2)</f>
        <v>8.36679554275717</v>
      </c>
      <c r="Y10" s="12" t="n">
        <f aca="false">IF($O10="","",$O10)</f>
        <v>4.46777534473575</v>
      </c>
      <c r="Z10" s="6" t="n">
        <f aca="false">IF($P10="","",$P10)</f>
        <v>8.36679554275717</v>
      </c>
      <c r="AA10" s="12" t="n">
        <f aca="false">IF($O10="","",N($N10)*N($O10)+N($R10)*N($S10))</f>
        <v>8.93555068947151</v>
      </c>
      <c r="AB10" s="6" t="n">
        <f aca="false">IF($O10="","",(N($N10)*N($P10)+N($N10)*(1-N($N10))*N($O10)^2)+(N($R10)*N($T10)+N($R10)*(1-N($R10))*N($S10)^2))</f>
        <v>16.7335910855143</v>
      </c>
      <c r="AC10" s="12" t="n">
        <f aca="false">IF($O10="","",N($N10)*N($O10)+N($R10)*N($S10)+N($V10)*N($W10))</f>
        <v>13.4033260342073</v>
      </c>
      <c r="AD10" s="6" t="n">
        <f aca="false">IF($O10="","",(N($N10)*N($P10)+N($N10)*(1-N($N10))*N($O10)^2)+(N($R10)*N($T10)+N($R10)*(1-N($R10))*N($S10)^2)+(N($V10)*N($X10)+N($V10)*(1-N($V10))*N($W10)^2))</f>
        <v>25.1003866282715</v>
      </c>
      <c r="AE10" s="12" t="n">
        <f aca="false">IF($I10="","",$I10*$L10)</f>
        <v>4.5</v>
      </c>
      <c r="AF10" s="12" t="n">
        <f aca="false">IF($I10="","",$I10*$L10*(1+N($R10)))</f>
        <v>9</v>
      </c>
      <c r="AG10" s="12" t="n">
        <f aca="false">IF($I10="","",$I10*$L10*(1+N($R10)+N($V10)))</f>
        <v>13.5</v>
      </c>
      <c r="AH10" s="0" t="str">
        <f aca="false">TRIM(IF($G10&lt;Config!$B$9,"thin sample ("&amp;$G10&amp;" maps) · ","")&amp;IF($I10="","no PickFinder stats · ","")&amp;IFERROR(IF(INDEX(Players!$T$2:$T$18,MATCH($E10,Players!$A$2:$A$18,0))&lt;0.5,"new roster: "&amp;TEXT(INDEX(Players!$T$2:$T$18,MATCH($E10,Players!$A$2:$A$18,0)),"0%")&amp;" of his recent games with these teammates",""),""))</f>
        <v>new roster: 0% of his recent games with these teammates</v>
      </c>
      <c r="AI10" s="0" t="str">
        <f aca="false">IF($B10=Board!$B$2,COUNTIFS($B$2:$B$18,Board!$B$2,$Y$2:$Y$18,"&gt;"&amp;$Y10)+COUNTIFS($B$1:$B9,Board!$B$2,$Y$1:$Y9,$Y10)+1,"")</f>
        <v/>
      </c>
      <c r="AJ10" s="0" t="str">
        <f aca="false">IFERROR(IF(INDEX(Matches!$D$5:$D$6,MATCH($B10,Matches!$A$5:$A$6,0))=3,"K12","K13"),"K13")</f>
        <v>K13</v>
      </c>
      <c r="AK10" s="12" t="n">
        <f aca="false">IF($AJ10="K12",$AA10,$AC10)</f>
        <v>13.4033260342073</v>
      </c>
    </row>
    <row r="11" customFormat="false" ht="15" hidden="false" customHeight="false" outlineLevel="0" collapsed="false">
      <c r="A11" s="0" t="s">
        <v>132</v>
      </c>
      <c r="B11" s="0" t="s">
        <v>80</v>
      </c>
      <c r="C11" s="0" t="s">
        <v>86</v>
      </c>
      <c r="D11" s="0" t="s">
        <v>131</v>
      </c>
      <c r="E11" s="0" t="s">
        <v>185</v>
      </c>
      <c r="F11" s="0" t="str">
        <f aca="false">IFERROR(IF($C11=INDEX(Matches!$S$5:$S$6,MATCH($B11,Matches!$A$5:$A$6,0)),"A",IF($C11=INDEX(Matches!$T$5:$T$6,MATCH($B11,Matches!$A$5:$A$6,0)),"B","")),"")</f>
        <v>B</v>
      </c>
      <c r="G11" s="0" t="n">
        <f aca="false">IFERROR(INDEX(Players!$E$2:$E$18,MATCH($E11,Players!$A$2:$A$18,0)),0)</f>
        <v>30</v>
      </c>
      <c r="H11" s="7" t="n">
        <f aca="false">IFERROR(INDEX(Players!$F$2:$F$18,MATCH($E11,Players!$A$2:$A$18,0)),"")</f>
        <v>0.6</v>
      </c>
      <c r="I11" s="6" t="n">
        <f aca="false">IFERROR(INDEX(Players!$G$2:$G$18,MATCH($E11,Players!$A$2:$A$18,0)),"")</f>
        <v>2.8</v>
      </c>
      <c r="J11" s="12" t="n">
        <f aca="false">IF(OR($I11="",$H11=""),"",$I11*IF(LEFT($B11,4)="DOTA",Config!$B$5,Config!$B$4)/($H11*IF(LEFT($B11,4)="DOTA",Config!$B$5,Config!$B$4)+1-$H11))</f>
        <v>3.58516801853998</v>
      </c>
      <c r="K11" s="12" t="n">
        <f aca="false">IF(OR($I11="",$H11=""),"",$I11/($H11*IF(LEFT($B11,4)="DOTA",Config!$B$5,Config!$B$4)+1-$H11))</f>
        <v>1.62224797219004</v>
      </c>
      <c r="L11" s="6" t="n">
        <f aca="false">IFERROR(INDEX(Matches!$R$5:$R$6,MATCH($B11,Matches!$A$5:$A$6,0)),1)</f>
        <v>1</v>
      </c>
      <c r="M11" s="7" t="n">
        <f aca="false">IFERROR(IF(INDEX(Matches!$M$5:$M$6,MATCH($B11,Matches!$A$5:$A$6,0))="","",IF($F11="A",INDEX(Matches!$M$5:$M$6,MATCH($B11,Matches!$A$5:$A$6,0)),1-INDEX(Matches!$M$5:$M$6,MATCH($B11,Matches!$A$5:$A$6,0)))),"")</f>
        <v>0.56</v>
      </c>
      <c r="N11" s="6" t="n">
        <f aca="false">1</f>
        <v>1</v>
      </c>
      <c r="O11" s="12" t="n">
        <f aca="false">IF(OR($M11="",$J11=""),"",$L11*($M11*$J11+(1-$M11)*$K11))</f>
        <v>2.721483198146</v>
      </c>
      <c r="P11" s="6" t="n">
        <f aca="false">IF($O11="","",IF(LEFT($B11,4)="DOTA",Config!$B$7,Config!$B$6)*$O11+$L11^2*$M11*(1-$M11)*($J11-$K11)^2)</f>
        <v>4.48732093629031</v>
      </c>
      <c r="Q11" s="7" t="n">
        <f aca="false">IFERROR(IF(INDEX(Matches!$N$5:$N$6,MATCH($B11,Matches!$A$5:$A$6,0))="","",IF($F11="A",INDEX(Matches!$N$5:$N$6,MATCH($B11,Matches!$A$5:$A$6,0)),1-INDEX(Matches!$N$5:$N$6,MATCH($B11,Matches!$A$5:$A$6,0)))),"")</f>
        <v>0.56</v>
      </c>
      <c r="R11" s="6" t="n">
        <f aca="false">IFERROR(N(INDEX(Matches!$P$5:$P$6,MATCH($B11,Matches!$A$5:$A$6,0))),0)</f>
        <v>1</v>
      </c>
      <c r="S11" s="12" t="n">
        <f aca="false">IF(OR($Q11="",$J11=""),"",$L11*($Q11*$J11+(1-$Q11)*$K11))</f>
        <v>2.721483198146</v>
      </c>
      <c r="T11" s="6" t="n">
        <f aca="false">IF($S11="","",IF(LEFT($B11,4)="DOTA",Config!$B$7,Config!$B$6)*$S11+$L11^2*$Q11*(1-$Q11)*($J11-$K11)^2)</f>
        <v>4.48732093629031</v>
      </c>
      <c r="U11" s="7" t="n">
        <f aca="false">IFERROR(IF(INDEX(Matches!$O$5:$O$6,MATCH($B11,Matches!$A$5:$A$6,0))="","",IF($F11="A",INDEX(Matches!$O$5:$O$6,MATCH($B11,Matches!$A$5:$A$6,0)),1-INDEX(Matches!$O$5:$O$6,MATCH($B11,Matches!$A$5:$A$6,0)))),"")</f>
        <v>0.56</v>
      </c>
      <c r="V11" s="6" t="n">
        <f aca="false">IFERROR(N(INDEX(Matches!$Q$5:$Q$6,MATCH($B11,Matches!$A$5:$A$6,0))),0)</f>
        <v>1</v>
      </c>
      <c r="W11" s="12" t="n">
        <f aca="false">IF(OR($U11="",$J11=""),"",$L11*($U11*$J11+(1-$U11)*$K11))</f>
        <v>2.721483198146</v>
      </c>
      <c r="X11" s="6" t="n">
        <f aca="false">IF($W11="","",IF(LEFT($B11,4)="DOTA",Config!$B$7,Config!$B$6)*$W11+$L11^2*$U11*(1-$U11)*($J11-$K11)^2)</f>
        <v>4.48732093629031</v>
      </c>
      <c r="Y11" s="12" t="n">
        <f aca="false">IF($O11="","",$O11)</f>
        <v>2.721483198146</v>
      </c>
      <c r="Z11" s="6" t="n">
        <f aca="false">IF($P11="","",$P11)</f>
        <v>4.48732093629031</v>
      </c>
      <c r="AA11" s="12" t="n">
        <f aca="false">IF($O11="","",N($N11)*N($O11)+N($R11)*N($S11))</f>
        <v>5.44296639629201</v>
      </c>
      <c r="AB11" s="6" t="n">
        <f aca="false">IF($O11="","",(N($N11)*N($P11)+N($N11)*(1-N($N11))*N($O11)^2)+(N($R11)*N($T11)+N($R11)*(1-N($R11))*N($S11)^2))</f>
        <v>8.97464187258063</v>
      </c>
      <c r="AC11" s="12" t="n">
        <f aca="false">IF($O11="","",N($N11)*N($O11)+N($R11)*N($S11)+N($V11)*N($W11))</f>
        <v>8.16444959443801</v>
      </c>
      <c r="AD11" s="6" t="n">
        <f aca="false">IF($O11="","",(N($N11)*N($P11)+N($N11)*(1-N($N11))*N($O11)^2)+(N($R11)*N($T11)+N($R11)*(1-N($R11))*N($S11)^2)+(N($V11)*N($X11)+N($V11)*(1-N($V11))*N($W11)^2))</f>
        <v>13.4619628088709</v>
      </c>
      <c r="AE11" s="12" t="n">
        <f aca="false">IF($I11="","",$I11*$L11)</f>
        <v>2.8</v>
      </c>
      <c r="AF11" s="12" t="n">
        <f aca="false">IF($I11="","",$I11*$L11*(1+N($R11)))</f>
        <v>5.6</v>
      </c>
      <c r="AG11" s="12" t="n">
        <f aca="false">IF($I11="","",$I11*$L11*(1+N($R11)+N($V11)))</f>
        <v>8.4</v>
      </c>
      <c r="AH11" s="0" t="str">
        <f aca="false">TRIM(IF($G11&lt;Config!$B$9,"thin sample ("&amp;$G11&amp;" maps) · ","")&amp;IF($I11="","no PickFinder stats · ","")&amp;IFERROR(IF(INDEX(Players!$T$2:$T$18,MATCH($E11,Players!$A$2:$A$18,0))&lt;0.5,"new roster: "&amp;TEXT(INDEX(Players!$T$2:$T$18,MATCH($E11,Players!$A$2:$A$18,0)),"0%")&amp;" of his recent games with these teammates",""),""))</f>
        <v>new roster: 0% of his recent games with these teammates</v>
      </c>
      <c r="AI11" s="0" t="str">
        <f aca="false">IF($B11=Board!$B$2,COUNTIFS($B$2:$B$18,Board!$B$2,$Y$2:$Y$18,"&gt;"&amp;$Y11)+COUNTIFS($B$1:$B10,Board!$B$2,$Y$1:$Y10,$Y11)+1,"")</f>
        <v/>
      </c>
      <c r="AJ11" s="0" t="str">
        <f aca="false">IFERROR(IF(INDEX(Matches!$D$5:$D$6,MATCH($B11,Matches!$A$5:$A$6,0))=3,"K12","K13"),"K13")</f>
        <v>K13</v>
      </c>
      <c r="AK11" s="12" t="n">
        <f aca="false">IF($AJ11="K12",$AA11,$AC11)</f>
        <v>8.16444959443801</v>
      </c>
    </row>
    <row r="12" customFormat="false" ht="15" hidden="false" customHeight="false" outlineLevel="0" collapsed="false">
      <c r="A12" s="0" t="s">
        <v>134</v>
      </c>
      <c r="B12" s="0" t="s">
        <v>80</v>
      </c>
      <c r="C12" s="0" t="s">
        <v>86</v>
      </c>
      <c r="D12" s="0" t="s">
        <v>133</v>
      </c>
      <c r="E12" s="0" t="s">
        <v>186</v>
      </c>
      <c r="F12" s="0" t="str">
        <f aca="false">IFERROR(IF($C12=INDEX(Matches!$S$5:$S$6,MATCH($B12,Matches!$A$5:$A$6,0)),"A",IF($C12=INDEX(Matches!$T$5:$T$6,MATCH($B12,Matches!$A$5:$A$6,0)),"B","")),"")</f>
        <v>B</v>
      </c>
      <c r="G12" s="0" t="n">
        <f aca="false">IFERROR(INDEX(Players!$E$2:$E$18,MATCH($E12,Players!$A$2:$A$18,0)),0)</f>
        <v>30</v>
      </c>
      <c r="H12" s="7" t="n">
        <f aca="false">IFERROR(INDEX(Players!$F$2:$F$18,MATCH($E12,Players!$A$2:$A$18,0)),"")</f>
        <v>0.6</v>
      </c>
      <c r="I12" s="6" t="n">
        <f aca="false">IFERROR(INDEX(Players!$G$2:$G$18,MATCH($E12,Players!$A$2:$A$18,0)),"")</f>
        <v>0.7</v>
      </c>
      <c r="J12" s="12" t="n">
        <f aca="false">IF(OR($I12="",$H12=""),"",$I12*IF(LEFT($B12,4)="DOTA",Config!$B$5,Config!$B$4)/($H12*IF(LEFT($B12,4)="DOTA",Config!$B$5,Config!$B$4)+1-$H12))</f>
        <v>0.896292004634994</v>
      </c>
      <c r="K12" s="12" t="n">
        <f aca="false">IF(OR($I12="",$H12=""),"",$I12/($H12*IF(LEFT($B12,4)="DOTA",Config!$B$5,Config!$B$4)+1-$H12))</f>
        <v>0.405561993047509</v>
      </c>
      <c r="L12" s="6" t="n">
        <f aca="false">IFERROR(INDEX(Matches!$R$5:$R$6,MATCH($B12,Matches!$A$5:$A$6,0)),1)</f>
        <v>1</v>
      </c>
      <c r="M12" s="7" t="n">
        <f aca="false">IFERROR(IF(INDEX(Matches!$M$5:$M$6,MATCH($B12,Matches!$A$5:$A$6,0))="","",IF($F12="A",INDEX(Matches!$M$5:$M$6,MATCH($B12,Matches!$A$5:$A$6,0)),1-INDEX(Matches!$M$5:$M$6,MATCH($B12,Matches!$A$5:$A$6,0)))),"")</f>
        <v>0.56</v>
      </c>
      <c r="N12" s="6" t="n">
        <f aca="false">1</f>
        <v>1</v>
      </c>
      <c r="O12" s="12" t="n">
        <f aca="false">IF(OR($M12="",$J12=""),"",$L12*($M12*$J12+(1-$M12)*$K12))</f>
        <v>0.680370799536501</v>
      </c>
      <c r="P12" s="6" t="n">
        <f aca="false">IF($O12="","",IF(LEFT($B12,4)="DOTA",Config!$B$7,Config!$B$6)*$O12+$L12^2*$M12*(1-$M12)*($J12-$K12)^2)</f>
        <v>0.943819088066233</v>
      </c>
      <c r="Q12" s="7" t="n">
        <f aca="false">IFERROR(IF(INDEX(Matches!$N$5:$N$6,MATCH($B12,Matches!$A$5:$A$6,0))="","",IF($F12="A",INDEX(Matches!$N$5:$N$6,MATCH($B12,Matches!$A$5:$A$6,0)),1-INDEX(Matches!$N$5:$N$6,MATCH($B12,Matches!$A$5:$A$6,0)))),"")</f>
        <v>0.56</v>
      </c>
      <c r="R12" s="6" t="n">
        <f aca="false">IFERROR(N(INDEX(Matches!$P$5:$P$6,MATCH($B12,Matches!$A$5:$A$6,0))),0)</f>
        <v>1</v>
      </c>
      <c r="S12" s="12" t="n">
        <f aca="false">IF(OR($Q12="",$J12=""),"",$L12*($Q12*$J12+(1-$Q12)*$K12))</f>
        <v>0.680370799536501</v>
      </c>
      <c r="T12" s="6" t="n">
        <f aca="false">IF($S12="","",IF(LEFT($B12,4)="DOTA",Config!$B$7,Config!$B$6)*$S12+$L12^2*$Q12*(1-$Q12)*($J12-$K12)^2)</f>
        <v>0.943819088066233</v>
      </c>
      <c r="U12" s="7" t="n">
        <f aca="false">IFERROR(IF(INDEX(Matches!$O$5:$O$6,MATCH($B12,Matches!$A$5:$A$6,0))="","",IF($F12="A",INDEX(Matches!$O$5:$O$6,MATCH($B12,Matches!$A$5:$A$6,0)),1-INDEX(Matches!$O$5:$O$6,MATCH($B12,Matches!$A$5:$A$6,0)))),"")</f>
        <v>0.56</v>
      </c>
      <c r="V12" s="6" t="n">
        <f aca="false">IFERROR(N(INDEX(Matches!$Q$5:$Q$6,MATCH($B12,Matches!$A$5:$A$6,0))),0)</f>
        <v>1</v>
      </c>
      <c r="W12" s="12" t="n">
        <f aca="false">IF(OR($U12="",$J12=""),"",$L12*($U12*$J12+(1-$U12)*$K12))</f>
        <v>0.680370799536501</v>
      </c>
      <c r="X12" s="6" t="n">
        <f aca="false">IF($W12="","",IF(LEFT($B12,4)="DOTA",Config!$B$7,Config!$B$6)*$W12+$L12^2*$U12*(1-$U12)*($J12-$K12)^2)</f>
        <v>0.943819088066233</v>
      </c>
      <c r="Y12" s="12" t="n">
        <f aca="false">IF($O12="","",$O12)</f>
        <v>0.680370799536501</v>
      </c>
      <c r="Z12" s="6" t="n">
        <f aca="false">IF($P12="","",$P12)</f>
        <v>0.943819088066233</v>
      </c>
      <c r="AA12" s="12" t="n">
        <f aca="false">IF($O12="","",N($N12)*N($O12)+N($R12)*N($S12))</f>
        <v>1.360741599073</v>
      </c>
      <c r="AB12" s="6" t="n">
        <f aca="false">IF($O12="","",(N($N12)*N($P12)+N($N12)*(1-N($N12))*N($O12)^2)+(N($R12)*N($T12)+N($R12)*(1-N($R12))*N($S12)^2))</f>
        <v>1.88763817613247</v>
      </c>
      <c r="AC12" s="12" t="n">
        <f aca="false">IF($O12="","",N($N12)*N($O12)+N($R12)*N($S12)+N($V12)*N($W12))</f>
        <v>2.0411123986095</v>
      </c>
      <c r="AD12" s="6" t="n">
        <f aca="false">IF($O12="","",(N($N12)*N($P12)+N($N12)*(1-N($N12))*N($O12)^2)+(N($R12)*N($T12)+N($R12)*(1-N($R12))*N($S12)^2)+(N($V12)*N($X12)+N($V12)*(1-N($V12))*N($W12)^2))</f>
        <v>2.8314572641987</v>
      </c>
      <c r="AE12" s="12" t="n">
        <f aca="false">IF($I12="","",$I12*$L12)</f>
        <v>0.7</v>
      </c>
      <c r="AF12" s="12" t="n">
        <f aca="false">IF($I12="","",$I12*$L12*(1+N($R12)))</f>
        <v>1.4</v>
      </c>
      <c r="AG12" s="12" t="n">
        <f aca="false">IF($I12="","",$I12*$L12*(1+N($R12)+N($V12)))</f>
        <v>2.1</v>
      </c>
      <c r="AH12" s="0" t="str">
        <f aca="false">TRIM(IF($G12&lt;Config!$B$9,"thin sample ("&amp;$G12&amp;" maps) · ","")&amp;IF($I12="","no PickFinder stats · ","")&amp;IFERROR(IF(INDEX(Players!$T$2:$T$18,MATCH($E12,Players!$A$2:$A$18,0))&lt;0.5,"new roster: "&amp;TEXT(INDEX(Players!$T$2:$T$18,MATCH($E12,Players!$A$2:$A$18,0)),"0%")&amp;" of his recent games with these teammates",""),""))</f>
        <v>new roster: 0% of his recent games with these teammates</v>
      </c>
      <c r="AI12" s="0" t="str">
        <f aca="false">IF($B12=Board!$B$2,COUNTIFS($B$2:$B$18,Board!$B$2,$Y$2:$Y$18,"&gt;"&amp;$Y12)+COUNTIFS($B$1:$B11,Board!$B$2,$Y$1:$Y11,$Y12)+1,"")</f>
        <v/>
      </c>
      <c r="AJ12" s="0" t="str">
        <f aca="false">IFERROR(IF(INDEX(Matches!$D$5:$D$6,MATCH($B12,Matches!$A$5:$A$6,0))=3,"K12","K13"),"K13")</f>
        <v>K13</v>
      </c>
      <c r="AK12" s="12" t="n">
        <f aca="false">IF($AJ12="K12",$AA12,$AC12)</f>
        <v>2.0411123986095</v>
      </c>
    </row>
    <row r="13" customFormat="false" ht="15" hidden="false" customHeight="false" outlineLevel="0" collapsed="false">
      <c r="A13" s="0" t="s">
        <v>136</v>
      </c>
      <c r="B13" s="0" t="s">
        <v>80</v>
      </c>
      <c r="C13" s="0" t="s">
        <v>86</v>
      </c>
      <c r="D13" s="0" t="s">
        <v>135</v>
      </c>
      <c r="E13" s="0" t="s">
        <v>187</v>
      </c>
      <c r="F13" s="0" t="str">
        <f aca="false">IFERROR(IF($C13=INDEX(Matches!$S$5:$S$6,MATCH($B13,Matches!$A$5:$A$6,0)),"A",IF($C13=INDEX(Matches!$T$5:$T$6,MATCH($B13,Matches!$A$5:$A$6,0)),"B","")),"")</f>
        <v>B</v>
      </c>
      <c r="G13" s="0" t="n">
        <f aca="false">IFERROR(INDEX(Players!$E$2:$E$18,MATCH($E13,Players!$A$2:$A$18,0)),0)</f>
        <v>30</v>
      </c>
      <c r="H13" s="7" t="n">
        <f aca="false">IFERROR(INDEX(Players!$F$2:$F$18,MATCH($E13,Players!$A$2:$A$18,0)),"")</f>
        <v>0.67</v>
      </c>
      <c r="I13" s="6" t="n">
        <f aca="false">IFERROR(INDEX(Players!$G$2:$G$18,MATCH($E13,Players!$A$2:$A$18,0)),"")</f>
        <v>2.7</v>
      </c>
      <c r="J13" s="12" t="n">
        <f aca="false">IF(OR($I13="",$H13=""),"",$I13*IF(LEFT($B13,4)="DOTA",Config!$B$5,Config!$B$4)/($H13*IF(LEFT($B13,4)="DOTA",Config!$B$5,Config!$B$4)+1-$H13))</f>
        <v>3.29541061467941</v>
      </c>
      <c r="K13" s="12" t="n">
        <f aca="false">IF(OR($I13="",$H13=""),"",$I13/($H13*IF(LEFT($B13,4)="DOTA",Config!$B$5,Config!$B$4)+1-$H13))</f>
        <v>1.49113602474181</v>
      </c>
      <c r="L13" s="6" t="n">
        <f aca="false">IFERROR(INDEX(Matches!$R$5:$R$6,MATCH($B13,Matches!$A$5:$A$6,0)),1)</f>
        <v>1</v>
      </c>
      <c r="M13" s="7" t="n">
        <f aca="false">IFERROR(IF(INDEX(Matches!$M$5:$M$6,MATCH($B13,Matches!$A$5:$A$6,0))="","",IF($F13="A",INDEX(Matches!$M$5:$M$6,MATCH($B13,Matches!$A$5:$A$6,0)),1-INDEX(Matches!$M$5:$M$6,MATCH($B13,Matches!$A$5:$A$6,0)))),"")</f>
        <v>0.56</v>
      </c>
      <c r="N13" s="6" t="n">
        <f aca="false">1</f>
        <v>1</v>
      </c>
      <c r="O13" s="12" t="n">
        <f aca="false">IF(OR($M13="",$J13=""),"",$L13*($M13*$J13+(1-$M13)*$K13))</f>
        <v>2.50152979510686</v>
      </c>
      <c r="P13" s="6" t="n">
        <f aca="false">IF($O13="","",IF(LEFT($B13,4)="DOTA",Config!$B$7,Config!$B$6)*$O13+$L13^2*$M13*(1-$M13)*($J13-$K13)^2)</f>
        <v>4.05412096814732</v>
      </c>
      <c r="Q13" s="7" t="n">
        <f aca="false">IFERROR(IF(INDEX(Matches!$N$5:$N$6,MATCH($B13,Matches!$A$5:$A$6,0))="","",IF($F13="A",INDEX(Matches!$N$5:$N$6,MATCH($B13,Matches!$A$5:$A$6,0)),1-INDEX(Matches!$N$5:$N$6,MATCH($B13,Matches!$A$5:$A$6,0)))),"")</f>
        <v>0.56</v>
      </c>
      <c r="R13" s="6" t="n">
        <f aca="false">IFERROR(N(INDEX(Matches!$P$5:$P$6,MATCH($B13,Matches!$A$5:$A$6,0))),0)</f>
        <v>1</v>
      </c>
      <c r="S13" s="12" t="n">
        <f aca="false">IF(OR($Q13="",$J13=""),"",$L13*($Q13*$J13+(1-$Q13)*$K13))</f>
        <v>2.50152979510686</v>
      </c>
      <c r="T13" s="6" t="n">
        <f aca="false">IF($S13="","",IF(LEFT($B13,4)="DOTA",Config!$B$7,Config!$B$6)*$S13+$L13^2*$Q13*(1-$Q13)*($J13-$K13)^2)</f>
        <v>4.05412096814732</v>
      </c>
      <c r="U13" s="7" t="n">
        <f aca="false">IFERROR(IF(INDEX(Matches!$O$5:$O$6,MATCH($B13,Matches!$A$5:$A$6,0))="","",IF($F13="A",INDEX(Matches!$O$5:$O$6,MATCH($B13,Matches!$A$5:$A$6,0)),1-INDEX(Matches!$O$5:$O$6,MATCH($B13,Matches!$A$5:$A$6,0)))),"")</f>
        <v>0.56</v>
      </c>
      <c r="V13" s="6" t="n">
        <f aca="false">IFERROR(N(INDEX(Matches!$Q$5:$Q$6,MATCH($B13,Matches!$A$5:$A$6,0))),0)</f>
        <v>1</v>
      </c>
      <c r="W13" s="12" t="n">
        <f aca="false">IF(OR($U13="",$J13=""),"",$L13*($U13*$J13+(1-$U13)*$K13))</f>
        <v>2.50152979510686</v>
      </c>
      <c r="X13" s="6" t="n">
        <f aca="false">IF($W13="","",IF(LEFT($B13,4)="DOTA",Config!$B$7,Config!$B$6)*$W13+$L13^2*$U13*(1-$U13)*($J13-$K13)^2)</f>
        <v>4.05412096814732</v>
      </c>
      <c r="Y13" s="12" t="n">
        <f aca="false">IF($O13="","",$O13)</f>
        <v>2.50152979510686</v>
      </c>
      <c r="Z13" s="6" t="n">
        <f aca="false">IF($P13="","",$P13)</f>
        <v>4.05412096814732</v>
      </c>
      <c r="AA13" s="12" t="n">
        <f aca="false">IF($O13="","",N($N13)*N($O13)+N($R13)*N($S13))</f>
        <v>5.00305959021373</v>
      </c>
      <c r="AB13" s="6" t="n">
        <f aca="false">IF($O13="","",(N($N13)*N($P13)+N($N13)*(1-N($N13))*N($O13)^2)+(N($R13)*N($T13)+N($R13)*(1-N($R13))*N($S13)^2))</f>
        <v>8.10824193629464</v>
      </c>
      <c r="AC13" s="12" t="n">
        <f aca="false">IF($O13="","",N($N13)*N($O13)+N($R13)*N($S13)+N($V13)*N($W13))</f>
        <v>7.50458938532059</v>
      </c>
      <c r="AD13" s="6" t="n">
        <f aca="false">IF($O13="","",(N($N13)*N($P13)+N($N13)*(1-N($N13))*N($O13)^2)+(N($R13)*N($T13)+N($R13)*(1-N($R13))*N($S13)^2)+(N($V13)*N($X13)+N($V13)*(1-N($V13))*N($W13)^2))</f>
        <v>12.162362904442</v>
      </c>
      <c r="AE13" s="12" t="n">
        <f aca="false">IF($I13="","",$I13*$L13)</f>
        <v>2.7</v>
      </c>
      <c r="AF13" s="12" t="n">
        <f aca="false">IF($I13="","",$I13*$L13*(1+N($R13)))</f>
        <v>5.4</v>
      </c>
      <c r="AG13" s="12" t="n">
        <f aca="false">IF($I13="","",$I13*$L13*(1+N($R13)+N($V13)))</f>
        <v>8.1</v>
      </c>
      <c r="AH13" s="0" t="str">
        <f aca="false">TRIM(IF($G13&lt;Config!$B$9,"thin sample ("&amp;$G13&amp;" maps) · ","")&amp;IF($I13="","no PickFinder stats · ","")&amp;IFERROR(IF(INDEX(Players!$T$2:$T$18,MATCH($E13,Players!$A$2:$A$18,0))&lt;0.5,"new roster: "&amp;TEXT(INDEX(Players!$T$2:$T$18,MATCH($E13,Players!$A$2:$A$18,0)),"0%")&amp;" of his recent games with these teammates",""),""))</f>
        <v>new roster: 0% of his recent games with these teammates</v>
      </c>
      <c r="AI13" s="0" t="str">
        <f aca="false">IF($B13=Board!$B$2,COUNTIFS($B$2:$B$18,Board!$B$2,$Y$2:$Y$18,"&gt;"&amp;$Y13)+COUNTIFS($B$1:$B12,Board!$B$2,$Y$1:$Y12,$Y13)+1,"")</f>
        <v/>
      </c>
      <c r="AJ13" s="0" t="str">
        <f aca="false">IFERROR(IF(INDEX(Matches!$D$5:$D$6,MATCH($B13,Matches!$A$5:$A$6,0))=3,"K12","K13"),"K13")</f>
        <v>K13</v>
      </c>
      <c r="AK13" s="12" t="n">
        <f aca="false">IF($AJ13="K12",$AA13,$AC13)</f>
        <v>7.50458938532059</v>
      </c>
    </row>
    <row r="14" customFormat="false" ht="15" hidden="false" customHeight="false" outlineLevel="0" collapsed="false">
      <c r="A14" s="0" t="s">
        <v>138</v>
      </c>
      <c r="B14" s="0" t="s">
        <v>80</v>
      </c>
      <c r="C14" s="0" t="s">
        <v>86</v>
      </c>
      <c r="D14" s="0" t="s">
        <v>137</v>
      </c>
      <c r="E14" s="0" t="s">
        <v>188</v>
      </c>
      <c r="F14" s="0" t="str">
        <f aca="false">IFERROR(IF($C14=INDEX(Matches!$S$5:$S$6,MATCH($B14,Matches!$A$5:$A$6,0)),"A",IF($C14=INDEX(Matches!$T$5:$T$6,MATCH($B14,Matches!$A$5:$A$6,0)),"B","")),"")</f>
        <v>B</v>
      </c>
      <c r="G14" s="0" t="n">
        <f aca="false">IFERROR(INDEX(Players!$E$2:$E$18,MATCH($E14,Players!$A$2:$A$18,0)),0)</f>
        <v>30</v>
      </c>
      <c r="H14" s="7" t="n">
        <f aca="false">IFERROR(INDEX(Players!$F$2:$F$18,MATCH($E14,Players!$A$2:$A$18,0)),"")</f>
        <v>0.6</v>
      </c>
      <c r="I14" s="6" t="n">
        <f aca="false">IFERROR(INDEX(Players!$G$2:$G$18,MATCH($E14,Players!$A$2:$A$18,0)),"")</f>
        <v>3.5</v>
      </c>
      <c r="J14" s="12" t="n">
        <f aca="false">IF(OR($I14="",$H14=""),"",$I14*IF(LEFT($B14,4)="DOTA",Config!$B$5,Config!$B$4)/($H14*IF(LEFT($B14,4)="DOTA",Config!$B$5,Config!$B$4)+1-$H14))</f>
        <v>4.48146002317497</v>
      </c>
      <c r="K14" s="12" t="n">
        <f aca="false">IF(OR($I14="",$H14=""),"",$I14/($H14*IF(LEFT($B14,4)="DOTA",Config!$B$5,Config!$B$4)+1-$H14))</f>
        <v>2.02780996523754</v>
      </c>
      <c r="L14" s="6" t="n">
        <f aca="false">IFERROR(INDEX(Matches!$R$5:$R$6,MATCH($B14,Matches!$A$5:$A$6,0)),1)</f>
        <v>1</v>
      </c>
      <c r="M14" s="7" t="n">
        <f aca="false">IFERROR(IF(INDEX(Matches!$M$5:$M$6,MATCH($B14,Matches!$A$5:$A$6,0))="","",IF($F14="A",INDEX(Matches!$M$5:$M$6,MATCH($B14,Matches!$A$5:$A$6,0)),1-INDEX(Matches!$M$5:$M$6,MATCH($B14,Matches!$A$5:$A$6,0)))),"")</f>
        <v>0.56</v>
      </c>
      <c r="N14" s="6" t="n">
        <f aca="false">1</f>
        <v>1</v>
      </c>
      <c r="O14" s="12" t="n">
        <f aca="false">IF(OR($M14="",$J14=""),"",$L14*($M14*$J14+(1-$M14)*$K14))</f>
        <v>3.4018539976825</v>
      </c>
      <c r="P14" s="6" t="n">
        <f aca="false">IF($O14="","",IF(LEFT($B14,4)="DOTA",Config!$B$7,Config!$B$6)*$O14+$L14^2*$M14*(1-$M14)*($J14-$K14)^2)</f>
        <v>5.9058364137068</v>
      </c>
      <c r="Q14" s="7" t="n">
        <f aca="false">IFERROR(IF(INDEX(Matches!$N$5:$N$6,MATCH($B14,Matches!$A$5:$A$6,0))="","",IF($F14="A",INDEX(Matches!$N$5:$N$6,MATCH($B14,Matches!$A$5:$A$6,0)),1-INDEX(Matches!$N$5:$N$6,MATCH($B14,Matches!$A$5:$A$6,0)))),"")</f>
        <v>0.56</v>
      </c>
      <c r="R14" s="6" t="n">
        <f aca="false">IFERROR(N(INDEX(Matches!$P$5:$P$6,MATCH($B14,Matches!$A$5:$A$6,0))),0)</f>
        <v>1</v>
      </c>
      <c r="S14" s="12" t="n">
        <f aca="false">IF(OR($Q14="",$J14=""),"",$L14*($Q14*$J14+(1-$Q14)*$K14))</f>
        <v>3.4018539976825</v>
      </c>
      <c r="T14" s="6" t="n">
        <f aca="false">IF($S14="","",IF(LEFT($B14,4)="DOTA",Config!$B$7,Config!$B$6)*$S14+$L14^2*$Q14*(1-$Q14)*($J14-$K14)^2)</f>
        <v>5.9058364137068</v>
      </c>
      <c r="U14" s="7" t="n">
        <f aca="false">IFERROR(IF(INDEX(Matches!$O$5:$O$6,MATCH($B14,Matches!$A$5:$A$6,0))="","",IF($F14="A",INDEX(Matches!$O$5:$O$6,MATCH($B14,Matches!$A$5:$A$6,0)),1-INDEX(Matches!$O$5:$O$6,MATCH($B14,Matches!$A$5:$A$6,0)))),"")</f>
        <v>0.56</v>
      </c>
      <c r="V14" s="6" t="n">
        <f aca="false">IFERROR(N(INDEX(Matches!$Q$5:$Q$6,MATCH($B14,Matches!$A$5:$A$6,0))),0)</f>
        <v>1</v>
      </c>
      <c r="W14" s="12" t="n">
        <f aca="false">IF(OR($U14="",$J14=""),"",$L14*($U14*$J14+(1-$U14)*$K14))</f>
        <v>3.4018539976825</v>
      </c>
      <c r="X14" s="6" t="n">
        <f aca="false">IF($W14="","",IF(LEFT($B14,4)="DOTA",Config!$B$7,Config!$B$6)*$W14+$L14^2*$U14*(1-$U14)*($J14-$K14)^2)</f>
        <v>5.9058364137068</v>
      </c>
      <c r="Y14" s="12" t="n">
        <f aca="false">IF($O14="","",$O14)</f>
        <v>3.4018539976825</v>
      </c>
      <c r="Z14" s="6" t="n">
        <f aca="false">IF($P14="","",$P14)</f>
        <v>5.9058364137068</v>
      </c>
      <c r="AA14" s="12" t="n">
        <f aca="false">IF($O14="","",N($N14)*N($O14)+N($R14)*N($S14))</f>
        <v>6.80370799536501</v>
      </c>
      <c r="AB14" s="6" t="n">
        <f aca="false">IF($O14="","",(N($N14)*N($P14)+N($N14)*(1-N($N14))*N($O14)^2)+(N($R14)*N($T14)+N($R14)*(1-N($R14))*N($S14)^2))</f>
        <v>11.8116728274136</v>
      </c>
      <c r="AC14" s="12" t="n">
        <f aca="false">IF($O14="","",N($N14)*N($O14)+N($R14)*N($S14)+N($V14)*N($W14))</f>
        <v>10.2055619930475</v>
      </c>
      <c r="AD14" s="6" t="n">
        <f aca="false">IF($O14="","",(N($N14)*N($P14)+N($N14)*(1-N($N14))*N($O14)^2)+(N($R14)*N($T14)+N($R14)*(1-N($R14))*N($S14)^2)+(N($V14)*N($X14)+N($V14)*(1-N($V14))*N($W14)^2))</f>
        <v>17.7175092411204</v>
      </c>
      <c r="AE14" s="12" t="n">
        <f aca="false">IF($I14="","",$I14*$L14)</f>
        <v>3.5</v>
      </c>
      <c r="AF14" s="12" t="n">
        <f aca="false">IF($I14="","",$I14*$L14*(1+N($R14)))</f>
        <v>7</v>
      </c>
      <c r="AG14" s="12" t="n">
        <f aca="false">IF($I14="","",$I14*$L14*(1+N($R14)+N($V14)))</f>
        <v>10.5</v>
      </c>
      <c r="AH14" s="0" t="str">
        <f aca="false">TRIM(IF($G14&lt;Config!$B$9,"thin sample ("&amp;$G14&amp;" maps) · ","")&amp;IF($I14="","no PickFinder stats · ","")&amp;IFERROR(IF(INDEX(Players!$T$2:$T$18,MATCH($E14,Players!$A$2:$A$18,0))&lt;0.5,"new roster: "&amp;TEXT(INDEX(Players!$T$2:$T$18,MATCH($E14,Players!$A$2:$A$18,0)),"0%")&amp;" of his recent games with these teammates",""),""))</f>
        <v>new roster: 0% of his recent games with these teammates</v>
      </c>
      <c r="AI14" s="0" t="str">
        <f aca="false">IF($B14=Board!$B$2,COUNTIFS($B$2:$B$18,Board!$B$2,$Y$2:$Y$18,"&gt;"&amp;$Y14)+COUNTIFS($B$1:$B13,Board!$B$2,$Y$1:$Y13,$Y14)+1,"")</f>
        <v/>
      </c>
      <c r="AJ14" s="0" t="str">
        <f aca="false">IFERROR(IF(INDEX(Matches!$D$5:$D$6,MATCH($B14,Matches!$A$5:$A$6,0))=3,"K12","K13"),"K13")</f>
        <v>K13</v>
      </c>
      <c r="AK14" s="12" t="n">
        <f aca="false">IF($AJ14="K12",$AA14,$AC14)</f>
        <v>10.2055619930475</v>
      </c>
    </row>
    <row r="15" customFormat="false" ht="15" hidden="false" customHeight="false" outlineLevel="0" collapsed="false">
      <c r="A15" s="0" t="s">
        <v>140</v>
      </c>
      <c r="B15" s="0" t="s">
        <v>80</v>
      </c>
      <c r="C15" s="0" t="s">
        <v>85</v>
      </c>
      <c r="D15" s="0" t="s">
        <v>139</v>
      </c>
      <c r="E15" s="0" t="s">
        <v>189</v>
      </c>
      <c r="F15" s="0" t="str">
        <f aca="false">IFERROR(IF($C15=INDEX(Matches!$S$5:$S$6,MATCH($B15,Matches!$A$5:$A$6,0)),"A",IF($C15=INDEX(Matches!$T$5:$T$6,MATCH($B15,Matches!$A$5:$A$6,0)),"B","")),"")</f>
        <v>A</v>
      </c>
      <c r="G15" s="0" t="n">
        <f aca="false">IFERROR(INDEX(Players!$E$2:$E$18,MATCH($E15,Players!$A$2:$A$18,0)),0)</f>
        <v>30</v>
      </c>
      <c r="H15" s="7" t="n">
        <f aca="false">IFERROR(INDEX(Players!$F$2:$F$18,MATCH($E15,Players!$A$2:$A$18,0)),"")</f>
        <v>0.47</v>
      </c>
      <c r="I15" s="6" t="n">
        <f aca="false">IFERROR(INDEX(Players!$G$2:$G$18,MATCH($E15,Players!$A$2:$A$18,0)),"")</f>
        <v>4</v>
      </c>
      <c r="J15" s="12" t="n">
        <f aca="false">IF(OR($I15="",$H15=""),"",$I15*IF(LEFT($B15,4)="DOTA",Config!$B$5,Config!$B$4)/($H15*IF(LEFT($B15,4)="DOTA",Config!$B$5,Config!$B$4)+1-$H15))</f>
        <v>5.63523937017913</v>
      </c>
      <c r="K15" s="12" t="n">
        <f aca="false">IF(OR($I15="",$H15=""),"",$I15/($H15*IF(LEFT($B15,4)="DOTA",Config!$B$5,Config!$B$4)+1-$H15))</f>
        <v>2.54988206795436</v>
      </c>
      <c r="L15" s="6" t="n">
        <f aca="false">IFERROR(INDEX(Matches!$R$5:$R$6,MATCH($B15,Matches!$A$5:$A$6,0)),1)</f>
        <v>1</v>
      </c>
      <c r="M15" s="7" t="n">
        <f aca="false">IFERROR(IF(INDEX(Matches!$M$5:$M$6,MATCH($B15,Matches!$A$5:$A$6,0))="","",IF($F15="A",INDEX(Matches!$M$5:$M$6,MATCH($B15,Matches!$A$5:$A$6,0)),1-INDEX(Matches!$M$5:$M$6,MATCH($B15,Matches!$A$5:$A$6,0)))),"")</f>
        <v>0.44</v>
      </c>
      <c r="N15" s="6" t="n">
        <f aca="false">1</f>
        <v>1</v>
      </c>
      <c r="O15" s="12" t="n">
        <f aca="false">IF(OR($M15="",$J15=""),"",$L15*($M15*$J15+(1-$M15)*$K15))</f>
        <v>3.90743928093326</v>
      </c>
      <c r="P15" s="6" t="n">
        <f aca="false">IF($O15="","",IF(LEFT($B15,4)="DOTA",Config!$B$7,Config!$B$6)*$O15+$L15^2*$M15*(1-$M15)*($J15-$K15)^2)</f>
        <v>7.42525853895456</v>
      </c>
      <c r="Q15" s="7" t="n">
        <f aca="false">IFERROR(IF(INDEX(Matches!$N$5:$N$6,MATCH($B15,Matches!$A$5:$A$6,0))="","",IF($F15="A",INDEX(Matches!$N$5:$N$6,MATCH($B15,Matches!$A$5:$A$6,0)),1-INDEX(Matches!$N$5:$N$6,MATCH($B15,Matches!$A$5:$A$6,0)))),"")</f>
        <v>0.44</v>
      </c>
      <c r="R15" s="6" t="n">
        <f aca="false">IFERROR(N(INDEX(Matches!$P$5:$P$6,MATCH($B15,Matches!$A$5:$A$6,0))),0)</f>
        <v>1</v>
      </c>
      <c r="S15" s="12" t="n">
        <f aca="false">IF(OR($Q15="",$J15=""),"",$L15*($Q15*$J15+(1-$Q15)*$K15))</f>
        <v>3.90743928093326</v>
      </c>
      <c r="T15" s="6" t="n">
        <f aca="false">IF($S15="","",IF(LEFT($B15,4)="DOTA",Config!$B$7,Config!$B$6)*$S15+$L15^2*$Q15*(1-$Q15)*($J15-$K15)^2)</f>
        <v>7.42525853895456</v>
      </c>
      <c r="U15" s="7" t="n">
        <f aca="false">IFERROR(IF(INDEX(Matches!$O$5:$O$6,MATCH($B15,Matches!$A$5:$A$6,0))="","",IF($F15="A",INDEX(Matches!$O$5:$O$6,MATCH($B15,Matches!$A$5:$A$6,0)),1-INDEX(Matches!$O$5:$O$6,MATCH($B15,Matches!$A$5:$A$6,0)))),"")</f>
        <v>0.44</v>
      </c>
      <c r="V15" s="6" t="n">
        <f aca="false">IFERROR(N(INDEX(Matches!$Q$5:$Q$6,MATCH($B15,Matches!$A$5:$A$6,0))),0)</f>
        <v>1</v>
      </c>
      <c r="W15" s="12" t="n">
        <f aca="false">IF(OR($U15="",$J15=""),"",$L15*($U15*$J15+(1-$U15)*$K15))</f>
        <v>3.90743928093326</v>
      </c>
      <c r="X15" s="6" t="n">
        <f aca="false">IF($W15="","",IF(LEFT($B15,4)="DOTA",Config!$B$7,Config!$B$6)*$W15+$L15^2*$U15*(1-$U15)*($J15-$K15)^2)</f>
        <v>7.42525853895456</v>
      </c>
      <c r="Y15" s="12" t="n">
        <f aca="false">IF($O15="","",$O15)</f>
        <v>3.90743928093326</v>
      </c>
      <c r="Z15" s="6" t="n">
        <f aca="false">IF($P15="","",$P15)</f>
        <v>7.42525853895456</v>
      </c>
      <c r="AA15" s="12" t="n">
        <f aca="false">IF($O15="","",N($N15)*N($O15)+N($R15)*N($S15))</f>
        <v>7.81487856186651</v>
      </c>
      <c r="AB15" s="6" t="n">
        <f aca="false">IF($O15="","",(N($N15)*N($P15)+N($N15)*(1-N($N15))*N($O15)^2)+(N($R15)*N($T15)+N($R15)*(1-N($R15))*N($S15)^2))</f>
        <v>14.8505170779091</v>
      </c>
      <c r="AC15" s="12" t="n">
        <f aca="false">IF($O15="","",N($N15)*N($O15)+N($R15)*N($S15)+N($V15)*N($W15))</f>
        <v>11.7223178427998</v>
      </c>
      <c r="AD15" s="6" t="n">
        <f aca="false">IF($O15="","",(N($N15)*N($P15)+N($N15)*(1-N($N15))*N($O15)^2)+(N($R15)*N($T15)+N($R15)*(1-N($R15))*N($S15)^2)+(N($V15)*N($X15)+N($V15)*(1-N($V15))*N($W15)^2))</f>
        <v>22.2757756168637</v>
      </c>
      <c r="AE15" s="12" t="n">
        <f aca="false">IF($I15="","",$I15*$L15)</f>
        <v>4</v>
      </c>
      <c r="AF15" s="12" t="n">
        <f aca="false">IF($I15="","",$I15*$L15*(1+N($R15)))</f>
        <v>8</v>
      </c>
      <c r="AG15" s="12" t="n">
        <f aca="false">IF($I15="","",$I15*$L15*(1+N($R15)+N($V15)))</f>
        <v>12</v>
      </c>
      <c r="AH15" s="0" t="str">
        <f aca="false">TRIM(IF($G15&lt;Config!$B$9,"thin sample ("&amp;$G15&amp;" maps) · ","")&amp;IF($I15="","no PickFinder stats · ","")&amp;IFERROR(IF(INDEX(Players!$T$2:$T$18,MATCH($E15,Players!$A$2:$A$18,0))&lt;0.5,"new roster: "&amp;TEXT(INDEX(Players!$T$2:$T$18,MATCH($E15,Players!$A$2:$A$18,0)),"0%")&amp;" of his recent games with these teammates",""),""))</f>
        <v>new roster: 0% of his recent games with these teammates</v>
      </c>
      <c r="AI15" s="0" t="str">
        <f aca="false">IF($B15=Board!$B$2,COUNTIFS($B$2:$B$18,Board!$B$2,$Y$2:$Y$18,"&gt;"&amp;$Y15)+COUNTIFS($B$1:$B14,Board!$B$2,$Y$1:$Y14,$Y15)+1,"")</f>
        <v/>
      </c>
      <c r="AJ15" s="0" t="str">
        <f aca="false">IFERROR(IF(INDEX(Matches!$D$5:$D$6,MATCH($B15,Matches!$A$5:$A$6,0))=3,"K12","K13"),"K13")</f>
        <v>K13</v>
      </c>
      <c r="AK15" s="12" t="n">
        <f aca="false">IF($AJ15="K12",$AA15,$AC15)</f>
        <v>11.7223178427998</v>
      </c>
    </row>
    <row r="16" customFormat="false" ht="15" hidden="false" customHeight="false" outlineLevel="0" collapsed="false">
      <c r="A16" s="0" t="s">
        <v>142</v>
      </c>
      <c r="B16" s="0" t="s">
        <v>80</v>
      </c>
      <c r="C16" s="0" t="s">
        <v>85</v>
      </c>
      <c r="D16" s="0" t="s">
        <v>141</v>
      </c>
      <c r="E16" s="0" t="s">
        <v>190</v>
      </c>
      <c r="F16" s="0" t="str">
        <f aca="false">IFERROR(IF($C16=INDEX(Matches!$S$5:$S$6,MATCH($B16,Matches!$A$5:$A$6,0)),"A",IF($C16=INDEX(Matches!$T$5:$T$6,MATCH($B16,Matches!$A$5:$A$6,0)),"B","")),"")</f>
        <v>A</v>
      </c>
      <c r="G16" s="0" t="n">
        <f aca="false">IFERROR(INDEX(Players!$E$2:$E$18,MATCH($E16,Players!$A$2:$A$18,0)),0)</f>
        <v>30</v>
      </c>
      <c r="H16" s="7" t="n">
        <f aca="false">IFERROR(INDEX(Players!$F$2:$F$18,MATCH($E16,Players!$A$2:$A$18,0)),"")</f>
        <v>0.47</v>
      </c>
      <c r="I16" s="6" t="n">
        <f aca="false">IFERROR(INDEX(Players!$G$2:$G$18,MATCH($E16,Players!$A$2:$A$18,0)),"")</f>
        <v>3.6</v>
      </c>
      <c r="J16" s="12" t="n">
        <f aca="false">IF(OR($I16="",$H16=""),"",$I16*IF(LEFT($B16,4)="DOTA",Config!$B$5,Config!$B$4)/($H16*IF(LEFT($B16,4)="DOTA",Config!$B$5,Config!$B$4)+1-$H16))</f>
        <v>5.07171543316122</v>
      </c>
      <c r="K16" s="12" t="n">
        <f aca="false">IF(OR($I16="",$H16=""),"",$I16/($H16*IF(LEFT($B16,4)="DOTA",Config!$B$5,Config!$B$4)+1-$H16))</f>
        <v>2.29489386115892</v>
      </c>
      <c r="L16" s="6" t="n">
        <f aca="false">IFERROR(INDEX(Matches!$R$5:$R$6,MATCH($B16,Matches!$A$5:$A$6,0)),1)</f>
        <v>1</v>
      </c>
      <c r="M16" s="7" t="n">
        <f aca="false">IFERROR(IF(INDEX(Matches!$M$5:$M$6,MATCH($B16,Matches!$A$5:$A$6,0))="","",IF($F16="A",INDEX(Matches!$M$5:$M$6,MATCH($B16,Matches!$A$5:$A$6,0)),1-INDEX(Matches!$M$5:$M$6,MATCH($B16,Matches!$A$5:$A$6,0)))),"")</f>
        <v>0.44</v>
      </c>
      <c r="N16" s="6" t="n">
        <f aca="false">1</f>
        <v>1</v>
      </c>
      <c r="O16" s="12" t="n">
        <f aca="false">IF(OR($M16="",$J16=""),"",$L16*($M16*$J16+(1-$M16)*$K16))</f>
        <v>3.51669535283993</v>
      </c>
      <c r="P16" s="6" t="n">
        <f aca="false">IF($O16="","",IF(LEFT($B16,4)="DOTA",Config!$B$7,Config!$B$6)*$O16+$L16^2*$M16*(1-$M16)*($J16-$K16)^2)</f>
        <v>6.47162981242238</v>
      </c>
      <c r="Q16" s="7" t="n">
        <f aca="false">IFERROR(IF(INDEX(Matches!$N$5:$N$6,MATCH($B16,Matches!$A$5:$A$6,0))="","",IF($F16="A",INDEX(Matches!$N$5:$N$6,MATCH($B16,Matches!$A$5:$A$6,0)),1-INDEX(Matches!$N$5:$N$6,MATCH($B16,Matches!$A$5:$A$6,0)))),"")</f>
        <v>0.44</v>
      </c>
      <c r="R16" s="6" t="n">
        <f aca="false">IFERROR(N(INDEX(Matches!$P$5:$P$6,MATCH($B16,Matches!$A$5:$A$6,0))),0)</f>
        <v>1</v>
      </c>
      <c r="S16" s="12" t="n">
        <f aca="false">IF(OR($Q16="",$J16=""),"",$L16*($Q16*$J16+(1-$Q16)*$K16))</f>
        <v>3.51669535283993</v>
      </c>
      <c r="T16" s="6" t="n">
        <f aca="false">IF($S16="","",IF(LEFT($B16,4)="DOTA",Config!$B$7,Config!$B$6)*$S16+$L16^2*$Q16*(1-$Q16)*($J16-$K16)^2)</f>
        <v>6.47162981242238</v>
      </c>
      <c r="U16" s="7" t="n">
        <f aca="false">IFERROR(IF(INDEX(Matches!$O$5:$O$6,MATCH($B16,Matches!$A$5:$A$6,0))="","",IF($F16="A",INDEX(Matches!$O$5:$O$6,MATCH($B16,Matches!$A$5:$A$6,0)),1-INDEX(Matches!$O$5:$O$6,MATCH($B16,Matches!$A$5:$A$6,0)))),"")</f>
        <v>0.44</v>
      </c>
      <c r="V16" s="6" t="n">
        <f aca="false">IFERROR(N(INDEX(Matches!$Q$5:$Q$6,MATCH($B16,Matches!$A$5:$A$6,0))),0)</f>
        <v>1</v>
      </c>
      <c r="W16" s="12" t="n">
        <f aca="false">IF(OR($U16="",$J16=""),"",$L16*($U16*$J16+(1-$U16)*$K16))</f>
        <v>3.51669535283993</v>
      </c>
      <c r="X16" s="6" t="n">
        <f aca="false">IF($W16="","",IF(LEFT($B16,4)="DOTA",Config!$B$7,Config!$B$6)*$W16+$L16^2*$U16*(1-$U16)*($J16-$K16)^2)</f>
        <v>6.47162981242238</v>
      </c>
      <c r="Y16" s="12" t="n">
        <f aca="false">IF($O16="","",$O16)</f>
        <v>3.51669535283993</v>
      </c>
      <c r="Z16" s="6" t="n">
        <f aca="false">IF($P16="","",$P16)</f>
        <v>6.47162981242238</v>
      </c>
      <c r="AA16" s="12" t="n">
        <f aca="false">IF($O16="","",N($N16)*N($O16)+N($R16)*N($S16))</f>
        <v>7.03339070567986</v>
      </c>
      <c r="AB16" s="6" t="n">
        <f aca="false">IF($O16="","",(N($N16)*N($P16)+N($N16)*(1-N($N16))*N($O16)^2)+(N($R16)*N($T16)+N($R16)*(1-N($R16))*N($S16)^2))</f>
        <v>12.9432596248448</v>
      </c>
      <c r="AC16" s="12" t="n">
        <f aca="false">IF($O16="","",N($N16)*N($O16)+N($R16)*N($S16)+N($V16)*N($W16))</f>
        <v>10.5500860585198</v>
      </c>
      <c r="AD16" s="6" t="n">
        <f aca="false">IF($O16="","",(N($N16)*N($P16)+N($N16)*(1-N($N16))*N($O16)^2)+(N($R16)*N($T16)+N($R16)*(1-N($R16))*N($S16)^2)+(N($V16)*N($X16)+N($V16)*(1-N($V16))*N($W16)^2))</f>
        <v>19.4148894372671</v>
      </c>
      <c r="AE16" s="12" t="n">
        <f aca="false">IF($I16="","",$I16*$L16)</f>
        <v>3.6</v>
      </c>
      <c r="AF16" s="12" t="n">
        <f aca="false">IF($I16="","",$I16*$L16*(1+N($R16)))</f>
        <v>7.2</v>
      </c>
      <c r="AG16" s="12" t="n">
        <f aca="false">IF($I16="","",$I16*$L16*(1+N($R16)+N($V16)))</f>
        <v>10.8</v>
      </c>
      <c r="AH16" s="0" t="str">
        <f aca="false">TRIM(IF($G16&lt;Config!$B$9,"thin sample ("&amp;$G16&amp;" maps) · ","")&amp;IF($I16="","no PickFinder stats · ","")&amp;IFERROR(IF(INDEX(Players!$T$2:$T$18,MATCH($E16,Players!$A$2:$A$18,0))&lt;0.5,"new roster: "&amp;TEXT(INDEX(Players!$T$2:$T$18,MATCH($E16,Players!$A$2:$A$18,0)),"0%")&amp;" of his recent games with these teammates",""),""))</f>
        <v>new roster: 0% of his recent games with these teammates</v>
      </c>
      <c r="AI16" s="0" t="str">
        <f aca="false">IF($B16=Board!$B$2,COUNTIFS($B$2:$B$18,Board!$B$2,$Y$2:$Y$18,"&gt;"&amp;$Y16)+COUNTIFS($B$1:$B15,Board!$B$2,$Y$1:$Y15,$Y16)+1,"")</f>
        <v/>
      </c>
      <c r="AJ16" s="0" t="str">
        <f aca="false">IFERROR(IF(INDEX(Matches!$D$5:$D$6,MATCH($B16,Matches!$A$5:$A$6,0))=3,"K12","K13"),"K13")</f>
        <v>K13</v>
      </c>
      <c r="AK16" s="12" t="n">
        <f aca="false">IF($AJ16="K12",$AA16,$AC16)</f>
        <v>10.5500860585198</v>
      </c>
    </row>
    <row r="17" customFormat="false" ht="15" hidden="false" customHeight="false" outlineLevel="0" collapsed="false">
      <c r="A17" s="0" t="s">
        <v>144</v>
      </c>
      <c r="B17" s="0" t="s">
        <v>80</v>
      </c>
      <c r="C17" s="0" t="s">
        <v>85</v>
      </c>
      <c r="D17" s="0" t="s">
        <v>143</v>
      </c>
      <c r="E17" s="0" t="s">
        <v>191</v>
      </c>
      <c r="F17" s="0" t="str">
        <f aca="false">IFERROR(IF($C17=INDEX(Matches!$S$5:$S$6,MATCH($B17,Matches!$A$5:$A$6,0)),"A",IF($C17=INDEX(Matches!$T$5:$T$6,MATCH($B17,Matches!$A$5:$A$6,0)),"B","")),"")</f>
        <v>A</v>
      </c>
      <c r="G17" s="0" t="n">
        <f aca="false">IFERROR(INDEX(Players!$E$2:$E$18,MATCH($E17,Players!$A$2:$A$18,0)),0)</f>
        <v>30</v>
      </c>
      <c r="H17" s="7" t="n">
        <f aca="false">IFERROR(INDEX(Players!$F$2:$F$18,MATCH($E17,Players!$A$2:$A$18,0)),"")</f>
        <v>0.5</v>
      </c>
      <c r="I17" s="6" t="n">
        <f aca="false">IFERROR(INDEX(Players!$G$2:$G$18,MATCH($E17,Players!$A$2:$A$18,0)),"")</f>
        <v>2.8</v>
      </c>
      <c r="J17" s="12" t="n">
        <f aca="false">IF(OR($I17="",$H17=""),"",$I17*IF(LEFT($B17,4)="DOTA",Config!$B$5,Config!$B$4)/($H17*IF(LEFT($B17,4)="DOTA",Config!$B$5,Config!$B$4)+1-$H17))</f>
        <v>3.85545171339564</v>
      </c>
      <c r="K17" s="12" t="n">
        <f aca="false">IF(OR($I17="",$H17=""),"",$I17/($H17*IF(LEFT($B17,4)="DOTA",Config!$B$5,Config!$B$4)+1-$H17))</f>
        <v>1.74454828660436</v>
      </c>
      <c r="L17" s="6" t="n">
        <f aca="false">IFERROR(INDEX(Matches!$R$5:$R$6,MATCH($B17,Matches!$A$5:$A$6,0)),1)</f>
        <v>1</v>
      </c>
      <c r="M17" s="7" t="n">
        <f aca="false">IFERROR(IF(INDEX(Matches!$M$5:$M$6,MATCH($B17,Matches!$A$5:$A$6,0))="","",IF($F17="A",INDEX(Matches!$M$5:$M$6,MATCH($B17,Matches!$A$5:$A$6,0)),1-INDEX(Matches!$M$5:$M$6,MATCH($B17,Matches!$A$5:$A$6,0)))),"")</f>
        <v>0.44</v>
      </c>
      <c r="N17" s="6" t="n">
        <f aca="false">1</f>
        <v>1</v>
      </c>
      <c r="O17" s="12" t="n">
        <f aca="false">IF(OR($M17="",$J17=""),"",$L17*($M17*$J17+(1-$M17)*$K17))</f>
        <v>2.67334579439252</v>
      </c>
      <c r="P17" s="6" t="n">
        <f aca="false">IF($O17="","",IF(LEFT($B17,4)="DOTA",Config!$B$7,Config!$B$6)*$O17+$L17^2*$M17*(1-$M17)*($J17-$K17)^2)</f>
        <v>4.57328656422201</v>
      </c>
      <c r="Q17" s="7" t="n">
        <f aca="false">IFERROR(IF(INDEX(Matches!$N$5:$N$6,MATCH($B17,Matches!$A$5:$A$6,0))="","",IF($F17="A",INDEX(Matches!$N$5:$N$6,MATCH($B17,Matches!$A$5:$A$6,0)),1-INDEX(Matches!$N$5:$N$6,MATCH($B17,Matches!$A$5:$A$6,0)))),"")</f>
        <v>0.44</v>
      </c>
      <c r="R17" s="6" t="n">
        <f aca="false">IFERROR(N(INDEX(Matches!$P$5:$P$6,MATCH($B17,Matches!$A$5:$A$6,0))),0)</f>
        <v>1</v>
      </c>
      <c r="S17" s="12" t="n">
        <f aca="false">IF(OR($Q17="",$J17=""),"",$L17*($Q17*$J17+(1-$Q17)*$K17))</f>
        <v>2.67334579439252</v>
      </c>
      <c r="T17" s="6" t="n">
        <f aca="false">IF($S17="","",IF(LEFT($B17,4)="DOTA",Config!$B$7,Config!$B$6)*$S17+$L17^2*$Q17*(1-$Q17)*($J17-$K17)^2)</f>
        <v>4.57328656422201</v>
      </c>
      <c r="U17" s="7" t="n">
        <f aca="false">IFERROR(IF(INDEX(Matches!$O$5:$O$6,MATCH($B17,Matches!$A$5:$A$6,0))="","",IF($F17="A",INDEX(Matches!$O$5:$O$6,MATCH($B17,Matches!$A$5:$A$6,0)),1-INDEX(Matches!$O$5:$O$6,MATCH($B17,Matches!$A$5:$A$6,0)))),"")</f>
        <v>0.44</v>
      </c>
      <c r="V17" s="6" t="n">
        <f aca="false">IFERROR(N(INDEX(Matches!$Q$5:$Q$6,MATCH($B17,Matches!$A$5:$A$6,0))),0)</f>
        <v>1</v>
      </c>
      <c r="W17" s="12" t="n">
        <f aca="false">IF(OR($U17="",$J17=""),"",$L17*($U17*$J17+(1-$U17)*$K17))</f>
        <v>2.67334579439252</v>
      </c>
      <c r="X17" s="6" t="n">
        <f aca="false">IF($W17="","",IF(LEFT($B17,4)="DOTA",Config!$B$7,Config!$B$6)*$W17+$L17^2*$U17*(1-$U17)*($J17-$K17)^2)</f>
        <v>4.57328656422201</v>
      </c>
      <c r="Y17" s="12" t="n">
        <f aca="false">IF($O17="","",$O17)</f>
        <v>2.67334579439252</v>
      </c>
      <c r="Z17" s="6" t="n">
        <f aca="false">IF($P17="","",$P17)</f>
        <v>4.57328656422201</v>
      </c>
      <c r="AA17" s="12" t="n">
        <f aca="false">IF($O17="","",N($N17)*N($O17)+N($R17)*N($S17))</f>
        <v>5.34669158878505</v>
      </c>
      <c r="AB17" s="6" t="n">
        <f aca="false">IF($O17="","",(N($N17)*N($P17)+N($N17)*(1-N($N17))*N($O17)^2)+(N($R17)*N($T17)+N($R17)*(1-N($R17))*N($S17)^2))</f>
        <v>9.14657312844402</v>
      </c>
      <c r="AC17" s="12" t="n">
        <f aca="false">IF($O17="","",N($N17)*N($O17)+N($R17)*N($S17)+N($V17)*N($W17))</f>
        <v>8.02003738317757</v>
      </c>
      <c r="AD17" s="6" t="n">
        <f aca="false">IF($O17="","",(N($N17)*N($P17)+N($N17)*(1-N($N17))*N($O17)^2)+(N($R17)*N($T17)+N($R17)*(1-N($R17))*N($S17)^2)+(N($V17)*N($X17)+N($V17)*(1-N($V17))*N($W17)^2))</f>
        <v>13.719859692666</v>
      </c>
      <c r="AE17" s="12" t="n">
        <f aca="false">IF($I17="","",$I17*$L17)</f>
        <v>2.8</v>
      </c>
      <c r="AF17" s="12" t="n">
        <f aca="false">IF($I17="","",$I17*$L17*(1+N($R17)))</f>
        <v>5.6</v>
      </c>
      <c r="AG17" s="12" t="n">
        <f aca="false">IF($I17="","",$I17*$L17*(1+N($R17)+N($V17)))</f>
        <v>8.4</v>
      </c>
      <c r="AH17" s="0" t="str">
        <f aca="false">TRIM(IF($G17&lt;Config!$B$9,"thin sample ("&amp;$G17&amp;" maps) · ","")&amp;IF($I17="","no PickFinder stats · ","")&amp;IFERROR(IF(INDEX(Players!$T$2:$T$18,MATCH($E17,Players!$A$2:$A$18,0))&lt;0.5,"new roster: "&amp;TEXT(INDEX(Players!$T$2:$T$18,MATCH($E17,Players!$A$2:$A$18,0)),"0%")&amp;" of his recent games with these teammates",""),""))</f>
        <v>new roster: 0% of his recent games with these teammates</v>
      </c>
      <c r="AI17" s="0" t="str">
        <f aca="false">IF($B17=Board!$B$2,COUNTIFS($B$2:$B$18,Board!$B$2,$Y$2:$Y$18,"&gt;"&amp;$Y17)+COUNTIFS($B$1:$B16,Board!$B$2,$Y$1:$Y16,$Y17)+1,"")</f>
        <v/>
      </c>
      <c r="AJ17" s="0" t="str">
        <f aca="false">IFERROR(IF(INDEX(Matches!$D$5:$D$6,MATCH($B17,Matches!$A$5:$A$6,0))=3,"K12","K13"),"K13")</f>
        <v>K13</v>
      </c>
      <c r="AK17" s="12" t="n">
        <f aca="false">IF($AJ17="K12",$AA17,$AC17)</f>
        <v>8.02003738317757</v>
      </c>
    </row>
    <row r="18" customFormat="false" ht="15" hidden="false" customHeight="false" outlineLevel="0" collapsed="false">
      <c r="A18" s="0" t="s">
        <v>146</v>
      </c>
      <c r="B18" s="0" t="s">
        <v>80</v>
      </c>
      <c r="C18" s="0" t="s">
        <v>85</v>
      </c>
      <c r="D18" s="0" t="s">
        <v>145</v>
      </c>
      <c r="E18" s="0" t="s">
        <v>192</v>
      </c>
      <c r="F18" s="0" t="str">
        <f aca="false">IFERROR(IF($C18=INDEX(Matches!$S$5:$S$6,MATCH($B18,Matches!$A$5:$A$6,0)),"A",IF($C18=INDEX(Matches!$T$5:$T$6,MATCH($B18,Matches!$A$5:$A$6,0)),"B","")),"")</f>
        <v>A</v>
      </c>
      <c r="G18" s="0" t="n">
        <f aca="false">IFERROR(INDEX(Players!$E$2:$E$18,MATCH($E18,Players!$A$2:$A$18,0)),0)</f>
        <v>30</v>
      </c>
      <c r="H18" s="7" t="n">
        <f aca="false">IFERROR(INDEX(Players!$F$2:$F$18,MATCH($E18,Players!$A$2:$A$18,0)),"")</f>
        <v>0.5</v>
      </c>
      <c r="I18" s="6" t="n">
        <f aca="false">IFERROR(INDEX(Players!$G$2:$G$18,MATCH($E18,Players!$A$2:$A$18,0)),"")</f>
        <v>0.8</v>
      </c>
      <c r="J18" s="12" t="n">
        <f aca="false">IF(OR($I18="",$H18=""),"",$I18*IF(LEFT($B18,4)="DOTA",Config!$B$5,Config!$B$4)/($H18*IF(LEFT($B18,4)="DOTA",Config!$B$5,Config!$B$4)+1-$H18))</f>
        <v>1.10155763239875</v>
      </c>
      <c r="K18" s="12" t="n">
        <f aca="false">IF(OR($I18="",$H18=""),"",$I18/($H18*IF(LEFT($B18,4)="DOTA",Config!$B$5,Config!$B$4)+1-$H18))</f>
        <v>0.498442367601246</v>
      </c>
      <c r="L18" s="6" t="n">
        <f aca="false">IFERROR(INDEX(Matches!$R$5:$R$6,MATCH($B18,Matches!$A$5:$A$6,0)),1)</f>
        <v>1</v>
      </c>
      <c r="M18" s="7" t="n">
        <f aca="false">IFERROR(IF(INDEX(Matches!$M$5:$M$6,MATCH($B18,Matches!$A$5:$A$6,0))="","",IF($F18="A",INDEX(Matches!$M$5:$M$6,MATCH($B18,Matches!$A$5:$A$6,0)),1-INDEX(Matches!$M$5:$M$6,MATCH($B18,Matches!$A$5:$A$6,0)))),"")</f>
        <v>0.44</v>
      </c>
      <c r="N18" s="6" t="n">
        <f aca="false">1</f>
        <v>1</v>
      </c>
      <c r="O18" s="12" t="n">
        <f aca="false">IF(OR($M18="",$J18=""),"",$L18*($M18*$J18+(1-$M18)*$K18))</f>
        <v>0.76381308411215</v>
      </c>
      <c r="P18" s="6" t="n">
        <f aca="false">IF($O18="","",IF(LEFT($B18,4)="DOTA",Config!$B$7,Config!$B$6)*$O18+$L18^2*$M18*(1-$M18)*($J18-$K18)^2)</f>
        <v>1.08258452212226</v>
      </c>
      <c r="Q18" s="7" t="n">
        <f aca="false">IFERROR(IF(INDEX(Matches!$N$5:$N$6,MATCH($B18,Matches!$A$5:$A$6,0))="","",IF($F18="A",INDEX(Matches!$N$5:$N$6,MATCH($B18,Matches!$A$5:$A$6,0)),1-INDEX(Matches!$N$5:$N$6,MATCH($B18,Matches!$A$5:$A$6,0)))),"")</f>
        <v>0.44</v>
      </c>
      <c r="R18" s="6" t="n">
        <f aca="false">IFERROR(N(INDEX(Matches!$P$5:$P$6,MATCH($B18,Matches!$A$5:$A$6,0))),0)</f>
        <v>1</v>
      </c>
      <c r="S18" s="12" t="n">
        <f aca="false">IF(OR($Q18="",$J18=""),"",$L18*($Q18*$J18+(1-$Q18)*$K18))</f>
        <v>0.76381308411215</v>
      </c>
      <c r="T18" s="6" t="n">
        <f aca="false">IF($S18="","",IF(LEFT($B18,4)="DOTA",Config!$B$7,Config!$B$6)*$S18+$L18^2*$Q18*(1-$Q18)*($J18-$K18)^2)</f>
        <v>1.08258452212226</v>
      </c>
      <c r="U18" s="7" t="n">
        <f aca="false">IFERROR(IF(INDEX(Matches!$O$5:$O$6,MATCH($B18,Matches!$A$5:$A$6,0))="","",IF($F18="A",INDEX(Matches!$O$5:$O$6,MATCH($B18,Matches!$A$5:$A$6,0)),1-INDEX(Matches!$O$5:$O$6,MATCH($B18,Matches!$A$5:$A$6,0)))),"")</f>
        <v>0.44</v>
      </c>
      <c r="V18" s="6" t="n">
        <f aca="false">IFERROR(N(INDEX(Matches!$Q$5:$Q$6,MATCH($B18,Matches!$A$5:$A$6,0))),0)</f>
        <v>1</v>
      </c>
      <c r="W18" s="12" t="n">
        <f aca="false">IF(OR($U18="",$J18=""),"",$L18*($U18*$J18+(1-$U18)*$K18))</f>
        <v>0.76381308411215</v>
      </c>
      <c r="X18" s="6" t="n">
        <f aca="false">IF($W18="","",IF(LEFT($B18,4)="DOTA",Config!$B$7,Config!$B$6)*$W18+$L18^2*$U18*(1-$U18)*($J18-$K18)^2)</f>
        <v>1.08258452212226</v>
      </c>
      <c r="Y18" s="12" t="n">
        <f aca="false">IF($O18="","",$O18)</f>
        <v>0.76381308411215</v>
      </c>
      <c r="Z18" s="6" t="n">
        <f aca="false">IF($P18="","",$P18)</f>
        <v>1.08258452212226</v>
      </c>
      <c r="AA18" s="12" t="n">
        <f aca="false">IF($O18="","",N($N18)*N($O18)+N($R18)*N($S18))</f>
        <v>1.5276261682243</v>
      </c>
      <c r="AB18" s="6" t="n">
        <f aca="false">IF($O18="","",(N($N18)*N($P18)+N($N18)*(1-N($N18))*N($O18)^2)+(N($R18)*N($T18)+N($R18)*(1-N($R18))*N($S18)^2))</f>
        <v>2.16516904424452</v>
      </c>
      <c r="AC18" s="12" t="n">
        <f aca="false">IF($O18="","",N($N18)*N($O18)+N($R18)*N($S18)+N($V18)*N($W18))</f>
        <v>2.29143925233645</v>
      </c>
      <c r="AD18" s="6" t="n">
        <f aca="false">IF($O18="","",(N($N18)*N($P18)+N($N18)*(1-N($N18))*N($O18)^2)+(N($R18)*N($T18)+N($R18)*(1-N($R18))*N($S18)^2)+(N($V18)*N($X18)+N($V18)*(1-N($V18))*N($W18)^2))</f>
        <v>3.24775356636679</v>
      </c>
      <c r="AE18" s="12" t="n">
        <f aca="false">IF($I18="","",$I18*$L18)</f>
        <v>0.8</v>
      </c>
      <c r="AF18" s="12" t="n">
        <f aca="false">IF($I18="","",$I18*$L18*(1+N($R18)))</f>
        <v>1.6</v>
      </c>
      <c r="AG18" s="12" t="n">
        <f aca="false">IF($I18="","",$I18*$L18*(1+N($R18)+N($V18)))</f>
        <v>2.4</v>
      </c>
      <c r="AH18" s="0" t="str">
        <f aca="false">TRIM(IF($G18&lt;Config!$B$9,"thin sample ("&amp;$G18&amp;" maps) · ","")&amp;IF($I18="","no PickFinder stats · ","")&amp;IFERROR(IF(INDEX(Players!$T$2:$T$18,MATCH($E18,Players!$A$2:$A$18,0))&lt;0.5,"new roster: "&amp;TEXT(INDEX(Players!$T$2:$T$18,MATCH($E18,Players!$A$2:$A$18,0)),"0%")&amp;" of his recent games with these teammates",""),""))</f>
        <v>new roster: 0% of his recent games with these teammates</v>
      </c>
      <c r="AI18" s="0" t="str">
        <f aca="false">IF($B18=Board!$B$2,COUNTIFS($B$2:$B$18,Board!$B$2,$Y$2:$Y$18,"&gt;"&amp;$Y18)+COUNTIFS($B$1:$B17,Board!$B$2,$Y$1:$Y17,$Y18)+1,"")</f>
        <v/>
      </c>
      <c r="AJ18" s="0" t="str">
        <f aca="false">IFERROR(IF(INDEX(Matches!$D$5:$D$6,MATCH($B18,Matches!$A$5:$A$6,0))=3,"K12","K13"),"K13")</f>
        <v>K13</v>
      </c>
      <c r="AK18" s="12" t="n">
        <f aca="false">IF($AJ18="K12",$AA18,$AC18)</f>
        <v>2.29143925233645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193</v>
      </c>
    </row>
    <row r="3" customFormat="false" ht="15" hidden="false" customHeight="false" outlineLevel="0" collapsed="false">
      <c r="A3" s="9" t="s">
        <v>194</v>
      </c>
      <c r="B3" s="9" t="s">
        <v>195</v>
      </c>
      <c r="C3" s="9" t="s">
        <v>196</v>
      </c>
    </row>
    <row r="4" customFormat="false" ht="28.35" hidden="false" customHeight="false" outlineLevel="0" collapsed="false">
      <c r="A4" s="4" t="s">
        <v>197</v>
      </c>
      <c r="B4" s="11" t="n">
        <v>2.21</v>
      </c>
      <c r="C4" s="2" t="s">
        <v>198</v>
      </c>
    </row>
    <row r="5" customFormat="false" ht="41.75" hidden="false" customHeight="false" outlineLevel="0" collapsed="false">
      <c r="A5" s="4" t="s">
        <v>199</v>
      </c>
      <c r="B5" s="11" t="n">
        <v>1.77</v>
      </c>
      <c r="C5" s="2" t="s">
        <v>200</v>
      </c>
    </row>
    <row r="6" customFormat="false" ht="28.35" hidden="false" customHeight="false" outlineLevel="0" collapsed="false">
      <c r="A6" s="4" t="s">
        <v>201</v>
      </c>
      <c r="B6" s="11" t="n">
        <v>1.3</v>
      </c>
      <c r="C6" s="2" t="s">
        <v>202</v>
      </c>
    </row>
    <row r="7" customFormat="false" ht="28.35" hidden="false" customHeight="false" outlineLevel="0" collapsed="false">
      <c r="A7" s="4" t="s">
        <v>203</v>
      </c>
      <c r="B7" s="11" t="n">
        <v>1.84</v>
      </c>
      <c r="C7" s="2" t="s">
        <v>204</v>
      </c>
    </row>
    <row r="8" customFormat="false" ht="15" hidden="false" customHeight="false" outlineLevel="0" collapsed="false">
      <c r="A8" s="4" t="s">
        <v>205</v>
      </c>
      <c r="B8" s="11" t="n">
        <v>0.04</v>
      </c>
      <c r="C8" s="2" t="s">
        <v>206</v>
      </c>
    </row>
    <row r="9" customFormat="false" ht="15" hidden="false" customHeight="false" outlineLevel="0" collapsed="false">
      <c r="A9" s="4" t="s">
        <v>207</v>
      </c>
      <c r="B9" s="11" t="n">
        <v>15</v>
      </c>
      <c r="C9" s="2" t="s">
        <v>208</v>
      </c>
    </row>
    <row r="11" customFormat="false" ht="15" hidden="false" customHeight="false" outlineLevel="0" collapsed="false">
      <c r="A11" s="0" t="s">
        <v>209</v>
      </c>
      <c r="B11" s="0" t="s">
        <v>210</v>
      </c>
    </row>
    <row r="12" customFormat="false" ht="15" hidden="false" customHeight="false" outlineLevel="0" collapsed="false">
      <c r="A12" s="0" t="s">
        <v>211</v>
      </c>
      <c r="B12" s="0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5" min="5" style="0" width="6"/>
    <col collapsed="false" customWidth="true" hidden="false" outlineLevel="0" max="6" min="6" style="0" width="9"/>
    <col collapsed="false" customWidth="true" hidden="false" outlineLevel="0" max="10" min="7" style="0" width="5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8"/>
    <col collapsed="false" customWidth="true" hidden="false" outlineLevel="0" max="14" min="14" style="0" width="55"/>
    <col collapsed="false" customWidth="true" hidden="false" outlineLevel="0" max="15" min="15" style="0" width="6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10"/>
    <col collapsed="false" customWidth="true" hidden="false" outlineLevel="0" max="20" min="20" style="0" width="12"/>
  </cols>
  <sheetData>
    <row r="1" customFormat="false" ht="41.75" hidden="false" customHeight="false" outlineLevel="0" collapsed="false">
      <c r="A1" s="9" t="s">
        <v>148</v>
      </c>
      <c r="B1" s="9" t="s">
        <v>41</v>
      </c>
      <c r="C1" s="9" t="s">
        <v>40</v>
      </c>
      <c r="D1" s="9" t="s">
        <v>213</v>
      </c>
      <c r="E1" s="9" t="s">
        <v>214</v>
      </c>
      <c r="F1" s="9" t="s">
        <v>215</v>
      </c>
      <c r="G1" s="9" t="s">
        <v>216</v>
      </c>
      <c r="H1" s="9" t="s">
        <v>217</v>
      </c>
      <c r="I1" s="9" t="s">
        <v>218</v>
      </c>
      <c r="J1" s="9" t="s">
        <v>219</v>
      </c>
      <c r="K1" s="9" t="s">
        <v>220</v>
      </c>
      <c r="L1" s="9" t="s">
        <v>221</v>
      </c>
      <c r="M1" s="9" t="s">
        <v>222</v>
      </c>
      <c r="N1" s="9" t="s">
        <v>223</v>
      </c>
      <c r="O1" s="9" t="s">
        <v>224</v>
      </c>
      <c r="P1" s="9" t="s">
        <v>225</v>
      </c>
      <c r="Q1" s="9" t="s">
        <v>226</v>
      </c>
      <c r="R1" s="9" t="s">
        <v>227</v>
      </c>
      <c r="S1" s="9" t="s">
        <v>228</v>
      </c>
      <c r="T1" s="9" t="s">
        <v>229</v>
      </c>
    </row>
    <row r="2" customFormat="false" ht="15" hidden="false" customHeight="false" outlineLevel="0" collapsed="false">
      <c r="A2" s="0" t="s">
        <v>176</v>
      </c>
      <c r="B2" s="0" t="s">
        <v>108</v>
      </c>
      <c r="C2" s="0" t="s">
        <v>78</v>
      </c>
      <c r="D2" s="0" t="s">
        <v>230</v>
      </c>
      <c r="E2" s="0" t="n">
        <v>30</v>
      </c>
      <c r="F2" s="13" t="n">
        <v>0.53</v>
      </c>
      <c r="G2" s="0" t="n">
        <v>2.6</v>
      </c>
      <c r="H2" s="0" t="n">
        <v>2.7</v>
      </c>
      <c r="I2" s="0" t="n">
        <v>5.5</v>
      </c>
      <c r="J2" s="0" t="n">
        <v>0.9</v>
      </c>
      <c r="K2" s="0" t="n">
        <v>45</v>
      </c>
      <c r="L2" s="0" t="n">
        <v>2.27</v>
      </c>
      <c r="M2" s="6" t="s">
        <v>231</v>
      </c>
      <c r="N2" s="6" t="s">
        <v>232</v>
      </c>
      <c r="O2" s="6" t="s">
        <v>233</v>
      </c>
      <c r="P2" s="6" t="s">
        <v>234</v>
      </c>
      <c r="T2" s="13"/>
    </row>
    <row r="3" customFormat="false" ht="15" hidden="false" customHeight="false" outlineLevel="0" collapsed="false">
      <c r="A3" s="0" t="s">
        <v>177</v>
      </c>
      <c r="B3" s="0" t="s">
        <v>113</v>
      </c>
      <c r="C3" s="0" t="s">
        <v>78</v>
      </c>
      <c r="D3" s="0" t="s">
        <v>230</v>
      </c>
      <c r="E3" s="0" t="n">
        <v>30</v>
      </c>
      <c r="F3" s="13" t="n">
        <v>0.53</v>
      </c>
      <c r="G3" s="0" t="n">
        <v>3.8</v>
      </c>
      <c r="H3" s="0" t="n">
        <v>3.6</v>
      </c>
      <c r="I3" s="0" t="n">
        <v>6.8</v>
      </c>
      <c r="J3" s="0" t="n">
        <v>1.1</v>
      </c>
      <c r="K3" s="0" t="n">
        <v>45</v>
      </c>
      <c r="L3" s="0" t="n">
        <v>3.33</v>
      </c>
      <c r="M3" s="6" t="s">
        <v>231</v>
      </c>
      <c r="N3" s="6" t="s">
        <v>235</v>
      </c>
      <c r="O3" s="6" t="s">
        <v>233</v>
      </c>
      <c r="P3" s="6" t="s">
        <v>236</v>
      </c>
      <c r="T3" s="13"/>
    </row>
    <row r="4" customFormat="false" ht="15" hidden="false" customHeight="false" outlineLevel="0" collapsed="false">
      <c r="A4" s="0" t="s">
        <v>178</v>
      </c>
      <c r="B4" s="0" t="s">
        <v>115</v>
      </c>
      <c r="C4" s="0" t="s">
        <v>78</v>
      </c>
      <c r="D4" s="0" t="s">
        <v>230</v>
      </c>
      <c r="E4" s="0" t="n">
        <v>30</v>
      </c>
      <c r="F4" s="13" t="n">
        <v>0.53</v>
      </c>
      <c r="G4" s="0" t="n">
        <v>4</v>
      </c>
      <c r="H4" s="0" t="n">
        <v>3</v>
      </c>
      <c r="I4" s="0" t="n">
        <v>5.9</v>
      </c>
      <c r="J4" s="0" t="n">
        <v>1.3</v>
      </c>
      <c r="K4" s="0" t="n">
        <v>45</v>
      </c>
      <c r="L4" s="0" t="n">
        <v>3.73</v>
      </c>
      <c r="M4" s="6" t="s">
        <v>231</v>
      </c>
      <c r="N4" s="6" t="s">
        <v>237</v>
      </c>
      <c r="O4" s="6" t="s">
        <v>233</v>
      </c>
      <c r="P4" s="6" t="s">
        <v>238</v>
      </c>
      <c r="T4" s="13"/>
    </row>
    <row r="5" customFormat="false" ht="15" hidden="false" customHeight="false" outlineLevel="0" collapsed="false">
      <c r="A5" s="0" t="s">
        <v>179</v>
      </c>
      <c r="B5" s="0" t="s">
        <v>117</v>
      </c>
      <c r="C5" s="0" t="s">
        <v>78</v>
      </c>
      <c r="D5" s="0" t="s">
        <v>230</v>
      </c>
      <c r="E5" s="0" t="n">
        <v>30</v>
      </c>
      <c r="F5" s="13" t="n">
        <v>0.53</v>
      </c>
      <c r="G5" s="0" t="n">
        <v>3.4</v>
      </c>
      <c r="H5" s="0" t="n">
        <v>3.3</v>
      </c>
      <c r="I5" s="0" t="n">
        <v>6.3</v>
      </c>
      <c r="J5" s="0" t="n">
        <v>1</v>
      </c>
      <c r="K5" s="0" t="n">
        <v>45</v>
      </c>
      <c r="L5" s="0" t="n">
        <v>2.8</v>
      </c>
      <c r="M5" s="6" t="s">
        <v>231</v>
      </c>
      <c r="N5" s="6" t="s">
        <v>239</v>
      </c>
      <c r="O5" s="6" t="s">
        <v>233</v>
      </c>
      <c r="P5" s="6" t="s">
        <v>240</v>
      </c>
      <c r="T5" s="13"/>
    </row>
    <row r="6" customFormat="false" ht="15" hidden="false" customHeight="false" outlineLevel="0" collapsed="false">
      <c r="A6" s="0" t="s">
        <v>184</v>
      </c>
      <c r="B6" s="0" t="s">
        <v>128</v>
      </c>
      <c r="C6" s="0" t="s">
        <v>86</v>
      </c>
      <c r="D6" s="0" t="s">
        <v>241</v>
      </c>
      <c r="E6" s="0" t="n">
        <v>30</v>
      </c>
      <c r="F6" s="13" t="n">
        <v>0.57</v>
      </c>
      <c r="G6" s="0" t="n">
        <v>4.5</v>
      </c>
      <c r="H6" s="0" t="n">
        <v>2.4</v>
      </c>
      <c r="I6" s="0" t="n">
        <v>5.2</v>
      </c>
      <c r="J6" s="0" t="n">
        <v>1.9</v>
      </c>
      <c r="K6" s="0" t="n">
        <v>45</v>
      </c>
      <c r="L6" s="0" t="n">
        <v>3.53</v>
      </c>
      <c r="M6" s="6" t="s">
        <v>231</v>
      </c>
      <c r="N6" s="6" t="s">
        <v>242</v>
      </c>
      <c r="O6" s="6" t="s">
        <v>233</v>
      </c>
      <c r="P6" s="6" t="s">
        <v>238</v>
      </c>
      <c r="T6" s="13"/>
    </row>
    <row r="7" customFormat="false" ht="15" hidden="false" customHeight="false" outlineLevel="0" collapsed="false">
      <c r="A7" s="0" t="s">
        <v>185</v>
      </c>
      <c r="B7" s="0" t="s">
        <v>131</v>
      </c>
      <c r="C7" s="0" t="s">
        <v>86</v>
      </c>
      <c r="D7" s="0" t="s">
        <v>241</v>
      </c>
      <c r="E7" s="0" t="n">
        <v>30</v>
      </c>
      <c r="F7" s="13" t="n">
        <v>0.6</v>
      </c>
      <c r="G7" s="0" t="n">
        <v>2.8</v>
      </c>
      <c r="H7" s="0" t="n">
        <v>3</v>
      </c>
      <c r="I7" s="0" t="n">
        <v>4.9</v>
      </c>
      <c r="J7" s="0" t="n">
        <v>0.9</v>
      </c>
      <c r="K7" s="0" t="n">
        <v>45</v>
      </c>
      <c r="L7" s="0" t="n">
        <v>2.38</v>
      </c>
      <c r="M7" s="6" t="s">
        <v>231</v>
      </c>
      <c r="N7" s="6" t="s">
        <v>243</v>
      </c>
      <c r="O7" s="6" t="s">
        <v>233</v>
      </c>
      <c r="P7" s="6" t="s">
        <v>234</v>
      </c>
      <c r="T7" s="13"/>
    </row>
    <row r="8" customFormat="false" ht="15" hidden="false" customHeight="false" outlineLevel="0" collapsed="false">
      <c r="A8" s="0" t="s">
        <v>186</v>
      </c>
      <c r="B8" s="0" t="s">
        <v>133</v>
      </c>
      <c r="C8" s="0" t="s">
        <v>86</v>
      </c>
      <c r="D8" s="0" t="s">
        <v>241</v>
      </c>
      <c r="E8" s="0" t="n">
        <v>30</v>
      </c>
      <c r="F8" s="13" t="n">
        <v>0.6</v>
      </c>
      <c r="G8" s="0" t="n">
        <v>0.7</v>
      </c>
      <c r="H8" s="0" t="n">
        <v>1.7</v>
      </c>
      <c r="I8" s="0" t="n">
        <v>10.6</v>
      </c>
      <c r="J8" s="0" t="n">
        <v>0.4</v>
      </c>
      <c r="K8" s="0" t="n">
        <v>45</v>
      </c>
      <c r="L8" s="0" t="n">
        <v>0.58</v>
      </c>
      <c r="M8" s="6" t="s">
        <v>231</v>
      </c>
      <c r="N8" s="6" t="s">
        <v>244</v>
      </c>
      <c r="O8" s="6" t="s">
        <v>233</v>
      </c>
      <c r="P8" s="6" t="s">
        <v>245</v>
      </c>
      <c r="T8" s="13"/>
    </row>
    <row r="9" customFormat="false" ht="15" hidden="false" customHeight="false" outlineLevel="0" collapsed="false">
      <c r="A9" s="0" t="s">
        <v>187</v>
      </c>
      <c r="B9" s="0" t="s">
        <v>135</v>
      </c>
      <c r="C9" s="0" t="s">
        <v>86</v>
      </c>
      <c r="D9" s="0" t="s">
        <v>241</v>
      </c>
      <c r="E9" s="0" t="n">
        <v>30</v>
      </c>
      <c r="F9" s="13" t="n">
        <v>0.67</v>
      </c>
      <c r="G9" s="0" t="n">
        <v>2.7</v>
      </c>
      <c r="H9" s="0" t="n">
        <v>2</v>
      </c>
      <c r="I9" s="0" t="n">
        <v>7.4</v>
      </c>
      <c r="J9" s="0" t="n">
        <v>1.4</v>
      </c>
      <c r="K9" s="0" t="n">
        <v>45</v>
      </c>
      <c r="L9" s="0" t="n">
        <v>2.49</v>
      </c>
      <c r="M9" s="6" t="s">
        <v>231</v>
      </c>
      <c r="N9" s="6" t="s">
        <v>246</v>
      </c>
      <c r="O9" s="6" t="s">
        <v>233</v>
      </c>
      <c r="P9" s="6" t="s">
        <v>236</v>
      </c>
      <c r="T9" s="13"/>
    </row>
    <row r="10" customFormat="false" ht="15" hidden="false" customHeight="false" outlineLevel="0" collapsed="false">
      <c r="A10" s="0" t="s">
        <v>188</v>
      </c>
      <c r="B10" s="0" t="s">
        <v>137</v>
      </c>
      <c r="C10" s="0" t="s">
        <v>86</v>
      </c>
      <c r="D10" s="0" t="s">
        <v>241</v>
      </c>
      <c r="E10" s="0" t="n">
        <v>30</v>
      </c>
      <c r="F10" s="13" t="n">
        <v>0.6</v>
      </c>
      <c r="G10" s="0" t="n">
        <v>3.5</v>
      </c>
      <c r="H10" s="0" t="n">
        <v>1.9</v>
      </c>
      <c r="I10" s="0" t="n">
        <v>5.7</v>
      </c>
      <c r="J10" s="0" t="n">
        <v>1.8</v>
      </c>
      <c r="K10" s="0" t="n">
        <v>45</v>
      </c>
      <c r="L10" s="0" t="n">
        <v>2.47</v>
      </c>
      <c r="M10" s="6" t="s">
        <v>231</v>
      </c>
      <c r="N10" s="6" t="s">
        <v>247</v>
      </c>
      <c r="O10" s="6" t="s">
        <v>233</v>
      </c>
      <c r="P10" s="6" t="s">
        <v>240</v>
      </c>
      <c r="T10" s="13"/>
    </row>
    <row r="11" customFormat="false" ht="15" hidden="false" customHeight="false" outlineLevel="0" collapsed="false">
      <c r="A11" s="0" t="s">
        <v>189</v>
      </c>
      <c r="B11" s="0" t="s">
        <v>139</v>
      </c>
      <c r="C11" s="0" t="s">
        <v>85</v>
      </c>
      <c r="D11" s="0" t="s">
        <v>248</v>
      </c>
      <c r="E11" s="0" t="n">
        <v>30</v>
      </c>
      <c r="F11" s="13" t="n">
        <v>0.47</v>
      </c>
      <c r="G11" s="0" t="n">
        <v>4</v>
      </c>
      <c r="H11" s="0" t="n">
        <v>3.2</v>
      </c>
      <c r="I11" s="0" t="n">
        <v>5.4</v>
      </c>
      <c r="J11" s="0" t="n">
        <v>1.3</v>
      </c>
      <c r="K11" s="0" t="n">
        <v>45</v>
      </c>
      <c r="L11" s="0" t="n">
        <v>2.98</v>
      </c>
      <c r="M11" s="6" t="s">
        <v>231</v>
      </c>
      <c r="N11" s="6" t="s">
        <v>249</v>
      </c>
      <c r="O11" s="6" t="s">
        <v>233</v>
      </c>
      <c r="P11" s="6" t="s">
        <v>240</v>
      </c>
      <c r="T11" s="13"/>
    </row>
    <row r="12" customFormat="false" ht="15" hidden="false" customHeight="false" outlineLevel="0" collapsed="false">
      <c r="A12" s="0" t="s">
        <v>190</v>
      </c>
      <c r="B12" s="0" t="s">
        <v>141</v>
      </c>
      <c r="C12" s="0" t="s">
        <v>85</v>
      </c>
      <c r="D12" s="0" t="s">
        <v>248</v>
      </c>
      <c r="E12" s="0" t="n">
        <v>30</v>
      </c>
      <c r="F12" s="13" t="n">
        <v>0.47</v>
      </c>
      <c r="G12" s="0" t="n">
        <v>3.6</v>
      </c>
      <c r="H12" s="0" t="n">
        <v>3</v>
      </c>
      <c r="I12" s="0" t="n">
        <v>6.2</v>
      </c>
      <c r="J12" s="0" t="n">
        <v>1.2</v>
      </c>
      <c r="K12" s="0" t="n">
        <v>45</v>
      </c>
      <c r="L12" s="0" t="n">
        <v>2.78</v>
      </c>
      <c r="M12" s="6" t="s">
        <v>231</v>
      </c>
      <c r="N12" s="6" t="s">
        <v>250</v>
      </c>
      <c r="O12" s="6" t="s">
        <v>233</v>
      </c>
      <c r="P12" s="6" t="s">
        <v>238</v>
      </c>
      <c r="T12" s="13"/>
    </row>
    <row r="13" customFormat="false" ht="15" hidden="false" customHeight="false" outlineLevel="0" collapsed="false">
      <c r="A13" s="0" t="s">
        <v>191</v>
      </c>
      <c r="B13" s="0" t="s">
        <v>143</v>
      </c>
      <c r="C13" s="0" t="s">
        <v>85</v>
      </c>
      <c r="D13" s="0" t="s">
        <v>248</v>
      </c>
      <c r="E13" s="0" t="n">
        <v>30</v>
      </c>
      <c r="F13" s="13" t="n">
        <v>0.5</v>
      </c>
      <c r="G13" s="0" t="n">
        <v>2.8</v>
      </c>
      <c r="H13" s="0" t="n">
        <v>3.6</v>
      </c>
      <c r="I13" s="0" t="n">
        <v>4.6</v>
      </c>
      <c r="J13" s="0" t="n">
        <v>0.8</v>
      </c>
      <c r="K13" s="0" t="n">
        <v>45</v>
      </c>
      <c r="L13" s="0" t="n">
        <v>2.58</v>
      </c>
      <c r="M13" s="6" t="s">
        <v>231</v>
      </c>
      <c r="N13" s="6" t="s">
        <v>251</v>
      </c>
      <c r="O13" s="6" t="s">
        <v>233</v>
      </c>
      <c r="P13" s="6" t="s">
        <v>234</v>
      </c>
      <c r="T13" s="13"/>
    </row>
    <row r="14" customFormat="false" ht="15" hidden="false" customHeight="false" outlineLevel="0" collapsed="false">
      <c r="A14" s="0" t="s">
        <v>192</v>
      </c>
      <c r="B14" s="0" t="s">
        <v>145</v>
      </c>
      <c r="C14" s="0" t="s">
        <v>85</v>
      </c>
      <c r="D14" s="0" t="s">
        <v>248</v>
      </c>
      <c r="E14" s="0" t="n">
        <v>30</v>
      </c>
      <c r="F14" s="13" t="n">
        <v>0.5</v>
      </c>
      <c r="G14" s="0" t="n">
        <v>0.8</v>
      </c>
      <c r="H14" s="0" t="n">
        <v>3.4</v>
      </c>
      <c r="I14" s="0" t="n">
        <v>9.5</v>
      </c>
      <c r="J14" s="0" t="n">
        <v>0.2</v>
      </c>
      <c r="K14" s="0" t="n">
        <v>45</v>
      </c>
      <c r="L14" s="0" t="n">
        <v>0.8</v>
      </c>
      <c r="M14" s="6" t="s">
        <v>231</v>
      </c>
      <c r="N14" s="6" t="s">
        <v>252</v>
      </c>
      <c r="O14" s="6" t="s">
        <v>233</v>
      </c>
      <c r="P14" s="6" t="s">
        <v>245</v>
      </c>
      <c r="T14" s="13"/>
    </row>
    <row r="15" customFormat="false" ht="15" hidden="false" customHeight="false" outlineLevel="0" collapsed="false">
      <c r="A15" s="0" t="s">
        <v>180</v>
      </c>
      <c r="B15" s="0" t="s">
        <v>120</v>
      </c>
      <c r="C15" s="0" t="s">
        <v>79</v>
      </c>
      <c r="D15" s="0" t="s">
        <v>253</v>
      </c>
      <c r="E15" s="0" t="n">
        <v>30</v>
      </c>
      <c r="F15" s="13" t="n">
        <v>0.4</v>
      </c>
      <c r="G15" s="0" t="n">
        <v>3.7</v>
      </c>
      <c r="H15" s="0" t="n">
        <v>3</v>
      </c>
      <c r="I15" s="0" t="n">
        <v>5.1</v>
      </c>
      <c r="J15" s="0" t="n">
        <v>1.3</v>
      </c>
      <c r="K15" s="0" t="n">
        <v>45</v>
      </c>
      <c r="L15" s="0" t="n">
        <v>3.4</v>
      </c>
      <c r="M15" s="6" t="s">
        <v>231</v>
      </c>
      <c r="N15" s="6" t="s">
        <v>254</v>
      </c>
      <c r="O15" s="6" t="s">
        <v>233</v>
      </c>
      <c r="P15" s="6" t="s">
        <v>238</v>
      </c>
      <c r="T15" s="13"/>
    </row>
    <row r="16" customFormat="false" ht="15" hidden="false" customHeight="false" outlineLevel="0" collapsed="false">
      <c r="A16" s="0" t="s">
        <v>181</v>
      </c>
      <c r="B16" s="0" t="s">
        <v>122</v>
      </c>
      <c r="C16" s="0" t="s">
        <v>79</v>
      </c>
      <c r="D16" s="0" t="s">
        <v>253</v>
      </c>
      <c r="E16" s="0" t="n">
        <v>30</v>
      </c>
      <c r="F16" s="13" t="n">
        <v>0.4</v>
      </c>
      <c r="G16" s="0" t="n">
        <v>1.5</v>
      </c>
      <c r="H16" s="0" t="n">
        <v>2.9</v>
      </c>
      <c r="I16" s="0" t="n">
        <v>5.3</v>
      </c>
      <c r="J16" s="0" t="n">
        <v>0.5</v>
      </c>
      <c r="K16" s="0" t="n">
        <v>45</v>
      </c>
      <c r="L16" s="0" t="n">
        <v>1.69</v>
      </c>
      <c r="M16" s="6" t="s">
        <v>231</v>
      </c>
      <c r="N16" s="6" t="s">
        <v>255</v>
      </c>
      <c r="O16" s="6" t="s">
        <v>233</v>
      </c>
      <c r="P16" s="6" t="s">
        <v>234</v>
      </c>
      <c r="T16" s="13"/>
    </row>
    <row r="17" customFormat="false" ht="15" hidden="false" customHeight="false" outlineLevel="0" collapsed="false">
      <c r="A17" s="0" t="s">
        <v>182</v>
      </c>
      <c r="B17" s="0" t="s">
        <v>124</v>
      </c>
      <c r="C17" s="0" t="s">
        <v>79</v>
      </c>
      <c r="D17" s="0" t="s">
        <v>253</v>
      </c>
      <c r="E17" s="0" t="n">
        <v>30</v>
      </c>
      <c r="F17" s="13" t="n">
        <v>0.4</v>
      </c>
      <c r="G17" s="0" t="n">
        <v>3.2</v>
      </c>
      <c r="H17" s="0" t="n">
        <v>2.7</v>
      </c>
      <c r="I17" s="0" t="n">
        <v>5.4</v>
      </c>
      <c r="J17" s="0" t="n">
        <v>1.2</v>
      </c>
      <c r="K17" s="0" t="n">
        <v>45</v>
      </c>
      <c r="L17" s="0" t="n">
        <v>3.29</v>
      </c>
      <c r="M17" s="6" t="s">
        <v>231</v>
      </c>
      <c r="N17" s="6" t="s">
        <v>256</v>
      </c>
      <c r="O17" s="6" t="s">
        <v>233</v>
      </c>
      <c r="P17" s="6" t="s">
        <v>240</v>
      </c>
      <c r="T17" s="13"/>
    </row>
    <row r="18" customFormat="false" ht="15" hidden="false" customHeight="false" outlineLevel="0" collapsed="false">
      <c r="A18" s="0" t="s">
        <v>183</v>
      </c>
      <c r="B18" s="0" t="s">
        <v>126</v>
      </c>
      <c r="C18" s="0" t="s">
        <v>79</v>
      </c>
      <c r="D18" s="0" t="s">
        <v>253</v>
      </c>
      <c r="E18" s="0" t="n">
        <v>30</v>
      </c>
      <c r="F18" s="13" t="n">
        <v>0.4</v>
      </c>
      <c r="G18" s="0" t="n">
        <v>3.3</v>
      </c>
      <c r="H18" s="0" t="n">
        <v>4.2</v>
      </c>
      <c r="I18" s="0" t="n">
        <v>5.4</v>
      </c>
      <c r="J18" s="0" t="n">
        <v>0.8</v>
      </c>
      <c r="K18" s="0" t="n">
        <v>45</v>
      </c>
      <c r="L18" s="0" t="n">
        <v>2.67</v>
      </c>
      <c r="M18" s="6" t="s">
        <v>231</v>
      </c>
      <c r="N18" s="6" t="s">
        <v>257</v>
      </c>
      <c r="O18" s="6" t="s">
        <v>233</v>
      </c>
      <c r="P18" s="6" t="s">
        <v>236</v>
      </c>
      <c r="T18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6" min="4" style="0" width="6"/>
    <col collapsed="false" customWidth="true" hidden="false" outlineLevel="0" max="8" min="7" style="0" width="7"/>
  </cols>
  <sheetData>
    <row r="1" customFormat="false" ht="15" hidden="false" customHeight="false" outlineLevel="0" collapsed="false">
      <c r="A1" s="9" t="s">
        <v>41</v>
      </c>
      <c r="B1" s="9" t="s">
        <v>258</v>
      </c>
      <c r="C1" s="9" t="s">
        <v>259</v>
      </c>
      <c r="D1" s="9" t="s">
        <v>260</v>
      </c>
      <c r="E1" s="9" t="s">
        <v>261</v>
      </c>
      <c r="F1" s="9" t="s">
        <v>262</v>
      </c>
      <c r="G1" s="9" t="s">
        <v>263</v>
      </c>
      <c r="H1" s="9" t="s">
        <v>264</v>
      </c>
    </row>
    <row r="2" customFormat="false" ht="15" hidden="false" customHeight="false" outlineLevel="0" collapsed="false">
      <c r="A2" s="0" t="s">
        <v>108</v>
      </c>
      <c r="B2" s="0" t="s">
        <v>265</v>
      </c>
      <c r="C2" s="0" t="s">
        <v>266</v>
      </c>
      <c r="D2" s="0" t="n">
        <v>3</v>
      </c>
      <c r="E2" s="0" t="n">
        <v>3</v>
      </c>
      <c r="F2" s="0" t="n">
        <v>0</v>
      </c>
      <c r="G2" s="0" t="n">
        <v>6</v>
      </c>
      <c r="H2" s="0" t="n">
        <v>6</v>
      </c>
    </row>
    <row r="3" customFormat="false" ht="15" hidden="false" customHeight="false" outlineLevel="0" collapsed="false">
      <c r="A3" s="0" t="s">
        <v>108</v>
      </c>
      <c r="B3" s="0" t="s">
        <v>267</v>
      </c>
      <c r="C3" s="0" t="s">
        <v>268</v>
      </c>
      <c r="D3" s="0" t="n">
        <v>3</v>
      </c>
      <c r="E3" s="0" t="n">
        <v>0</v>
      </c>
      <c r="F3" s="0" t="n">
        <v>0</v>
      </c>
      <c r="G3" s="0" t="n">
        <v>3</v>
      </c>
      <c r="H3" s="0" t="n">
        <v>3</v>
      </c>
    </row>
    <row r="4" customFormat="false" ht="15" hidden="false" customHeight="false" outlineLevel="0" collapsed="false">
      <c r="A4" s="0" t="s">
        <v>108</v>
      </c>
      <c r="B4" s="0" t="s">
        <v>269</v>
      </c>
      <c r="C4" s="0" t="s">
        <v>270</v>
      </c>
      <c r="D4" s="0" t="n">
        <v>3</v>
      </c>
      <c r="E4" s="0" t="n">
        <v>2</v>
      </c>
      <c r="F4" s="0" t="n">
        <v>6</v>
      </c>
      <c r="G4" s="0" t="n">
        <v>5</v>
      </c>
      <c r="H4" s="0" t="n">
        <v>11</v>
      </c>
    </row>
    <row r="5" customFormat="false" ht="15" hidden="false" customHeight="false" outlineLevel="0" collapsed="false">
      <c r="A5" s="0" t="s">
        <v>108</v>
      </c>
      <c r="B5" s="0" t="s">
        <v>271</v>
      </c>
      <c r="C5" s="0" t="s">
        <v>272</v>
      </c>
      <c r="D5" s="0" t="n">
        <v>1</v>
      </c>
      <c r="E5" s="0" t="n">
        <v>5</v>
      </c>
      <c r="F5" s="0" t="n">
        <v>3</v>
      </c>
      <c r="G5" s="0" t="n">
        <v>6</v>
      </c>
      <c r="H5" s="0" t="n">
        <v>9</v>
      </c>
    </row>
    <row r="6" customFormat="false" ht="15" hidden="false" customHeight="false" outlineLevel="0" collapsed="false">
      <c r="A6" s="0" t="s">
        <v>108</v>
      </c>
      <c r="B6" s="0" t="s">
        <v>273</v>
      </c>
      <c r="C6" s="0" t="s">
        <v>274</v>
      </c>
      <c r="D6" s="0" t="n">
        <v>6</v>
      </c>
      <c r="E6" s="0" t="n">
        <v>2</v>
      </c>
      <c r="F6" s="0" t="n">
        <v>1</v>
      </c>
      <c r="G6" s="0" t="n">
        <v>8</v>
      </c>
      <c r="H6" s="0" t="n">
        <v>9</v>
      </c>
    </row>
    <row r="7" customFormat="false" ht="15" hidden="false" customHeight="false" outlineLevel="0" collapsed="false">
      <c r="A7" s="0" t="s">
        <v>108</v>
      </c>
      <c r="B7" s="0" t="s">
        <v>275</v>
      </c>
      <c r="C7" s="0" t="s">
        <v>276</v>
      </c>
      <c r="D7" s="0" t="n">
        <v>3</v>
      </c>
      <c r="E7" s="0" t="n">
        <v>4</v>
      </c>
      <c r="F7" s="0" t="n">
        <v>4</v>
      </c>
      <c r="G7" s="0" t="n">
        <v>7</v>
      </c>
      <c r="H7" s="0" t="n">
        <v>11</v>
      </c>
    </row>
    <row r="8" customFormat="false" ht="15" hidden="false" customHeight="false" outlineLevel="0" collapsed="false">
      <c r="A8" s="0" t="s">
        <v>108</v>
      </c>
      <c r="B8" s="0" t="s">
        <v>277</v>
      </c>
      <c r="C8" s="0" t="s">
        <v>276</v>
      </c>
      <c r="D8" s="0" t="n">
        <v>1</v>
      </c>
      <c r="E8" s="0" t="n">
        <v>8</v>
      </c>
      <c r="F8" s="0" t="n">
        <v>2</v>
      </c>
      <c r="G8" s="0" t="n">
        <v>9</v>
      </c>
      <c r="H8" s="0" t="n">
        <v>11</v>
      </c>
    </row>
    <row r="9" customFormat="false" ht="15" hidden="false" customHeight="false" outlineLevel="0" collapsed="false">
      <c r="A9" s="0" t="s">
        <v>108</v>
      </c>
      <c r="B9" s="0" t="s">
        <v>278</v>
      </c>
      <c r="C9" s="0" t="s">
        <v>274</v>
      </c>
      <c r="D9" s="0" t="n">
        <v>3</v>
      </c>
      <c r="E9" s="0" t="n">
        <v>2</v>
      </c>
      <c r="F9" s="0" t="n">
        <v>1</v>
      </c>
      <c r="G9" s="0" t="n">
        <v>5</v>
      </c>
      <c r="H9" s="0" t="n">
        <v>6</v>
      </c>
    </row>
    <row r="10" customFormat="false" ht="15" hidden="false" customHeight="false" outlineLevel="0" collapsed="false">
      <c r="A10" s="0" t="s">
        <v>108</v>
      </c>
      <c r="B10" s="0" t="s">
        <v>279</v>
      </c>
      <c r="C10" s="0" t="s">
        <v>280</v>
      </c>
      <c r="D10" s="0" t="n">
        <v>0</v>
      </c>
      <c r="E10" s="0" t="n">
        <v>1</v>
      </c>
      <c r="F10" s="0" t="n">
        <v>0</v>
      </c>
      <c r="G10" s="0" t="n">
        <v>1</v>
      </c>
      <c r="H10" s="0" t="n">
        <v>1</v>
      </c>
    </row>
    <row r="11" customFormat="false" ht="15" hidden="false" customHeight="false" outlineLevel="0" collapsed="false">
      <c r="A11" s="0" t="s">
        <v>108</v>
      </c>
      <c r="B11" s="0" t="s">
        <v>281</v>
      </c>
      <c r="C11" s="0" t="s">
        <v>282</v>
      </c>
      <c r="D11" s="0" t="n">
        <v>1</v>
      </c>
      <c r="E11" s="0" t="n">
        <v>1</v>
      </c>
      <c r="F11" s="0" t="n">
        <v>4</v>
      </c>
      <c r="G11" s="0" t="n">
        <v>2</v>
      </c>
      <c r="H11" s="0" t="n">
        <v>6</v>
      </c>
    </row>
    <row r="12" customFormat="false" ht="15" hidden="false" customHeight="false" outlineLevel="0" collapsed="false">
      <c r="A12" s="0" t="s">
        <v>108</v>
      </c>
      <c r="B12" s="0" t="s">
        <v>283</v>
      </c>
      <c r="C12" s="0" t="s">
        <v>282</v>
      </c>
      <c r="D12" s="0" t="n">
        <v>1</v>
      </c>
      <c r="E12" s="0" t="n">
        <v>1</v>
      </c>
      <c r="F12" s="0" t="n">
        <v>0</v>
      </c>
      <c r="G12" s="0" t="n">
        <v>2</v>
      </c>
      <c r="H12" s="0" t="n">
        <v>2</v>
      </c>
    </row>
    <row r="13" customFormat="false" ht="15" hidden="false" customHeight="false" outlineLevel="0" collapsed="false">
      <c r="A13" s="0" t="s">
        <v>108</v>
      </c>
      <c r="B13" s="0" t="s">
        <v>284</v>
      </c>
      <c r="C13" s="0" t="s">
        <v>274</v>
      </c>
      <c r="D13" s="0" t="n">
        <v>2</v>
      </c>
      <c r="E13" s="0" t="n">
        <v>1</v>
      </c>
      <c r="F13" s="0" t="n">
        <v>0</v>
      </c>
      <c r="G13" s="0" t="n">
        <v>3</v>
      </c>
      <c r="H13" s="0" t="n">
        <v>3</v>
      </c>
    </row>
    <row r="14" customFormat="false" ht="15" hidden="false" customHeight="false" outlineLevel="0" collapsed="false">
      <c r="A14" s="0" t="s">
        <v>108</v>
      </c>
      <c r="B14" s="0" t="s">
        <v>285</v>
      </c>
      <c r="C14" s="0" t="s">
        <v>276</v>
      </c>
      <c r="D14" s="0" t="n">
        <v>3</v>
      </c>
      <c r="E14" s="0" t="n">
        <v>8</v>
      </c>
      <c r="F14" s="0" t="n">
        <v>9</v>
      </c>
      <c r="G14" s="0" t="n">
        <v>11</v>
      </c>
      <c r="H14" s="0" t="n">
        <v>20</v>
      </c>
    </row>
    <row r="15" customFormat="false" ht="15" hidden="false" customHeight="false" outlineLevel="0" collapsed="false">
      <c r="A15" s="0" t="s">
        <v>108</v>
      </c>
      <c r="B15" s="0" t="s">
        <v>286</v>
      </c>
      <c r="C15" s="0" t="s">
        <v>280</v>
      </c>
      <c r="D15" s="0" t="n">
        <v>0</v>
      </c>
      <c r="E15" s="0" t="n">
        <v>4</v>
      </c>
      <c r="F15" s="0" t="n">
        <v>0</v>
      </c>
      <c r="G15" s="0" t="n">
        <v>4</v>
      </c>
      <c r="H15" s="0" t="n">
        <v>4</v>
      </c>
    </row>
    <row r="16" customFormat="false" ht="15" hidden="false" customHeight="false" outlineLevel="0" collapsed="false">
      <c r="A16" s="0" t="s">
        <v>108</v>
      </c>
      <c r="B16" s="0" t="s">
        <v>287</v>
      </c>
      <c r="C16" s="0" t="s">
        <v>288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</row>
    <row r="17" customFormat="false" ht="15" hidden="false" customHeight="false" outlineLevel="0" collapsed="false">
      <c r="A17" s="0" t="s">
        <v>113</v>
      </c>
      <c r="B17" s="0" t="s">
        <v>265</v>
      </c>
      <c r="C17" s="0" t="s">
        <v>266</v>
      </c>
      <c r="D17" s="0" t="n">
        <v>8</v>
      </c>
      <c r="E17" s="0" t="n">
        <v>5</v>
      </c>
      <c r="F17" s="0" t="n">
        <v>4</v>
      </c>
      <c r="G17" s="0" t="n">
        <v>13</v>
      </c>
      <c r="H17" s="0" t="n">
        <v>17</v>
      </c>
    </row>
    <row r="18" customFormat="false" ht="15" hidden="false" customHeight="false" outlineLevel="0" collapsed="false">
      <c r="A18" s="0" t="s">
        <v>113</v>
      </c>
      <c r="B18" s="0" t="s">
        <v>267</v>
      </c>
      <c r="C18" s="0" t="s">
        <v>268</v>
      </c>
      <c r="D18" s="0" t="n">
        <v>3</v>
      </c>
      <c r="E18" s="0" t="n">
        <v>0</v>
      </c>
      <c r="F18" s="0" t="n">
        <v>0</v>
      </c>
      <c r="G18" s="0" t="n">
        <v>3</v>
      </c>
      <c r="H18" s="0" t="n">
        <v>3</v>
      </c>
    </row>
    <row r="19" customFormat="false" ht="15" hidden="false" customHeight="false" outlineLevel="0" collapsed="false">
      <c r="A19" s="0" t="s">
        <v>113</v>
      </c>
      <c r="B19" s="0" t="s">
        <v>269</v>
      </c>
      <c r="C19" s="0" t="s">
        <v>270</v>
      </c>
      <c r="D19" s="0" t="n">
        <v>5</v>
      </c>
      <c r="E19" s="0" t="n">
        <v>4</v>
      </c>
      <c r="F19" s="0" t="n">
        <v>1</v>
      </c>
      <c r="G19" s="0" t="n">
        <v>9</v>
      </c>
      <c r="H19" s="0" t="n">
        <v>10</v>
      </c>
    </row>
    <row r="20" customFormat="false" ht="15" hidden="false" customHeight="false" outlineLevel="0" collapsed="false">
      <c r="A20" s="0" t="s">
        <v>113</v>
      </c>
      <c r="B20" s="0" t="s">
        <v>271</v>
      </c>
      <c r="C20" s="0" t="s">
        <v>272</v>
      </c>
      <c r="D20" s="0" t="n">
        <v>3</v>
      </c>
      <c r="E20" s="0" t="n">
        <v>7</v>
      </c>
      <c r="F20" s="0" t="n">
        <v>7</v>
      </c>
      <c r="G20" s="0" t="n">
        <v>10</v>
      </c>
      <c r="H20" s="0" t="n">
        <v>17</v>
      </c>
    </row>
    <row r="21" customFormat="false" ht="15" hidden="false" customHeight="false" outlineLevel="0" collapsed="false">
      <c r="A21" s="0" t="s">
        <v>113</v>
      </c>
      <c r="B21" s="0" t="s">
        <v>273</v>
      </c>
      <c r="C21" s="0" t="s">
        <v>274</v>
      </c>
      <c r="D21" s="0" t="n">
        <v>5</v>
      </c>
      <c r="E21" s="0" t="n">
        <v>5</v>
      </c>
      <c r="F21" s="0" t="n">
        <v>3</v>
      </c>
      <c r="G21" s="0" t="n">
        <v>10</v>
      </c>
      <c r="H21" s="0" t="n">
        <v>13</v>
      </c>
    </row>
    <row r="22" customFormat="false" ht="15" hidden="false" customHeight="false" outlineLevel="0" collapsed="false">
      <c r="A22" s="0" t="s">
        <v>113</v>
      </c>
      <c r="B22" s="0" t="s">
        <v>275</v>
      </c>
      <c r="C22" s="0" t="s">
        <v>276</v>
      </c>
      <c r="D22" s="0" t="n">
        <v>2</v>
      </c>
      <c r="E22" s="0" t="n">
        <v>4</v>
      </c>
      <c r="F22" s="0" t="n">
        <v>2</v>
      </c>
      <c r="G22" s="0" t="n">
        <v>6</v>
      </c>
      <c r="H22" s="0" t="n">
        <v>8</v>
      </c>
    </row>
    <row r="23" customFormat="false" ht="15" hidden="false" customHeight="false" outlineLevel="0" collapsed="false">
      <c r="A23" s="0" t="s">
        <v>113</v>
      </c>
      <c r="B23" s="0" t="s">
        <v>277</v>
      </c>
      <c r="C23" s="0" t="s">
        <v>276</v>
      </c>
      <c r="D23" s="0" t="n">
        <v>3</v>
      </c>
      <c r="E23" s="0" t="n">
        <v>4</v>
      </c>
      <c r="F23" s="0" t="n">
        <v>2</v>
      </c>
      <c r="G23" s="0" t="n">
        <v>7</v>
      </c>
      <c r="H23" s="0" t="n">
        <v>9</v>
      </c>
    </row>
    <row r="24" customFormat="false" ht="15" hidden="false" customHeight="false" outlineLevel="0" collapsed="false">
      <c r="A24" s="0" t="s">
        <v>113</v>
      </c>
      <c r="B24" s="0" t="s">
        <v>278</v>
      </c>
      <c r="C24" s="0" t="s">
        <v>274</v>
      </c>
      <c r="D24" s="0" t="n">
        <v>5</v>
      </c>
      <c r="E24" s="0" t="n">
        <v>5</v>
      </c>
      <c r="F24" s="0" t="n">
        <v>2</v>
      </c>
      <c r="G24" s="0" t="n">
        <v>10</v>
      </c>
      <c r="H24" s="0" t="n">
        <v>12</v>
      </c>
    </row>
    <row r="25" customFormat="false" ht="15" hidden="false" customHeight="false" outlineLevel="0" collapsed="false">
      <c r="A25" s="0" t="s">
        <v>113</v>
      </c>
      <c r="B25" s="0" t="s">
        <v>279</v>
      </c>
      <c r="C25" s="0" t="s">
        <v>280</v>
      </c>
      <c r="D25" s="0" t="n">
        <v>3</v>
      </c>
      <c r="E25" s="0" t="n">
        <v>2</v>
      </c>
      <c r="F25" s="0" t="n">
        <v>0</v>
      </c>
      <c r="G25" s="0" t="n">
        <v>5</v>
      </c>
      <c r="H25" s="0" t="n">
        <v>5</v>
      </c>
    </row>
    <row r="26" customFormat="false" ht="15" hidden="false" customHeight="false" outlineLevel="0" collapsed="false">
      <c r="A26" s="0" t="s">
        <v>113</v>
      </c>
      <c r="B26" s="0" t="s">
        <v>281</v>
      </c>
      <c r="C26" s="0" t="s">
        <v>282</v>
      </c>
      <c r="D26" s="0" t="n">
        <v>2</v>
      </c>
      <c r="E26" s="0" t="n">
        <v>6</v>
      </c>
      <c r="F26" s="0" t="n">
        <v>3</v>
      </c>
      <c r="G26" s="0" t="n">
        <v>8</v>
      </c>
      <c r="H26" s="0" t="n">
        <v>11</v>
      </c>
    </row>
    <row r="27" customFormat="false" ht="15" hidden="false" customHeight="false" outlineLevel="0" collapsed="false">
      <c r="A27" s="0" t="s">
        <v>113</v>
      </c>
      <c r="B27" s="0" t="s">
        <v>283</v>
      </c>
      <c r="C27" s="0" t="s">
        <v>282</v>
      </c>
      <c r="D27" s="0" t="n">
        <v>1</v>
      </c>
      <c r="E27" s="0" t="n">
        <v>8</v>
      </c>
      <c r="F27" s="0" t="n">
        <v>0</v>
      </c>
      <c r="G27" s="0" t="n">
        <v>9</v>
      </c>
      <c r="H27" s="0" t="n">
        <v>9</v>
      </c>
    </row>
    <row r="28" customFormat="false" ht="15" hidden="false" customHeight="false" outlineLevel="0" collapsed="false">
      <c r="A28" s="0" t="s">
        <v>113</v>
      </c>
      <c r="B28" s="0" t="s">
        <v>284</v>
      </c>
      <c r="C28" s="0" t="s">
        <v>274</v>
      </c>
      <c r="D28" s="0" t="n">
        <v>4</v>
      </c>
      <c r="E28" s="0" t="n">
        <v>3</v>
      </c>
      <c r="F28" s="0" t="n">
        <v>0</v>
      </c>
      <c r="G28" s="0" t="n">
        <v>7</v>
      </c>
      <c r="H28" s="0" t="n">
        <v>7</v>
      </c>
    </row>
    <row r="29" customFormat="false" ht="15" hidden="false" customHeight="false" outlineLevel="0" collapsed="false">
      <c r="A29" s="0" t="s">
        <v>113</v>
      </c>
      <c r="B29" s="0" t="s">
        <v>285</v>
      </c>
      <c r="C29" s="0" t="s">
        <v>276</v>
      </c>
      <c r="D29" s="0" t="n">
        <v>5</v>
      </c>
      <c r="E29" s="0" t="n">
        <v>8</v>
      </c>
      <c r="F29" s="0" t="n">
        <v>1</v>
      </c>
      <c r="G29" s="0" t="n">
        <v>13</v>
      </c>
      <c r="H29" s="0" t="n">
        <v>14</v>
      </c>
    </row>
    <row r="30" customFormat="false" ht="15" hidden="false" customHeight="false" outlineLevel="0" collapsed="false">
      <c r="A30" s="0" t="s">
        <v>113</v>
      </c>
      <c r="B30" s="0" t="s">
        <v>286</v>
      </c>
      <c r="C30" s="0" t="s">
        <v>280</v>
      </c>
      <c r="D30" s="0" t="n">
        <v>6</v>
      </c>
      <c r="E30" s="0" t="n">
        <v>6</v>
      </c>
      <c r="F30" s="0" t="n">
        <v>0</v>
      </c>
      <c r="G30" s="0" t="n">
        <v>12</v>
      </c>
      <c r="H30" s="0" t="n">
        <v>12</v>
      </c>
    </row>
    <row r="31" customFormat="false" ht="15" hidden="false" customHeight="false" outlineLevel="0" collapsed="false">
      <c r="A31" s="0" t="s">
        <v>113</v>
      </c>
      <c r="B31" s="0" t="s">
        <v>287</v>
      </c>
      <c r="C31" s="0" t="s">
        <v>288</v>
      </c>
      <c r="D31" s="0" t="n">
        <v>3</v>
      </c>
      <c r="E31" s="0" t="n">
        <v>0</v>
      </c>
      <c r="F31" s="0" t="n">
        <v>0</v>
      </c>
      <c r="G31" s="0" t="n">
        <v>3</v>
      </c>
      <c r="H31" s="0" t="n">
        <v>3</v>
      </c>
    </row>
    <row r="32" customFormat="false" ht="15" hidden="false" customHeight="false" outlineLevel="0" collapsed="false">
      <c r="A32" s="0" t="s">
        <v>115</v>
      </c>
      <c r="B32" s="0" t="s">
        <v>265</v>
      </c>
      <c r="C32" s="0" t="s">
        <v>266</v>
      </c>
      <c r="D32" s="0" t="n">
        <v>4</v>
      </c>
      <c r="E32" s="0" t="n">
        <v>3</v>
      </c>
      <c r="F32" s="0" t="n">
        <v>3</v>
      </c>
      <c r="G32" s="0" t="n">
        <v>7</v>
      </c>
      <c r="H32" s="0" t="n">
        <v>10</v>
      </c>
    </row>
    <row r="33" customFormat="false" ht="15" hidden="false" customHeight="false" outlineLevel="0" collapsed="false">
      <c r="A33" s="0" t="s">
        <v>115</v>
      </c>
      <c r="B33" s="0" t="s">
        <v>267</v>
      </c>
      <c r="C33" s="0" t="s">
        <v>268</v>
      </c>
      <c r="D33" s="0" t="n">
        <v>5</v>
      </c>
      <c r="E33" s="0" t="n">
        <v>0</v>
      </c>
      <c r="F33" s="0" t="n">
        <v>0</v>
      </c>
      <c r="G33" s="0" t="n">
        <v>5</v>
      </c>
      <c r="H33" s="0" t="n">
        <v>5</v>
      </c>
    </row>
    <row r="34" customFormat="false" ht="15" hidden="false" customHeight="false" outlineLevel="0" collapsed="false">
      <c r="A34" s="0" t="s">
        <v>115</v>
      </c>
      <c r="B34" s="0" t="s">
        <v>269</v>
      </c>
      <c r="C34" s="0" t="s">
        <v>270</v>
      </c>
      <c r="D34" s="0" t="n">
        <v>5</v>
      </c>
      <c r="E34" s="0" t="n">
        <v>11</v>
      </c>
      <c r="F34" s="0" t="n">
        <v>2</v>
      </c>
      <c r="G34" s="0" t="n">
        <v>16</v>
      </c>
      <c r="H34" s="0" t="n">
        <v>18</v>
      </c>
    </row>
    <row r="35" customFormat="false" ht="15" hidden="false" customHeight="false" outlineLevel="0" collapsed="false">
      <c r="A35" s="0" t="s">
        <v>115</v>
      </c>
      <c r="B35" s="0" t="s">
        <v>271</v>
      </c>
      <c r="C35" s="0" t="s">
        <v>272</v>
      </c>
      <c r="D35" s="0" t="n">
        <v>2</v>
      </c>
      <c r="E35" s="0" t="n">
        <v>7</v>
      </c>
      <c r="F35" s="0" t="n">
        <v>3</v>
      </c>
      <c r="G35" s="0" t="n">
        <v>9</v>
      </c>
      <c r="H35" s="0" t="n">
        <v>12</v>
      </c>
    </row>
    <row r="36" customFormat="false" ht="15" hidden="false" customHeight="false" outlineLevel="0" collapsed="false">
      <c r="A36" s="0" t="s">
        <v>115</v>
      </c>
      <c r="B36" s="0" t="s">
        <v>273</v>
      </c>
      <c r="C36" s="0" t="s">
        <v>274</v>
      </c>
      <c r="D36" s="0" t="n">
        <v>7</v>
      </c>
      <c r="E36" s="0" t="n">
        <v>1</v>
      </c>
      <c r="F36" s="0" t="n">
        <v>2</v>
      </c>
      <c r="G36" s="0" t="n">
        <v>8</v>
      </c>
      <c r="H36" s="0" t="n">
        <v>10</v>
      </c>
    </row>
    <row r="37" customFormat="false" ht="15" hidden="false" customHeight="false" outlineLevel="0" collapsed="false">
      <c r="A37" s="0" t="s">
        <v>115</v>
      </c>
      <c r="B37" s="0" t="s">
        <v>275</v>
      </c>
      <c r="C37" s="0" t="s">
        <v>276</v>
      </c>
      <c r="D37" s="0" t="n">
        <v>1</v>
      </c>
      <c r="E37" s="0" t="n">
        <v>4</v>
      </c>
      <c r="F37" s="0" t="n">
        <v>8</v>
      </c>
      <c r="G37" s="0" t="n">
        <v>5</v>
      </c>
      <c r="H37" s="0" t="n">
        <v>13</v>
      </c>
    </row>
    <row r="38" customFormat="false" ht="15" hidden="false" customHeight="false" outlineLevel="0" collapsed="false">
      <c r="A38" s="0" t="s">
        <v>115</v>
      </c>
      <c r="B38" s="0" t="s">
        <v>277</v>
      </c>
      <c r="C38" s="0" t="s">
        <v>276</v>
      </c>
      <c r="D38" s="0" t="n">
        <v>10</v>
      </c>
      <c r="E38" s="0" t="n">
        <v>1</v>
      </c>
      <c r="F38" s="0" t="n">
        <v>3</v>
      </c>
      <c r="G38" s="0" t="n">
        <v>11</v>
      </c>
      <c r="H38" s="0" t="n">
        <v>14</v>
      </c>
    </row>
    <row r="39" customFormat="false" ht="15" hidden="false" customHeight="false" outlineLevel="0" collapsed="false">
      <c r="A39" s="0" t="s">
        <v>115</v>
      </c>
      <c r="B39" s="0" t="s">
        <v>278</v>
      </c>
      <c r="C39" s="0" t="s">
        <v>274</v>
      </c>
      <c r="D39" s="0" t="n">
        <v>2</v>
      </c>
      <c r="E39" s="0" t="n">
        <v>2</v>
      </c>
      <c r="F39" s="0" t="n">
        <v>5</v>
      </c>
      <c r="G39" s="0" t="n">
        <v>4</v>
      </c>
      <c r="H39" s="0" t="n">
        <v>9</v>
      </c>
    </row>
    <row r="40" customFormat="false" ht="15" hidden="false" customHeight="false" outlineLevel="0" collapsed="false">
      <c r="A40" s="0" t="s">
        <v>115</v>
      </c>
      <c r="B40" s="0" t="s">
        <v>279</v>
      </c>
      <c r="C40" s="0" t="s">
        <v>280</v>
      </c>
      <c r="D40" s="0" t="n">
        <v>5</v>
      </c>
      <c r="E40" s="0" t="n">
        <v>2</v>
      </c>
      <c r="F40" s="0" t="n">
        <v>0</v>
      </c>
      <c r="G40" s="0" t="n">
        <v>7</v>
      </c>
      <c r="H40" s="0" t="n">
        <v>7</v>
      </c>
    </row>
    <row r="41" customFormat="false" ht="15" hidden="false" customHeight="false" outlineLevel="0" collapsed="false">
      <c r="A41" s="0" t="s">
        <v>115</v>
      </c>
      <c r="B41" s="0" t="s">
        <v>281</v>
      </c>
      <c r="C41" s="0" t="s">
        <v>282</v>
      </c>
      <c r="D41" s="0" t="n">
        <v>1</v>
      </c>
      <c r="E41" s="0" t="n">
        <v>6</v>
      </c>
      <c r="F41" s="0" t="n">
        <v>7</v>
      </c>
      <c r="G41" s="0" t="n">
        <v>7</v>
      </c>
      <c r="H41" s="0" t="n">
        <v>14</v>
      </c>
    </row>
    <row r="42" customFormat="false" ht="15" hidden="false" customHeight="false" outlineLevel="0" collapsed="false">
      <c r="A42" s="0" t="s">
        <v>115</v>
      </c>
      <c r="B42" s="0" t="s">
        <v>283</v>
      </c>
      <c r="C42" s="0" t="s">
        <v>282</v>
      </c>
      <c r="D42" s="0" t="n">
        <v>11</v>
      </c>
      <c r="E42" s="0" t="n">
        <v>11</v>
      </c>
      <c r="F42" s="0" t="n">
        <v>0</v>
      </c>
      <c r="G42" s="0" t="n">
        <v>22</v>
      </c>
      <c r="H42" s="0" t="n">
        <v>22</v>
      </c>
    </row>
    <row r="43" customFormat="false" ht="15" hidden="false" customHeight="false" outlineLevel="0" collapsed="false">
      <c r="A43" s="0" t="s">
        <v>115</v>
      </c>
      <c r="B43" s="0" t="s">
        <v>284</v>
      </c>
      <c r="C43" s="0" t="s">
        <v>274</v>
      </c>
      <c r="D43" s="0" t="n">
        <v>5</v>
      </c>
      <c r="E43" s="0" t="n">
        <v>4</v>
      </c>
      <c r="F43" s="0" t="n">
        <v>0</v>
      </c>
      <c r="G43" s="0" t="n">
        <v>9</v>
      </c>
      <c r="H43" s="0" t="n">
        <v>9</v>
      </c>
    </row>
    <row r="44" customFormat="false" ht="15" hidden="false" customHeight="false" outlineLevel="0" collapsed="false">
      <c r="A44" s="0" t="s">
        <v>115</v>
      </c>
      <c r="B44" s="0" t="s">
        <v>285</v>
      </c>
      <c r="C44" s="0" t="s">
        <v>276</v>
      </c>
      <c r="D44" s="0" t="n">
        <v>1</v>
      </c>
      <c r="E44" s="0" t="n">
        <v>9</v>
      </c>
      <c r="F44" s="0" t="n">
        <v>3</v>
      </c>
      <c r="G44" s="0" t="n">
        <v>10</v>
      </c>
      <c r="H44" s="0" t="n">
        <v>13</v>
      </c>
    </row>
    <row r="45" customFormat="false" ht="15" hidden="false" customHeight="false" outlineLevel="0" collapsed="false">
      <c r="A45" s="0" t="s">
        <v>115</v>
      </c>
      <c r="B45" s="0" t="s">
        <v>286</v>
      </c>
      <c r="C45" s="0" t="s">
        <v>280</v>
      </c>
      <c r="D45" s="0" t="n">
        <v>7</v>
      </c>
      <c r="E45" s="0" t="n">
        <v>3</v>
      </c>
      <c r="F45" s="0" t="n">
        <v>0</v>
      </c>
      <c r="G45" s="0" t="n">
        <v>10</v>
      </c>
      <c r="H45" s="0" t="n">
        <v>10</v>
      </c>
    </row>
    <row r="46" customFormat="false" ht="15" hidden="false" customHeight="false" outlineLevel="0" collapsed="false">
      <c r="A46" s="0" t="s">
        <v>115</v>
      </c>
      <c r="B46" s="0" t="s">
        <v>287</v>
      </c>
      <c r="C46" s="0" t="s">
        <v>288</v>
      </c>
      <c r="D46" s="0" t="n">
        <v>2</v>
      </c>
      <c r="E46" s="0" t="n">
        <v>0</v>
      </c>
      <c r="F46" s="0" t="n">
        <v>0</v>
      </c>
      <c r="G46" s="0" t="n">
        <v>2</v>
      </c>
      <c r="H46" s="0" t="n">
        <v>2</v>
      </c>
    </row>
    <row r="47" customFormat="false" ht="15" hidden="false" customHeight="false" outlineLevel="0" collapsed="false">
      <c r="A47" s="0" t="s">
        <v>117</v>
      </c>
      <c r="B47" s="0" t="s">
        <v>265</v>
      </c>
      <c r="C47" s="0" t="s">
        <v>266</v>
      </c>
      <c r="D47" s="0" t="n">
        <v>7</v>
      </c>
      <c r="E47" s="0" t="n">
        <v>6</v>
      </c>
      <c r="F47" s="0" t="n">
        <v>6</v>
      </c>
      <c r="G47" s="0" t="n">
        <v>13</v>
      </c>
      <c r="H47" s="0" t="n">
        <v>19</v>
      </c>
    </row>
    <row r="48" customFormat="false" ht="15" hidden="false" customHeight="false" outlineLevel="0" collapsed="false">
      <c r="A48" s="0" t="s">
        <v>117</v>
      </c>
      <c r="B48" s="0" t="s">
        <v>267</v>
      </c>
      <c r="C48" s="0" t="s">
        <v>268</v>
      </c>
      <c r="D48" s="0" t="n">
        <v>2</v>
      </c>
      <c r="E48" s="0" t="n">
        <v>0</v>
      </c>
      <c r="F48" s="0" t="n">
        <v>0</v>
      </c>
      <c r="G48" s="0" t="n">
        <v>2</v>
      </c>
      <c r="H48" s="0" t="n">
        <v>2</v>
      </c>
    </row>
    <row r="49" customFormat="false" ht="15" hidden="false" customHeight="false" outlineLevel="0" collapsed="false">
      <c r="A49" s="0" t="s">
        <v>117</v>
      </c>
      <c r="B49" s="0" t="s">
        <v>269</v>
      </c>
      <c r="C49" s="0" t="s">
        <v>270</v>
      </c>
      <c r="D49" s="0" t="n">
        <v>1</v>
      </c>
      <c r="E49" s="0" t="n">
        <v>3</v>
      </c>
      <c r="F49" s="0" t="n">
        <v>2</v>
      </c>
      <c r="G49" s="0" t="n">
        <v>4</v>
      </c>
      <c r="H49" s="0" t="n">
        <v>6</v>
      </c>
    </row>
    <row r="50" customFormat="false" ht="15" hidden="false" customHeight="false" outlineLevel="0" collapsed="false">
      <c r="A50" s="0" t="s">
        <v>117</v>
      </c>
      <c r="B50" s="0" t="s">
        <v>271</v>
      </c>
      <c r="C50" s="0" t="s">
        <v>272</v>
      </c>
      <c r="D50" s="0" t="n">
        <v>2</v>
      </c>
      <c r="E50" s="0" t="n">
        <v>2</v>
      </c>
      <c r="F50" s="0" t="n">
        <v>1</v>
      </c>
      <c r="G50" s="0" t="n">
        <v>4</v>
      </c>
      <c r="H50" s="0" t="n">
        <v>5</v>
      </c>
    </row>
    <row r="51" customFormat="false" ht="15" hidden="false" customHeight="false" outlineLevel="0" collapsed="false">
      <c r="A51" s="0" t="s">
        <v>117</v>
      </c>
      <c r="B51" s="0" t="s">
        <v>273</v>
      </c>
      <c r="C51" s="0" t="s">
        <v>274</v>
      </c>
      <c r="D51" s="0" t="n">
        <v>3</v>
      </c>
      <c r="E51" s="0" t="n">
        <v>1</v>
      </c>
      <c r="F51" s="0" t="n">
        <v>0</v>
      </c>
      <c r="G51" s="0" t="n">
        <v>4</v>
      </c>
      <c r="H51" s="0" t="n">
        <v>4</v>
      </c>
    </row>
    <row r="52" customFormat="false" ht="15" hidden="false" customHeight="false" outlineLevel="0" collapsed="false">
      <c r="A52" s="0" t="s">
        <v>117</v>
      </c>
      <c r="B52" s="0" t="s">
        <v>275</v>
      </c>
      <c r="C52" s="0" t="s">
        <v>276</v>
      </c>
      <c r="D52" s="0" t="n">
        <v>2</v>
      </c>
      <c r="E52" s="0" t="n">
        <v>15</v>
      </c>
      <c r="F52" s="0" t="n">
        <v>3</v>
      </c>
      <c r="G52" s="0" t="n">
        <v>17</v>
      </c>
      <c r="H52" s="0" t="n">
        <v>20</v>
      </c>
    </row>
    <row r="53" customFormat="false" ht="15" hidden="false" customHeight="false" outlineLevel="0" collapsed="false">
      <c r="A53" s="0" t="s">
        <v>117</v>
      </c>
      <c r="B53" s="0" t="s">
        <v>277</v>
      </c>
      <c r="C53" s="0" t="s">
        <v>276</v>
      </c>
      <c r="D53" s="0" t="n">
        <v>6</v>
      </c>
      <c r="E53" s="0" t="n">
        <v>0</v>
      </c>
      <c r="F53" s="0" t="n">
        <v>1</v>
      </c>
      <c r="G53" s="0" t="n">
        <v>6</v>
      </c>
      <c r="H53" s="0" t="n">
        <v>7</v>
      </c>
    </row>
    <row r="54" customFormat="false" ht="15" hidden="false" customHeight="false" outlineLevel="0" collapsed="false">
      <c r="A54" s="0" t="s">
        <v>117</v>
      </c>
      <c r="B54" s="0" t="s">
        <v>278</v>
      </c>
      <c r="C54" s="0" t="s">
        <v>274</v>
      </c>
      <c r="D54" s="0" t="n">
        <v>3</v>
      </c>
      <c r="E54" s="0" t="n">
        <v>0</v>
      </c>
      <c r="F54" s="0" t="n">
        <v>8</v>
      </c>
      <c r="G54" s="0" t="n">
        <v>3</v>
      </c>
      <c r="H54" s="0" t="n">
        <v>11</v>
      </c>
    </row>
    <row r="55" customFormat="false" ht="15" hidden="false" customHeight="false" outlineLevel="0" collapsed="false">
      <c r="A55" s="0" t="s">
        <v>117</v>
      </c>
      <c r="B55" s="0" t="s">
        <v>279</v>
      </c>
      <c r="C55" s="0" t="s">
        <v>280</v>
      </c>
      <c r="D55" s="0" t="n">
        <v>2</v>
      </c>
      <c r="E55" s="0" t="n">
        <v>5</v>
      </c>
      <c r="F55" s="0" t="n">
        <v>0</v>
      </c>
      <c r="G55" s="0" t="n">
        <v>7</v>
      </c>
      <c r="H55" s="0" t="n">
        <v>7</v>
      </c>
    </row>
    <row r="56" customFormat="false" ht="15" hidden="false" customHeight="false" outlineLevel="0" collapsed="false">
      <c r="A56" s="0" t="s">
        <v>117</v>
      </c>
      <c r="B56" s="0" t="s">
        <v>281</v>
      </c>
      <c r="C56" s="0" t="s">
        <v>282</v>
      </c>
      <c r="D56" s="0" t="n">
        <v>1</v>
      </c>
      <c r="E56" s="0" t="n">
        <v>11</v>
      </c>
      <c r="F56" s="0" t="n">
        <v>2</v>
      </c>
      <c r="G56" s="0" t="n">
        <v>12</v>
      </c>
      <c r="H56" s="0" t="n">
        <v>14</v>
      </c>
    </row>
    <row r="57" customFormat="false" ht="15" hidden="false" customHeight="false" outlineLevel="0" collapsed="false">
      <c r="A57" s="0" t="s">
        <v>117</v>
      </c>
      <c r="B57" s="0" t="s">
        <v>283</v>
      </c>
      <c r="C57" s="0" t="s">
        <v>282</v>
      </c>
      <c r="D57" s="0" t="n">
        <v>3</v>
      </c>
      <c r="E57" s="0" t="n">
        <v>3</v>
      </c>
      <c r="F57" s="0" t="n">
        <v>0</v>
      </c>
      <c r="G57" s="0" t="n">
        <v>6</v>
      </c>
      <c r="H57" s="0" t="n">
        <v>6</v>
      </c>
    </row>
    <row r="58" customFormat="false" ht="15" hidden="false" customHeight="false" outlineLevel="0" collapsed="false">
      <c r="A58" s="0" t="s">
        <v>117</v>
      </c>
      <c r="B58" s="0" t="s">
        <v>284</v>
      </c>
      <c r="C58" s="0" t="s">
        <v>274</v>
      </c>
      <c r="D58" s="0" t="n">
        <v>5</v>
      </c>
      <c r="E58" s="0" t="n">
        <v>5</v>
      </c>
      <c r="F58" s="0" t="n">
        <v>0</v>
      </c>
      <c r="G58" s="0" t="n">
        <v>10</v>
      </c>
      <c r="H58" s="0" t="n">
        <v>10</v>
      </c>
    </row>
    <row r="59" customFormat="false" ht="15" hidden="false" customHeight="false" outlineLevel="0" collapsed="false">
      <c r="A59" s="0" t="s">
        <v>117</v>
      </c>
      <c r="B59" s="0" t="s">
        <v>285</v>
      </c>
      <c r="C59" s="0" t="s">
        <v>276</v>
      </c>
      <c r="D59" s="0" t="n">
        <v>5</v>
      </c>
      <c r="E59" s="0" t="n">
        <v>5</v>
      </c>
      <c r="F59" s="0" t="n">
        <v>0</v>
      </c>
      <c r="G59" s="0" t="n">
        <v>10</v>
      </c>
      <c r="H59" s="0" t="n">
        <v>10</v>
      </c>
    </row>
    <row r="60" customFormat="false" ht="15" hidden="false" customHeight="false" outlineLevel="0" collapsed="false">
      <c r="A60" s="0" t="s">
        <v>117</v>
      </c>
      <c r="B60" s="0" t="s">
        <v>286</v>
      </c>
      <c r="C60" s="0" t="s">
        <v>280</v>
      </c>
      <c r="D60" s="0" t="n">
        <v>3</v>
      </c>
      <c r="E60" s="0" t="n">
        <v>2</v>
      </c>
      <c r="F60" s="0" t="n">
        <v>0</v>
      </c>
      <c r="G60" s="0" t="n">
        <v>5</v>
      </c>
      <c r="H60" s="0" t="n">
        <v>5</v>
      </c>
    </row>
    <row r="61" customFormat="false" ht="15" hidden="false" customHeight="false" outlineLevel="0" collapsed="false">
      <c r="A61" s="0" t="s">
        <v>117</v>
      </c>
      <c r="B61" s="0" t="s">
        <v>287</v>
      </c>
      <c r="C61" s="0" t="s">
        <v>288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</row>
    <row r="62" customFormat="false" ht="15" hidden="false" customHeight="false" outlineLevel="0" collapsed="false">
      <c r="A62" s="0" t="s">
        <v>128</v>
      </c>
      <c r="B62" s="0" t="s">
        <v>289</v>
      </c>
      <c r="C62" s="0" t="s">
        <v>85</v>
      </c>
      <c r="D62" s="0" t="n">
        <v>2</v>
      </c>
      <c r="E62" s="0" t="n">
        <v>6</v>
      </c>
      <c r="F62" s="0" t="n">
        <v>3</v>
      </c>
      <c r="G62" s="0" t="n">
        <v>8</v>
      </c>
      <c r="H62" s="0" t="n">
        <v>11</v>
      </c>
    </row>
    <row r="63" customFormat="false" ht="15" hidden="false" customHeight="false" outlineLevel="0" collapsed="false">
      <c r="A63" s="0" t="s">
        <v>128</v>
      </c>
      <c r="B63" s="0" t="s">
        <v>290</v>
      </c>
      <c r="C63" s="0" t="s">
        <v>291</v>
      </c>
      <c r="D63" s="0" t="n">
        <v>4</v>
      </c>
      <c r="E63" s="0" t="n">
        <v>7</v>
      </c>
      <c r="F63" s="0" t="n">
        <v>0</v>
      </c>
      <c r="G63" s="0" t="n">
        <v>11</v>
      </c>
      <c r="H63" s="0" t="n">
        <v>11</v>
      </c>
    </row>
    <row r="64" customFormat="false" ht="15" hidden="false" customHeight="false" outlineLevel="0" collapsed="false">
      <c r="A64" s="0" t="s">
        <v>128</v>
      </c>
      <c r="B64" s="0" t="s">
        <v>267</v>
      </c>
      <c r="C64" s="0" t="s">
        <v>292</v>
      </c>
      <c r="D64" s="0" t="n">
        <v>4</v>
      </c>
      <c r="E64" s="0" t="n">
        <v>13</v>
      </c>
      <c r="F64" s="0" t="n">
        <v>12</v>
      </c>
      <c r="G64" s="0" t="n">
        <v>17</v>
      </c>
      <c r="H64" s="0" t="n">
        <v>29</v>
      </c>
    </row>
    <row r="65" customFormat="false" ht="15" hidden="false" customHeight="false" outlineLevel="0" collapsed="false">
      <c r="A65" s="0" t="s">
        <v>128</v>
      </c>
      <c r="B65" s="0" t="s">
        <v>293</v>
      </c>
      <c r="C65" s="0" t="s">
        <v>294</v>
      </c>
      <c r="D65" s="0" t="n">
        <v>4</v>
      </c>
      <c r="E65" s="0" t="n">
        <v>5</v>
      </c>
      <c r="F65" s="0" t="n">
        <v>2</v>
      </c>
      <c r="G65" s="0" t="n">
        <v>9</v>
      </c>
      <c r="H65" s="0" t="n">
        <v>11</v>
      </c>
    </row>
    <row r="66" customFormat="false" ht="15" hidden="false" customHeight="false" outlineLevel="0" collapsed="false">
      <c r="A66" s="0" t="s">
        <v>128</v>
      </c>
      <c r="B66" s="0" t="s">
        <v>295</v>
      </c>
      <c r="C66" s="0" t="s">
        <v>291</v>
      </c>
      <c r="D66" s="0" t="n">
        <v>4</v>
      </c>
      <c r="E66" s="0" t="n">
        <v>1</v>
      </c>
      <c r="F66" s="0" t="n">
        <v>5</v>
      </c>
      <c r="G66" s="0" t="n">
        <v>5</v>
      </c>
      <c r="H66" s="0" t="n">
        <v>10</v>
      </c>
    </row>
    <row r="67" customFormat="false" ht="15" hidden="false" customHeight="false" outlineLevel="0" collapsed="false">
      <c r="A67" s="0" t="s">
        <v>128</v>
      </c>
      <c r="B67" s="0" t="s">
        <v>296</v>
      </c>
      <c r="C67" s="0" t="s">
        <v>294</v>
      </c>
      <c r="D67" s="0" t="n">
        <v>3</v>
      </c>
      <c r="E67" s="0" t="n">
        <v>8</v>
      </c>
      <c r="F67" s="0" t="n">
        <v>1</v>
      </c>
      <c r="G67" s="0" t="n">
        <v>11</v>
      </c>
      <c r="H67" s="0" t="n">
        <v>12</v>
      </c>
    </row>
    <row r="68" customFormat="false" ht="15" hidden="false" customHeight="false" outlineLevel="0" collapsed="false">
      <c r="A68" s="0" t="s">
        <v>128</v>
      </c>
      <c r="B68" s="0" t="s">
        <v>297</v>
      </c>
      <c r="C68" s="0" t="s">
        <v>298</v>
      </c>
      <c r="D68" s="0" t="n">
        <v>5</v>
      </c>
      <c r="E68" s="0" t="n">
        <v>4</v>
      </c>
      <c r="F68" s="0" t="n">
        <v>0</v>
      </c>
      <c r="G68" s="0" t="n">
        <v>9</v>
      </c>
      <c r="H68" s="0" t="n">
        <v>9</v>
      </c>
    </row>
    <row r="69" customFormat="false" ht="15" hidden="false" customHeight="false" outlineLevel="0" collapsed="false">
      <c r="A69" s="0" t="s">
        <v>128</v>
      </c>
      <c r="B69" s="0" t="s">
        <v>299</v>
      </c>
      <c r="C69" s="0" t="s">
        <v>300</v>
      </c>
      <c r="D69" s="0" t="n">
        <v>6</v>
      </c>
      <c r="E69" s="0" t="n">
        <v>9</v>
      </c>
      <c r="F69" s="0" t="n">
        <v>0</v>
      </c>
      <c r="G69" s="0" t="n">
        <v>15</v>
      </c>
      <c r="H69" s="0" t="n">
        <v>15</v>
      </c>
    </row>
    <row r="70" customFormat="false" ht="15" hidden="false" customHeight="false" outlineLevel="0" collapsed="false">
      <c r="A70" s="0" t="s">
        <v>128</v>
      </c>
      <c r="B70" s="0" t="s">
        <v>279</v>
      </c>
      <c r="C70" s="0" t="s">
        <v>294</v>
      </c>
      <c r="D70" s="0" t="n">
        <v>4</v>
      </c>
      <c r="E70" s="0" t="n">
        <v>0</v>
      </c>
      <c r="F70" s="0" t="n">
        <v>1</v>
      </c>
      <c r="G70" s="0" t="n">
        <v>4</v>
      </c>
      <c r="H70" s="0" t="n">
        <v>5</v>
      </c>
    </row>
    <row r="71" customFormat="false" ht="15" hidden="false" customHeight="false" outlineLevel="0" collapsed="false">
      <c r="A71" s="0" t="s">
        <v>128</v>
      </c>
      <c r="B71" s="0" t="s">
        <v>283</v>
      </c>
      <c r="C71" s="0" t="s">
        <v>301</v>
      </c>
      <c r="D71" s="0" t="n">
        <v>5</v>
      </c>
      <c r="E71" s="0" t="n">
        <v>9</v>
      </c>
      <c r="F71" s="0" t="n">
        <v>0</v>
      </c>
      <c r="G71" s="0" t="n">
        <v>14</v>
      </c>
      <c r="H71" s="0" t="n">
        <v>14</v>
      </c>
    </row>
    <row r="72" customFormat="false" ht="15" hidden="false" customHeight="false" outlineLevel="0" collapsed="false">
      <c r="A72" s="0" t="s">
        <v>128</v>
      </c>
      <c r="B72" s="0" t="s">
        <v>284</v>
      </c>
      <c r="C72" s="0" t="s">
        <v>292</v>
      </c>
      <c r="D72" s="0" t="n">
        <v>10</v>
      </c>
      <c r="E72" s="0" t="n">
        <v>8</v>
      </c>
      <c r="F72" s="0" t="n">
        <v>0</v>
      </c>
      <c r="G72" s="0" t="n">
        <v>18</v>
      </c>
      <c r="H72" s="0" t="n">
        <v>18</v>
      </c>
    </row>
    <row r="73" customFormat="false" ht="15" hidden="false" customHeight="false" outlineLevel="0" collapsed="false">
      <c r="A73" s="0" t="s">
        <v>128</v>
      </c>
      <c r="B73" s="0" t="s">
        <v>285</v>
      </c>
      <c r="C73" s="0" t="s">
        <v>302</v>
      </c>
      <c r="D73" s="0" t="n">
        <v>0</v>
      </c>
      <c r="E73" s="0" t="n">
        <v>4</v>
      </c>
      <c r="F73" s="0" t="n">
        <v>0</v>
      </c>
      <c r="G73" s="0" t="n">
        <v>4</v>
      </c>
      <c r="H73" s="0" t="n">
        <v>4</v>
      </c>
    </row>
    <row r="74" customFormat="false" ht="15" hidden="false" customHeight="false" outlineLevel="0" collapsed="false">
      <c r="A74" s="0" t="s">
        <v>128</v>
      </c>
      <c r="B74" s="0" t="s">
        <v>303</v>
      </c>
      <c r="C74" s="0" t="s">
        <v>291</v>
      </c>
      <c r="D74" s="0" t="n">
        <v>3</v>
      </c>
      <c r="E74" s="0" t="n">
        <v>3</v>
      </c>
      <c r="F74" s="0" t="n">
        <v>0</v>
      </c>
      <c r="G74" s="0" t="n">
        <v>6</v>
      </c>
      <c r="H74" s="0" t="n">
        <v>6</v>
      </c>
    </row>
    <row r="75" customFormat="false" ht="15" hidden="false" customHeight="false" outlineLevel="0" collapsed="false">
      <c r="A75" s="0" t="s">
        <v>128</v>
      </c>
      <c r="B75" s="0" t="s">
        <v>304</v>
      </c>
      <c r="C75" s="0" t="s">
        <v>270</v>
      </c>
      <c r="D75" s="0" t="n">
        <v>1</v>
      </c>
      <c r="E75" s="0" t="n">
        <v>0</v>
      </c>
      <c r="F75" s="0" t="n">
        <v>0</v>
      </c>
      <c r="G75" s="0" t="n">
        <v>1</v>
      </c>
      <c r="H75" s="0" t="n">
        <v>1</v>
      </c>
    </row>
    <row r="76" customFormat="false" ht="15" hidden="false" customHeight="false" outlineLevel="0" collapsed="false">
      <c r="A76" s="0" t="s">
        <v>128</v>
      </c>
      <c r="B76" s="0" t="s">
        <v>304</v>
      </c>
      <c r="C76" s="0" t="s">
        <v>305</v>
      </c>
      <c r="D76" s="0" t="n">
        <v>3</v>
      </c>
      <c r="E76" s="0" t="n">
        <v>0</v>
      </c>
      <c r="F76" s="0" t="n">
        <v>0</v>
      </c>
      <c r="G76" s="0" t="n">
        <v>3</v>
      </c>
      <c r="H76" s="0" t="n">
        <v>3</v>
      </c>
    </row>
    <row r="77" customFormat="false" ht="15" hidden="false" customHeight="false" outlineLevel="0" collapsed="false">
      <c r="A77" s="0" t="s">
        <v>131</v>
      </c>
      <c r="B77" s="0" t="s">
        <v>289</v>
      </c>
      <c r="C77" s="0" t="s">
        <v>85</v>
      </c>
      <c r="D77" s="0" t="n">
        <v>4</v>
      </c>
      <c r="E77" s="0" t="n">
        <v>0</v>
      </c>
      <c r="F77" s="0" t="n">
        <v>0</v>
      </c>
      <c r="G77" s="0" t="n">
        <v>4</v>
      </c>
      <c r="H77" s="0" t="n">
        <v>4</v>
      </c>
    </row>
    <row r="78" customFormat="false" ht="15" hidden="false" customHeight="false" outlineLevel="0" collapsed="false">
      <c r="A78" s="0" t="s">
        <v>131</v>
      </c>
      <c r="B78" s="0" t="s">
        <v>290</v>
      </c>
      <c r="C78" s="0" t="s">
        <v>291</v>
      </c>
      <c r="D78" s="0" t="n">
        <v>1</v>
      </c>
      <c r="E78" s="0" t="n">
        <v>2</v>
      </c>
      <c r="F78" s="0" t="n">
        <v>2</v>
      </c>
      <c r="G78" s="0" t="n">
        <v>3</v>
      </c>
      <c r="H78" s="0" t="n">
        <v>5</v>
      </c>
    </row>
    <row r="79" customFormat="false" ht="15" hidden="false" customHeight="false" outlineLevel="0" collapsed="false">
      <c r="A79" s="0" t="s">
        <v>131</v>
      </c>
      <c r="B79" s="0" t="s">
        <v>267</v>
      </c>
      <c r="C79" s="0" t="s">
        <v>292</v>
      </c>
      <c r="D79" s="0" t="n">
        <v>8</v>
      </c>
      <c r="E79" s="0" t="n">
        <v>5</v>
      </c>
      <c r="F79" s="0" t="n">
        <v>2</v>
      </c>
      <c r="G79" s="0" t="n">
        <v>13</v>
      </c>
      <c r="H79" s="0" t="n">
        <v>15</v>
      </c>
    </row>
    <row r="80" customFormat="false" ht="15" hidden="false" customHeight="false" outlineLevel="0" collapsed="false">
      <c r="A80" s="0" t="s">
        <v>131</v>
      </c>
      <c r="B80" s="0" t="s">
        <v>293</v>
      </c>
      <c r="C80" s="0" t="s">
        <v>294</v>
      </c>
      <c r="D80" s="0" t="n">
        <v>1</v>
      </c>
      <c r="E80" s="0" t="n">
        <v>8</v>
      </c>
      <c r="F80" s="0" t="n">
        <v>1</v>
      </c>
      <c r="G80" s="0" t="n">
        <v>9</v>
      </c>
      <c r="H80" s="0" t="n">
        <v>10</v>
      </c>
    </row>
    <row r="81" customFormat="false" ht="15" hidden="false" customHeight="false" outlineLevel="0" collapsed="false">
      <c r="A81" s="0" t="s">
        <v>131</v>
      </c>
      <c r="B81" s="0" t="s">
        <v>295</v>
      </c>
      <c r="C81" s="0" t="s">
        <v>291</v>
      </c>
      <c r="D81" s="0" t="n">
        <v>5</v>
      </c>
      <c r="E81" s="0" t="n">
        <v>4</v>
      </c>
      <c r="F81" s="0" t="n">
        <v>5</v>
      </c>
      <c r="G81" s="0" t="n">
        <v>9</v>
      </c>
      <c r="H81" s="0" t="n">
        <v>14</v>
      </c>
    </row>
    <row r="82" customFormat="false" ht="15" hidden="false" customHeight="false" outlineLevel="0" collapsed="false">
      <c r="A82" s="0" t="s">
        <v>131</v>
      </c>
      <c r="B82" s="0" t="s">
        <v>296</v>
      </c>
      <c r="C82" s="0" t="s">
        <v>294</v>
      </c>
      <c r="D82" s="0" t="n">
        <v>4</v>
      </c>
      <c r="E82" s="0" t="n">
        <v>2</v>
      </c>
      <c r="F82" s="0" t="n">
        <v>1</v>
      </c>
      <c r="G82" s="0" t="n">
        <v>6</v>
      </c>
      <c r="H82" s="0" t="n">
        <v>7</v>
      </c>
    </row>
    <row r="83" customFormat="false" ht="15" hidden="false" customHeight="false" outlineLevel="0" collapsed="false">
      <c r="A83" s="0" t="s">
        <v>131</v>
      </c>
      <c r="B83" s="0" t="s">
        <v>297</v>
      </c>
      <c r="C83" s="0" t="s">
        <v>298</v>
      </c>
      <c r="D83" s="0" t="n">
        <v>1</v>
      </c>
      <c r="E83" s="0" t="n">
        <v>0</v>
      </c>
      <c r="F83" s="0" t="n">
        <v>0</v>
      </c>
      <c r="G83" s="0" t="n">
        <v>1</v>
      </c>
      <c r="H83" s="0" t="n">
        <v>1</v>
      </c>
    </row>
    <row r="84" customFormat="false" ht="15" hidden="false" customHeight="false" outlineLevel="0" collapsed="false">
      <c r="A84" s="0" t="s">
        <v>131</v>
      </c>
      <c r="B84" s="0" t="s">
        <v>299</v>
      </c>
      <c r="C84" s="0" t="s">
        <v>300</v>
      </c>
      <c r="D84" s="0" t="n">
        <v>7</v>
      </c>
      <c r="E84" s="0" t="n">
        <v>4</v>
      </c>
      <c r="F84" s="0" t="n">
        <v>0</v>
      </c>
      <c r="G84" s="0" t="n">
        <v>11</v>
      </c>
      <c r="H84" s="0" t="n">
        <v>11</v>
      </c>
    </row>
    <row r="85" customFormat="false" ht="15" hidden="false" customHeight="false" outlineLevel="0" collapsed="false">
      <c r="A85" s="0" t="s">
        <v>131</v>
      </c>
      <c r="B85" s="0" t="s">
        <v>279</v>
      </c>
      <c r="C85" s="0" t="s">
        <v>294</v>
      </c>
      <c r="D85" s="0" t="n">
        <v>7</v>
      </c>
      <c r="E85" s="0" t="n">
        <v>2</v>
      </c>
      <c r="F85" s="0" t="n">
        <v>5</v>
      </c>
      <c r="G85" s="0" t="n">
        <v>9</v>
      </c>
      <c r="H85" s="0" t="n">
        <v>14</v>
      </c>
    </row>
    <row r="86" customFormat="false" ht="15" hidden="false" customHeight="false" outlineLevel="0" collapsed="false">
      <c r="A86" s="0" t="s">
        <v>131</v>
      </c>
      <c r="B86" s="0" t="s">
        <v>283</v>
      </c>
      <c r="C86" s="0" t="s">
        <v>301</v>
      </c>
      <c r="D86" s="0" t="n">
        <v>1</v>
      </c>
      <c r="E86" s="0" t="n">
        <v>4</v>
      </c>
      <c r="F86" s="0" t="n">
        <v>0</v>
      </c>
      <c r="G86" s="0" t="n">
        <v>5</v>
      </c>
      <c r="H86" s="0" t="n">
        <v>5</v>
      </c>
    </row>
    <row r="87" customFormat="false" ht="15" hidden="false" customHeight="false" outlineLevel="0" collapsed="false">
      <c r="A87" s="0" t="s">
        <v>131</v>
      </c>
      <c r="B87" s="0" t="s">
        <v>284</v>
      </c>
      <c r="C87" s="0" t="s">
        <v>292</v>
      </c>
      <c r="D87" s="0" t="n">
        <v>7</v>
      </c>
      <c r="E87" s="0" t="n">
        <v>3</v>
      </c>
      <c r="F87" s="0" t="n">
        <v>0</v>
      </c>
      <c r="G87" s="0" t="n">
        <v>10</v>
      </c>
      <c r="H87" s="0" t="n">
        <v>10</v>
      </c>
    </row>
    <row r="88" customFormat="false" ht="15" hidden="false" customHeight="false" outlineLevel="0" collapsed="false">
      <c r="A88" s="0" t="s">
        <v>131</v>
      </c>
      <c r="B88" s="0" t="s">
        <v>285</v>
      </c>
      <c r="C88" s="0" t="s">
        <v>302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</row>
    <row r="89" customFormat="false" ht="15" hidden="false" customHeight="false" outlineLevel="0" collapsed="false">
      <c r="A89" s="0" t="s">
        <v>131</v>
      </c>
      <c r="B89" s="0" t="s">
        <v>303</v>
      </c>
      <c r="C89" s="0" t="s">
        <v>291</v>
      </c>
      <c r="D89" s="0" t="n">
        <v>1</v>
      </c>
      <c r="E89" s="0" t="n">
        <v>4</v>
      </c>
      <c r="F89" s="0" t="n">
        <v>0</v>
      </c>
      <c r="G89" s="0" t="n">
        <v>5</v>
      </c>
      <c r="H89" s="0" t="n">
        <v>5</v>
      </c>
    </row>
    <row r="90" customFormat="false" ht="15" hidden="false" customHeight="false" outlineLevel="0" collapsed="false">
      <c r="A90" s="0" t="s">
        <v>131</v>
      </c>
      <c r="B90" s="0" t="s">
        <v>304</v>
      </c>
      <c r="C90" s="0" t="s">
        <v>270</v>
      </c>
      <c r="D90" s="0" t="n">
        <v>3</v>
      </c>
      <c r="E90" s="0" t="n">
        <v>3</v>
      </c>
      <c r="F90" s="0" t="n">
        <v>0</v>
      </c>
      <c r="G90" s="0" t="n">
        <v>6</v>
      </c>
      <c r="H90" s="0" t="n">
        <v>6</v>
      </c>
    </row>
    <row r="91" customFormat="false" ht="15" hidden="false" customHeight="false" outlineLevel="0" collapsed="false">
      <c r="A91" s="0" t="s">
        <v>131</v>
      </c>
      <c r="B91" s="0" t="s">
        <v>304</v>
      </c>
      <c r="C91" s="0" t="s">
        <v>305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</row>
    <row r="92" customFormat="false" ht="15" hidden="false" customHeight="false" outlineLevel="0" collapsed="false">
      <c r="A92" s="0" t="s">
        <v>133</v>
      </c>
      <c r="B92" s="0" t="s">
        <v>289</v>
      </c>
      <c r="C92" s="0" t="s">
        <v>85</v>
      </c>
      <c r="D92" s="0" t="n">
        <v>0</v>
      </c>
      <c r="E92" s="0" t="n">
        <v>2</v>
      </c>
      <c r="F92" s="0" t="n">
        <v>2</v>
      </c>
      <c r="G92" s="0" t="n">
        <v>2</v>
      </c>
      <c r="H92" s="0" t="n">
        <v>4</v>
      </c>
    </row>
    <row r="93" customFormat="false" ht="15" hidden="false" customHeight="false" outlineLevel="0" collapsed="false">
      <c r="A93" s="0" t="s">
        <v>133</v>
      </c>
      <c r="B93" s="0" t="s">
        <v>290</v>
      </c>
      <c r="C93" s="0" t="s">
        <v>291</v>
      </c>
      <c r="D93" s="0" t="n">
        <v>1</v>
      </c>
      <c r="E93" s="0" t="n">
        <v>0</v>
      </c>
      <c r="F93" s="0" t="n">
        <v>0</v>
      </c>
      <c r="G93" s="0" t="n">
        <v>1</v>
      </c>
      <c r="H93" s="0" t="n">
        <v>1</v>
      </c>
    </row>
    <row r="94" customFormat="false" ht="15" hidden="false" customHeight="false" outlineLevel="0" collapsed="false">
      <c r="A94" s="0" t="s">
        <v>133</v>
      </c>
      <c r="B94" s="0" t="s">
        <v>267</v>
      </c>
      <c r="C94" s="0" t="s">
        <v>292</v>
      </c>
      <c r="D94" s="0" t="n">
        <v>1</v>
      </c>
      <c r="E94" s="0" t="n">
        <v>0</v>
      </c>
      <c r="F94" s="0" t="n">
        <v>0</v>
      </c>
      <c r="G94" s="0" t="n">
        <v>1</v>
      </c>
      <c r="H94" s="0" t="n">
        <v>1</v>
      </c>
    </row>
    <row r="95" customFormat="false" ht="15" hidden="false" customHeight="false" outlineLevel="0" collapsed="false">
      <c r="A95" s="0" t="s">
        <v>133</v>
      </c>
      <c r="B95" s="0" t="s">
        <v>293</v>
      </c>
      <c r="C95" s="0" t="s">
        <v>294</v>
      </c>
      <c r="D95" s="0" t="n">
        <v>2</v>
      </c>
      <c r="E95" s="0" t="n">
        <v>1</v>
      </c>
      <c r="F95" s="0" t="n">
        <v>0</v>
      </c>
      <c r="G95" s="0" t="n">
        <v>3</v>
      </c>
      <c r="H95" s="0" t="n">
        <v>3</v>
      </c>
    </row>
    <row r="96" customFormat="false" ht="15" hidden="false" customHeight="false" outlineLevel="0" collapsed="false">
      <c r="A96" s="0" t="s">
        <v>133</v>
      </c>
      <c r="B96" s="0" t="s">
        <v>295</v>
      </c>
      <c r="C96" s="0" t="s">
        <v>291</v>
      </c>
      <c r="D96" s="0" t="n">
        <v>2</v>
      </c>
      <c r="E96" s="0" t="n">
        <v>0</v>
      </c>
      <c r="F96" s="0" t="n">
        <v>1</v>
      </c>
      <c r="G96" s="0" t="n">
        <v>2</v>
      </c>
      <c r="H96" s="0" t="n">
        <v>3</v>
      </c>
    </row>
    <row r="97" customFormat="false" ht="15" hidden="false" customHeight="false" outlineLevel="0" collapsed="false">
      <c r="A97" s="0" t="s">
        <v>133</v>
      </c>
      <c r="B97" s="0" t="s">
        <v>296</v>
      </c>
      <c r="C97" s="0" t="s">
        <v>294</v>
      </c>
      <c r="D97" s="0" t="n">
        <v>1</v>
      </c>
      <c r="E97" s="0" t="n">
        <v>0</v>
      </c>
      <c r="F97" s="0" t="n">
        <v>1</v>
      </c>
      <c r="G97" s="0" t="n">
        <v>1</v>
      </c>
      <c r="H97" s="0" t="n">
        <v>2</v>
      </c>
    </row>
    <row r="98" customFormat="false" ht="15" hidden="false" customHeight="false" outlineLevel="0" collapsed="false">
      <c r="A98" s="0" t="s">
        <v>133</v>
      </c>
      <c r="B98" s="0" t="s">
        <v>297</v>
      </c>
      <c r="C98" s="0" t="s">
        <v>298</v>
      </c>
      <c r="D98" s="0" t="n">
        <v>1</v>
      </c>
      <c r="E98" s="0" t="n">
        <v>2</v>
      </c>
      <c r="F98" s="0" t="n">
        <v>0</v>
      </c>
      <c r="G98" s="0" t="n">
        <v>3</v>
      </c>
      <c r="H98" s="0" t="n">
        <v>3</v>
      </c>
    </row>
    <row r="99" customFormat="false" ht="15" hidden="false" customHeight="false" outlineLevel="0" collapsed="false">
      <c r="A99" s="0" t="s">
        <v>133</v>
      </c>
      <c r="B99" s="0" t="s">
        <v>299</v>
      </c>
      <c r="C99" s="0" t="s">
        <v>300</v>
      </c>
      <c r="D99" s="0" t="n">
        <v>0</v>
      </c>
      <c r="E99" s="0" t="n">
        <v>1</v>
      </c>
      <c r="F99" s="0" t="n">
        <v>0</v>
      </c>
      <c r="G99" s="0" t="n">
        <v>1</v>
      </c>
      <c r="H99" s="0" t="n">
        <v>1</v>
      </c>
    </row>
    <row r="100" customFormat="false" ht="15" hidden="false" customHeight="false" outlineLevel="0" collapsed="false">
      <c r="A100" s="0" t="s">
        <v>133</v>
      </c>
      <c r="B100" s="0" t="s">
        <v>279</v>
      </c>
      <c r="C100" s="0" t="s">
        <v>294</v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1</v>
      </c>
    </row>
    <row r="101" customFormat="false" ht="15" hidden="false" customHeight="false" outlineLevel="0" collapsed="false">
      <c r="A101" s="0" t="s">
        <v>133</v>
      </c>
      <c r="B101" s="0" t="s">
        <v>283</v>
      </c>
      <c r="C101" s="0" t="s">
        <v>301</v>
      </c>
      <c r="D101" s="0" t="n">
        <v>1</v>
      </c>
      <c r="E101" s="0" t="n">
        <v>0</v>
      </c>
      <c r="F101" s="0" t="n">
        <v>0</v>
      </c>
      <c r="G101" s="0" t="n">
        <v>1</v>
      </c>
      <c r="H101" s="0" t="n">
        <v>1</v>
      </c>
    </row>
    <row r="102" customFormat="false" ht="15" hidden="false" customHeight="false" outlineLevel="0" collapsed="false">
      <c r="A102" s="0" t="s">
        <v>133</v>
      </c>
      <c r="B102" s="0" t="s">
        <v>284</v>
      </c>
      <c r="C102" s="0" t="s">
        <v>292</v>
      </c>
      <c r="D102" s="0" t="n">
        <v>2</v>
      </c>
      <c r="E102" s="0" t="n">
        <v>1</v>
      </c>
      <c r="F102" s="0" t="n">
        <v>0</v>
      </c>
      <c r="G102" s="0" t="n">
        <v>3</v>
      </c>
      <c r="H102" s="0" t="n">
        <v>3</v>
      </c>
    </row>
    <row r="103" customFormat="false" ht="15" hidden="false" customHeight="false" outlineLevel="0" collapsed="false">
      <c r="A103" s="0" t="s">
        <v>133</v>
      </c>
      <c r="B103" s="0" t="s">
        <v>285</v>
      </c>
      <c r="C103" s="0" t="s">
        <v>302</v>
      </c>
      <c r="D103" s="0" t="n">
        <v>1</v>
      </c>
      <c r="E103" s="0" t="n">
        <v>1</v>
      </c>
      <c r="F103" s="0" t="n">
        <v>0</v>
      </c>
      <c r="G103" s="0" t="n">
        <v>2</v>
      </c>
      <c r="H103" s="0" t="n">
        <v>2</v>
      </c>
    </row>
    <row r="104" customFormat="false" ht="15" hidden="false" customHeight="false" outlineLevel="0" collapsed="false">
      <c r="A104" s="0" t="s">
        <v>133</v>
      </c>
      <c r="B104" s="0" t="s">
        <v>303</v>
      </c>
      <c r="C104" s="0" t="s">
        <v>291</v>
      </c>
      <c r="D104" s="0" t="n">
        <v>1</v>
      </c>
      <c r="E104" s="0" t="n">
        <v>0</v>
      </c>
      <c r="F104" s="0" t="n">
        <v>0</v>
      </c>
      <c r="G104" s="0" t="n">
        <v>1</v>
      </c>
      <c r="H104" s="0" t="n">
        <v>1</v>
      </c>
    </row>
    <row r="105" customFormat="false" ht="15" hidden="false" customHeight="false" outlineLevel="0" collapsed="false">
      <c r="A105" s="0" t="s">
        <v>133</v>
      </c>
      <c r="B105" s="0" t="s">
        <v>304</v>
      </c>
      <c r="C105" s="0" t="s">
        <v>270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</row>
    <row r="106" customFormat="false" ht="15" hidden="false" customHeight="false" outlineLevel="0" collapsed="false">
      <c r="A106" s="0" t="s">
        <v>133</v>
      </c>
      <c r="B106" s="0" t="s">
        <v>304</v>
      </c>
      <c r="C106" s="0" t="s">
        <v>305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</row>
    <row r="107" customFormat="false" ht="15" hidden="false" customHeight="false" outlineLevel="0" collapsed="false">
      <c r="A107" s="0" t="s">
        <v>135</v>
      </c>
      <c r="B107" s="0" t="s">
        <v>289</v>
      </c>
      <c r="C107" s="0" t="s">
        <v>85</v>
      </c>
      <c r="D107" s="0" t="n">
        <v>3</v>
      </c>
      <c r="E107" s="0" t="n">
        <v>1</v>
      </c>
      <c r="F107" s="0" t="n">
        <v>2</v>
      </c>
      <c r="G107" s="0" t="n">
        <v>4</v>
      </c>
      <c r="H107" s="0" t="n">
        <v>6</v>
      </c>
    </row>
    <row r="108" customFormat="false" ht="15" hidden="false" customHeight="false" outlineLevel="0" collapsed="false">
      <c r="A108" s="0" t="s">
        <v>135</v>
      </c>
      <c r="B108" s="0" t="s">
        <v>290</v>
      </c>
      <c r="C108" s="0" t="s">
        <v>291</v>
      </c>
      <c r="D108" s="0" t="n">
        <v>4</v>
      </c>
      <c r="E108" s="0" t="n">
        <v>5</v>
      </c>
      <c r="F108" s="0" t="n">
        <v>1</v>
      </c>
      <c r="G108" s="0" t="n">
        <v>9</v>
      </c>
      <c r="H108" s="0" t="n">
        <v>10</v>
      </c>
    </row>
    <row r="109" customFormat="false" ht="15" hidden="false" customHeight="false" outlineLevel="0" collapsed="false">
      <c r="A109" s="0" t="s">
        <v>135</v>
      </c>
      <c r="B109" s="0" t="s">
        <v>267</v>
      </c>
      <c r="C109" s="0" t="s">
        <v>292</v>
      </c>
      <c r="D109" s="0" t="n">
        <v>2</v>
      </c>
      <c r="E109" s="0" t="n">
        <v>1</v>
      </c>
      <c r="F109" s="0" t="n">
        <v>4</v>
      </c>
      <c r="G109" s="0" t="n">
        <v>3</v>
      </c>
      <c r="H109" s="0" t="n">
        <v>7</v>
      </c>
    </row>
    <row r="110" customFormat="false" ht="15" hidden="false" customHeight="false" outlineLevel="0" collapsed="false">
      <c r="A110" s="0" t="s">
        <v>135</v>
      </c>
      <c r="B110" s="0" t="s">
        <v>293</v>
      </c>
      <c r="C110" s="0" t="s">
        <v>294</v>
      </c>
      <c r="D110" s="0" t="n">
        <v>4</v>
      </c>
      <c r="E110" s="0" t="n">
        <v>3</v>
      </c>
      <c r="F110" s="0" t="n">
        <v>3</v>
      </c>
      <c r="G110" s="0" t="n">
        <v>7</v>
      </c>
      <c r="H110" s="0" t="n">
        <v>10</v>
      </c>
    </row>
    <row r="111" customFormat="false" ht="15" hidden="false" customHeight="false" outlineLevel="0" collapsed="false">
      <c r="A111" s="0" t="s">
        <v>135</v>
      </c>
      <c r="B111" s="0" t="s">
        <v>296</v>
      </c>
      <c r="C111" s="0" t="s">
        <v>294</v>
      </c>
      <c r="D111" s="0" t="n">
        <v>3</v>
      </c>
      <c r="E111" s="0" t="n">
        <v>1</v>
      </c>
      <c r="F111" s="0" t="n">
        <v>2</v>
      </c>
      <c r="G111" s="0" t="n">
        <v>4</v>
      </c>
      <c r="H111" s="0" t="n">
        <v>6</v>
      </c>
    </row>
    <row r="112" customFormat="false" ht="15" hidden="false" customHeight="false" outlineLevel="0" collapsed="false">
      <c r="A112" s="0" t="s">
        <v>135</v>
      </c>
      <c r="B112" s="0" t="s">
        <v>297</v>
      </c>
      <c r="C112" s="0" t="s">
        <v>298</v>
      </c>
      <c r="D112" s="0" t="n">
        <v>4</v>
      </c>
      <c r="E112" s="0" t="n">
        <v>5</v>
      </c>
      <c r="F112" s="0" t="n">
        <v>0</v>
      </c>
      <c r="G112" s="0" t="n">
        <v>9</v>
      </c>
      <c r="H112" s="0" t="n">
        <v>9</v>
      </c>
    </row>
    <row r="113" customFormat="false" ht="15" hidden="false" customHeight="false" outlineLevel="0" collapsed="false">
      <c r="A113" s="0" t="s">
        <v>135</v>
      </c>
      <c r="B113" s="0" t="s">
        <v>299</v>
      </c>
      <c r="C113" s="0" t="s">
        <v>300</v>
      </c>
      <c r="D113" s="0" t="n">
        <v>3</v>
      </c>
      <c r="E113" s="0" t="n">
        <v>2</v>
      </c>
      <c r="F113" s="0" t="n">
        <v>0</v>
      </c>
      <c r="G113" s="0" t="n">
        <v>5</v>
      </c>
      <c r="H113" s="0" t="n">
        <v>5</v>
      </c>
    </row>
    <row r="114" customFormat="false" ht="15" hidden="false" customHeight="false" outlineLevel="0" collapsed="false">
      <c r="A114" s="0" t="s">
        <v>135</v>
      </c>
      <c r="B114" s="0" t="s">
        <v>279</v>
      </c>
      <c r="C114" s="0" t="s">
        <v>294</v>
      </c>
      <c r="D114" s="0" t="n">
        <v>3</v>
      </c>
      <c r="E114" s="0" t="n">
        <v>4</v>
      </c>
      <c r="F114" s="0" t="n">
        <v>4</v>
      </c>
      <c r="G114" s="0" t="n">
        <v>7</v>
      </c>
      <c r="H114" s="0" t="n">
        <v>11</v>
      </c>
    </row>
    <row r="115" customFormat="false" ht="15" hidden="false" customHeight="false" outlineLevel="0" collapsed="false">
      <c r="A115" s="0" t="s">
        <v>135</v>
      </c>
      <c r="B115" s="0" t="s">
        <v>283</v>
      </c>
      <c r="C115" s="0" t="s">
        <v>301</v>
      </c>
      <c r="D115" s="0" t="n">
        <v>2</v>
      </c>
      <c r="E115" s="0" t="n">
        <v>1</v>
      </c>
      <c r="F115" s="0" t="n">
        <v>0</v>
      </c>
      <c r="G115" s="0" t="n">
        <v>3</v>
      </c>
      <c r="H115" s="0" t="n">
        <v>3</v>
      </c>
    </row>
    <row r="116" customFormat="false" ht="15" hidden="false" customHeight="false" outlineLevel="0" collapsed="false">
      <c r="A116" s="0" t="s">
        <v>135</v>
      </c>
      <c r="B116" s="0" t="s">
        <v>284</v>
      </c>
      <c r="C116" s="0" t="s">
        <v>292</v>
      </c>
      <c r="D116" s="0" t="n">
        <v>6</v>
      </c>
      <c r="E116" s="0" t="n">
        <v>9</v>
      </c>
      <c r="F116" s="0" t="n">
        <v>0</v>
      </c>
      <c r="G116" s="0" t="n">
        <v>15</v>
      </c>
      <c r="H116" s="0" t="n">
        <v>15</v>
      </c>
    </row>
    <row r="117" customFormat="false" ht="15" hidden="false" customHeight="false" outlineLevel="0" collapsed="false">
      <c r="A117" s="0" t="s">
        <v>135</v>
      </c>
      <c r="B117" s="0" t="s">
        <v>303</v>
      </c>
      <c r="C117" s="0" t="s">
        <v>291</v>
      </c>
      <c r="D117" s="0" t="n">
        <v>0</v>
      </c>
      <c r="E117" s="0" t="n">
        <v>2</v>
      </c>
      <c r="F117" s="0" t="n">
        <v>0</v>
      </c>
      <c r="G117" s="0" t="n">
        <v>2</v>
      </c>
      <c r="H117" s="0" t="n">
        <v>2</v>
      </c>
    </row>
    <row r="118" customFormat="false" ht="15" hidden="false" customHeight="false" outlineLevel="0" collapsed="false">
      <c r="A118" s="0" t="s">
        <v>135</v>
      </c>
      <c r="B118" s="0" t="s">
        <v>304</v>
      </c>
      <c r="C118" s="0" t="s">
        <v>270</v>
      </c>
      <c r="D118" s="0" t="n">
        <v>4</v>
      </c>
      <c r="E118" s="0" t="n">
        <v>0</v>
      </c>
      <c r="F118" s="0" t="n">
        <v>0</v>
      </c>
      <c r="G118" s="0" t="n">
        <v>4</v>
      </c>
      <c r="H118" s="0" t="n">
        <v>4</v>
      </c>
    </row>
    <row r="119" customFormat="false" ht="15" hidden="false" customHeight="false" outlineLevel="0" collapsed="false">
      <c r="A119" s="0" t="s">
        <v>135</v>
      </c>
      <c r="B119" s="0" t="s">
        <v>304</v>
      </c>
      <c r="C119" s="0" t="s">
        <v>305</v>
      </c>
      <c r="D119" s="0" t="n">
        <v>1</v>
      </c>
      <c r="E119" s="0" t="n">
        <v>0</v>
      </c>
      <c r="F119" s="0" t="n">
        <v>0</v>
      </c>
      <c r="G119" s="0" t="n">
        <v>1</v>
      </c>
      <c r="H119" s="0" t="n">
        <v>1</v>
      </c>
    </row>
    <row r="120" customFormat="false" ht="15" hidden="false" customHeight="false" outlineLevel="0" collapsed="false">
      <c r="A120" s="0" t="s">
        <v>135</v>
      </c>
      <c r="B120" s="0" t="s">
        <v>306</v>
      </c>
      <c r="C120" s="0" t="s">
        <v>272</v>
      </c>
      <c r="D120" s="0" t="n">
        <v>4</v>
      </c>
      <c r="E120" s="0" t="n">
        <v>3</v>
      </c>
      <c r="F120" s="0" t="n">
        <v>8</v>
      </c>
      <c r="G120" s="0" t="n">
        <v>7</v>
      </c>
      <c r="H120" s="0" t="n">
        <v>15</v>
      </c>
    </row>
    <row r="121" customFormat="false" ht="15" hidden="false" customHeight="false" outlineLevel="0" collapsed="false">
      <c r="A121" s="0" t="s">
        <v>135</v>
      </c>
      <c r="B121" s="0" t="s">
        <v>307</v>
      </c>
      <c r="C121" s="0" t="s">
        <v>308</v>
      </c>
      <c r="D121" s="0" t="n">
        <v>5</v>
      </c>
      <c r="E121" s="0" t="n">
        <v>2</v>
      </c>
      <c r="F121" s="0" t="n">
        <v>1</v>
      </c>
      <c r="G121" s="0" t="n">
        <v>7</v>
      </c>
      <c r="H121" s="0" t="n">
        <v>8</v>
      </c>
    </row>
    <row r="122" customFormat="false" ht="15" hidden="false" customHeight="false" outlineLevel="0" collapsed="false">
      <c r="A122" s="0" t="s">
        <v>137</v>
      </c>
      <c r="B122" s="0" t="s">
        <v>289</v>
      </c>
      <c r="C122" s="0" t="s">
        <v>85</v>
      </c>
      <c r="D122" s="0" t="n">
        <v>1</v>
      </c>
      <c r="E122" s="0" t="n">
        <v>4</v>
      </c>
      <c r="F122" s="0" t="n">
        <v>1</v>
      </c>
      <c r="G122" s="0" t="n">
        <v>5</v>
      </c>
      <c r="H122" s="0" t="n">
        <v>6</v>
      </c>
    </row>
    <row r="123" customFormat="false" ht="15" hidden="false" customHeight="false" outlineLevel="0" collapsed="false">
      <c r="A123" s="0" t="s">
        <v>137</v>
      </c>
      <c r="B123" s="0" t="s">
        <v>290</v>
      </c>
      <c r="C123" s="0" t="s">
        <v>291</v>
      </c>
      <c r="D123" s="0" t="n">
        <v>3</v>
      </c>
      <c r="E123" s="0" t="n">
        <v>2</v>
      </c>
      <c r="F123" s="0" t="n">
        <v>0</v>
      </c>
      <c r="G123" s="0" t="n">
        <v>5</v>
      </c>
      <c r="H123" s="0" t="n">
        <v>5</v>
      </c>
    </row>
    <row r="124" customFormat="false" ht="15" hidden="false" customHeight="false" outlineLevel="0" collapsed="false">
      <c r="A124" s="0" t="s">
        <v>137</v>
      </c>
      <c r="B124" s="0" t="s">
        <v>267</v>
      </c>
      <c r="C124" s="0" t="s">
        <v>292</v>
      </c>
      <c r="D124" s="0" t="n">
        <v>2</v>
      </c>
      <c r="E124" s="0" t="n">
        <v>1</v>
      </c>
      <c r="F124" s="0" t="n">
        <v>4</v>
      </c>
      <c r="G124" s="0" t="n">
        <v>3</v>
      </c>
      <c r="H124" s="0" t="n">
        <v>7</v>
      </c>
    </row>
    <row r="125" customFormat="false" ht="15" hidden="false" customHeight="false" outlineLevel="0" collapsed="false">
      <c r="A125" s="0" t="s">
        <v>137</v>
      </c>
      <c r="B125" s="0" t="s">
        <v>293</v>
      </c>
      <c r="C125" s="0" t="s">
        <v>294</v>
      </c>
      <c r="D125" s="0" t="n">
        <v>3</v>
      </c>
      <c r="E125" s="0" t="n">
        <v>2</v>
      </c>
      <c r="F125" s="0" t="n">
        <v>3</v>
      </c>
      <c r="G125" s="0" t="n">
        <v>5</v>
      </c>
      <c r="H125" s="0" t="n">
        <v>8</v>
      </c>
    </row>
    <row r="126" customFormat="false" ht="15" hidden="false" customHeight="false" outlineLevel="0" collapsed="false">
      <c r="A126" s="0" t="s">
        <v>137</v>
      </c>
      <c r="B126" s="0" t="s">
        <v>295</v>
      </c>
      <c r="C126" s="0" t="s">
        <v>291</v>
      </c>
      <c r="D126" s="0" t="n">
        <v>2</v>
      </c>
      <c r="E126" s="0" t="n">
        <v>1</v>
      </c>
      <c r="F126" s="0" t="n">
        <v>8</v>
      </c>
      <c r="G126" s="0" t="n">
        <v>3</v>
      </c>
      <c r="H126" s="0" t="n">
        <v>11</v>
      </c>
    </row>
    <row r="127" customFormat="false" ht="15" hidden="false" customHeight="false" outlineLevel="0" collapsed="false">
      <c r="A127" s="0" t="s">
        <v>137</v>
      </c>
      <c r="B127" s="0" t="s">
        <v>296</v>
      </c>
      <c r="C127" s="0" t="s">
        <v>294</v>
      </c>
      <c r="D127" s="0" t="n">
        <v>3</v>
      </c>
      <c r="E127" s="0" t="n">
        <v>3</v>
      </c>
      <c r="F127" s="0" t="n">
        <v>6</v>
      </c>
      <c r="G127" s="0" t="n">
        <v>6</v>
      </c>
      <c r="H127" s="0" t="n">
        <v>12</v>
      </c>
    </row>
    <row r="128" customFormat="false" ht="15" hidden="false" customHeight="false" outlineLevel="0" collapsed="false">
      <c r="A128" s="0" t="s">
        <v>137</v>
      </c>
      <c r="B128" s="0" t="s">
        <v>297</v>
      </c>
      <c r="C128" s="0" t="s">
        <v>298</v>
      </c>
      <c r="D128" s="0" t="n">
        <v>3</v>
      </c>
      <c r="E128" s="0" t="n">
        <v>8</v>
      </c>
      <c r="F128" s="0" t="n">
        <v>0</v>
      </c>
      <c r="G128" s="0" t="n">
        <v>11</v>
      </c>
      <c r="H128" s="0" t="n">
        <v>11</v>
      </c>
    </row>
    <row r="129" customFormat="false" ht="15" hidden="false" customHeight="false" outlineLevel="0" collapsed="false">
      <c r="A129" s="0" t="s">
        <v>137</v>
      </c>
      <c r="B129" s="0" t="s">
        <v>299</v>
      </c>
      <c r="C129" s="0" t="s">
        <v>300</v>
      </c>
      <c r="D129" s="0" t="n">
        <v>2</v>
      </c>
      <c r="E129" s="0" t="n">
        <v>10</v>
      </c>
      <c r="F129" s="0" t="n">
        <v>0</v>
      </c>
      <c r="G129" s="0" t="n">
        <v>12</v>
      </c>
      <c r="H129" s="0" t="n">
        <v>12</v>
      </c>
    </row>
    <row r="130" customFormat="false" ht="15" hidden="false" customHeight="false" outlineLevel="0" collapsed="false">
      <c r="A130" s="0" t="s">
        <v>137</v>
      </c>
      <c r="B130" s="0" t="s">
        <v>279</v>
      </c>
      <c r="C130" s="0" t="s">
        <v>294</v>
      </c>
      <c r="D130" s="0" t="n">
        <v>7</v>
      </c>
      <c r="E130" s="0" t="n">
        <v>1</v>
      </c>
      <c r="F130" s="0" t="n">
        <v>3</v>
      </c>
      <c r="G130" s="0" t="n">
        <v>8</v>
      </c>
      <c r="H130" s="0" t="n">
        <v>11</v>
      </c>
    </row>
    <row r="131" customFormat="false" ht="15" hidden="false" customHeight="false" outlineLevel="0" collapsed="false">
      <c r="A131" s="0" t="s">
        <v>137</v>
      </c>
      <c r="B131" s="0" t="s">
        <v>283</v>
      </c>
      <c r="C131" s="0" t="s">
        <v>301</v>
      </c>
      <c r="D131" s="0" t="n">
        <v>2</v>
      </c>
      <c r="E131" s="0" t="n">
        <v>0</v>
      </c>
      <c r="F131" s="0" t="n">
        <v>0</v>
      </c>
      <c r="G131" s="0" t="n">
        <v>2</v>
      </c>
      <c r="H131" s="0" t="n">
        <v>2</v>
      </c>
    </row>
    <row r="132" customFormat="false" ht="15" hidden="false" customHeight="false" outlineLevel="0" collapsed="false">
      <c r="A132" s="0" t="s">
        <v>137</v>
      </c>
      <c r="B132" s="0" t="s">
        <v>284</v>
      </c>
      <c r="C132" s="0" t="s">
        <v>292</v>
      </c>
      <c r="D132" s="0" t="n">
        <v>3</v>
      </c>
      <c r="E132" s="0" t="n">
        <v>7</v>
      </c>
      <c r="F132" s="0" t="n">
        <v>0</v>
      </c>
      <c r="G132" s="0" t="n">
        <v>10</v>
      </c>
      <c r="H132" s="0" t="n">
        <v>10</v>
      </c>
    </row>
    <row r="133" customFormat="false" ht="15" hidden="false" customHeight="false" outlineLevel="0" collapsed="false">
      <c r="A133" s="0" t="s">
        <v>137</v>
      </c>
      <c r="B133" s="0" t="s">
        <v>285</v>
      </c>
      <c r="C133" s="0" t="s">
        <v>302</v>
      </c>
      <c r="D133" s="0" t="n">
        <v>2</v>
      </c>
      <c r="E133" s="0" t="n">
        <v>2</v>
      </c>
      <c r="F133" s="0" t="n">
        <v>0</v>
      </c>
      <c r="G133" s="0" t="n">
        <v>4</v>
      </c>
      <c r="H133" s="0" t="n">
        <v>4</v>
      </c>
    </row>
    <row r="134" customFormat="false" ht="15" hidden="false" customHeight="false" outlineLevel="0" collapsed="false">
      <c r="A134" s="0" t="s">
        <v>137</v>
      </c>
      <c r="B134" s="0" t="s">
        <v>303</v>
      </c>
      <c r="C134" s="0" t="s">
        <v>291</v>
      </c>
      <c r="D134" s="0" t="n">
        <v>3</v>
      </c>
      <c r="E134" s="0" t="n">
        <v>7</v>
      </c>
      <c r="F134" s="0" t="n">
        <v>0</v>
      </c>
      <c r="G134" s="0" t="n">
        <v>10</v>
      </c>
      <c r="H134" s="0" t="n">
        <v>10</v>
      </c>
    </row>
    <row r="135" customFormat="false" ht="15" hidden="false" customHeight="false" outlineLevel="0" collapsed="false">
      <c r="A135" s="0" t="s">
        <v>137</v>
      </c>
      <c r="B135" s="0" t="s">
        <v>304</v>
      </c>
      <c r="C135" s="0" t="s">
        <v>270</v>
      </c>
      <c r="D135" s="0" t="n">
        <v>2</v>
      </c>
      <c r="E135" s="0" t="n">
        <v>0</v>
      </c>
      <c r="F135" s="0" t="n">
        <v>0</v>
      </c>
      <c r="G135" s="0" t="n">
        <v>2</v>
      </c>
      <c r="H135" s="0" t="n">
        <v>2</v>
      </c>
    </row>
    <row r="136" customFormat="false" ht="15" hidden="false" customHeight="false" outlineLevel="0" collapsed="false">
      <c r="A136" s="0" t="s">
        <v>137</v>
      </c>
      <c r="B136" s="0" t="s">
        <v>304</v>
      </c>
      <c r="C136" s="0" t="s">
        <v>305</v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</row>
    <row r="137" customFormat="false" ht="15" hidden="false" customHeight="false" outlineLevel="0" collapsed="false">
      <c r="A137" s="0" t="s">
        <v>139</v>
      </c>
      <c r="B137" s="0" t="s">
        <v>309</v>
      </c>
      <c r="C137" s="0" t="s">
        <v>310</v>
      </c>
      <c r="D137" s="0" t="n">
        <v>1</v>
      </c>
      <c r="E137" s="0" t="n">
        <v>2</v>
      </c>
      <c r="F137" s="0" t="n">
        <v>3</v>
      </c>
      <c r="G137" s="0" t="n">
        <v>3</v>
      </c>
      <c r="H137" s="0" t="n">
        <v>6</v>
      </c>
    </row>
    <row r="138" customFormat="false" ht="15" hidden="false" customHeight="false" outlineLevel="0" collapsed="false">
      <c r="A138" s="0" t="s">
        <v>139</v>
      </c>
      <c r="B138" s="0" t="s">
        <v>289</v>
      </c>
      <c r="C138" s="0" t="s">
        <v>86</v>
      </c>
      <c r="D138" s="0" t="n">
        <v>6</v>
      </c>
      <c r="E138" s="0" t="n">
        <v>4</v>
      </c>
      <c r="F138" s="0" t="n">
        <v>7</v>
      </c>
      <c r="G138" s="0" t="n">
        <v>10</v>
      </c>
      <c r="H138" s="0" t="n">
        <v>17</v>
      </c>
    </row>
    <row r="139" customFormat="false" ht="15" hidden="false" customHeight="false" outlineLevel="0" collapsed="false">
      <c r="A139" s="0" t="s">
        <v>139</v>
      </c>
      <c r="B139" s="0" t="s">
        <v>271</v>
      </c>
      <c r="C139" s="0" t="s">
        <v>311</v>
      </c>
      <c r="D139" s="0" t="n">
        <v>7</v>
      </c>
      <c r="E139" s="0" t="n">
        <v>3</v>
      </c>
      <c r="F139" s="0" t="n">
        <v>9</v>
      </c>
      <c r="G139" s="0" t="n">
        <v>10</v>
      </c>
      <c r="H139" s="0" t="n">
        <v>19</v>
      </c>
    </row>
    <row r="140" customFormat="false" ht="15" hidden="false" customHeight="false" outlineLevel="0" collapsed="false">
      <c r="A140" s="0" t="s">
        <v>139</v>
      </c>
      <c r="B140" s="0" t="s">
        <v>299</v>
      </c>
      <c r="C140" s="0" t="s">
        <v>312</v>
      </c>
      <c r="D140" s="0" t="n">
        <v>1</v>
      </c>
      <c r="E140" s="0" t="n">
        <v>4</v>
      </c>
      <c r="F140" s="0" t="n">
        <v>1</v>
      </c>
      <c r="G140" s="0" t="n">
        <v>5</v>
      </c>
      <c r="H140" s="0" t="n">
        <v>6</v>
      </c>
    </row>
    <row r="141" customFormat="false" ht="15" hidden="false" customHeight="false" outlineLevel="0" collapsed="false">
      <c r="A141" s="0" t="s">
        <v>139</v>
      </c>
      <c r="B141" s="0" t="s">
        <v>313</v>
      </c>
      <c r="C141" s="0" t="s">
        <v>311</v>
      </c>
      <c r="D141" s="0" t="n">
        <v>7</v>
      </c>
      <c r="E141" s="0" t="n">
        <v>2</v>
      </c>
      <c r="F141" s="0" t="n">
        <v>0</v>
      </c>
      <c r="G141" s="0" t="n">
        <v>9</v>
      </c>
      <c r="H141" s="0" t="n">
        <v>9</v>
      </c>
    </row>
    <row r="142" customFormat="false" ht="15" hidden="false" customHeight="false" outlineLevel="0" collapsed="false">
      <c r="A142" s="0" t="s">
        <v>139</v>
      </c>
      <c r="B142" s="0" t="s">
        <v>314</v>
      </c>
      <c r="C142" s="0" t="s">
        <v>311</v>
      </c>
      <c r="D142" s="0" t="n">
        <v>1</v>
      </c>
      <c r="E142" s="0" t="n">
        <v>5</v>
      </c>
      <c r="F142" s="0" t="n">
        <v>6</v>
      </c>
      <c r="G142" s="0" t="n">
        <v>6</v>
      </c>
      <c r="H142" s="0" t="n">
        <v>12</v>
      </c>
    </row>
    <row r="143" customFormat="false" ht="15" hidden="false" customHeight="false" outlineLevel="0" collapsed="false">
      <c r="A143" s="0" t="s">
        <v>139</v>
      </c>
      <c r="B143" s="0" t="s">
        <v>315</v>
      </c>
      <c r="C143" s="0" t="s">
        <v>316</v>
      </c>
      <c r="D143" s="0" t="n">
        <v>1</v>
      </c>
      <c r="E143" s="0" t="n">
        <v>5</v>
      </c>
      <c r="F143" s="0" t="n">
        <v>8</v>
      </c>
      <c r="G143" s="0" t="n">
        <v>6</v>
      </c>
      <c r="H143" s="0" t="n">
        <v>14</v>
      </c>
    </row>
    <row r="144" customFormat="false" ht="15" hidden="false" customHeight="false" outlineLevel="0" collapsed="false">
      <c r="A144" s="0" t="s">
        <v>139</v>
      </c>
      <c r="B144" s="0" t="s">
        <v>285</v>
      </c>
      <c r="C144" s="0" t="s">
        <v>312</v>
      </c>
      <c r="D144" s="0" t="n">
        <v>1</v>
      </c>
      <c r="E144" s="0" t="n">
        <v>7</v>
      </c>
      <c r="F144" s="0" t="n">
        <v>0</v>
      </c>
      <c r="G144" s="0" t="n">
        <v>8</v>
      </c>
      <c r="H144" s="0" t="n">
        <v>8</v>
      </c>
    </row>
    <row r="145" customFormat="false" ht="15" hidden="false" customHeight="false" outlineLevel="0" collapsed="false">
      <c r="A145" s="0" t="s">
        <v>139</v>
      </c>
      <c r="B145" s="0" t="s">
        <v>317</v>
      </c>
      <c r="C145" s="0" t="s">
        <v>318</v>
      </c>
      <c r="D145" s="0" t="n">
        <v>2</v>
      </c>
      <c r="E145" s="0" t="n">
        <v>1</v>
      </c>
      <c r="F145" s="0" t="n">
        <v>0</v>
      </c>
      <c r="G145" s="0" t="n">
        <v>3</v>
      </c>
      <c r="H145" s="0" t="n">
        <v>3</v>
      </c>
    </row>
    <row r="146" customFormat="false" ht="15" hidden="false" customHeight="false" outlineLevel="0" collapsed="false">
      <c r="A146" s="0" t="s">
        <v>139</v>
      </c>
      <c r="B146" s="0" t="s">
        <v>303</v>
      </c>
      <c r="C146" s="0" t="s">
        <v>319</v>
      </c>
      <c r="D146" s="0" t="n">
        <v>6</v>
      </c>
      <c r="E146" s="0" t="n">
        <v>3</v>
      </c>
      <c r="F146" s="0" t="n">
        <v>0</v>
      </c>
      <c r="G146" s="0" t="n">
        <v>9</v>
      </c>
      <c r="H146" s="0" t="n">
        <v>9</v>
      </c>
    </row>
    <row r="147" customFormat="false" ht="15" hidden="false" customHeight="false" outlineLevel="0" collapsed="false">
      <c r="A147" s="0" t="s">
        <v>139</v>
      </c>
      <c r="B147" s="0" t="s">
        <v>320</v>
      </c>
      <c r="C147" s="0" t="s">
        <v>312</v>
      </c>
      <c r="D147" s="0" t="n">
        <v>0</v>
      </c>
      <c r="E147" s="0" t="n">
        <v>4</v>
      </c>
      <c r="F147" s="0" t="n">
        <v>0</v>
      </c>
      <c r="G147" s="0" t="n">
        <v>4</v>
      </c>
      <c r="H147" s="0" t="n">
        <v>4</v>
      </c>
    </row>
    <row r="148" customFormat="false" ht="15" hidden="false" customHeight="false" outlineLevel="0" collapsed="false">
      <c r="A148" s="0" t="s">
        <v>139</v>
      </c>
      <c r="B148" s="0" t="s">
        <v>321</v>
      </c>
      <c r="C148" s="0" t="s">
        <v>319</v>
      </c>
      <c r="D148" s="0" t="n">
        <v>7</v>
      </c>
      <c r="E148" s="0" t="n">
        <v>4</v>
      </c>
      <c r="F148" s="0" t="n">
        <v>0</v>
      </c>
      <c r="G148" s="0" t="n">
        <v>11</v>
      </c>
      <c r="H148" s="0" t="n">
        <v>11</v>
      </c>
    </row>
    <row r="149" customFormat="false" ht="15" hidden="false" customHeight="false" outlineLevel="0" collapsed="false">
      <c r="A149" s="0" t="s">
        <v>139</v>
      </c>
      <c r="B149" s="0" t="s">
        <v>322</v>
      </c>
      <c r="C149" s="0" t="s">
        <v>318</v>
      </c>
      <c r="D149" s="0" t="n">
        <v>2</v>
      </c>
      <c r="E149" s="0" t="n">
        <v>0</v>
      </c>
      <c r="F149" s="0" t="n">
        <v>0</v>
      </c>
      <c r="G149" s="0" t="n">
        <v>2</v>
      </c>
      <c r="H149" s="0" t="n">
        <v>2</v>
      </c>
    </row>
    <row r="150" customFormat="false" ht="15" hidden="false" customHeight="false" outlineLevel="0" collapsed="false">
      <c r="A150" s="0" t="s">
        <v>139</v>
      </c>
      <c r="B150" s="0" t="s">
        <v>323</v>
      </c>
      <c r="C150" s="0" t="s">
        <v>324</v>
      </c>
      <c r="D150" s="0" t="n">
        <v>0</v>
      </c>
      <c r="E150" s="0" t="n">
        <v>2</v>
      </c>
      <c r="F150" s="0" t="n">
        <v>0</v>
      </c>
      <c r="G150" s="0" t="n">
        <v>2</v>
      </c>
      <c r="H150" s="0" t="n">
        <v>2</v>
      </c>
    </row>
    <row r="151" customFormat="false" ht="15" hidden="false" customHeight="false" outlineLevel="0" collapsed="false">
      <c r="A151" s="0" t="s">
        <v>139</v>
      </c>
      <c r="B151" s="0" t="s">
        <v>325</v>
      </c>
      <c r="C151" s="0" t="s">
        <v>319</v>
      </c>
      <c r="D151" s="0" t="n">
        <v>8</v>
      </c>
      <c r="E151" s="0" t="n">
        <v>4</v>
      </c>
      <c r="F151" s="0" t="n">
        <v>0</v>
      </c>
      <c r="G151" s="0" t="n">
        <v>12</v>
      </c>
      <c r="H151" s="0" t="n">
        <v>12</v>
      </c>
    </row>
    <row r="152" customFormat="false" ht="15" hidden="false" customHeight="false" outlineLevel="0" collapsed="false">
      <c r="A152" s="0" t="s">
        <v>141</v>
      </c>
      <c r="B152" s="0" t="s">
        <v>309</v>
      </c>
      <c r="C152" s="0" t="s">
        <v>310</v>
      </c>
      <c r="D152" s="0" t="n">
        <v>3</v>
      </c>
      <c r="E152" s="0" t="n">
        <v>2</v>
      </c>
      <c r="F152" s="0" t="n">
        <v>2</v>
      </c>
      <c r="G152" s="0" t="n">
        <v>5</v>
      </c>
      <c r="H152" s="0" t="n">
        <v>7</v>
      </c>
    </row>
    <row r="153" customFormat="false" ht="15" hidden="false" customHeight="false" outlineLevel="0" collapsed="false">
      <c r="A153" s="0" t="s">
        <v>141</v>
      </c>
      <c r="B153" s="0" t="s">
        <v>289</v>
      </c>
      <c r="C153" s="0" t="s">
        <v>86</v>
      </c>
      <c r="D153" s="0" t="n">
        <v>0</v>
      </c>
      <c r="E153" s="0" t="n">
        <v>6</v>
      </c>
      <c r="F153" s="0" t="n">
        <v>5</v>
      </c>
      <c r="G153" s="0" t="n">
        <v>6</v>
      </c>
      <c r="H153" s="0" t="n">
        <v>11</v>
      </c>
    </row>
    <row r="154" customFormat="false" ht="15" hidden="false" customHeight="false" outlineLevel="0" collapsed="false">
      <c r="A154" s="0" t="s">
        <v>141</v>
      </c>
      <c r="B154" s="0" t="s">
        <v>271</v>
      </c>
      <c r="C154" s="0" t="s">
        <v>311</v>
      </c>
      <c r="D154" s="0" t="n">
        <v>1</v>
      </c>
      <c r="E154" s="0" t="n">
        <v>0</v>
      </c>
      <c r="F154" s="0" t="n">
        <v>11</v>
      </c>
      <c r="G154" s="0" t="n">
        <v>1</v>
      </c>
      <c r="H154" s="0" t="n">
        <v>12</v>
      </c>
    </row>
    <row r="155" customFormat="false" ht="15" hidden="false" customHeight="false" outlineLevel="0" collapsed="false">
      <c r="A155" s="0" t="s">
        <v>141</v>
      </c>
      <c r="B155" s="0" t="s">
        <v>299</v>
      </c>
      <c r="C155" s="0" t="s">
        <v>312</v>
      </c>
      <c r="D155" s="0" t="n">
        <v>3</v>
      </c>
      <c r="E155" s="0" t="n">
        <v>5</v>
      </c>
      <c r="F155" s="0" t="n">
        <v>1</v>
      </c>
      <c r="G155" s="0" t="n">
        <v>8</v>
      </c>
      <c r="H155" s="0" t="n">
        <v>9</v>
      </c>
    </row>
    <row r="156" customFormat="false" ht="15" hidden="false" customHeight="false" outlineLevel="0" collapsed="false">
      <c r="A156" s="0" t="s">
        <v>141</v>
      </c>
      <c r="B156" s="0" t="s">
        <v>313</v>
      </c>
      <c r="C156" s="0" t="s">
        <v>311</v>
      </c>
      <c r="D156" s="0" t="n">
        <v>2</v>
      </c>
      <c r="E156" s="0" t="n">
        <v>2</v>
      </c>
      <c r="F156" s="0" t="n">
        <v>1</v>
      </c>
      <c r="G156" s="0" t="n">
        <v>4</v>
      </c>
      <c r="H156" s="0" t="n">
        <v>5</v>
      </c>
    </row>
    <row r="157" customFormat="false" ht="15" hidden="false" customHeight="false" outlineLevel="0" collapsed="false">
      <c r="A157" s="0" t="s">
        <v>141</v>
      </c>
      <c r="B157" s="0" t="s">
        <v>314</v>
      </c>
      <c r="C157" s="0" t="s">
        <v>311</v>
      </c>
      <c r="D157" s="0" t="n">
        <v>11</v>
      </c>
      <c r="E157" s="0" t="n">
        <v>7</v>
      </c>
      <c r="F157" s="0" t="n">
        <v>3</v>
      </c>
      <c r="G157" s="0" t="n">
        <v>18</v>
      </c>
      <c r="H157" s="0" t="n">
        <v>21</v>
      </c>
    </row>
    <row r="158" customFormat="false" ht="15" hidden="false" customHeight="false" outlineLevel="0" collapsed="false">
      <c r="A158" s="0" t="s">
        <v>141</v>
      </c>
      <c r="B158" s="0" t="s">
        <v>315</v>
      </c>
      <c r="C158" s="0" t="s">
        <v>316</v>
      </c>
      <c r="D158" s="0" t="n">
        <v>1</v>
      </c>
      <c r="E158" s="0" t="n">
        <v>8</v>
      </c>
      <c r="F158" s="0" t="n">
        <v>1</v>
      </c>
      <c r="G158" s="0" t="n">
        <v>9</v>
      </c>
      <c r="H158" s="0" t="n">
        <v>10</v>
      </c>
    </row>
    <row r="159" customFormat="false" ht="15" hidden="false" customHeight="false" outlineLevel="0" collapsed="false">
      <c r="A159" s="0" t="s">
        <v>141</v>
      </c>
      <c r="B159" s="0" t="s">
        <v>285</v>
      </c>
      <c r="C159" s="0" t="s">
        <v>312</v>
      </c>
      <c r="D159" s="0" t="n">
        <v>3</v>
      </c>
      <c r="E159" s="0" t="n">
        <v>6</v>
      </c>
      <c r="F159" s="0" t="n">
        <v>0</v>
      </c>
      <c r="G159" s="0" t="n">
        <v>9</v>
      </c>
      <c r="H159" s="0" t="n">
        <v>9</v>
      </c>
    </row>
    <row r="160" customFormat="false" ht="15" hidden="false" customHeight="false" outlineLevel="0" collapsed="false">
      <c r="A160" s="0" t="s">
        <v>141</v>
      </c>
      <c r="B160" s="0" t="s">
        <v>317</v>
      </c>
      <c r="C160" s="0" t="s">
        <v>318</v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</row>
    <row r="161" customFormat="false" ht="15" hidden="false" customHeight="false" outlineLevel="0" collapsed="false">
      <c r="A161" s="0" t="s">
        <v>141</v>
      </c>
      <c r="B161" s="0" t="s">
        <v>303</v>
      </c>
      <c r="C161" s="0" t="s">
        <v>319</v>
      </c>
      <c r="D161" s="0" t="n">
        <v>6</v>
      </c>
      <c r="E161" s="0" t="n">
        <v>3</v>
      </c>
      <c r="F161" s="0" t="n">
        <v>0</v>
      </c>
      <c r="G161" s="0" t="n">
        <v>9</v>
      </c>
      <c r="H161" s="0" t="n">
        <v>9</v>
      </c>
    </row>
    <row r="162" customFormat="false" ht="15" hidden="false" customHeight="false" outlineLevel="0" collapsed="false">
      <c r="A162" s="0" t="s">
        <v>141</v>
      </c>
      <c r="B162" s="0" t="s">
        <v>326</v>
      </c>
      <c r="C162" s="0" t="s">
        <v>312</v>
      </c>
      <c r="D162" s="0" t="n">
        <v>1</v>
      </c>
      <c r="E162" s="0" t="n">
        <v>2</v>
      </c>
      <c r="F162" s="0" t="n">
        <v>0</v>
      </c>
      <c r="G162" s="0" t="n">
        <v>3</v>
      </c>
      <c r="H162" s="0" t="n">
        <v>3</v>
      </c>
    </row>
    <row r="163" customFormat="false" ht="15" hidden="false" customHeight="false" outlineLevel="0" collapsed="false">
      <c r="A163" s="0" t="s">
        <v>141</v>
      </c>
      <c r="B163" s="0" t="s">
        <v>327</v>
      </c>
      <c r="C163" s="0" t="s">
        <v>318</v>
      </c>
      <c r="D163" s="0" t="n">
        <v>2</v>
      </c>
      <c r="E163" s="0" t="n">
        <v>3</v>
      </c>
      <c r="F163" s="0" t="n">
        <v>0</v>
      </c>
      <c r="G163" s="0" t="n">
        <v>5</v>
      </c>
      <c r="H163" s="0" t="n">
        <v>5</v>
      </c>
    </row>
    <row r="164" customFormat="false" ht="15" hidden="false" customHeight="false" outlineLevel="0" collapsed="false">
      <c r="A164" s="0" t="s">
        <v>141</v>
      </c>
      <c r="B164" s="0" t="s">
        <v>328</v>
      </c>
      <c r="C164" s="0" t="s">
        <v>311</v>
      </c>
      <c r="D164" s="0" t="n">
        <v>1</v>
      </c>
      <c r="E164" s="0" t="n">
        <v>1</v>
      </c>
      <c r="F164" s="0" t="n">
        <v>9</v>
      </c>
      <c r="G164" s="0" t="n">
        <v>2</v>
      </c>
      <c r="H164" s="0" t="n">
        <v>11</v>
      </c>
    </row>
    <row r="165" customFormat="false" ht="15" hidden="false" customHeight="false" outlineLevel="0" collapsed="false">
      <c r="A165" s="0" t="s">
        <v>141</v>
      </c>
      <c r="B165" s="0" t="s">
        <v>329</v>
      </c>
      <c r="C165" s="0" t="s">
        <v>324</v>
      </c>
      <c r="D165" s="0" t="n">
        <v>6</v>
      </c>
      <c r="E165" s="0" t="n">
        <v>0</v>
      </c>
      <c r="F165" s="0" t="n">
        <v>4</v>
      </c>
      <c r="G165" s="0" t="n">
        <v>6</v>
      </c>
      <c r="H165" s="0" t="n">
        <v>10</v>
      </c>
    </row>
    <row r="166" customFormat="false" ht="15" hidden="false" customHeight="false" outlineLevel="0" collapsed="false">
      <c r="A166" s="0" t="s">
        <v>141</v>
      </c>
      <c r="B166" s="0" t="s">
        <v>320</v>
      </c>
      <c r="C166" s="0" t="s">
        <v>312</v>
      </c>
      <c r="D166" s="0" t="n">
        <v>1</v>
      </c>
      <c r="E166" s="0" t="n">
        <v>2</v>
      </c>
      <c r="F166" s="0" t="n">
        <v>0</v>
      </c>
      <c r="G166" s="0" t="n">
        <v>3</v>
      </c>
      <c r="H166" s="0" t="n">
        <v>3</v>
      </c>
    </row>
    <row r="167" customFormat="false" ht="15" hidden="false" customHeight="false" outlineLevel="0" collapsed="false">
      <c r="A167" s="0" t="s">
        <v>143</v>
      </c>
      <c r="B167" s="0" t="s">
        <v>309</v>
      </c>
      <c r="C167" s="0" t="s">
        <v>310</v>
      </c>
      <c r="D167" s="0" t="n">
        <v>0</v>
      </c>
      <c r="E167" s="0" t="n">
        <v>3</v>
      </c>
      <c r="F167" s="0" t="n">
        <v>1</v>
      </c>
      <c r="G167" s="0" t="n">
        <v>3</v>
      </c>
      <c r="H167" s="0" t="n">
        <v>4</v>
      </c>
    </row>
    <row r="168" customFormat="false" ht="15" hidden="false" customHeight="false" outlineLevel="0" collapsed="false">
      <c r="A168" s="0" t="s">
        <v>143</v>
      </c>
      <c r="B168" s="0" t="s">
        <v>289</v>
      </c>
      <c r="C168" s="0" t="s">
        <v>86</v>
      </c>
      <c r="D168" s="0" t="n">
        <v>2</v>
      </c>
      <c r="E168" s="0" t="n">
        <v>8</v>
      </c>
      <c r="F168" s="0" t="n">
        <v>2</v>
      </c>
      <c r="G168" s="0" t="n">
        <v>10</v>
      </c>
      <c r="H168" s="0" t="n">
        <v>12</v>
      </c>
    </row>
    <row r="169" customFormat="false" ht="15" hidden="false" customHeight="false" outlineLevel="0" collapsed="false">
      <c r="A169" s="0" t="s">
        <v>143</v>
      </c>
      <c r="B169" s="0" t="s">
        <v>271</v>
      </c>
      <c r="C169" s="0" t="s">
        <v>311</v>
      </c>
      <c r="D169" s="0" t="n">
        <v>2</v>
      </c>
      <c r="E169" s="0" t="n">
        <v>0</v>
      </c>
      <c r="F169" s="0" t="n">
        <v>6</v>
      </c>
      <c r="G169" s="0" t="n">
        <v>2</v>
      </c>
      <c r="H169" s="0" t="n">
        <v>8</v>
      </c>
    </row>
    <row r="170" customFormat="false" ht="15" hidden="false" customHeight="false" outlineLevel="0" collapsed="false">
      <c r="A170" s="0" t="s">
        <v>143</v>
      </c>
      <c r="B170" s="0" t="s">
        <v>299</v>
      </c>
      <c r="C170" s="0" t="s">
        <v>312</v>
      </c>
      <c r="D170" s="0" t="n">
        <v>1</v>
      </c>
      <c r="E170" s="0" t="n">
        <v>4</v>
      </c>
      <c r="F170" s="0" t="n">
        <v>1</v>
      </c>
      <c r="G170" s="0" t="n">
        <v>5</v>
      </c>
      <c r="H170" s="0" t="n">
        <v>6</v>
      </c>
    </row>
    <row r="171" customFormat="false" ht="15" hidden="false" customHeight="false" outlineLevel="0" collapsed="false">
      <c r="A171" s="0" t="s">
        <v>143</v>
      </c>
      <c r="B171" s="0" t="s">
        <v>313</v>
      </c>
      <c r="C171" s="0" t="s">
        <v>311</v>
      </c>
      <c r="D171" s="0" t="n">
        <v>3</v>
      </c>
      <c r="E171" s="0" t="n">
        <v>0</v>
      </c>
      <c r="F171" s="0" t="n">
        <v>3</v>
      </c>
      <c r="G171" s="0" t="n">
        <v>3</v>
      </c>
      <c r="H171" s="0" t="n">
        <v>6</v>
      </c>
    </row>
    <row r="172" customFormat="false" ht="15" hidden="false" customHeight="false" outlineLevel="0" collapsed="false">
      <c r="A172" s="0" t="s">
        <v>143</v>
      </c>
      <c r="B172" s="0" t="s">
        <v>314</v>
      </c>
      <c r="C172" s="0" t="s">
        <v>311</v>
      </c>
      <c r="D172" s="0" t="n">
        <v>5</v>
      </c>
      <c r="E172" s="0" t="n">
        <v>5</v>
      </c>
      <c r="F172" s="0" t="n">
        <v>2</v>
      </c>
      <c r="G172" s="0" t="n">
        <v>10</v>
      </c>
      <c r="H172" s="0" t="n">
        <v>12</v>
      </c>
    </row>
    <row r="173" customFormat="false" ht="15" hidden="false" customHeight="false" outlineLevel="0" collapsed="false">
      <c r="A173" s="0" t="s">
        <v>143</v>
      </c>
      <c r="B173" s="0" t="s">
        <v>315</v>
      </c>
      <c r="C173" s="0" t="s">
        <v>316</v>
      </c>
      <c r="D173" s="0" t="n">
        <v>4</v>
      </c>
      <c r="E173" s="0" t="n">
        <v>7</v>
      </c>
      <c r="F173" s="0" t="n">
        <v>2</v>
      </c>
      <c r="G173" s="0" t="n">
        <v>11</v>
      </c>
      <c r="H173" s="0" t="n">
        <v>13</v>
      </c>
    </row>
    <row r="174" customFormat="false" ht="15" hidden="false" customHeight="false" outlineLevel="0" collapsed="false">
      <c r="A174" s="0" t="s">
        <v>143</v>
      </c>
      <c r="B174" s="0" t="s">
        <v>285</v>
      </c>
      <c r="C174" s="0" t="s">
        <v>312</v>
      </c>
      <c r="D174" s="0" t="n">
        <v>5</v>
      </c>
      <c r="E174" s="0" t="n">
        <v>3</v>
      </c>
      <c r="F174" s="0" t="n">
        <v>0</v>
      </c>
      <c r="G174" s="0" t="n">
        <v>8</v>
      </c>
      <c r="H174" s="0" t="n">
        <v>8</v>
      </c>
    </row>
    <row r="175" customFormat="false" ht="15" hidden="false" customHeight="false" outlineLevel="0" collapsed="false">
      <c r="A175" s="0" t="s">
        <v>143</v>
      </c>
      <c r="B175" s="0" t="s">
        <v>317</v>
      </c>
      <c r="C175" s="0" t="s">
        <v>318</v>
      </c>
      <c r="D175" s="0" t="n">
        <v>1</v>
      </c>
      <c r="E175" s="0" t="n">
        <v>1</v>
      </c>
      <c r="F175" s="0" t="n">
        <v>0</v>
      </c>
      <c r="G175" s="0" t="n">
        <v>2</v>
      </c>
      <c r="H175" s="0" t="n">
        <v>2</v>
      </c>
    </row>
    <row r="176" customFormat="false" ht="15" hidden="false" customHeight="false" outlineLevel="0" collapsed="false">
      <c r="A176" s="0" t="s">
        <v>143</v>
      </c>
      <c r="B176" s="0" t="s">
        <v>303</v>
      </c>
      <c r="C176" s="0" t="s">
        <v>319</v>
      </c>
      <c r="D176" s="0" t="n">
        <v>8</v>
      </c>
      <c r="E176" s="0" t="n">
        <v>6</v>
      </c>
      <c r="F176" s="0" t="n">
        <v>0</v>
      </c>
      <c r="G176" s="0" t="n">
        <v>14</v>
      </c>
      <c r="H176" s="0" t="n">
        <v>14</v>
      </c>
    </row>
    <row r="177" customFormat="false" ht="15" hidden="false" customHeight="false" outlineLevel="0" collapsed="false">
      <c r="A177" s="0" t="s">
        <v>143</v>
      </c>
      <c r="B177" s="0" t="s">
        <v>326</v>
      </c>
      <c r="C177" s="0" t="s">
        <v>312</v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</row>
    <row r="178" customFormat="false" ht="15" hidden="false" customHeight="false" outlineLevel="0" collapsed="false">
      <c r="A178" s="0" t="s">
        <v>143</v>
      </c>
      <c r="B178" s="0" t="s">
        <v>327</v>
      </c>
      <c r="C178" s="0" t="s">
        <v>318</v>
      </c>
      <c r="D178" s="0" t="n">
        <v>0</v>
      </c>
      <c r="E178" s="0" t="n">
        <v>6</v>
      </c>
      <c r="F178" s="0" t="n">
        <v>2</v>
      </c>
      <c r="G178" s="0" t="n">
        <v>6</v>
      </c>
      <c r="H178" s="0" t="n">
        <v>8</v>
      </c>
    </row>
    <row r="179" customFormat="false" ht="15" hidden="false" customHeight="false" outlineLevel="0" collapsed="false">
      <c r="A179" s="0" t="s">
        <v>143</v>
      </c>
      <c r="B179" s="0" t="s">
        <v>328</v>
      </c>
      <c r="C179" s="0" t="s">
        <v>311</v>
      </c>
      <c r="D179" s="0" t="n">
        <v>0</v>
      </c>
      <c r="E179" s="0" t="n">
        <v>6</v>
      </c>
      <c r="F179" s="0" t="n">
        <v>4</v>
      </c>
      <c r="G179" s="0" t="n">
        <v>6</v>
      </c>
      <c r="H179" s="0" t="n">
        <v>10</v>
      </c>
    </row>
    <row r="180" customFormat="false" ht="15" hidden="false" customHeight="false" outlineLevel="0" collapsed="false">
      <c r="A180" s="0" t="s">
        <v>143</v>
      </c>
      <c r="B180" s="0" t="s">
        <v>320</v>
      </c>
      <c r="C180" s="0" t="s">
        <v>312</v>
      </c>
      <c r="D180" s="0" t="n">
        <v>1</v>
      </c>
      <c r="E180" s="0" t="n">
        <v>2</v>
      </c>
      <c r="F180" s="0" t="n">
        <v>0</v>
      </c>
      <c r="G180" s="0" t="n">
        <v>3</v>
      </c>
      <c r="H180" s="0" t="n">
        <v>3</v>
      </c>
    </row>
    <row r="181" customFormat="false" ht="15" hidden="false" customHeight="false" outlineLevel="0" collapsed="false">
      <c r="A181" s="0" t="s">
        <v>143</v>
      </c>
      <c r="B181" s="0" t="s">
        <v>321</v>
      </c>
      <c r="C181" s="0" t="s">
        <v>319</v>
      </c>
      <c r="D181" s="0" t="n">
        <v>7</v>
      </c>
      <c r="E181" s="0" t="n">
        <v>3</v>
      </c>
      <c r="F181" s="0" t="n">
        <v>0</v>
      </c>
      <c r="G181" s="0" t="n">
        <v>10</v>
      </c>
      <c r="H181" s="0" t="n">
        <v>10</v>
      </c>
    </row>
    <row r="182" customFormat="false" ht="15" hidden="false" customHeight="false" outlineLevel="0" collapsed="false">
      <c r="A182" s="0" t="s">
        <v>145</v>
      </c>
      <c r="B182" s="0" t="s">
        <v>309</v>
      </c>
      <c r="C182" s="0" t="s">
        <v>310</v>
      </c>
      <c r="D182" s="0" t="n">
        <v>0</v>
      </c>
      <c r="E182" s="0" t="n">
        <v>1</v>
      </c>
      <c r="F182" s="0" t="n">
        <v>1</v>
      </c>
      <c r="G182" s="0" t="n">
        <v>1</v>
      </c>
      <c r="H182" s="0" t="n">
        <v>2</v>
      </c>
    </row>
    <row r="183" customFormat="false" ht="15" hidden="false" customHeight="false" outlineLevel="0" collapsed="false">
      <c r="A183" s="0" t="s">
        <v>145</v>
      </c>
      <c r="B183" s="0" t="s">
        <v>289</v>
      </c>
      <c r="C183" s="0" t="s">
        <v>86</v>
      </c>
      <c r="D183" s="0" t="n">
        <v>1</v>
      </c>
      <c r="E183" s="0" t="n">
        <v>1</v>
      </c>
      <c r="F183" s="0" t="n">
        <v>3</v>
      </c>
      <c r="G183" s="0" t="n">
        <v>2</v>
      </c>
      <c r="H183" s="0" t="n">
        <v>5</v>
      </c>
    </row>
    <row r="184" customFormat="false" ht="15" hidden="false" customHeight="false" outlineLevel="0" collapsed="false">
      <c r="A184" s="0" t="s">
        <v>145</v>
      </c>
      <c r="B184" s="0" t="s">
        <v>271</v>
      </c>
      <c r="C184" s="0" t="s">
        <v>311</v>
      </c>
      <c r="D184" s="0" t="n">
        <v>3</v>
      </c>
      <c r="E184" s="0" t="n">
        <v>0</v>
      </c>
      <c r="F184" s="0" t="n">
        <v>0</v>
      </c>
      <c r="G184" s="0" t="n">
        <v>3</v>
      </c>
      <c r="H184" s="0" t="n">
        <v>3</v>
      </c>
    </row>
    <row r="185" customFormat="false" ht="15" hidden="false" customHeight="false" outlineLevel="0" collapsed="false">
      <c r="A185" s="0" t="s">
        <v>145</v>
      </c>
      <c r="B185" s="0" t="s">
        <v>299</v>
      </c>
      <c r="C185" s="0" t="s">
        <v>312</v>
      </c>
      <c r="D185" s="0" t="n">
        <v>1</v>
      </c>
      <c r="E185" s="0" t="n">
        <v>1</v>
      </c>
      <c r="F185" s="0" t="n">
        <v>0</v>
      </c>
      <c r="G185" s="0" t="n">
        <v>2</v>
      </c>
      <c r="H185" s="0" t="n">
        <v>2</v>
      </c>
    </row>
    <row r="186" customFormat="false" ht="15" hidden="false" customHeight="false" outlineLevel="0" collapsed="false">
      <c r="A186" s="0" t="s">
        <v>145</v>
      </c>
      <c r="B186" s="0" t="s">
        <v>313</v>
      </c>
      <c r="C186" s="0" t="s">
        <v>311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</row>
    <row r="187" customFormat="false" ht="15" hidden="false" customHeight="false" outlineLevel="0" collapsed="false">
      <c r="A187" s="0" t="s">
        <v>145</v>
      </c>
      <c r="B187" s="0" t="s">
        <v>314</v>
      </c>
      <c r="C187" s="0" t="s">
        <v>311</v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</row>
    <row r="188" customFormat="false" ht="15" hidden="false" customHeight="false" outlineLevel="0" collapsed="false">
      <c r="A188" s="0" t="s">
        <v>145</v>
      </c>
      <c r="B188" s="0" t="s">
        <v>315</v>
      </c>
      <c r="C188" s="0" t="s">
        <v>316</v>
      </c>
      <c r="D188" s="0" t="n">
        <v>1</v>
      </c>
      <c r="E188" s="0" t="n">
        <v>1</v>
      </c>
      <c r="F188" s="0" t="n">
        <v>2</v>
      </c>
      <c r="G188" s="0" t="n">
        <v>2</v>
      </c>
      <c r="H188" s="0" t="n">
        <v>4</v>
      </c>
    </row>
    <row r="189" customFormat="false" ht="15" hidden="false" customHeight="false" outlineLevel="0" collapsed="false">
      <c r="A189" s="0" t="s">
        <v>145</v>
      </c>
      <c r="B189" s="0" t="s">
        <v>285</v>
      </c>
      <c r="C189" s="0" t="s">
        <v>312</v>
      </c>
      <c r="D189" s="0" t="n">
        <v>0</v>
      </c>
      <c r="E189" s="0" t="n">
        <v>1</v>
      </c>
      <c r="F189" s="0" t="n">
        <v>0</v>
      </c>
      <c r="G189" s="0" t="n">
        <v>1</v>
      </c>
      <c r="H189" s="0" t="n">
        <v>1</v>
      </c>
    </row>
    <row r="190" customFormat="false" ht="15" hidden="false" customHeight="false" outlineLevel="0" collapsed="false">
      <c r="A190" s="0" t="s">
        <v>145</v>
      </c>
      <c r="B190" s="0" t="s">
        <v>317</v>
      </c>
      <c r="C190" s="0" t="s">
        <v>318</v>
      </c>
      <c r="D190" s="0" t="n">
        <v>1</v>
      </c>
      <c r="E190" s="0" t="n">
        <v>2</v>
      </c>
      <c r="F190" s="0" t="n">
        <v>0</v>
      </c>
      <c r="G190" s="0" t="n">
        <v>3</v>
      </c>
      <c r="H190" s="0" t="n">
        <v>3</v>
      </c>
    </row>
    <row r="191" customFormat="false" ht="15" hidden="false" customHeight="false" outlineLevel="0" collapsed="false">
      <c r="A191" s="0" t="s">
        <v>145</v>
      </c>
      <c r="B191" s="0" t="s">
        <v>303</v>
      </c>
      <c r="C191" s="0" t="s">
        <v>319</v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</row>
    <row r="192" customFormat="false" ht="15" hidden="false" customHeight="false" outlineLevel="0" collapsed="false">
      <c r="A192" s="0" t="s">
        <v>145</v>
      </c>
      <c r="B192" s="0" t="s">
        <v>326</v>
      </c>
      <c r="C192" s="0" t="s">
        <v>312</v>
      </c>
      <c r="D192" s="0" t="n">
        <v>4</v>
      </c>
      <c r="E192" s="0" t="n">
        <v>1</v>
      </c>
      <c r="F192" s="0" t="n">
        <v>1</v>
      </c>
      <c r="G192" s="0" t="n">
        <v>5</v>
      </c>
      <c r="H192" s="0" t="n">
        <v>6</v>
      </c>
    </row>
    <row r="193" customFormat="false" ht="15" hidden="false" customHeight="false" outlineLevel="0" collapsed="false">
      <c r="A193" s="0" t="s">
        <v>145</v>
      </c>
      <c r="B193" s="0" t="s">
        <v>327</v>
      </c>
      <c r="C193" s="0" t="s">
        <v>318</v>
      </c>
      <c r="D193" s="0" t="n">
        <v>0</v>
      </c>
      <c r="E193" s="0" t="n">
        <v>1</v>
      </c>
      <c r="F193" s="0" t="n">
        <v>1</v>
      </c>
      <c r="G193" s="0" t="n">
        <v>1</v>
      </c>
      <c r="H193" s="0" t="n">
        <v>2</v>
      </c>
    </row>
    <row r="194" customFormat="false" ht="15" hidden="false" customHeight="false" outlineLevel="0" collapsed="false">
      <c r="A194" s="0" t="s">
        <v>145</v>
      </c>
      <c r="B194" s="0" t="s">
        <v>328</v>
      </c>
      <c r="C194" s="0" t="s">
        <v>311</v>
      </c>
      <c r="D194" s="0" t="n">
        <v>1</v>
      </c>
      <c r="E194" s="0" t="n">
        <v>0</v>
      </c>
      <c r="F194" s="0" t="n">
        <v>1</v>
      </c>
      <c r="G194" s="0" t="n">
        <v>1</v>
      </c>
      <c r="H194" s="0" t="n">
        <v>2</v>
      </c>
    </row>
    <row r="195" customFormat="false" ht="15" hidden="false" customHeight="false" outlineLevel="0" collapsed="false">
      <c r="A195" s="0" t="s">
        <v>145</v>
      </c>
      <c r="B195" s="0" t="s">
        <v>329</v>
      </c>
      <c r="C195" s="0" t="s">
        <v>324</v>
      </c>
      <c r="D195" s="0" t="n">
        <v>2</v>
      </c>
      <c r="E195" s="0" t="n">
        <v>0</v>
      </c>
      <c r="F195" s="0" t="n">
        <v>2</v>
      </c>
      <c r="G195" s="0" t="n">
        <v>2</v>
      </c>
      <c r="H195" s="0" t="n">
        <v>4</v>
      </c>
    </row>
    <row r="196" customFormat="false" ht="15" hidden="false" customHeight="false" outlineLevel="0" collapsed="false">
      <c r="A196" s="0" t="s">
        <v>145</v>
      </c>
      <c r="B196" s="0" t="s">
        <v>320</v>
      </c>
      <c r="C196" s="0" t="s">
        <v>312</v>
      </c>
      <c r="D196" s="0" t="n">
        <v>1</v>
      </c>
      <c r="E196" s="0" t="n">
        <v>1</v>
      </c>
      <c r="F196" s="0" t="n">
        <v>0</v>
      </c>
      <c r="G196" s="0" t="n">
        <v>2</v>
      </c>
      <c r="H196" s="0" t="n">
        <v>2</v>
      </c>
    </row>
    <row r="197" customFormat="false" ht="15" hidden="false" customHeight="false" outlineLevel="0" collapsed="false">
      <c r="A197" s="0" t="s">
        <v>120</v>
      </c>
      <c r="B197" s="0" t="s">
        <v>265</v>
      </c>
      <c r="C197" s="0" t="s">
        <v>274</v>
      </c>
      <c r="D197" s="0" t="n">
        <v>3</v>
      </c>
      <c r="E197" s="0" t="n">
        <v>1</v>
      </c>
      <c r="F197" s="0" t="n">
        <v>4</v>
      </c>
      <c r="G197" s="0" t="n">
        <v>4</v>
      </c>
      <c r="H197" s="0" t="n">
        <v>8</v>
      </c>
    </row>
    <row r="198" customFormat="false" ht="15" hidden="false" customHeight="false" outlineLevel="0" collapsed="false">
      <c r="A198" s="0" t="s">
        <v>120</v>
      </c>
      <c r="B198" s="0" t="s">
        <v>267</v>
      </c>
      <c r="C198" s="0" t="s">
        <v>312</v>
      </c>
      <c r="D198" s="0" t="n">
        <v>8</v>
      </c>
      <c r="E198" s="0" t="n">
        <v>0</v>
      </c>
      <c r="F198" s="0" t="n">
        <v>0</v>
      </c>
      <c r="G198" s="0" t="n">
        <v>8</v>
      </c>
      <c r="H198" s="0" t="n">
        <v>8</v>
      </c>
    </row>
    <row r="199" customFormat="false" ht="15" hidden="false" customHeight="false" outlineLevel="0" collapsed="false">
      <c r="A199" s="0" t="s">
        <v>120</v>
      </c>
      <c r="B199" s="0" t="s">
        <v>330</v>
      </c>
      <c r="C199" s="0" t="s">
        <v>331</v>
      </c>
      <c r="D199" s="0" t="n">
        <v>5</v>
      </c>
      <c r="E199" s="0" t="n">
        <v>0</v>
      </c>
      <c r="F199" s="0" t="n">
        <v>2</v>
      </c>
      <c r="G199" s="0" t="n">
        <v>5</v>
      </c>
      <c r="H199" s="0" t="n">
        <v>7</v>
      </c>
    </row>
    <row r="200" customFormat="false" ht="15" hidden="false" customHeight="false" outlineLevel="0" collapsed="false">
      <c r="A200" s="0" t="s">
        <v>120</v>
      </c>
      <c r="B200" s="0" t="s">
        <v>296</v>
      </c>
      <c r="C200" s="0" t="s">
        <v>332</v>
      </c>
      <c r="D200" s="0" t="n">
        <v>2</v>
      </c>
      <c r="E200" s="0" t="n">
        <v>3</v>
      </c>
      <c r="F200" s="0" t="n">
        <v>6</v>
      </c>
      <c r="G200" s="0" t="n">
        <v>5</v>
      </c>
      <c r="H200" s="0" t="n">
        <v>11</v>
      </c>
    </row>
    <row r="201" customFormat="false" ht="15" hidden="false" customHeight="false" outlineLevel="0" collapsed="false">
      <c r="A201" s="0" t="s">
        <v>120</v>
      </c>
      <c r="B201" s="0" t="s">
        <v>269</v>
      </c>
      <c r="C201" s="0" t="s">
        <v>333</v>
      </c>
      <c r="D201" s="0" t="n">
        <v>2</v>
      </c>
      <c r="E201" s="0" t="n">
        <v>0</v>
      </c>
      <c r="F201" s="0" t="n">
        <v>13</v>
      </c>
      <c r="G201" s="0" t="n">
        <v>2</v>
      </c>
      <c r="H201" s="0" t="n">
        <v>15</v>
      </c>
    </row>
    <row r="202" customFormat="false" ht="15" hidden="false" customHeight="false" outlineLevel="0" collapsed="false">
      <c r="A202" s="0" t="s">
        <v>120</v>
      </c>
      <c r="B202" s="0" t="s">
        <v>297</v>
      </c>
      <c r="C202" s="0" t="s">
        <v>331</v>
      </c>
      <c r="D202" s="0" t="n">
        <v>7</v>
      </c>
      <c r="E202" s="0" t="n">
        <v>5</v>
      </c>
      <c r="F202" s="0" t="n">
        <v>7</v>
      </c>
      <c r="G202" s="0" t="n">
        <v>12</v>
      </c>
      <c r="H202" s="0" t="n">
        <v>19</v>
      </c>
    </row>
    <row r="203" customFormat="false" ht="15" hidden="false" customHeight="false" outlineLevel="0" collapsed="false">
      <c r="A203" s="0" t="s">
        <v>120</v>
      </c>
      <c r="B203" s="0" t="s">
        <v>299</v>
      </c>
      <c r="C203" s="0" t="s">
        <v>266</v>
      </c>
      <c r="D203" s="0" t="n">
        <v>8</v>
      </c>
      <c r="E203" s="0" t="n">
        <v>2</v>
      </c>
      <c r="F203" s="0" t="n">
        <v>0</v>
      </c>
      <c r="G203" s="0" t="n">
        <v>10</v>
      </c>
      <c r="H203" s="0" t="n">
        <v>10</v>
      </c>
    </row>
    <row r="204" customFormat="false" ht="15" hidden="false" customHeight="false" outlineLevel="0" collapsed="false">
      <c r="A204" s="0" t="s">
        <v>120</v>
      </c>
      <c r="B204" s="0" t="s">
        <v>278</v>
      </c>
      <c r="C204" s="0" t="s">
        <v>334</v>
      </c>
      <c r="D204" s="0" t="n">
        <v>1</v>
      </c>
      <c r="E204" s="0" t="n">
        <v>4</v>
      </c>
      <c r="F204" s="0" t="n">
        <v>8</v>
      </c>
      <c r="G204" s="0" t="n">
        <v>5</v>
      </c>
      <c r="H204" s="0" t="n">
        <v>13</v>
      </c>
    </row>
    <row r="205" customFormat="false" ht="15" hidden="false" customHeight="false" outlineLevel="0" collapsed="false">
      <c r="A205" s="0" t="s">
        <v>120</v>
      </c>
      <c r="B205" s="0" t="s">
        <v>335</v>
      </c>
      <c r="C205" s="0" t="s">
        <v>336</v>
      </c>
      <c r="D205" s="0" t="n">
        <v>2</v>
      </c>
      <c r="E205" s="0" t="n">
        <v>4</v>
      </c>
      <c r="F205" s="0" t="n">
        <v>0</v>
      </c>
      <c r="G205" s="0" t="n">
        <v>6</v>
      </c>
      <c r="H205" s="0" t="n">
        <v>6</v>
      </c>
    </row>
    <row r="206" customFormat="false" ht="15" hidden="false" customHeight="false" outlineLevel="0" collapsed="false">
      <c r="A206" s="0" t="s">
        <v>120</v>
      </c>
      <c r="B206" s="0" t="s">
        <v>279</v>
      </c>
      <c r="C206" s="0" t="s">
        <v>333</v>
      </c>
      <c r="D206" s="0" t="n">
        <v>2</v>
      </c>
      <c r="E206" s="0" t="n">
        <v>1</v>
      </c>
      <c r="F206" s="0" t="n">
        <v>0</v>
      </c>
      <c r="G206" s="0" t="n">
        <v>3</v>
      </c>
      <c r="H206" s="0" t="n">
        <v>3</v>
      </c>
    </row>
    <row r="207" customFormat="false" ht="15" hidden="false" customHeight="false" outlineLevel="0" collapsed="false">
      <c r="A207" s="0" t="s">
        <v>120</v>
      </c>
      <c r="B207" s="0" t="s">
        <v>314</v>
      </c>
      <c r="C207" s="0" t="s">
        <v>337</v>
      </c>
      <c r="D207" s="0" t="n">
        <v>7</v>
      </c>
      <c r="E207" s="0" t="n">
        <v>5</v>
      </c>
      <c r="F207" s="0" t="n">
        <v>0</v>
      </c>
      <c r="G207" s="0" t="n">
        <v>12</v>
      </c>
      <c r="H207" s="0" t="n">
        <v>12</v>
      </c>
    </row>
    <row r="208" customFormat="false" ht="15" hidden="false" customHeight="false" outlineLevel="0" collapsed="false">
      <c r="A208" s="0" t="s">
        <v>120</v>
      </c>
      <c r="B208" s="0" t="s">
        <v>283</v>
      </c>
      <c r="C208" s="0" t="s">
        <v>331</v>
      </c>
      <c r="D208" s="0" t="n">
        <v>3</v>
      </c>
      <c r="E208" s="0" t="n">
        <v>5</v>
      </c>
      <c r="F208" s="0" t="n">
        <v>0</v>
      </c>
      <c r="G208" s="0" t="n">
        <v>8</v>
      </c>
      <c r="H208" s="0" t="n">
        <v>8</v>
      </c>
    </row>
    <row r="209" customFormat="false" ht="15" hidden="false" customHeight="false" outlineLevel="0" collapsed="false">
      <c r="A209" s="0" t="s">
        <v>120</v>
      </c>
      <c r="B209" s="0" t="s">
        <v>284</v>
      </c>
      <c r="C209" s="0" t="s">
        <v>338</v>
      </c>
      <c r="D209" s="0" t="n">
        <v>2</v>
      </c>
      <c r="E209" s="0" t="n">
        <v>4</v>
      </c>
      <c r="F209" s="0" t="n">
        <v>1</v>
      </c>
      <c r="G209" s="0" t="n">
        <v>6</v>
      </c>
      <c r="H209" s="0" t="n">
        <v>7</v>
      </c>
    </row>
    <row r="210" customFormat="false" ht="15" hidden="false" customHeight="false" outlineLevel="0" collapsed="false">
      <c r="A210" s="0" t="s">
        <v>120</v>
      </c>
      <c r="B210" s="0" t="s">
        <v>339</v>
      </c>
      <c r="C210" s="0" t="s">
        <v>334</v>
      </c>
      <c r="D210" s="0" t="n">
        <v>4</v>
      </c>
      <c r="E210" s="0" t="n">
        <v>2</v>
      </c>
      <c r="F210" s="0" t="n">
        <v>0</v>
      </c>
      <c r="G210" s="0" t="n">
        <v>6</v>
      </c>
      <c r="H210" s="0" t="n">
        <v>6</v>
      </c>
    </row>
    <row r="211" customFormat="false" ht="15" hidden="false" customHeight="false" outlineLevel="0" collapsed="false">
      <c r="A211" s="0" t="s">
        <v>120</v>
      </c>
      <c r="B211" s="0" t="s">
        <v>340</v>
      </c>
      <c r="C211" s="0" t="s">
        <v>338</v>
      </c>
      <c r="D211" s="0" t="n">
        <v>3</v>
      </c>
      <c r="E211" s="0" t="n">
        <v>10</v>
      </c>
      <c r="F211" s="0" t="n">
        <v>7</v>
      </c>
      <c r="G211" s="0" t="n">
        <v>13</v>
      </c>
      <c r="H211" s="0" t="n">
        <v>20</v>
      </c>
    </row>
    <row r="212" customFormat="false" ht="15" hidden="false" customHeight="false" outlineLevel="0" collapsed="false">
      <c r="A212" s="0" t="s">
        <v>122</v>
      </c>
      <c r="B212" s="0" t="s">
        <v>265</v>
      </c>
      <c r="C212" s="0" t="s">
        <v>274</v>
      </c>
      <c r="D212" s="0" t="n">
        <v>3</v>
      </c>
      <c r="E212" s="0" t="n">
        <v>1</v>
      </c>
      <c r="F212" s="0" t="n">
        <v>1</v>
      </c>
      <c r="G212" s="0" t="n">
        <v>4</v>
      </c>
      <c r="H212" s="0" t="n">
        <v>5</v>
      </c>
    </row>
    <row r="213" customFormat="false" ht="15" hidden="false" customHeight="false" outlineLevel="0" collapsed="false">
      <c r="A213" s="0" t="s">
        <v>122</v>
      </c>
      <c r="B213" s="0" t="s">
        <v>267</v>
      </c>
      <c r="C213" s="0" t="s">
        <v>312</v>
      </c>
      <c r="D213" s="0" t="n">
        <v>2</v>
      </c>
      <c r="E213" s="0" t="n">
        <v>0</v>
      </c>
      <c r="F213" s="0" t="n">
        <v>0</v>
      </c>
      <c r="G213" s="0" t="n">
        <v>2</v>
      </c>
      <c r="H213" s="0" t="n">
        <v>2</v>
      </c>
    </row>
    <row r="214" customFormat="false" ht="15" hidden="false" customHeight="false" outlineLevel="0" collapsed="false">
      <c r="A214" s="0" t="s">
        <v>122</v>
      </c>
      <c r="B214" s="0" t="s">
        <v>330</v>
      </c>
      <c r="C214" s="0" t="s">
        <v>331</v>
      </c>
      <c r="D214" s="0" t="n">
        <v>0</v>
      </c>
      <c r="E214" s="0" t="n">
        <v>0</v>
      </c>
      <c r="F214" s="0" t="n">
        <v>2</v>
      </c>
      <c r="G214" s="0" t="n">
        <v>0</v>
      </c>
      <c r="H214" s="0" t="n">
        <v>2</v>
      </c>
    </row>
    <row r="215" customFormat="false" ht="15" hidden="false" customHeight="false" outlineLevel="0" collapsed="false">
      <c r="A215" s="0" t="s">
        <v>122</v>
      </c>
      <c r="B215" s="0" t="s">
        <v>296</v>
      </c>
      <c r="C215" s="0" t="s">
        <v>332</v>
      </c>
      <c r="D215" s="0" t="n">
        <v>0</v>
      </c>
      <c r="E215" s="0" t="n">
        <v>2</v>
      </c>
      <c r="F215" s="0" t="n">
        <v>2</v>
      </c>
      <c r="G215" s="0" t="n">
        <v>2</v>
      </c>
      <c r="H215" s="0" t="n">
        <v>4</v>
      </c>
    </row>
    <row r="216" customFormat="false" ht="15" hidden="false" customHeight="false" outlineLevel="0" collapsed="false">
      <c r="A216" s="0" t="s">
        <v>122</v>
      </c>
      <c r="B216" s="0" t="s">
        <v>269</v>
      </c>
      <c r="C216" s="0" t="s">
        <v>333</v>
      </c>
      <c r="D216" s="0" t="n">
        <v>0</v>
      </c>
      <c r="E216" s="0" t="n">
        <v>1</v>
      </c>
      <c r="F216" s="0" t="n">
        <v>2</v>
      </c>
      <c r="G216" s="0" t="n">
        <v>1</v>
      </c>
      <c r="H216" s="0" t="n">
        <v>3</v>
      </c>
    </row>
    <row r="217" customFormat="false" ht="15" hidden="false" customHeight="false" outlineLevel="0" collapsed="false">
      <c r="A217" s="0" t="s">
        <v>122</v>
      </c>
      <c r="B217" s="0" t="s">
        <v>297</v>
      </c>
      <c r="C217" s="0" t="s">
        <v>331</v>
      </c>
      <c r="D217" s="0" t="n">
        <v>6</v>
      </c>
      <c r="E217" s="0" t="n">
        <v>2</v>
      </c>
      <c r="F217" s="0" t="n">
        <v>4</v>
      </c>
      <c r="G217" s="0" t="n">
        <v>8</v>
      </c>
      <c r="H217" s="0" t="n">
        <v>12</v>
      </c>
    </row>
    <row r="218" customFormat="false" ht="15" hidden="false" customHeight="false" outlineLevel="0" collapsed="false">
      <c r="A218" s="0" t="s">
        <v>122</v>
      </c>
      <c r="B218" s="0" t="s">
        <v>299</v>
      </c>
      <c r="C218" s="0" t="s">
        <v>266</v>
      </c>
      <c r="D218" s="0" t="n">
        <v>3</v>
      </c>
      <c r="E218" s="0" t="n">
        <v>1</v>
      </c>
      <c r="F218" s="0" t="n">
        <v>2</v>
      </c>
      <c r="G218" s="0" t="n">
        <v>4</v>
      </c>
      <c r="H218" s="0" t="n">
        <v>6</v>
      </c>
    </row>
    <row r="219" customFormat="false" ht="15" hidden="false" customHeight="false" outlineLevel="0" collapsed="false">
      <c r="A219" s="0" t="s">
        <v>122</v>
      </c>
      <c r="B219" s="0" t="s">
        <v>278</v>
      </c>
      <c r="C219" s="0" t="s">
        <v>334</v>
      </c>
      <c r="D219" s="0" t="n">
        <v>0</v>
      </c>
      <c r="E219" s="0" t="n">
        <v>4</v>
      </c>
      <c r="F219" s="0" t="n">
        <v>1</v>
      </c>
      <c r="G219" s="0" t="n">
        <v>4</v>
      </c>
      <c r="H219" s="0" t="n">
        <v>5</v>
      </c>
    </row>
    <row r="220" customFormat="false" ht="15" hidden="false" customHeight="false" outlineLevel="0" collapsed="false">
      <c r="A220" s="0" t="s">
        <v>122</v>
      </c>
      <c r="B220" s="0" t="s">
        <v>335</v>
      </c>
      <c r="C220" s="0" t="s">
        <v>336</v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</row>
    <row r="221" customFormat="false" ht="15" hidden="false" customHeight="false" outlineLevel="0" collapsed="false">
      <c r="A221" s="0" t="s">
        <v>122</v>
      </c>
      <c r="B221" s="0" t="s">
        <v>279</v>
      </c>
      <c r="C221" s="0" t="s">
        <v>333</v>
      </c>
      <c r="D221" s="0" t="n">
        <v>1</v>
      </c>
      <c r="E221" s="0" t="n">
        <v>0</v>
      </c>
      <c r="F221" s="0" t="n">
        <v>0</v>
      </c>
      <c r="G221" s="0" t="n">
        <v>1</v>
      </c>
      <c r="H221" s="0" t="n">
        <v>1</v>
      </c>
    </row>
    <row r="222" customFormat="false" ht="15" hidden="false" customHeight="false" outlineLevel="0" collapsed="false">
      <c r="A222" s="0" t="s">
        <v>122</v>
      </c>
      <c r="B222" s="0" t="s">
        <v>314</v>
      </c>
      <c r="C222" s="0" t="s">
        <v>337</v>
      </c>
      <c r="D222" s="0" t="n">
        <v>4</v>
      </c>
      <c r="E222" s="0" t="n">
        <v>4</v>
      </c>
      <c r="F222" s="0" t="n">
        <v>0</v>
      </c>
      <c r="G222" s="0" t="n">
        <v>8</v>
      </c>
      <c r="H222" s="0" t="n">
        <v>8</v>
      </c>
    </row>
    <row r="223" customFormat="false" ht="15" hidden="false" customHeight="false" outlineLevel="0" collapsed="false">
      <c r="A223" s="0" t="s">
        <v>122</v>
      </c>
      <c r="B223" s="0" t="s">
        <v>283</v>
      </c>
      <c r="C223" s="0" t="s">
        <v>331</v>
      </c>
      <c r="D223" s="0" t="n">
        <v>1</v>
      </c>
      <c r="E223" s="0" t="n">
        <v>0</v>
      </c>
      <c r="F223" s="0" t="n">
        <v>0</v>
      </c>
      <c r="G223" s="0" t="n">
        <v>1</v>
      </c>
      <c r="H223" s="0" t="n">
        <v>1</v>
      </c>
    </row>
    <row r="224" customFormat="false" ht="15" hidden="false" customHeight="false" outlineLevel="0" collapsed="false">
      <c r="A224" s="0" t="s">
        <v>122</v>
      </c>
      <c r="B224" s="0" t="s">
        <v>284</v>
      </c>
      <c r="C224" s="0" t="s">
        <v>338</v>
      </c>
      <c r="D224" s="0" t="n">
        <v>3</v>
      </c>
      <c r="E224" s="0" t="n">
        <v>7</v>
      </c>
      <c r="F224" s="0" t="n">
        <v>1</v>
      </c>
      <c r="G224" s="0" t="n">
        <v>10</v>
      </c>
      <c r="H224" s="0" t="n">
        <v>11</v>
      </c>
    </row>
    <row r="225" customFormat="false" ht="15" hidden="false" customHeight="false" outlineLevel="0" collapsed="false">
      <c r="A225" s="0" t="s">
        <v>122</v>
      </c>
      <c r="B225" s="0" t="s">
        <v>339</v>
      </c>
      <c r="C225" s="0" t="s">
        <v>334</v>
      </c>
      <c r="D225" s="0" t="n">
        <v>3</v>
      </c>
      <c r="E225" s="0" t="n">
        <v>1</v>
      </c>
      <c r="F225" s="0" t="n">
        <v>0</v>
      </c>
      <c r="G225" s="0" t="n">
        <v>4</v>
      </c>
      <c r="H225" s="0" t="n">
        <v>4</v>
      </c>
    </row>
    <row r="226" customFormat="false" ht="15" hidden="false" customHeight="false" outlineLevel="0" collapsed="false">
      <c r="A226" s="0" t="s">
        <v>122</v>
      </c>
      <c r="B226" s="0" t="s">
        <v>340</v>
      </c>
      <c r="C226" s="0" t="s">
        <v>338</v>
      </c>
      <c r="D226" s="0" t="n">
        <v>1</v>
      </c>
      <c r="E226" s="0" t="n">
        <v>5</v>
      </c>
      <c r="F226" s="0" t="n">
        <v>6</v>
      </c>
      <c r="G226" s="0" t="n">
        <v>6</v>
      </c>
      <c r="H226" s="0" t="n">
        <v>12</v>
      </c>
    </row>
    <row r="227" customFormat="false" ht="15" hidden="false" customHeight="false" outlineLevel="0" collapsed="false">
      <c r="A227" s="0" t="s">
        <v>124</v>
      </c>
      <c r="B227" s="0" t="s">
        <v>265</v>
      </c>
      <c r="C227" s="0" t="s">
        <v>274</v>
      </c>
      <c r="D227" s="0" t="n">
        <v>4</v>
      </c>
      <c r="E227" s="0" t="n">
        <v>2</v>
      </c>
      <c r="F227" s="0" t="n">
        <v>6</v>
      </c>
      <c r="G227" s="0" t="n">
        <v>6</v>
      </c>
      <c r="H227" s="0" t="n">
        <v>12</v>
      </c>
    </row>
    <row r="228" customFormat="false" ht="15" hidden="false" customHeight="false" outlineLevel="0" collapsed="false">
      <c r="A228" s="0" t="s">
        <v>124</v>
      </c>
      <c r="B228" s="0" t="s">
        <v>267</v>
      </c>
      <c r="C228" s="0" t="s">
        <v>312</v>
      </c>
      <c r="D228" s="0" t="n">
        <v>4</v>
      </c>
      <c r="E228" s="0" t="n">
        <v>0</v>
      </c>
      <c r="F228" s="0" t="n">
        <v>0</v>
      </c>
      <c r="G228" s="0" t="n">
        <v>4</v>
      </c>
      <c r="H228" s="0" t="n">
        <v>4</v>
      </c>
    </row>
    <row r="229" customFormat="false" ht="15" hidden="false" customHeight="false" outlineLevel="0" collapsed="false">
      <c r="A229" s="0" t="s">
        <v>124</v>
      </c>
      <c r="B229" s="0" t="s">
        <v>330</v>
      </c>
      <c r="C229" s="0" t="s">
        <v>331</v>
      </c>
      <c r="D229" s="0" t="n">
        <v>4</v>
      </c>
      <c r="E229" s="0" t="n">
        <v>0</v>
      </c>
      <c r="F229" s="0" t="n">
        <v>1</v>
      </c>
      <c r="G229" s="0" t="n">
        <v>4</v>
      </c>
      <c r="H229" s="0" t="n">
        <v>5</v>
      </c>
    </row>
    <row r="230" customFormat="false" ht="15" hidden="false" customHeight="false" outlineLevel="0" collapsed="false">
      <c r="A230" s="0" t="s">
        <v>124</v>
      </c>
      <c r="B230" s="0" t="s">
        <v>296</v>
      </c>
      <c r="C230" s="0" t="s">
        <v>332</v>
      </c>
      <c r="D230" s="0" t="n">
        <v>0</v>
      </c>
      <c r="E230" s="0" t="n">
        <v>9</v>
      </c>
      <c r="F230" s="0" t="n">
        <v>9</v>
      </c>
      <c r="G230" s="0" t="n">
        <v>9</v>
      </c>
      <c r="H230" s="0" t="n">
        <v>18</v>
      </c>
    </row>
    <row r="231" customFormat="false" ht="15" hidden="false" customHeight="false" outlineLevel="0" collapsed="false">
      <c r="A231" s="0" t="s">
        <v>124</v>
      </c>
      <c r="B231" s="0" t="s">
        <v>269</v>
      </c>
      <c r="C231" s="0" t="s">
        <v>333</v>
      </c>
      <c r="D231" s="0" t="n">
        <v>1</v>
      </c>
      <c r="E231" s="0" t="n">
        <v>3</v>
      </c>
      <c r="F231" s="0" t="n">
        <v>4</v>
      </c>
      <c r="G231" s="0" t="n">
        <v>4</v>
      </c>
      <c r="H231" s="0" t="n">
        <v>8</v>
      </c>
    </row>
    <row r="232" customFormat="false" ht="15" hidden="false" customHeight="false" outlineLevel="0" collapsed="false">
      <c r="A232" s="0" t="s">
        <v>124</v>
      </c>
      <c r="B232" s="0" t="s">
        <v>297</v>
      </c>
      <c r="C232" s="0" t="s">
        <v>331</v>
      </c>
      <c r="D232" s="0" t="n">
        <v>9</v>
      </c>
      <c r="E232" s="0" t="n">
        <v>2</v>
      </c>
      <c r="F232" s="0" t="n">
        <v>1</v>
      </c>
      <c r="G232" s="0" t="n">
        <v>11</v>
      </c>
      <c r="H232" s="0" t="n">
        <v>12</v>
      </c>
    </row>
    <row r="233" customFormat="false" ht="15" hidden="false" customHeight="false" outlineLevel="0" collapsed="false">
      <c r="A233" s="0" t="s">
        <v>124</v>
      </c>
      <c r="B233" s="0" t="s">
        <v>299</v>
      </c>
      <c r="C233" s="0" t="s">
        <v>266</v>
      </c>
      <c r="D233" s="0" t="n">
        <v>5</v>
      </c>
      <c r="E233" s="0" t="n">
        <v>2</v>
      </c>
      <c r="F233" s="0" t="n">
        <v>0</v>
      </c>
      <c r="G233" s="0" t="n">
        <v>7</v>
      </c>
      <c r="H233" s="0" t="n">
        <v>7</v>
      </c>
    </row>
    <row r="234" customFormat="false" ht="15" hidden="false" customHeight="false" outlineLevel="0" collapsed="false">
      <c r="A234" s="0" t="s">
        <v>124</v>
      </c>
      <c r="B234" s="0" t="s">
        <v>278</v>
      </c>
      <c r="C234" s="0" t="s">
        <v>334</v>
      </c>
      <c r="D234" s="0" t="n">
        <v>4</v>
      </c>
      <c r="E234" s="0" t="n">
        <v>2</v>
      </c>
      <c r="F234" s="0" t="n">
        <v>2</v>
      </c>
      <c r="G234" s="0" t="n">
        <v>6</v>
      </c>
      <c r="H234" s="0" t="n">
        <v>8</v>
      </c>
    </row>
    <row r="235" customFormat="false" ht="15" hidden="false" customHeight="false" outlineLevel="0" collapsed="false">
      <c r="A235" s="0" t="s">
        <v>124</v>
      </c>
      <c r="B235" s="0" t="s">
        <v>335</v>
      </c>
      <c r="C235" s="0" t="s">
        <v>336</v>
      </c>
      <c r="D235" s="0" t="n">
        <v>2</v>
      </c>
      <c r="E235" s="0" t="n">
        <v>4</v>
      </c>
      <c r="F235" s="0" t="n">
        <v>0</v>
      </c>
      <c r="G235" s="0" t="n">
        <v>6</v>
      </c>
      <c r="H235" s="0" t="n">
        <v>6</v>
      </c>
    </row>
    <row r="236" customFormat="false" ht="15" hidden="false" customHeight="false" outlineLevel="0" collapsed="false">
      <c r="A236" s="0" t="s">
        <v>124</v>
      </c>
      <c r="B236" s="0" t="s">
        <v>279</v>
      </c>
      <c r="C236" s="0" t="s">
        <v>333</v>
      </c>
      <c r="D236" s="0" t="n">
        <v>1</v>
      </c>
      <c r="E236" s="0" t="n">
        <v>3</v>
      </c>
      <c r="F236" s="0" t="n">
        <v>0</v>
      </c>
      <c r="G236" s="0" t="n">
        <v>4</v>
      </c>
      <c r="H236" s="0" t="n">
        <v>4</v>
      </c>
    </row>
    <row r="237" customFormat="false" ht="15" hidden="false" customHeight="false" outlineLevel="0" collapsed="false">
      <c r="A237" s="0" t="s">
        <v>124</v>
      </c>
      <c r="B237" s="0" t="s">
        <v>314</v>
      </c>
      <c r="C237" s="0" t="s">
        <v>337</v>
      </c>
      <c r="D237" s="0" t="n">
        <v>10</v>
      </c>
      <c r="E237" s="0" t="n">
        <v>9</v>
      </c>
      <c r="F237" s="0" t="n">
        <v>0</v>
      </c>
      <c r="G237" s="0" t="n">
        <v>19</v>
      </c>
      <c r="H237" s="0" t="n">
        <v>19</v>
      </c>
    </row>
    <row r="238" customFormat="false" ht="15" hidden="false" customHeight="false" outlineLevel="0" collapsed="false">
      <c r="A238" s="0" t="s">
        <v>124</v>
      </c>
      <c r="B238" s="0" t="s">
        <v>283</v>
      </c>
      <c r="C238" s="0" t="s">
        <v>331</v>
      </c>
      <c r="D238" s="0" t="n">
        <v>5</v>
      </c>
      <c r="E238" s="0" t="n">
        <v>0</v>
      </c>
      <c r="F238" s="0" t="n">
        <v>0</v>
      </c>
      <c r="G238" s="0" t="n">
        <v>5</v>
      </c>
      <c r="H238" s="0" t="n">
        <v>5</v>
      </c>
    </row>
    <row r="239" customFormat="false" ht="15" hidden="false" customHeight="false" outlineLevel="0" collapsed="false">
      <c r="A239" s="0" t="s">
        <v>124</v>
      </c>
      <c r="B239" s="0" t="s">
        <v>284</v>
      </c>
      <c r="C239" s="0" t="s">
        <v>338</v>
      </c>
      <c r="D239" s="0" t="n">
        <v>1</v>
      </c>
      <c r="E239" s="0" t="n">
        <v>8</v>
      </c>
      <c r="F239" s="0" t="n">
        <v>0</v>
      </c>
      <c r="G239" s="0" t="n">
        <v>9</v>
      </c>
      <c r="H239" s="0" t="n">
        <v>9</v>
      </c>
    </row>
    <row r="240" customFormat="false" ht="15" hidden="false" customHeight="false" outlineLevel="0" collapsed="false">
      <c r="A240" s="0" t="s">
        <v>124</v>
      </c>
      <c r="B240" s="0" t="s">
        <v>339</v>
      </c>
      <c r="C240" s="0" t="s">
        <v>334</v>
      </c>
      <c r="D240" s="0" t="n">
        <v>10</v>
      </c>
      <c r="E240" s="0" t="n">
        <v>6</v>
      </c>
      <c r="F240" s="0" t="n">
        <v>0</v>
      </c>
      <c r="G240" s="0" t="n">
        <v>16</v>
      </c>
      <c r="H240" s="0" t="n">
        <v>16</v>
      </c>
    </row>
    <row r="241" customFormat="false" ht="15" hidden="false" customHeight="false" outlineLevel="0" collapsed="false">
      <c r="A241" s="0" t="s">
        <v>124</v>
      </c>
      <c r="B241" s="0" t="s">
        <v>340</v>
      </c>
      <c r="C241" s="0" t="s">
        <v>338</v>
      </c>
      <c r="D241" s="0" t="n">
        <v>6</v>
      </c>
      <c r="E241" s="0" t="n">
        <v>5</v>
      </c>
      <c r="F241" s="0" t="n">
        <v>4</v>
      </c>
      <c r="G241" s="0" t="n">
        <v>11</v>
      </c>
      <c r="H241" s="0" t="n">
        <v>15</v>
      </c>
    </row>
    <row r="242" customFormat="false" ht="15" hidden="false" customHeight="false" outlineLevel="0" collapsed="false">
      <c r="A242" s="0" t="s">
        <v>126</v>
      </c>
      <c r="B242" s="0" t="s">
        <v>265</v>
      </c>
      <c r="C242" s="0" t="s">
        <v>274</v>
      </c>
      <c r="D242" s="0" t="n">
        <v>2</v>
      </c>
      <c r="E242" s="0" t="n">
        <v>0</v>
      </c>
      <c r="F242" s="0" t="n">
        <v>5</v>
      </c>
      <c r="G242" s="0" t="n">
        <v>2</v>
      </c>
      <c r="H242" s="0" t="n">
        <v>7</v>
      </c>
    </row>
    <row r="243" customFormat="false" ht="15" hidden="false" customHeight="false" outlineLevel="0" collapsed="false">
      <c r="A243" s="0" t="s">
        <v>126</v>
      </c>
      <c r="B243" s="0" t="s">
        <v>267</v>
      </c>
      <c r="C243" s="0" t="s">
        <v>312</v>
      </c>
      <c r="D243" s="0" t="n">
        <v>3</v>
      </c>
      <c r="E243" s="0" t="n">
        <v>0</v>
      </c>
      <c r="F243" s="0" t="n">
        <v>0</v>
      </c>
      <c r="G243" s="0" t="n">
        <v>3</v>
      </c>
      <c r="H243" s="0" t="n">
        <v>3</v>
      </c>
    </row>
    <row r="244" customFormat="false" ht="15" hidden="false" customHeight="false" outlineLevel="0" collapsed="false">
      <c r="A244" s="0" t="s">
        <v>126</v>
      </c>
      <c r="B244" s="0" t="s">
        <v>330</v>
      </c>
      <c r="C244" s="0" t="s">
        <v>331</v>
      </c>
      <c r="D244" s="0" t="n">
        <v>6</v>
      </c>
      <c r="E244" s="0" t="n">
        <v>3</v>
      </c>
      <c r="F244" s="0" t="n">
        <v>1</v>
      </c>
      <c r="G244" s="0" t="n">
        <v>9</v>
      </c>
      <c r="H244" s="0" t="n">
        <v>10</v>
      </c>
    </row>
    <row r="245" customFormat="false" ht="15" hidden="false" customHeight="false" outlineLevel="0" collapsed="false">
      <c r="A245" s="0" t="s">
        <v>126</v>
      </c>
      <c r="B245" s="0" t="s">
        <v>296</v>
      </c>
      <c r="C245" s="0" t="s">
        <v>332</v>
      </c>
      <c r="D245" s="0" t="n">
        <v>4</v>
      </c>
      <c r="E245" s="0" t="n">
        <v>1</v>
      </c>
      <c r="F245" s="0" t="n">
        <v>3</v>
      </c>
      <c r="G245" s="0" t="n">
        <v>5</v>
      </c>
      <c r="H245" s="0" t="n">
        <v>8</v>
      </c>
    </row>
    <row r="246" customFormat="false" ht="15" hidden="false" customHeight="false" outlineLevel="0" collapsed="false">
      <c r="A246" s="0" t="s">
        <v>126</v>
      </c>
      <c r="B246" s="0" t="s">
        <v>269</v>
      </c>
      <c r="C246" s="0" t="s">
        <v>333</v>
      </c>
      <c r="D246" s="0" t="n">
        <v>1</v>
      </c>
      <c r="E246" s="0" t="n">
        <v>1</v>
      </c>
      <c r="F246" s="0" t="n">
        <v>10</v>
      </c>
      <c r="G246" s="0" t="n">
        <v>2</v>
      </c>
      <c r="H246" s="0" t="n">
        <v>12</v>
      </c>
    </row>
    <row r="247" customFormat="false" ht="15" hidden="false" customHeight="false" outlineLevel="0" collapsed="false">
      <c r="A247" s="0" t="s">
        <v>126</v>
      </c>
      <c r="B247" s="0" t="s">
        <v>297</v>
      </c>
      <c r="C247" s="0" t="s">
        <v>331</v>
      </c>
      <c r="D247" s="0" t="n">
        <v>11</v>
      </c>
      <c r="E247" s="0" t="n">
        <v>6</v>
      </c>
      <c r="F247" s="0" t="n">
        <v>2</v>
      </c>
      <c r="G247" s="0" t="n">
        <v>17</v>
      </c>
      <c r="H247" s="0" t="n">
        <v>19</v>
      </c>
    </row>
    <row r="248" customFormat="false" ht="15" hidden="false" customHeight="false" outlineLevel="0" collapsed="false">
      <c r="A248" s="0" t="s">
        <v>126</v>
      </c>
      <c r="B248" s="0" t="s">
        <v>299</v>
      </c>
      <c r="C248" s="0" t="s">
        <v>266</v>
      </c>
      <c r="D248" s="0" t="n">
        <v>2</v>
      </c>
      <c r="E248" s="0" t="n">
        <v>2</v>
      </c>
      <c r="F248" s="0" t="n">
        <v>2</v>
      </c>
      <c r="G248" s="0" t="n">
        <v>4</v>
      </c>
      <c r="H248" s="0" t="n">
        <v>6</v>
      </c>
    </row>
    <row r="249" customFormat="false" ht="15" hidden="false" customHeight="false" outlineLevel="0" collapsed="false">
      <c r="A249" s="0" t="s">
        <v>126</v>
      </c>
      <c r="B249" s="0" t="s">
        <v>278</v>
      </c>
      <c r="C249" s="0" t="s">
        <v>334</v>
      </c>
      <c r="D249" s="0" t="n">
        <v>1</v>
      </c>
      <c r="E249" s="0" t="n">
        <v>8</v>
      </c>
      <c r="F249" s="0" t="n">
        <v>7</v>
      </c>
      <c r="G249" s="0" t="n">
        <v>9</v>
      </c>
      <c r="H249" s="0" t="n">
        <v>16</v>
      </c>
    </row>
    <row r="250" customFormat="false" ht="15" hidden="false" customHeight="false" outlineLevel="0" collapsed="false">
      <c r="A250" s="0" t="s">
        <v>126</v>
      </c>
      <c r="B250" s="0" t="s">
        <v>335</v>
      </c>
      <c r="C250" s="0" t="s">
        <v>336</v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</row>
    <row r="251" customFormat="false" ht="15" hidden="false" customHeight="false" outlineLevel="0" collapsed="false">
      <c r="A251" s="0" t="s">
        <v>126</v>
      </c>
      <c r="B251" s="0" t="s">
        <v>279</v>
      </c>
      <c r="C251" s="0" t="s">
        <v>333</v>
      </c>
      <c r="D251" s="0" t="n">
        <v>3</v>
      </c>
      <c r="E251" s="0" t="n">
        <v>3</v>
      </c>
      <c r="F251" s="0" t="n">
        <v>0</v>
      </c>
      <c r="G251" s="0" t="n">
        <v>6</v>
      </c>
      <c r="H251" s="0" t="n">
        <v>6</v>
      </c>
    </row>
    <row r="252" customFormat="false" ht="15" hidden="false" customHeight="false" outlineLevel="0" collapsed="false">
      <c r="A252" s="0" t="s">
        <v>126</v>
      </c>
      <c r="B252" s="0" t="s">
        <v>314</v>
      </c>
      <c r="C252" s="0" t="s">
        <v>337</v>
      </c>
      <c r="D252" s="0" t="n">
        <v>6</v>
      </c>
      <c r="E252" s="0" t="n">
        <v>3</v>
      </c>
      <c r="F252" s="0" t="n">
        <v>0</v>
      </c>
      <c r="G252" s="0" t="n">
        <v>9</v>
      </c>
      <c r="H252" s="0" t="n">
        <v>9</v>
      </c>
    </row>
    <row r="253" customFormat="false" ht="15" hidden="false" customHeight="false" outlineLevel="0" collapsed="false">
      <c r="A253" s="0" t="s">
        <v>126</v>
      </c>
      <c r="B253" s="0" t="s">
        <v>283</v>
      </c>
      <c r="C253" s="0" t="s">
        <v>331</v>
      </c>
      <c r="D253" s="0" t="n">
        <v>2</v>
      </c>
      <c r="E253" s="0" t="n">
        <v>0</v>
      </c>
      <c r="F253" s="0" t="n">
        <v>0</v>
      </c>
      <c r="G253" s="0" t="n">
        <v>2</v>
      </c>
      <c r="H253" s="0" t="n">
        <v>2</v>
      </c>
    </row>
    <row r="254" customFormat="false" ht="15" hidden="false" customHeight="false" outlineLevel="0" collapsed="false">
      <c r="A254" s="0" t="s">
        <v>126</v>
      </c>
      <c r="B254" s="0" t="s">
        <v>284</v>
      </c>
      <c r="C254" s="0" t="s">
        <v>338</v>
      </c>
      <c r="D254" s="0" t="n">
        <v>0</v>
      </c>
      <c r="E254" s="0" t="n">
        <v>1</v>
      </c>
      <c r="F254" s="0" t="n">
        <v>2</v>
      </c>
      <c r="G254" s="0" t="n">
        <v>1</v>
      </c>
      <c r="H254" s="0" t="n">
        <v>3</v>
      </c>
    </row>
    <row r="255" customFormat="false" ht="15" hidden="false" customHeight="false" outlineLevel="0" collapsed="false">
      <c r="A255" s="0" t="s">
        <v>126</v>
      </c>
      <c r="B255" s="0" t="s">
        <v>339</v>
      </c>
      <c r="C255" s="0" t="s">
        <v>334</v>
      </c>
      <c r="D255" s="0" t="n">
        <v>1</v>
      </c>
      <c r="E255" s="0" t="n">
        <v>5</v>
      </c>
      <c r="F255" s="0" t="n">
        <v>0</v>
      </c>
      <c r="G255" s="0" t="n">
        <v>6</v>
      </c>
      <c r="H255" s="0" t="n">
        <v>6</v>
      </c>
    </row>
    <row r="256" customFormat="false" ht="15" hidden="false" customHeight="false" outlineLevel="0" collapsed="false">
      <c r="A256" s="0" t="s">
        <v>126</v>
      </c>
      <c r="B256" s="0" t="s">
        <v>340</v>
      </c>
      <c r="C256" s="0" t="s">
        <v>338</v>
      </c>
      <c r="D256" s="0" t="n">
        <v>2</v>
      </c>
      <c r="E256" s="0" t="n">
        <v>7</v>
      </c>
      <c r="F256" s="0" t="n">
        <v>4</v>
      </c>
      <c r="G256" s="0" t="n">
        <v>9</v>
      </c>
      <c r="H256" s="0" t="n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5" min="3" style="0" width="11"/>
    <col collapsed="false" customWidth="true" hidden="false" outlineLevel="0" max="6" min="6" style="0" width="9"/>
    <col collapsed="false" customWidth="true" hidden="false" outlineLevel="0" max="7" min="7" style="0" width="18"/>
  </cols>
  <sheetData>
    <row r="1" customFormat="false" ht="28.35" hidden="false" customHeight="false" outlineLevel="0" collapsed="false">
      <c r="A1" s="9" t="s">
        <v>62</v>
      </c>
      <c r="B1" s="9" t="s">
        <v>341</v>
      </c>
      <c r="C1" s="9" t="s">
        <v>342</v>
      </c>
      <c r="D1" s="9" t="s">
        <v>343</v>
      </c>
      <c r="E1" s="9" t="s">
        <v>344</v>
      </c>
      <c r="F1" s="9" t="s">
        <v>345</v>
      </c>
      <c r="G1" s="9" t="s">
        <v>346</v>
      </c>
    </row>
    <row r="2" customFormat="false" ht="15" hidden="false" customHeight="false" outlineLevel="0" collapsed="false">
      <c r="A2" s="0" t="s">
        <v>27</v>
      </c>
      <c r="B2" s="0" t="s">
        <v>347</v>
      </c>
      <c r="C2" s="0" t="n">
        <v>3.22</v>
      </c>
      <c r="F2" s="0" t="n">
        <v>3</v>
      </c>
      <c r="G2" s="0" t="s">
        <v>180</v>
      </c>
    </row>
    <row r="3" customFormat="false" ht="15" hidden="false" customHeight="false" outlineLevel="0" collapsed="false">
      <c r="A3" s="0" t="s">
        <v>27</v>
      </c>
      <c r="B3" s="0" t="s">
        <v>348</v>
      </c>
      <c r="C3" s="0" t="n">
        <v>2.69</v>
      </c>
      <c r="F3" s="0" t="n">
        <v>3</v>
      </c>
      <c r="G3" s="0" t="s">
        <v>176</v>
      </c>
    </row>
    <row r="4" customFormat="false" ht="15" hidden="false" customHeight="false" outlineLevel="0" collapsed="false">
      <c r="A4" s="0" t="s">
        <v>27</v>
      </c>
      <c r="B4" s="0" t="s">
        <v>349</v>
      </c>
      <c r="C4" s="0" t="n">
        <v>1.65</v>
      </c>
      <c r="F4" s="0" t="n">
        <v>3</v>
      </c>
      <c r="G4" s="0" t="s">
        <v>181</v>
      </c>
    </row>
    <row r="5" customFormat="false" ht="15" hidden="false" customHeight="false" outlineLevel="0" collapsed="false">
      <c r="A5" s="0" t="s">
        <v>27</v>
      </c>
      <c r="B5" s="0" t="s">
        <v>350</v>
      </c>
      <c r="F5" s="0" t="n">
        <v>1</v>
      </c>
    </row>
    <row r="6" customFormat="false" ht="15" hidden="false" customHeight="false" outlineLevel="0" collapsed="false">
      <c r="A6" s="0" t="s">
        <v>27</v>
      </c>
      <c r="B6" s="0" t="s">
        <v>351</v>
      </c>
      <c r="C6" s="0" t="n">
        <v>3</v>
      </c>
      <c r="F6" s="0" t="n">
        <v>3</v>
      </c>
      <c r="G6" s="0" t="s">
        <v>182</v>
      </c>
    </row>
    <row r="7" customFormat="false" ht="15" hidden="false" customHeight="false" outlineLevel="0" collapsed="false">
      <c r="A7" s="0" t="s">
        <v>27</v>
      </c>
      <c r="B7" s="0" t="s">
        <v>352</v>
      </c>
      <c r="F7" s="0" t="n">
        <v>1</v>
      </c>
    </row>
    <row r="8" customFormat="false" ht="15" hidden="false" customHeight="false" outlineLevel="0" collapsed="false">
      <c r="A8" s="0" t="s">
        <v>27</v>
      </c>
      <c r="B8" s="0" t="s">
        <v>353</v>
      </c>
      <c r="C8" s="0" t="n">
        <v>2.69</v>
      </c>
      <c r="F8" s="0" t="n">
        <v>3</v>
      </c>
      <c r="G8" s="0" t="s">
        <v>183</v>
      </c>
    </row>
    <row r="9" customFormat="false" ht="15" hidden="false" customHeight="false" outlineLevel="0" collapsed="false">
      <c r="A9" s="0" t="s">
        <v>27</v>
      </c>
      <c r="B9" s="0" t="s">
        <v>354</v>
      </c>
      <c r="C9" s="0" t="n">
        <v>4</v>
      </c>
      <c r="F9" s="0" t="n">
        <v>3</v>
      </c>
      <c r="G9" s="0" t="s">
        <v>177</v>
      </c>
    </row>
    <row r="10" customFormat="false" ht="15" hidden="false" customHeight="false" outlineLevel="0" collapsed="false">
      <c r="A10" s="0" t="s">
        <v>27</v>
      </c>
      <c r="B10" s="0" t="s">
        <v>355</v>
      </c>
      <c r="C10" s="0" t="n">
        <v>4.5</v>
      </c>
      <c r="F10" s="0" t="n">
        <v>3</v>
      </c>
      <c r="G10" s="0" t="s">
        <v>178</v>
      </c>
    </row>
    <row r="11" customFormat="false" ht="15" hidden="false" customHeight="false" outlineLevel="0" collapsed="false">
      <c r="A11" s="0" t="s">
        <v>27</v>
      </c>
      <c r="B11" s="0" t="s">
        <v>356</v>
      </c>
      <c r="C11" s="0" t="n">
        <v>3.36</v>
      </c>
      <c r="F11" s="0" t="n">
        <v>3</v>
      </c>
      <c r="G11" s="0" t="s">
        <v>179</v>
      </c>
    </row>
    <row r="12" customFormat="false" ht="15" hidden="false" customHeight="false" outlineLevel="0" collapsed="false">
      <c r="A12" s="0" t="s">
        <v>80</v>
      </c>
      <c r="B12" s="0" t="s">
        <v>357</v>
      </c>
      <c r="C12" s="0" t="n">
        <v>4.5</v>
      </c>
      <c r="F12" s="0" t="n">
        <v>3</v>
      </c>
      <c r="G12" s="0" t="s">
        <v>184</v>
      </c>
    </row>
    <row r="13" customFormat="false" ht="15" hidden="false" customHeight="false" outlineLevel="0" collapsed="false">
      <c r="A13" s="0" t="s">
        <v>80</v>
      </c>
      <c r="B13" s="0" t="s">
        <v>358</v>
      </c>
      <c r="C13" s="0" t="n">
        <v>3.08</v>
      </c>
      <c r="F13" s="0" t="n">
        <v>3</v>
      </c>
      <c r="G13" s="0" t="s">
        <v>189</v>
      </c>
    </row>
    <row r="14" customFormat="false" ht="15" hidden="false" customHeight="false" outlineLevel="0" collapsed="false">
      <c r="A14" s="0" t="s">
        <v>80</v>
      </c>
      <c r="B14" s="0" t="s">
        <v>359</v>
      </c>
      <c r="C14" s="0" t="n">
        <v>2.5</v>
      </c>
      <c r="F14" s="0" t="n">
        <v>3</v>
      </c>
      <c r="G14" s="0" t="s">
        <v>185</v>
      </c>
    </row>
    <row r="15" customFormat="false" ht="15" hidden="false" customHeight="false" outlineLevel="0" collapsed="false">
      <c r="A15" s="0" t="s">
        <v>80</v>
      </c>
      <c r="B15" s="0" t="s">
        <v>360</v>
      </c>
      <c r="C15" s="0" t="n">
        <v>2.42</v>
      </c>
      <c r="F15" s="0" t="n">
        <v>3</v>
      </c>
    </row>
    <row r="16" customFormat="false" ht="15" hidden="false" customHeight="false" outlineLevel="0" collapsed="false">
      <c r="A16" s="0" t="s">
        <v>80</v>
      </c>
      <c r="B16" s="0" t="s">
        <v>361</v>
      </c>
      <c r="C16" s="0" t="n">
        <v>3.3</v>
      </c>
      <c r="F16" s="0" t="n">
        <v>3</v>
      </c>
      <c r="G16" s="0" t="s">
        <v>190</v>
      </c>
    </row>
    <row r="17" customFormat="false" ht="15" hidden="false" customHeight="false" outlineLevel="0" collapsed="false">
      <c r="A17" s="0" t="s">
        <v>80</v>
      </c>
      <c r="B17" s="0" t="s">
        <v>362</v>
      </c>
      <c r="F17" s="0" t="n">
        <v>1</v>
      </c>
      <c r="G17" s="0" t="s">
        <v>186</v>
      </c>
    </row>
    <row r="18" customFormat="false" ht="15" hidden="false" customHeight="false" outlineLevel="0" collapsed="false">
      <c r="A18" s="0" t="s">
        <v>80</v>
      </c>
      <c r="B18" s="0" t="s">
        <v>363</v>
      </c>
      <c r="C18" s="0" t="n">
        <v>2.1</v>
      </c>
      <c r="F18" s="0" t="n">
        <v>3</v>
      </c>
      <c r="G18" s="0" t="s">
        <v>191</v>
      </c>
    </row>
    <row r="19" customFormat="false" ht="15" hidden="false" customHeight="false" outlineLevel="0" collapsed="false">
      <c r="A19" s="0" t="s">
        <v>80</v>
      </c>
      <c r="B19" s="0" t="s">
        <v>364</v>
      </c>
      <c r="F19" s="0" t="n">
        <v>1</v>
      </c>
      <c r="G19" s="0" t="s">
        <v>192</v>
      </c>
    </row>
    <row r="20" customFormat="false" ht="15" hidden="false" customHeight="false" outlineLevel="0" collapsed="false">
      <c r="A20" s="0" t="s">
        <v>80</v>
      </c>
      <c r="B20" s="0" t="s">
        <v>365</v>
      </c>
      <c r="C20" s="0" t="n">
        <v>3.08</v>
      </c>
      <c r="F20" s="0" t="n">
        <v>3</v>
      </c>
      <c r="G20" s="0" t="s">
        <v>187</v>
      </c>
    </row>
    <row r="21" customFormat="false" ht="15" hidden="false" customHeight="false" outlineLevel="0" collapsed="false">
      <c r="A21" s="0" t="s">
        <v>80</v>
      </c>
      <c r="B21" s="0" t="s">
        <v>366</v>
      </c>
      <c r="C21" s="0" t="n">
        <v>3.08</v>
      </c>
      <c r="F21" s="0" t="n">
        <v>3</v>
      </c>
      <c r="G21" s="0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7"/>
    <col collapsed="false" customWidth="true" hidden="false" outlineLevel="0" max="9" min="8" style="0" width="8"/>
    <col collapsed="false" customWidth="true" hidden="false" outlineLevel="0" max="10" min="10" style="0" width="9"/>
    <col collapsed="false" customWidth="true" hidden="false" outlineLevel="0" max="12" min="11" style="0" width="8"/>
    <col collapsed="false" customWidth="true" hidden="false" outlineLevel="0" max="13" min="13" style="0" width="9"/>
    <col collapsed="false" customWidth="true" hidden="false" outlineLevel="0" max="15" min="14" style="0" width="7"/>
    <col collapsed="false" customWidth="true" hidden="false" outlineLevel="0" max="16" min="16" style="0" width="8"/>
  </cols>
  <sheetData>
    <row r="1" customFormat="false" ht="28.35" hidden="false" customHeight="false" outlineLevel="0" collapsed="false">
      <c r="A1" s="9" t="s">
        <v>367</v>
      </c>
      <c r="B1" s="9" t="s">
        <v>368</v>
      </c>
      <c r="C1" s="9" t="s">
        <v>62</v>
      </c>
      <c r="D1" s="9" t="s">
        <v>41</v>
      </c>
      <c r="E1" s="9" t="s">
        <v>87</v>
      </c>
      <c r="F1" s="9" t="s">
        <v>88</v>
      </c>
      <c r="G1" s="9" t="s">
        <v>89</v>
      </c>
      <c r="H1" s="9" t="s">
        <v>91</v>
      </c>
      <c r="I1" s="9" t="s">
        <v>95</v>
      </c>
      <c r="J1" s="9" t="s">
        <v>96</v>
      </c>
      <c r="K1" s="9" t="s">
        <v>46</v>
      </c>
      <c r="L1" s="9" t="s">
        <v>42</v>
      </c>
      <c r="M1" s="9" t="s">
        <v>97</v>
      </c>
      <c r="N1" s="9" t="s">
        <v>55</v>
      </c>
      <c r="O1" s="9" t="s">
        <v>369</v>
      </c>
      <c r="P1" s="9" t="s">
        <v>370</v>
      </c>
    </row>
    <row r="2" customFormat="false" ht="15" hidden="false" customHeight="false" outlineLevel="0" collapsed="false">
      <c r="A2" s="0" t="s">
        <v>212</v>
      </c>
      <c r="B2" s="0" t="s">
        <v>210</v>
      </c>
      <c r="C2" s="0" t="s">
        <v>27</v>
      </c>
      <c r="D2" s="0" t="s">
        <v>108</v>
      </c>
      <c r="E2" s="0" t="s">
        <v>109</v>
      </c>
      <c r="F2" s="0" t="n">
        <v>9</v>
      </c>
      <c r="G2" s="0" t="n">
        <v>8.24</v>
      </c>
      <c r="H2" s="7" t="n">
        <v>0.3655</v>
      </c>
      <c r="I2" s="0" t="n">
        <v>7.8</v>
      </c>
      <c r="J2" s="7" t="n">
        <v>0.3162</v>
      </c>
      <c r="K2" s="7" t="n">
        <v>0.6072</v>
      </c>
      <c r="L2" s="7" t="n">
        <v>0.53</v>
      </c>
      <c r="N2" s="7" t="n">
        <v>0.6</v>
      </c>
      <c r="O2" s="11"/>
      <c r="P2" s="0" t="str">
        <f aca="false">IF(O2="","",IF(O2&gt;F2,"OVER",IF(O2&lt;F2,"UNDER","PUSH")))</f>
        <v/>
      </c>
    </row>
    <row r="3" customFormat="false" ht="15" hidden="false" customHeight="false" outlineLevel="0" collapsed="false">
      <c r="A3" s="0" t="s">
        <v>212</v>
      </c>
      <c r="B3" s="0" t="s">
        <v>210</v>
      </c>
      <c r="C3" s="0" t="s">
        <v>27</v>
      </c>
      <c r="D3" s="0" t="s">
        <v>113</v>
      </c>
      <c r="E3" s="0" t="s">
        <v>109</v>
      </c>
      <c r="F3" s="0" t="n">
        <v>12</v>
      </c>
      <c r="G3" s="0" t="n">
        <v>12.05</v>
      </c>
      <c r="H3" s="7" t="n">
        <v>0.461</v>
      </c>
      <c r="I3" s="0" t="n">
        <v>11.4</v>
      </c>
      <c r="J3" s="7" t="n">
        <v>0.4032</v>
      </c>
      <c r="K3" s="7" t="n">
        <v>0.6072</v>
      </c>
      <c r="L3" s="7" t="n">
        <v>0.53</v>
      </c>
      <c r="N3" s="7" t="n">
        <v>0.5</v>
      </c>
      <c r="O3" s="11"/>
      <c r="P3" s="0" t="str">
        <f aca="false">IF(O3="","",IF(O3&gt;F3,"OVER",IF(O3&lt;F3,"UNDER","PUSH")))</f>
        <v/>
      </c>
    </row>
    <row r="4" customFormat="false" ht="15" hidden="false" customHeight="false" outlineLevel="0" collapsed="false">
      <c r="A4" s="0" t="s">
        <v>212</v>
      </c>
      <c r="B4" s="0" t="s">
        <v>210</v>
      </c>
      <c r="C4" s="0" t="s">
        <v>27</v>
      </c>
      <c r="D4" s="0" t="s">
        <v>115</v>
      </c>
      <c r="E4" s="0" t="s">
        <v>109</v>
      </c>
      <c r="F4" s="0" t="n">
        <v>15.5</v>
      </c>
      <c r="G4" s="0" t="n">
        <v>12.68</v>
      </c>
      <c r="H4" s="7" t="n">
        <v>0.2772</v>
      </c>
      <c r="I4" s="0" t="n">
        <v>12</v>
      </c>
      <c r="J4" s="7" t="n">
        <v>0.2251</v>
      </c>
      <c r="K4" s="7" t="n">
        <v>0.6072</v>
      </c>
      <c r="L4" s="7" t="n">
        <v>0.53</v>
      </c>
      <c r="N4" s="7" t="n">
        <v>0.2</v>
      </c>
      <c r="O4" s="11"/>
      <c r="P4" s="0" t="str">
        <f aca="false">IF(O4="","",IF(O4&gt;F4,"OVER",IF(O4&lt;F4,"UNDER","PUSH")))</f>
        <v/>
      </c>
    </row>
    <row r="5" customFormat="false" ht="15" hidden="false" customHeight="false" outlineLevel="0" collapsed="false">
      <c r="A5" s="0" t="s">
        <v>212</v>
      </c>
      <c r="B5" s="0" t="s">
        <v>210</v>
      </c>
      <c r="C5" s="0" t="s">
        <v>27</v>
      </c>
      <c r="D5" s="0" t="s">
        <v>117</v>
      </c>
      <c r="E5" s="0" t="s">
        <v>109</v>
      </c>
      <c r="F5" s="0" t="n">
        <v>12.5</v>
      </c>
      <c r="G5" s="0" t="n">
        <v>10.78</v>
      </c>
      <c r="H5" s="7" t="n">
        <v>0.3447</v>
      </c>
      <c r="I5" s="0" t="n">
        <v>10.2</v>
      </c>
      <c r="J5" s="7" t="n">
        <v>0.2913</v>
      </c>
      <c r="K5" s="7" t="n">
        <v>0.6072</v>
      </c>
      <c r="L5" s="7" t="n">
        <v>0.53</v>
      </c>
      <c r="N5" s="7" t="n">
        <v>0.3</v>
      </c>
      <c r="O5" s="11"/>
      <c r="P5" s="0" t="str">
        <f aca="false">IF(O5="","",IF(O5&gt;F5,"OVER",IF(O5&lt;F5,"UNDER","PUSH")))</f>
        <v/>
      </c>
    </row>
    <row r="6" customFormat="false" ht="15" hidden="false" customHeight="false" outlineLevel="0" collapsed="false">
      <c r="A6" s="0" t="s">
        <v>212</v>
      </c>
      <c r="B6" s="0" t="s">
        <v>210</v>
      </c>
      <c r="C6" s="0" t="s">
        <v>27</v>
      </c>
      <c r="D6" s="0" t="s">
        <v>120</v>
      </c>
      <c r="E6" s="0" t="s">
        <v>109</v>
      </c>
      <c r="F6" s="0" t="n">
        <v>12</v>
      </c>
      <c r="G6" s="0" t="n">
        <v>11.03</v>
      </c>
      <c r="H6" s="7" t="n">
        <v>0.3742</v>
      </c>
      <c r="I6" s="0" t="n">
        <v>11.1</v>
      </c>
      <c r="J6" s="7" t="n">
        <v>0.3799</v>
      </c>
      <c r="K6" s="7" t="n">
        <v>0.3928</v>
      </c>
      <c r="L6" s="7" t="n">
        <v>0.4</v>
      </c>
      <c r="N6" s="7" t="n">
        <v>0.5</v>
      </c>
      <c r="O6" s="11"/>
      <c r="P6" s="0" t="str">
        <f aca="false">IF(O6="","",IF(O6&gt;F6,"OVER",IF(O6&lt;F6,"UNDER","PUSH")))</f>
        <v/>
      </c>
    </row>
    <row r="7" customFormat="false" ht="15" hidden="false" customHeight="false" outlineLevel="0" collapsed="false">
      <c r="A7" s="0" t="s">
        <v>212</v>
      </c>
      <c r="B7" s="0" t="s">
        <v>210</v>
      </c>
      <c r="C7" s="0" t="s">
        <v>27</v>
      </c>
      <c r="D7" s="0" t="s">
        <v>122</v>
      </c>
      <c r="E7" s="0" t="s">
        <v>109</v>
      </c>
      <c r="F7" s="0" t="n">
        <v>6</v>
      </c>
      <c r="G7" s="0" t="n">
        <v>4.47</v>
      </c>
      <c r="H7" s="7" t="n">
        <v>0.22</v>
      </c>
      <c r="I7" s="0" t="n">
        <v>4.5</v>
      </c>
      <c r="J7" s="7" t="n">
        <v>0.2237</v>
      </c>
      <c r="K7" s="7" t="n">
        <v>0.3928</v>
      </c>
      <c r="L7" s="7" t="n">
        <v>0.4</v>
      </c>
      <c r="N7" s="7" t="n">
        <v>0.5</v>
      </c>
      <c r="O7" s="11"/>
      <c r="P7" s="0" t="str">
        <f aca="false">IF(O7="","",IF(O7&gt;F7,"OVER",IF(O7&lt;F7,"UNDER","PUSH")))</f>
        <v/>
      </c>
    </row>
    <row r="8" customFormat="false" ht="15" hidden="false" customHeight="false" outlineLevel="0" collapsed="false">
      <c r="A8" s="0" t="s">
        <v>212</v>
      </c>
      <c r="B8" s="0" t="s">
        <v>210</v>
      </c>
      <c r="C8" s="0" t="s">
        <v>27</v>
      </c>
      <c r="D8" s="0" t="s">
        <v>124</v>
      </c>
      <c r="E8" s="0" t="s">
        <v>109</v>
      </c>
      <c r="F8" s="0" t="n">
        <v>10.5</v>
      </c>
      <c r="G8" s="0" t="n">
        <v>9.54</v>
      </c>
      <c r="H8" s="7" t="n">
        <v>0.409</v>
      </c>
      <c r="I8" s="0" t="n">
        <v>9.6</v>
      </c>
      <c r="J8" s="7" t="n">
        <v>0.4145</v>
      </c>
      <c r="K8" s="7" t="n">
        <v>0.3928</v>
      </c>
      <c r="L8" s="7" t="n">
        <v>0.4</v>
      </c>
      <c r="N8" s="7" t="n">
        <v>0.4</v>
      </c>
      <c r="O8" s="11"/>
      <c r="P8" s="0" t="str">
        <f aca="false">IF(O8="","",IF(O8&gt;F8,"OVER",IF(O8&lt;F8,"UNDER","PUSH")))</f>
        <v/>
      </c>
    </row>
    <row r="9" customFormat="false" ht="15" hidden="false" customHeight="false" outlineLevel="0" collapsed="false">
      <c r="A9" s="0" t="s">
        <v>212</v>
      </c>
      <c r="B9" s="0" t="s">
        <v>210</v>
      </c>
      <c r="C9" s="0" t="s">
        <v>27</v>
      </c>
      <c r="D9" s="0" t="s">
        <v>126</v>
      </c>
      <c r="E9" s="0" t="s">
        <v>109</v>
      </c>
      <c r="F9" s="0" t="n">
        <v>9.5</v>
      </c>
      <c r="G9" s="0" t="n">
        <v>9.84</v>
      </c>
      <c r="H9" s="7" t="n">
        <v>0.5321</v>
      </c>
      <c r="I9" s="0" t="n">
        <v>9.9</v>
      </c>
      <c r="J9" s="7" t="n">
        <v>0.5375</v>
      </c>
      <c r="K9" s="7" t="n">
        <v>0.3928</v>
      </c>
      <c r="L9" s="7" t="n">
        <v>0.4</v>
      </c>
      <c r="N9" s="7" t="n">
        <v>0.6</v>
      </c>
      <c r="O9" s="11"/>
      <c r="P9" s="0" t="str">
        <f aca="false">IF(O9="","",IF(O9&gt;F9,"OVER",IF(O9&lt;F9,"UNDER","PUSH")))</f>
        <v/>
      </c>
    </row>
    <row r="10" customFormat="false" ht="15" hidden="false" customHeight="false" outlineLevel="0" collapsed="false">
      <c r="A10" s="0" t="s">
        <v>212</v>
      </c>
      <c r="B10" s="0" t="s">
        <v>210</v>
      </c>
      <c r="C10" s="0" t="s">
        <v>80</v>
      </c>
      <c r="D10" s="0" t="s">
        <v>128</v>
      </c>
      <c r="E10" s="0" t="s">
        <v>109</v>
      </c>
      <c r="F10" s="0" t="n">
        <v>14</v>
      </c>
      <c r="G10" s="0" t="n">
        <v>13.4</v>
      </c>
      <c r="H10" s="7" t="n">
        <v>0.4134</v>
      </c>
      <c r="I10" s="0" t="n">
        <v>13.5</v>
      </c>
      <c r="J10" s="7" t="n">
        <v>0.4212</v>
      </c>
      <c r="K10" s="7" t="n">
        <v>0.56</v>
      </c>
      <c r="L10" s="7" t="n">
        <v>0.57</v>
      </c>
      <c r="N10" s="7" t="n">
        <v>0.2</v>
      </c>
      <c r="O10" s="11"/>
      <c r="P10" s="0" t="str">
        <f aca="false">IF(O10="","",IF(O10&gt;F10,"OVER",IF(O10&lt;F10,"UNDER","PUSH")))</f>
        <v/>
      </c>
    </row>
    <row r="11" customFormat="false" ht="15" hidden="false" customHeight="false" outlineLevel="0" collapsed="false">
      <c r="A11" s="0" t="s">
        <v>212</v>
      </c>
      <c r="B11" s="0" t="s">
        <v>210</v>
      </c>
      <c r="C11" s="0" t="s">
        <v>80</v>
      </c>
      <c r="D11" s="0" t="s">
        <v>131</v>
      </c>
      <c r="E11" s="0" t="s">
        <v>109</v>
      </c>
      <c r="F11" s="0" t="n">
        <v>9</v>
      </c>
      <c r="G11" s="0" t="n">
        <v>8.16</v>
      </c>
      <c r="H11" s="7" t="n">
        <v>0.3579</v>
      </c>
      <c r="I11" s="0" t="n">
        <v>8.4</v>
      </c>
      <c r="J11" s="7" t="n">
        <v>0.3838</v>
      </c>
      <c r="K11" s="7" t="n">
        <v>0.56</v>
      </c>
      <c r="L11" s="7" t="n">
        <v>0.6</v>
      </c>
      <c r="N11" s="7" t="n">
        <v>0.5</v>
      </c>
      <c r="O11" s="11"/>
      <c r="P11" s="0" t="str">
        <f aca="false">IF(O11="","",IF(O11&gt;F11,"OVER",IF(O11&lt;F11,"UNDER","PUSH")))</f>
        <v/>
      </c>
    </row>
    <row r="12" customFormat="false" ht="15" hidden="false" customHeight="false" outlineLevel="0" collapsed="false">
      <c r="A12" s="0" t="s">
        <v>212</v>
      </c>
      <c r="B12" s="0" t="s">
        <v>210</v>
      </c>
      <c r="C12" s="0" t="s">
        <v>80</v>
      </c>
      <c r="D12" s="0" t="s">
        <v>133</v>
      </c>
      <c r="E12" s="0" t="s">
        <v>109</v>
      </c>
      <c r="F12" s="0" t="n">
        <v>2</v>
      </c>
      <c r="G12" s="0" t="n">
        <v>2.04</v>
      </c>
      <c r="H12" s="7" t="n">
        <v>0.3925</v>
      </c>
      <c r="I12" s="0" t="n">
        <v>2.1</v>
      </c>
      <c r="J12" s="7" t="n">
        <v>0.4074</v>
      </c>
      <c r="K12" s="7" t="n">
        <v>0.56</v>
      </c>
      <c r="L12" s="7" t="n">
        <v>0.6</v>
      </c>
      <c r="N12" s="7" t="n">
        <v>0.6</v>
      </c>
      <c r="O12" s="11"/>
      <c r="P12" s="0" t="str">
        <f aca="false">IF(O12="","",IF(O12&gt;F12,"OVER",IF(O12&lt;F12,"UNDER","PUSH")))</f>
        <v/>
      </c>
    </row>
    <row r="13" customFormat="false" ht="15" hidden="false" customHeight="false" outlineLevel="0" collapsed="false">
      <c r="A13" s="0" t="s">
        <v>212</v>
      </c>
      <c r="B13" s="0" t="s">
        <v>210</v>
      </c>
      <c r="C13" s="0" t="s">
        <v>80</v>
      </c>
      <c r="D13" s="0" t="s">
        <v>135</v>
      </c>
      <c r="E13" s="0" t="s">
        <v>109</v>
      </c>
      <c r="F13" s="0" t="n">
        <v>10</v>
      </c>
      <c r="G13" s="0" t="n">
        <v>7.5</v>
      </c>
      <c r="H13" s="7" t="n">
        <v>0.1952</v>
      </c>
      <c r="I13" s="0" t="n">
        <v>8.1</v>
      </c>
      <c r="J13" s="7" t="n">
        <v>0.2539</v>
      </c>
      <c r="K13" s="7" t="n">
        <v>0.56</v>
      </c>
      <c r="L13" s="7" t="n">
        <v>0.67</v>
      </c>
      <c r="N13" s="7" t="n">
        <v>0.6</v>
      </c>
      <c r="O13" s="11"/>
      <c r="P13" s="0" t="str">
        <f aca="false">IF(O13="","",IF(O13&gt;F13,"OVER",IF(O13&lt;F13,"UNDER","PUSH")))</f>
        <v/>
      </c>
    </row>
    <row r="14" customFormat="false" ht="15" hidden="false" customHeight="false" outlineLevel="0" collapsed="false">
      <c r="A14" s="0" t="s">
        <v>212</v>
      </c>
      <c r="B14" s="0" t="s">
        <v>210</v>
      </c>
      <c r="C14" s="0" t="s">
        <v>80</v>
      </c>
      <c r="D14" s="0" t="s">
        <v>137</v>
      </c>
      <c r="E14" s="0" t="s">
        <v>109</v>
      </c>
      <c r="F14" s="0" t="n">
        <v>11</v>
      </c>
      <c r="G14" s="0" t="n">
        <v>10.21</v>
      </c>
      <c r="H14" s="7" t="n">
        <v>0.3792</v>
      </c>
      <c r="I14" s="0" t="n">
        <v>10.5</v>
      </c>
      <c r="J14" s="7" t="n">
        <v>0.4074</v>
      </c>
      <c r="K14" s="7" t="n">
        <v>0.56</v>
      </c>
      <c r="L14" s="7" t="n">
        <v>0.6</v>
      </c>
      <c r="N14" s="7" t="n">
        <v>0.4</v>
      </c>
      <c r="O14" s="11"/>
      <c r="P14" s="0" t="str">
        <f aca="false">IF(O14="","",IF(O14&gt;F14,"OVER",IF(O14&lt;F14,"UNDER","PUSH")))</f>
        <v/>
      </c>
    </row>
    <row r="15" customFormat="false" ht="15" hidden="false" customHeight="false" outlineLevel="0" collapsed="false">
      <c r="A15" s="0" t="s">
        <v>212</v>
      </c>
      <c r="B15" s="0" t="s">
        <v>210</v>
      </c>
      <c r="C15" s="0" t="s">
        <v>80</v>
      </c>
      <c r="D15" s="0" t="s">
        <v>139</v>
      </c>
      <c r="E15" s="0" t="s">
        <v>109</v>
      </c>
      <c r="F15" s="0" t="n">
        <v>10</v>
      </c>
      <c r="G15" s="0" t="n">
        <v>11.72</v>
      </c>
      <c r="H15" s="7" t="n">
        <v>0.6022</v>
      </c>
      <c r="I15" s="0" t="n">
        <v>12</v>
      </c>
      <c r="J15" s="7" t="n">
        <v>0.6233</v>
      </c>
      <c r="K15" s="7" t="n">
        <v>0.44</v>
      </c>
      <c r="L15" s="7" t="n">
        <v>0.47</v>
      </c>
      <c r="N15" s="7" t="n">
        <v>0.5</v>
      </c>
      <c r="O15" s="11"/>
      <c r="P15" s="0" t="str">
        <f aca="false">IF(O15="","",IF(O15&gt;F15,"OVER",IF(O15&lt;F15,"UNDER","PUSH")))</f>
        <v/>
      </c>
    </row>
    <row r="16" customFormat="false" ht="15" hidden="false" customHeight="false" outlineLevel="0" collapsed="false">
      <c r="A16" s="0" t="s">
        <v>212</v>
      </c>
      <c r="B16" s="0" t="s">
        <v>210</v>
      </c>
      <c r="C16" s="0" t="s">
        <v>80</v>
      </c>
      <c r="D16" s="0" t="s">
        <v>141</v>
      </c>
      <c r="E16" s="0" t="s">
        <v>109</v>
      </c>
      <c r="F16" s="0" t="n">
        <v>10.5</v>
      </c>
      <c r="G16" s="0" t="n">
        <v>10.55</v>
      </c>
      <c r="H16" s="7" t="n">
        <v>0.5045</v>
      </c>
      <c r="I16" s="0" t="n">
        <v>10.8</v>
      </c>
      <c r="J16" s="7" t="n">
        <v>0.5268</v>
      </c>
      <c r="K16" s="7" t="n">
        <v>0.44</v>
      </c>
      <c r="L16" s="7" t="n">
        <v>0.47</v>
      </c>
      <c r="N16" s="7" t="n">
        <v>0.4</v>
      </c>
      <c r="O16" s="11"/>
      <c r="P16" s="0" t="str">
        <f aca="false">IF(O16="","",IF(O16&gt;F16,"OVER",IF(O16&lt;F16,"UNDER","PUSH")))</f>
        <v/>
      </c>
    </row>
    <row r="17" customFormat="false" ht="15" hidden="false" customHeight="false" outlineLevel="0" collapsed="false">
      <c r="A17" s="0" t="s">
        <v>212</v>
      </c>
      <c r="B17" s="0" t="s">
        <v>210</v>
      </c>
      <c r="C17" s="0" t="s">
        <v>80</v>
      </c>
      <c r="D17" s="0" t="s">
        <v>143</v>
      </c>
      <c r="E17" s="0" t="s">
        <v>109</v>
      </c>
      <c r="F17" s="0" t="n">
        <v>7.5</v>
      </c>
      <c r="G17" s="0" t="n">
        <v>8.02</v>
      </c>
      <c r="H17" s="7" t="n">
        <v>0.5558</v>
      </c>
      <c r="I17" s="0" t="n">
        <v>8.4</v>
      </c>
      <c r="J17" s="7" t="n">
        <v>0.5938</v>
      </c>
      <c r="K17" s="7" t="n">
        <v>0.44</v>
      </c>
      <c r="L17" s="7" t="n">
        <v>0.5</v>
      </c>
      <c r="N17" s="7" t="n">
        <v>0.6</v>
      </c>
      <c r="O17" s="11"/>
      <c r="P17" s="0" t="str">
        <f aca="false">IF(O17="","",IF(O17&gt;F17,"OVER",IF(O17&lt;F17,"UNDER","PUSH")))</f>
        <v/>
      </c>
    </row>
    <row r="18" customFormat="false" ht="15" hidden="false" customHeight="false" outlineLevel="0" collapsed="false">
      <c r="A18" s="0" t="s">
        <v>212</v>
      </c>
      <c r="B18" s="0" t="s">
        <v>210</v>
      </c>
      <c r="C18" s="0" t="s">
        <v>80</v>
      </c>
      <c r="D18" s="0" t="s">
        <v>145</v>
      </c>
      <c r="E18" s="0" t="s">
        <v>109</v>
      </c>
      <c r="F18" s="0" t="n">
        <v>2</v>
      </c>
      <c r="G18" s="0" t="n">
        <v>2.29</v>
      </c>
      <c r="H18" s="7" t="n">
        <v>0.4539</v>
      </c>
      <c r="I18" s="0" t="n">
        <v>2.4</v>
      </c>
      <c r="J18" s="7" t="n">
        <v>0.4784</v>
      </c>
      <c r="K18" s="7" t="n">
        <v>0.44</v>
      </c>
      <c r="L18" s="7" t="n">
        <v>0.5</v>
      </c>
      <c r="N18" s="7" t="n">
        <v>0.8</v>
      </c>
      <c r="O18" s="11"/>
      <c r="P18" s="0" t="str">
        <f aca="false">IF(O18="","",IF(O18&gt;F18,"OVER",IF(O18&lt;F18,"UNDER","PUSH")))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9" t="s">
        <v>371</v>
      </c>
      <c r="B1" s="9" t="s">
        <v>370</v>
      </c>
    </row>
    <row r="2" customFormat="false" ht="15" hidden="false" customHeight="false" outlineLevel="0" collapsed="false">
      <c r="A2" s="0" t="s">
        <v>372</v>
      </c>
      <c r="B2" s="0" t="n">
        <v>17</v>
      </c>
    </row>
    <row r="3" customFormat="false" ht="15" hidden="false" customHeight="false" outlineLevel="0" collapsed="false">
      <c r="A3" s="0" t="s">
        <v>373</v>
      </c>
      <c r="B3" s="0" t="n">
        <v>17</v>
      </c>
    </row>
    <row r="4" customFormat="false" ht="15" hidden="false" customHeight="false" outlineLevel="0" collapsed="false">
      <c r="A4" s="0" t="s">
        <v>374</v>
      </c>
      <c r="B4" s="0" t="s">
        <v>375</v>
      </c>
    </row>
    <row r="5" customFormat="false" ht="15" hidden="false" customHeight="false" outlineLevel="0" collapsed="false">
      <c r="A5" s="0" t="s">
        <v>376</v>
      </c>
      <c r="B5" s="0" t="s">
        <v>377</v>
      </c>
    </row>
    <row r="6" customFormat="false" ht="15" hidden="false" customHeight="false" outlineLevel="0" collapsed="false">
      <c r="A6" s="0" t="s">
        <v>378</v>
      </c>
      <c r="B6" s="0" t="n">
        <v>17</v>
      </c>
    </row>
    <row r="7" customFormat="false" ht="15" hidden="false" customHeight="false" outlineLevel="0" collapsed="false">
      <c r="A7" s="0" t="s">
        <v>379</v>
      </c>
      <c r="B7" s="0" t="n">
        <f aca="false">SUMPRODUCT(--ISERROR(Projections!F2:M18))</f>
        <v>0</v>
      </c>
    </row>
    <row r="8" customFormat="false" ht="15" hidden="false" customHeight="false" outlineLevel="0" collapsed="false">
      <c r="A8" s="0" t="s">
        <v>380</v>
      </c>
      <c r="B8" s="0" t="n">
        <f aca="false">COUNTBLANK(Projections!F2:F18)</f>
        <v>0</v>
      </c>
    </row>
    <row r="9" customFormat="false" ht="15" hidden="false" customHeight="false" outlineLevel="0" collapsed="false">
      <c r="A9" s="0" t="s">
        <v>381</v>
      </c>
      <c r="B9" s="0" t="n">
        <f aca="false">SUMPRODUCT(MAX(ABS(N(+Projections!F2:F18)-N(+Log!G2:G18))))</f>
        <v>0.0048361185983854</v>
      </c>
    </row>
    <row r="10" customFormat="false" ht="15" hidden="false" customHeight="false" outlineLevel="0" collapsed="false">
      <c r="A10" s="0" t="s">
        <v>382</v>
      </c>
      <c r="B10" s="0" t="n">
        <f aca="false">SUMPRODUCT((ABS(N(+Projections!O2:O18)-N(+Projections!P2:P18))&lt;0.00001)*(ABS(N(+Projections!F2:F18)-N(+Projections!L2:L18))&gt;0.001)*(Projections!D2:D18="Map 1 Kills"))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2026-10-17T02:14:47Z</dcterms:created>
  <dc:creator>openpyxl</dc:creator>
  <dc:description/>
  <dc:language>en-US</dc:language>
  <cp:lastModifiedBy/>
  <dcterms:modified xsi:type="dcterms:W3CDTF">2026-10-17T02:14:47Z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