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ard" sheetId="2" state="visible" r:id="rId4"/>
    <sheet name="Matches" sheetId="3" state="visible" r:id="rId5"/>
    <sheet name="Projections" sheetId="4" state="visible" r:id="rId6"/>
    <sheet name="Calc" sheetId="5" state="visible" r:id="rId7"/>
    <sheet name="Config" sheetId="6" state="visible" r:id="rId8"/>
    <sheet name="Players" sheetId="7" state="visible" r:id="rId9"/>
    <sheet name="Gamelog" sheetId="8" state="visible" r:id="rId10"/>
    <sheet name="Book_Props" sheetId="9" state="visible" r:id="rId11"/>
    <sheet name="Log" sheetId="10" state="visible" r:id="rId12"/>
    <sheet name="Data_Checks" sheetId="11" state="visible" r:id="rId13"/>
  </sheets>
  <definedNames>
    <definedName function="false" hidden="true" localSheetId="3" name="_xlnm._FilterDatabase" vbProcedure="false">Projections!$A$1:$AA$71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<sst xmlns="http://schemas.openxmlformats.org/spreadsheetml/2006/main" count="5405" uniqueCount="827">
  <si>
    <t xml:space="preserve">MOBA Player Model — LoL + Dota 2</t>
  </si>
  <si>
    <t xml:space="preserve">Kills projections built on the one effect the record measured cleanly in LoL: players score about twice as many kills in map wins as in losses (25 of 25 players, median 2.2×).</t>
  </si>
  <si>
    <t xml:space="preserve">Slate 2026-10-25 · 70 board legs · 8 matches</t>
  </si>
  <si>
    <t xml:space="preserve">HOW TO USE</t>
  </si>
  <si>
    <t xml:space="preserve"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</si>
  <si>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 xml:space="preserve">2. Board tab: pick a match in B2. Both rosters, ranked by projected Map 1 kills, with the PrizePicks line, P(over), Thunderpick's own kill-line median and PickFinder's L10.</t>
  </si>
  <si>
    <t xml:space="preserve">3. Projections: every leg. Naive proj = his plain average per map, for comparison. Exact-line landings counts how often his last 15 series finished exactly on a whole-number line — the push check.</t>
  </si>
  <si>
    <t xml:space="preserve">4. Log: the projections frozen as values when the sheet was built. Type Actual after settlement.</t>
  </si>
  <si>
    <t xml:space="preserve">THE MODEL</t>
  </si>
  <si>
    <t xml:space="preserve">K̄ = his kills per map, q = his map win rate (both from PickFinder Player Stats, same sample). r = WL_RATIO.</t>
  </si>
  <si>
    <t xml:space="preserve">k_win = K̄·r ÷ (q·r + 1 − q),  k_loss = K̄ ÷ (q·r + 1 − q).  These reproduce K̄ exactly at his own win rate.</t>
  </si>
  <si>
    <t xml:space="preserve">Map kills = Kills env × (P(win)·k_win + (1 − P(win))·k_loss). Maps 1-3 = sum over maps × P(map played).</t>
  </si>
  <si>
    <t xml:space="preserve"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</si>
  <si>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 xml:space="preserve">WHERE EACH NUMBER COMES FROM</t>
  </si>
  <si>
    <t xml:space="preserve">PickFinder: /props board (lines, L5/L10/L15/H2H/streak) and each player page — Player Stats (Win Rate, Maps, K/D/A) and the 15-series gamelog (per-map kills).</t>
  </si>
  <si>
    <t xml:space="preserve">Thunderpick /api/markets: Match Winner, Map k Winner, Total Kills - Map k, each team's Total Kills, Map Kills Handicap, Map Duration, and each player's Total Kills ladder. Devigged; ladders read at the 50% crossing.</t>
  </si>
  <si>
    <t xml:space="preserve">Dota: same model, its own ratio (1.77) and dispersion (1.84), both measured on OpenDota before the sheet was extended — see Config. Dota's win/loss gap is smaller than LoL's; its kill counts scatter more.</t>
  </si>
  <si>
    <t xml:space="preserve">Players flagged "new roster" played most of their recent games with other teammates (OpenDota co-occurrence). Their K̄ and q were earned on another team — the level/role-change check, not something the model can fix.</t>
  </si>
  <si>
    <t xml:space="preserve">READ THIS BEFORE TRUSTING A NUMBER</t>
  </si>
  <si>
    <t xml:space="preserve">PAPER. The q-adjustment has been logged for retrodiction since 08-19 and never scored forward. This sheet's Log is the forward record.</t>
  </si>
  <si>
    <t xml:space="preserve">The record's caveat stands: price alone predicted almost nothing (dog 43.1% over, fav 53.7%). If the adjustment carries information, it is through the interaction with each player's own q — which is exactly what Naive vs Proj isolates.</t>
  </si>
  <si>
    <t xml:space="preserve">A likely sweep does NOT suppress LoL kills (6.60 vs 6.64, p = 0.69). Do not cut a leg on sweep risk.</t>
  </si>
  <si>
    <t xml:space="preserve">Demacia Cup Bo1s: teams from different leagues. A player's K̄ and q were earned in his own league's kill environment — that is what Kills env × is for, and it ships at 1.</t>
  </si>
  <si>
    <t xml:space="preserve">REFRESHING</t>
  </si>
  <si>
    <t xml:space="preserve">Rebuilt per slate from fresh captures and imported over this file (File → Import → Replace spreadsheet); the link stays the same.</t>
  </si>
  <si>
    <t xml:space="preserve">Board</t>
  </si>
  <si>
    <t xml:space="preserve">Match:</t>
  </si>
  <si>
    <t xml:space="preserve">DOTA · Liquid vs OG</t>
  </si>
  <si>
    <t xml:space="preserve">Teams</t>
  </si>
  <si>
    <t xml:space="preserve">Start (CT)</t>
  </si>
  <si>
    <t xml:space="preserve">Bo</t>
  </si>
  <si>
    <t xml:space="preserve">Event</t>
  </si>
  <si>
    <t xml:space="preserve">P(A wins)</t>
  </si>
  <si>
    <t xml:space="preserve">P(A wins M1)</t>
  </si>
  <si>
    <t xml:space="preserve">TP total kills M1</t>
  </si>
  <si>
    <t xml:space="preserve">TP A / B kills M1</t>
  </si>
  <si>
    <t xml:space="preserve">TP duration M1</t>
  </si>
  <si>
    <t xml:space="preserve">Kills env ×</t>
  </si>
  <si>
    <t xml:space="preserve">P(M2 / M3 played)</t>
  </si>
  <si>
    <t xml:space="preserve">TP A − B kills M1</t>
  </si>
  <si>
    <t xml:space="preserve">Team</t>
  </si>
  <si>
    <t xml:space="preserve">Player</t>
  </si>
  <si>
    <t xml:space="preserve">Map win q</t>
  </si>
  <si>
    <t xml:space="preserve">K avg</t>
  </si>
  <si>
    <t xml:space="preserve">k win</t>
  </si>
  <si>
    <t xml:space="preserve">k loss</t>
  </si>
  <si>
    <t xml:space="preserve">P(win M1)</t>
  </si>
  <si>
    <t xml:space="preserve">Proj M1</t>
  </si>
  <si>
    <t xml:space="preserve">Naive M1</t>
  </si>
  <si>
    <t xml:space="preserve">Line M1</t>
  </si>
  <si>
    <t xml:space="preserve">P(over) M1</t>
  </si>
  <si>
    <t xml:space="preserve">Proj series</t>
  </si>
  <si>
    <t xml:space="preserve">Line series</t>
  </si>
  <si>
    <t xml:space="preserve">P(over) series</t>
  </si>
  <si>
    <t xml:space="preserve">TP book</t>
  </si>
  <si>
    <t xml:space="preserve">PF L10</t>
  </si>
  <si>
    <t xml:space="preserve">Sample</t>
  </si>
  <si>
    <t xml:space="preserve">Flags</t>
  </si>
  <si>
    <t xml:space="preserve">row</t>
  </si>
  <si>
    <t xml:space="preserve"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</si>
  <si>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 xml:space="preserve">Matches — the shaded columns are yours: P(win) for each map, which maps get played, and the kill environment</t>
  </si>
  <si>
    <t xml:space="preserve">Prefilled from Thunderpick, devigged: P(A wins map k) from Map k Winner (Bo1: Match Winner). Kills env × scales every projection in the match (1 = the players' own history; 1.10 = a game 10% bloodier).</t>
  </si>
  <si>
    <t xml:space="preserve">Match</t>
  </si>
  <si>
    <t xml:space="preserve">Team A</t>
  </si>
  <si>
    <t xml:space="preserve">Team B</t>
  </si>
  <si>
    <t xml:space="preserve">TP A kills M1</t>
  </si>
  <si>
    <t xml:space="preserve">TP B kills M1</t>
  </si>
  <si>
    <t xml:space="preserve">TP markets</t>
  </si>
  <si>
    <t xml:space="preserve">P(A wins M2)</t>
  </si>
  <si>
    <t xml:space="preserve">P(A wins M3)</t>
  </si>
  <si>
    <t xml:space="preserve">P(M2 played)</t>
  </si>
  <si>
    <t xml:space="preserve">P(M3 played)</t>
  </si>
  <si>
    <t xml:space="preserve">Tag A</t>
  </si>
  <si>
    <t xml:space="preserve">Tag B</t>
  </si>
  <si>
    <t xml:space="preserve">P Universe</t>
  </si>
  <si>
    <t xml:space="preserve">Sun 03:00</t>
  </si>
  <si>
    <t xml:space="preserve">Team Liquid (Liquid)</t>
  </si>
  <si>
    <t xml:space="preserve">OG (OG)</t>
  </si>
  <si>
    <t xml:space="preserve">Liquid</t>
  </si>
  <si>
    <t xml:space="preserve">OG</t>
  </si>
  <si>
    <t xml:space="preserve">DOTA · TY vs 1WIN</t>
  </si>
  <si>
    <t xml:space="preserve">Sun 06:00</t>
  </si>
  <si>
    <t xml:space="preserve">Team Yandex (TY)</t>
  </si>
  <si>
    <t xml:space="preserve">1w (1WIN)</t>
  </si>
  <si>
    <t xml:space="preserve">TY</t>
  </si>
  <si>
    <t xml:space="preserve">1WIN</t>
  </si>
  <si>
    <t xml:space="preserve">DOTA · TS vs AI</t>
  </si>
  <si>
    <t xml:space="preserve">Sun 09:00</t>
  </si>
  <si>
    <t xml:space="preserve">Team Spirit (TS)</t>
  </si>
  <si>
    <t xml:space="preserve">Astra Invicta (AI)</t>
  </si>
  <si>
    <t xml:space="preserve">TS</t>
  </si>
  <si>
    <t xml:space="preserve">AI</t>
  </si>
  <si>
    <t xml:space="preserve">LOL · HLE vs IG</t>
  </si>
  <si>
    <t xml:space="preserve">Worlds 2026</t>
  </si>
  <si>
    <t xml:space="preserve">Sun 12:00</t>
  </si>
  <si>
    <t xml:space="preserve">Hanwha Life Esports (HLE)</t>
  </si>
  <si>
    <t xml:space="preserve">Invictus Gaming (IG)</t>
  </si>
  <si>
    <t xml:space="preserve">HLE</t>
  </si>
  <si>
    <t xml:space="preserve">IG</t>
  </si>
  <si>
    <t xml:space="preserve">DOTA · PARI vs BB</t>
  </si>
  <si>
    <t xml:space="preserve">PariVision (PARI)</t>
  </si>
  <si>
    <t xml:space="preserve">BB Team (BB)</t>
  </si>
  <si>
    <t xml:space="preserve">PARI</t>
  </si>
  <si>
    <t xml:space="preserve">BB</t>
  </si>
  <si>
    <t xml:space="preserve">LOL · TES vs G2</t>
  </si>
  <si>
    <t xml:space="preserve">Sun 13:00</t>
  </si>
  <si>
    <t xml:space="preserve">Top Esports (TES)</t>
  </si>
  <si>
    <t xml:space="preserve">G2 Esports (G2)</t>
  </si>
  <si>
    <t xml:space="preserve">TES</t>
  </si>
  <si>
    <t xml:space="preserve">G2</t>
  </si>
  <si>
    <t xml:space="preserve">LOL · DK vs MKOI</t>
  </si>
  <si>
    <t xml:space="preserve">Sun 14:00</t>
  </si>
  <si>
    <t xml:space="preserve">Dplus (DK)</t>
  </si>
  <si>
    <t xml:space="preserve">Movistar KOI (MKOI)</t>
  </si>
  <si>
    <t xml:space="preserve">DK</t>
  </si>
  <si>
    <t xml:space="preserve">MKOI</t>
  </si>
  <si>
    <t xml:space="preserve">LOL · GEN vs LY</t>
  </si>
  <si>
    <t xml:space="preserve">Sun 17:00</t>
  </si>
  <si>
    <t xml:space="preserve">GEN.G (GEN)</t>
  </si>
  <si>
    <t xml:space="preserve">LYON (LY)</t>
  </si>
  <si>
    <t xml:space="preserve">GEN</t>
  </si>
  <si>
    <t xml:space="preserve">LY</t>
  </si>
  <si>
    <t xml:space="preserve">Market</t>
  </si>
  <si>
    <t xml:space="preserve">Line</t>
  </si>
  <si>
    <t xml:space="preserve">Proj</t>
  </si>
  <si>
    <t xml:space="preserve">Sigma</t>
  </si>
  <si>
    <t xml:space="preserve">P(over)</t>
  </si>
  <si>
    <t xml:space="preserve">P(under)</t>
  </si>
  <si>
    <t xml:space="preserve">P(push)</t>
  </si>
  <si>
    <t xml:space="preserve">Model side (paper)</t>
  </si>
  <si>
    <t xml:space="preserve">Naive proj</t>
  </si>
  <si>
    <t xml:space="preserve">P(over) naive</t>
  </si>
  <si>
    <t xml:space="preserve">TP book median</t>
  </si>
  <si>
    <t xml:space="preserve">Map win rate q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</si>
  <si>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</si>
  <si>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</si>
  <si>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</si>
  <si>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</si>
  <si>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</si>
  <si>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Exact-line landings (15)</t>
  </si>
  <si>
    <t xml:space="preserve">Calc key</t>
  </si>
  <si>
    <t xml:space="preserve">Code</t>
  </si>
  <si>
    <t xml:space="preserve">Lookup</t>
  </si>
  <si>
    <t xml:space="preserve">Natsumi-</t>
  </si>
  <si>
    <t xml:space="preserve">Maps 1-2 Kills</t>
  </si>
  <si>
    <t xml:space="preserve">33%/2/6</t>
  </si>
  <si>
    <t xml:space="preserve">5vihvu65ghkyan1|DOTA · Liquid vs OG</t>
  </si>
  <si>
    <t xml:space="preserve">K12</t>
  </si>
  <si>
    <t xml:space="preserve">OneJey</t>
  </si>
  <si>
    <t xml:space="preserve">75%/3/4</t>
  </si>
  <si>
    <t xml:space="preserve">gf5trr3nqlr6rzi|DOTA · Liquid vs OG</t>
  </si>
  <si>
    <t xml:space="preserve">Skem</t>
  </si>
  <si>
    <t xml:space="preserve">40%/4/10</t>
  </si>
  <si>
    <t xml:space="preserve">327bydu6uqe51dl|DOTA · Liquid vs OG</t>
  </si>
  <si>
    <t xml:space="preserve">TOPSON</t>
  </si>
  <si>
    <t xml:space="preserve">40%/2/5</t>
  </si>
  <si>
    <t xml:space="preserve">c9666oyxnrvurur|DOTA · Liquid vs OG</t>
  </si>
  <si>
    <t xml:space="preserve">Kataomi`</t>
  </si>
  <si>
    <t xml:space="preserve">43%/9/21</t>
  </si>
  <si>
    <t xml:space="preserve">d5vtssc59tcc007|DOTA · PARI vs BB</t>
  </si>
  <si>
    <t xml:space="preserve">Kiritych~</t>
  </si>
  <si>
    <t xml:space="preserve">36%/4/11</t>
  </si>
  <si>
    <t xml:space="preserve">qcmgn2st7qcaqxc|DOTA · PARI vs BB</t>
  </si>
  <si>
    <t xml:space="preserve">MieRo</t>
  </si>
  <si>
    <t xml:space="preserve">62%/13/21</t>
  </si>
  <si>
    <t xml:space="preserve">nbyoi46qk2ybg8b|DOTA · PARI vs BB</t>
  </si>
  <si>
    <t xml:space="preserve">Save-</t>
  </si>
  <si>
    <t xml:space="preserve">24%/5/21</t>
  </si>
  <si>
    <t xml:space="preserve">eijyclfw930qk3c|DOTA · PARI vs BB</t>
  </si>
  <si>
    <t xml:space="preserve">swedenstrong</t>
  </si>
  <si>
    <t xml:space="preserve">33%/1/3</t>
  </si>
  <si>
    <t xml:space="preserve">7ht2ppu8ke3cch9|DOTA · PARI vs BB</t>
  </si>
  <si>
    <t xml:space="preserve">9Class</t>
  </si>
  <si>
    <t xml:space="preserve">28%/8/29</t>
  </si>
  <si>
    <t xml:space="preserve">p48p2vywpenq4iz|DOTA · PARI vs BB</t>
  </si>
  <si>
    <t xml:space="preserve">Dukalis</t>
  </si>
  <si>
    <t xml:space="preserve">33%/7/21</t>
  </si>
  <si>
    <t xml:space="preserve">38c4z9ycctww8gl|DOTA · PARI vs BB</t>
  </si>
  <si>
    <t xml:space="preserve">No[o]ne</t>
  </si>
  <si>
    <t xml:space="preserve">14%/3/22</t>
  </si>
  <si>
    <t xml:space="preserve">te1ihvul0whu8k1|DOTA · PARI vs BB</t>
  </si>
  <si>
    <t xml:space="preserve">Noticed</t>
  </si>
  <si>
    <t xml:space="preserve">13%/1/8</t>
  </si>
  <si>
    <t xml:space="preserve">hkpy2i1q2cf4qrd|DOTA · PARI vs BB</t>
  </si>
  <si>
    <t xml:space="preserve">Satanic</t>
  </si>
  <si>
    <t xml:space="preserve">26%/5/19</t>
  </si>
  <si>
    <t xml:space="preserve">s178rxweg2uixdf|DOTA · PARI vs BB</t>
  </si>
  <si>
    <t xml:space="preserve">DM</t>
  </si>
  <si>
    <t xml:space="preserve">48%/11/23</t>
  </si>
  <si>
    <t xml:space="preserve">s2jkgqqpbza5fin|DOTA · TS vs AI</t>
  </si>
  <si>
    <t xml:space="preserve">GH</t>
  </si>
  <si>
    <t xml:space="preserve">43%/3/7</t>
  </si>
  <si>
    <t xml:space="preserve">x4uoxm57ga9w51t|DOTA · TS vs AI</t>
  </si>
  <si>
    <t xml:space="preserve">lorenof</t>
  </si>
  <si>
    <t xml:space="preserve">53%/8/15</t>
  </si>
  <si>
    <t xml:space="preserve">farftc4ryvoo8lz|DOTA · TS vs AI</t>
  </si>
  <si>
    <t xml:space="preserve">Nightfall</t>
  </si>
  <si>
    <t xml:space="preserve">47%/8/17</t>
  </si>
  <si>
    <t xml:space="preserve">xvpkfrs8jnrcnra|DOTA · TS vs AI</t>
  </si>
  <si>
    <t xml:space="preserve">OmaR</t>
  </si>
  <si>
    <t xml:space="preserve">50%/4/8</t>
  </si>
  <si>
    <t xml:space="preserve">iakq95x0f2xxlh3|DOTA · TS vs AI</t>
  </si>
  <si>
    <t xml:space="preserve">Larl</t>
  </si>
  <si>
    <t xml:space="preserve">-</t>
  </si>
  <si>
    <t xml:space="preserve">3nhf9uupulsq9gw|DOTA · TS vs AI</t>
  </si>
  <si>
    <t xml:space="preserve">not me</t>
  </si>
  <si>
    <t xml:space="preserve">eu78tcmea0duae0|DOTA · TS vs AI</t>
  </si>
  <si>
    <t xml:space="preserve">rue</t>
  </si>
  <si>
    <t xml:space="preserve">sw7j8rqyn0xsj7y|DOTA · TS vs AI</t>
  </si>
  <si>
    <t xml:space="preserve">Yatoro</t>
  </si>
  <si>
    <t xml:space="preserve">7i0n30c69c9zmve|DOTA · TS vs AI</t>
  </si>
  <si>
    <t xml:space="preserve">33</t>
  </si>
  <si>
    <t xml:space="preserve">60%/6/10</t>
  </si>
  <si>
    <t xml:space="preserve">87bg9h826gapyba|DOTA · TY vs 1WIN</t>
  </si>
  <si>
    <t xml:space="preserve">Ari</t>
  </si>
  <si>
    <t xml:space="preserve">78%/7/9</t>
  </si>
  <si>
    <t xml:space="preserve">9qvp3ug5kdx7fn3|DOTA · TY vs 1WIN</t>
  </si>
  <si>
    <t xml:space="preserve">bzm</t>
  </si>
  <si>
    <t xml:space="preserve">2pxb4pwzxip4jee|DOTA · TY vs 1WIN</t>
  </si>
  <si>
    <t xml:space="preserve">Pure</t>
  </si>
  <si>
    <t xml:space="preserve">56%/5/9</t>
  </si>
  <si>
    <t xml:space="preserve">5yokl0wo9za11sw|DOTA · TY vs 1WIN</t>
  </si>
  <si>
    <t xml:space="preserve">Whitemon</t>
  </si>
  <si>
    <t xml:space="preserve">e685fr8xlwo3fj9|DOTA · TY vs 1WIN</t>
  </si>
  <si>
    <t xml:space="preserve">ATF</t>
  </si>
  <si>
    <t xml:space="preserve">20%/1/5</t>
  </si>
  <si>
    <t xml:space="preserve">gjtmq8fbk0gya2i|DOTA · TY vs 1WIN</t>
  </si>
  <si>
    <t xml:space="preserve">Chira JUNIOR</t>
  </si>
  <si>
    <t xml:space="preserve">ms674i51eq6w83k|DOTA · TY vs 1WIN</t>
  </si>
  <si>
    <t xml:space="preserve">Malady</t>
  </si>
  <si>
    <t xml:space="preserve">0ajkyqw3r0k1f5j|DOTA · TY vs 1WIN</t>
  </si>
  <si>
    <t xml:space="preserve">Saksa</t>
  </si>
  <si>
    <t xml:space="preserve">25%/1/4</t>
  </si>
  <si>
    <t xml:space="preserve">b2idu6d2bllmgsq|DOTA · TY vs 1WIN</t>
  </si>
  <si>
    <t xml:space="preserve">watson</t>
  </si>
  <si>
    <t xml:space="preserve">50%/3/6</t>
  </si>
  <si>
    <t xml:space="preserve">sm63cqd6f6fdapn|DOTA · TY vs 1WIN</t>
  </si>
  <si>
    <t xml:space="preserve">Career</t>
  </si>
  <si>
    <t xml:space="preserve">0zmvpbzf5fskcxk|LOL · DK vs MKOI</t>
  </si>
  <si>
    <t xml:space="preserve">Lucid</t>
  </si>
  <si>
    <t xml:space="preserve">kz1njp0fokgxabw|LOL · DK vs MKOI</t>
  </si>
  <si>
    <t xml:space="preserve">ShowMaker</t>
  </si>
  <si>
    <t xml:space="preserve">cg09u23al2tl0w4|LOL · DK vs MKOI</t>
  </si>
  <si>
    <t xml:space="preserve">Siwoo</t>
  </si>
  <si>
    <t xml:space="preserve">r63hk078cgvtd58|LOL · DK vs MKOI</t>
  </si>
  <si>
    <t xml:space="preserve">Smash</t>
  </si>
  <si>
    <t xml:space="preserve">17a174au5pp8c55|LOL · DK vs MKOI</t>
  </si>
  <si>
    <t xml:space="preserve">Elyoya</t>
  </si>
  <si>
    <t xml:space="preserve">dtzma60si9kmw5a|LOL · DK vs MKOI</t>
  </si>
  <si>
    <t xml:space="preserve">Jojopyun</t>
  </si>
  <si>
    <t xml:space="preserve">l061gni7rc68rt4|LOL · DK vs MKOI</t>
  </si>
  <si>
    <t xml:space="preserve">Myrwn</t>
  </si>
  <si>
    <t xml:space="preserve">eh04uatcc7dtws5|LOL · DK vs MKOI</t>
  </si>
  <si>
    <t xml:space="preserve">Supa</t>
  </si>
  <si>
    <t xml:space="preserve">ljg71l9tlvrjgsl|LOL · DK vs MKOI</t>
  </si>
  <si>
    <t xml:space="preserve">Canyon</t>
  </si>
  <si>
    <t xml:space="preserve">0%/0/1</t>
  </si>
  <si>
    <t xml:space="preserve">lu1dk2kc9udu52r|LOL · GEN vs LY</t>
  </si>
  <si>
    <t xml:space="preserve">Chovy</t>
  </si>
  <si>
    <t xml:space="preserve">n85jxqdsqe0o7yt|LOL · GEN vs LY</t>
  </si>
  <si>
    <t xml:space="preserve">Duro</t>
  </si>
  <si>
    <t xml:space="preserve">100%/1/1</t>
  </si>
  <si>
    <t xml:space="preserve">8vkeccv6e10ucrf|LOL · GEN vs LY</t>
  </si>
  <si>
    <t xml:space="preserve">Kiin</t>
  </si>
  <si>
    <t xml:space="preserve">5l7ygpi00bc4tip|LOL · GEN vs LY</t>
  </si>
  <si>
    <t xml:space="preserve">Ruler</t>
  </si>
  <si>
    <t xml:space="preserve">a1i2kuxagmuncr2|LOL · GEN vs LY</t>
  </si>
  <si>
    <t xml:space="preserve">Berserker</t>
  </si>
  <si>
    <t xml:space="preserve">0%/0/4</t>
  </si>
  <si>
    <t xml:space="preserve">59psvryzvsd87ax|LOL · GEN vs LY</t>
  </si>
  <si>
    <t xml:space="preserve">Dhokla</t>
  </si>
  <si>
    <t xml:space="preserve">669w2bo10c6kdxx|LOL · GEN vs LY</t>
  </si>
  <si>
    <t xml:space="preserve">Inspired</t>
  </si>
  <si>
    <t xml:space="preserve">0%/0/3</t>
  </si>
  <si>
    <t xml:space="preserve">rkwgr384qtc66ge|LOL · GEN vs LY</t>
  </si>
  <si>
    <t xml:space="preserve">Saint</t>
  </si>
  <si>
    <t xml:space="preserve">5hz8uczujzdvcl3|LOL · GEN vs LY</t>
  </si>
  <si>
    <t xml:space="preserve">Delight</t>
  </si>
  <si>
    <t xml:space="preserve">Map 1 Kills</t>
  </si>
  <si>
    <t xml:space="preserve">1og5fatbgnm5iky|LOL · HLE vs IG</t>
  </si>
  <si>
    <t xml:space="preserve">K1</t>
  </si>
  <si>
    <t xml:space="preserve">Gumayusi</t>
  </si>
  <si>
    <t xml:space="preserve">dk2xvnogliulqvm|LOL · HLE vs IG</t>
  </si>
  <si>
    <t xml:space="preserve">Kanavi</t>
  </si>
  <si>
    <t xml:space="preserve">sz58hgh9evxsz7i|LOL · HLE vs IG</t>
  </si>
  <si>
    <t xml:space="preserve">Zeka</t>
  </si>
  <si>
    <t xml:space="preserve">a9kybbin6grz064|LOL · HLE vs IG</t>
  </si>
  <si>
    <t xml:space="preserve">Zeus</t>
  </si>
  <si>
    <t xml:space="preserve">tdvdf1h4ixtxv6x|LOL · HLE vs IG</t>
  </si>
  <si>
    <t xml:space="preserve">JiaQi</t>
  </si>
  <si>
    <t xml:space="preserve">xkumta5cuhr06ug|LOL · HLE vs IG</t>
  </si>
  <si>
    <t xml:space="preserve">Rookie</t>
  </si>
  <si>
    <t xml:space="preserve">tm30neozvsj19qw|LOL · HLE vs IG</t>
  </si>
  <si>
    <t xml:space="preserve">TheShy</t>
  </si>
  <si>
    <t xml:space="preserve">3vy8em8ahxc8dpm|LOL · HLE vs IG</t>
  </si>
  <si>
    <t xml:space="preserve">Wei</t>
  </si>
  <si>
    <t xml:space="preserve">9frb6zd2hdy3jrk|LOL · HLE vs IG</t>
  </si>
  <si>
    <t xml:space="preserve">BrokenBlade</t>
  </si>
  <si>
    <t xml:space="preserve">fcu6c9alckgkcdm|LOL · TES vs G2</t>
  </si>
  <si>
    <t xml:space="preserve">Caps</t>
  </si>
  <si>
    <t xml:space="preserve">60%/3/5</t>
  </si>
  <si>
    <t xml:space="preserve">k04ep06dphq53i6|LOL · TES vs G2</t>
  </si>
  <si>
    <t xml:space="preserve">Hans sama</t>
  </si>
  <si>
    <t xml:space="preserve">igjqi725ffi2xyn|LOL · TES vs G2</t>
  </si>
  <si>
    <t xml:space="preserve">Labrov</t>
  </si>
  <si>
    <t xml:space="preserve">lymjra1xhf5edn3|LOL · TES vs G2</t>
  </si>
  <si>
    <t xml:space="preserve">SkewMond</t>
  </si>
  <si>
    <t xml:space="preserve">fiiuolpcyp1uifu|LOL · TES vs G2</t>
  </si>
  <si>
    <t xml:space="preserve">369</t>
  </si>
  <si>
    <t xml:space="preserve">d5dp09jubk87gzq|LOL · TES vs G2</t>
  </si>
  <si>
    <t xml:space="preserve">Creme</t>
  </si>
  <si>
    <t xml:space="preserve">2lm5kmu2jy1q4aj|LOL · TES vs G2</t>
  </si>
  <si>
    <t xml:space="preserve">JackeyLove</t>
  </si>
  <si>
    <t xml:space="preserve">0hu7hmd8ldnn97r|LOL · TES vs G2</t>
  </si>
  <si>
    <t xml:space="preserve">Tian</t>
  </si>
  <si>
    <t xml:space="preserve">67%/2/3</t>
  </si>
  <si>
    <t xml:space="preserve">fgtnfisj0lukgay|LOL · TES vs G2</t>
  </si>
  <si>
    <t xml:space="preserve">Zhuo</t>
  </si>
  <si>
    <t xml:space="preserve">39ajy1cp6v3vhx1|LOL · TES vs G2</t>
  </si>
  <si>
    <t xml:space="preserve">Key</t>
  </si>
  <si>
    <t xml:space="preserve">PID</t>
  </si>
  <si>
    <t xml:space="preserve">Side</t>
  </si>
  <si>
    <t xml:space="preserve">Maps n</t>
  </si>
  <si>
    <t xml:space="preserve">Win rate q</t>
  </si>
  <si>
    <t xml:space="preserve">Env</t>
  </si>
  <si>
    <t xml:space="preserve">M1 p win</t>
  </si>
  <si>
    <t xml:space="preserve">M1 p played</t>
  </si>
  <si>
    <t xml:space="preserve">M1 mean</t>
  </si>
  <si>
    <t xml:space="preserve">M1 var</t>
  </si>
  <si>
    <t xml:space="preserve">M2 p win</t>
  </si>
  <si>
    <t xml:space="preserve">M2 p played</t>
  </si>
  <si>
    <t xml:space="preserve">M2 mean</t>
  </si>
  <si>
    <t xml:space="preserve">M2 var</t>
  </si>
  <si>
    <t xml:space="preserve">M3 p win</t>
  </si>
  <si>
    <t xml:space="preserve">M3 p played</t>
  </si>
  <si>
    <t xml:space="preserve">M3 mean</t>
  </si>
  <si>
    <t xml:space="preserve">M3 var</t>
  </si>
  <si>
    <t xml:space="preserve">K1 var</t>
  </si>
  <si>
    <t xml:space="preserve">K12 var</t>
  </si>
  <si>
    <t xml:space="preserve">K13</t>
  </si>
  <si>
    <t xml:space="preserve">K13 var</t>
  </si>
  <si>
    <t xml:space="preserve">Naive K1</t>
  </si>
  <si>
    <t xml:space="preserve">Naive K12</t>
  </si>
  <si>
    <t xml:space="preserve">Naive K13</t>
  </si>
  <si>
    <t xml:space="preserve">Board rank</t>
  </si>
  <si>
    <t xml:space="preserve">Series code</t>
  </si>
  <si>
    <t xml:space="preserve">Series proj</t>
  </si>
  <si>
    <t xml:space="preserve">5vihvu65ghkyan1</t>
  </si>
  <si>
    <t xml:space="preserve">gf5trr3nqlr6rzi</t>
  </si>
  <si>
    <t xml:space="preserve">327bydu6uqe51dl</t>
  </si>
  <si>
    <t xml:space="preserve">c9666oyxnrvurur</t>
  </si>
  <si>
    <t xml:space="preserve">d5vtssc59tcc007</t>
  </si>
  <si>
    <t xml:space="preserve">qcmgn2st7qcaqxc</t>
  </si>
  <si>
    <t xml:space="preserve">nbyoi46qk2ybg8b</t>
  </si>
  <si>
    <t xml:space="preserve">eijyclfw930qk3c</t>
  </si>
  <si>
    <t xml:space="preserve">7ht2ppu8ke3cch9</t>
  </si>
  <si>
    <t xml:space="preserve">p48p2vywpenq4iz</t>
  </si>
  <si>
    <t xml:space="preserve">38c4z9ycctww8gl</t>
  </si>
  <si>
    <t xml:space="preserve">te1ihvul0whu8k1</t>
  </si>
  <si>
    <t xml:space="preserve">hkpy2i1q2cf4qrd</t>
  </si>
  <si>
    <t xml:space="preserve">s178rxweg2uixdf</t>
  </si>
  <si>
    <t xml:space="preserve">s2jkgqqpbza5fin</t>
  </si>
  <si>
    <t xml:space="preserve">x4uoxm57ga9w51t</t>
  </si>
  <si>
    <t xml:space="preserve">farftc4ryvoo8lz</t>
  </si>
  <si>
    <t xml:space="preserve">xvpkfrs8jnrcnra</t>
  </si>
  <si>
    <t xml:space="preserve">iakq95x0f2xxlh3</t>
  </si>
  <si>
    <t xml:space="preserve">3nhf9uupulsq9gw</t>
  </si>
  <si>
    <t xml:space="preserve">eu78tcmea0duae0</t>
  </si>
  <si>
    <t xml:space="preserve">sw7j8rqyn0xsj7y</t>
  </si>
  <si>
    <t xml:space="preserve">7i0n30c69c9zmve</t>
  </si>
  <si>
    <t xml:space="preserve">87bg9h826gapyba</t>
  </si>
  <si>
    <t xml:space="preserve">9qvp3ug5kdx7fn3</t>
  </si>
  <si>
    <t xml:space="preserve">2pxb4pwzxip4jee</t>
  </si>
  <si>
    <t xml:space="preserve">5yokl0wo9za11sw</t>
  </si>
  <si>
    <t xml:space="preserve">e685fr8xlwo3fj9</t>
  </si>
  <si>
    <t xml:space="preserve">gjtmq8fbk0gya2i</t>
  </si>
  <si>
    <t xml:space="preserve">ms674i51eq6w83k</t>
  </si>
  <si>
    <t xml:space="preserve">0ajkyqw3r0k1f5j</t>
  </si>
  <si>
    <t xml:space="preserve">b2idu6d2bllmgsq</t>
  </si>
  <si>
    <t xml:space="preserve">sm63cqd6f6fdapn</t>
  </si>
  <si>
    <t xml:space="preserve">0zmvpbzf5fskcxk</t>
  </si>
  <si>
    <t xml:space="preserve">kz1njp0fokgxabw</t>
  </si>
  <si>
    <t xml:space="preserve">cg09u23al2tl0w4</t>
  </si>
  <si>
    <t xml:space="preserve">r63hk078cgvtd58</t>
  </si>
  <si>
    <t xml:space="preserve">17a174au5pp8c55</t>
  </si>
  <si>
    <t xml:space="preserve">dtzma60si9kmw5a</t>
  </si>
  <si>
    <t xml:space="preserve">l061gni7rc68rt4</t>
  </si>
  <si>
    <t xml:space="preserve">eh04uatcc7dtws5</t>
  </si>
  <si>
    <t xml:space="preserve">ljg71l9tlvrjgsl</t>
  </si>
  <si>
    <t xml:space="preserve">lu1dk2kc9udu52r</t>
  </si>
  <si>
    <t xml:space="preserve">n85jxqdsqe0o7yt</t>
  </si>
  <si>
    <t xml:space="preserve">8vkeccv6e10ucrf</t>
  </si>
  <si>
    <t xml:space="preserve">5l7ygpi00bc4tip</t>
  </si>
  <si>
    <t xml:space="preserve">a1i2kuxagmuncr2</t>
  </si>
  <si>
    <t xml:space="preserve">59psvryzvsd87ax</t>
  </si>
  <si>
    <t xml:space="preserve">669w2bo10c6kdxx</t>
  </si>
  <si>
    <t xml:space="preserve">rkwgr384qtc66ge</t>
  </si>
  <si>
    <t xml:space="preserve">5hz8uczujzdvcl3</t>
  </si>
  <si>
    <t xml:space="preserve">1og5fatbgnm5iky</t>
  </si>
  <si>
    <t xml:space="preserve">dk2xvnogliulqvm</t>
  </si>
  <si>
    <t xml:space="preserve">sz58hgh9evxsz7i</t>
  </si>
  <si>
    <t xml:space="preserve">a9kybbin6grz064</t>
  </si>
  <si>
    <t xml:space="preserve">tdvdf1h4ixtxv6x</t>
  </si>
  <si>
    <t xml:space="preserve">xkumta5cuhr06ug</t>
  </si>
  <si>
    <t xml:space="preserve">tm30neozvsj19qw</t>
  </si>
  <si>
    <t xml:space="preserve">3vy8em8ahxc8dpm</t>
  </si>
  <si>
    <t xml:space="preserve">9frb6zd2hdy3jrk</t>
  </si>
  <si>
    <t xml:space="preserve">fcu6c9alckgkcdm</t>
  </si>
  <si>
    <t xml:space="preserve">k04ep06dphq53i6</t>
  </si>
  <si>
    <t xml:space="preserve">igjqi725ffi2xyn</t>
  </si>
  <si>
    <t xml:space="preserve">lymjra1xhf5edn3</t>
  </si>
  <si>
    <t xml:space="preserve">fiiuolpcyp1uifu</t>
  </si>
  <si>
    <t xml:space="preserve">d5dp09jubk87gzq</t>
  </si>
  <si>
    <t xml:space="preserve">2lm5kmu2jy1q4aj</t>
  </si>
  <si>
    <t xml:space="preserve">0hu7hmd8ldnn97r</t>
  </si>
  <si>
    <t xml:space="preserve">fgtnfisj0lukgay</t>
  </si>
  <si>
    <t xml:space="preserve">39ajy1cp6v3vhx1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</si>
  <si>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</si>
  <si>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</si>
  <si>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</si>
  <si>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</si>
  <si>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WL_RATIO_LOL</t>
  </si>
  <si>
    <t xml:space="preserve">LoL: kills in map WINS ÷ kills in map LOSSES. Measured on 25 LoL players 2026-08-19: median 2.21, range 1.20–4.16, 25 of 25 above 1 (sign test p = 3×10⁻⁸). One value per title: per-player ratios from ~10 losses are too noisy to use.</t>
  </si>
  <si>
    <t xml:space="preserve">WL_RATIO_DOTA</t>
  </si>
  <si>
    <t xml:space="preserve"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</si>
  <si>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 xml:space="preserve">KILLS_DISPERSION_LOL</t>
  </si>
  <si>
    <t xml:space="preserve">Variance ÷ mean of kills WITHIN a known map result (1 = Poisson), LoL. The win/loss mixture variance is added on top. Set by judgment, not measured.</t>
  </si>
  <si>
    <t xml:space="preserve">KILLS_DISPERSION_DOTA</t>
  </si>
  <si>
    <t xml:space="preserve">Same for Dota, measured: pooled within-result variance ÷ mean over the same 28 players × 40 games. Dota kill counts scatter more than LoL's.</t>
  </si>
  <si>
    <t xml:space="preserve">EDGE_MIN</t>
  </si>
  <si>
    <t xml:space="preserve">Model side shows OVER/UNDER only past 50% + this. PAPER: no forward record.</t>
  </si>
  <si>
    <t xml:space="preserve">THIN_SAMPLE_MAPS</t>
  </si>
  <si>
    <t xml:space="preserve">Flag players whose PickFinder sample is below this many maps.</t>
  </si>
  <si>
    <t xml:space="preserve">SLATE_DATE</t>
  </si>
  <si>
    <t xml:space="preserve">2026-10-25</t>
  </si>
  <si>
    <t xml:space="preserve">BUILT_UTC</t>
  </si>
  <si>
    <t xml:space="preserve">2026-10-25 03:09</t>
  </si>
  <si>
    <t xml:space="preserve">PF matchup</t>
  </si>
  <si>
    <t xml:space="preserve">Maps</t>
  </si>
  <si>
    <t xml:space="preserve">Map win rate</t>
  </si>
  <si>
    <t xml:space="preserve">K</t>
  </si>
  <si>
    <t xml:space="preserve">D</t>
  </si>
  <si>
    <t xml:space="preserve">A</t>
  </si>
  <si>
    <t xml:space="preserve">K/D</t>
  </si>
  <si>
    <t xml:space="preserve">Gamelog maps</t>
  </si>
  <si>
    <t xml:space="preserve">Gamelog kills/map</t>
  </si>
  <si>
    <t xml:space="preserve">Identity</t>
  </si>
  <si>
    <t xml:space="preserve">PickFinder page</t>
  </si>
  <si>
    <t xml:space="preserve">Title</t>
  </si>
  <si>
    <t xml:space="preserve">Role</t>
  </si>
  <si>
    <t xml:space="preserve">OpenDota W</t>
  </si>
  <si>
    <t xml:space="preserve">OpenDota L</t>
  </si>
  <si>
    <t xml:space="preserve">Own W/L ratio</t>
  </si>
  <si>
    <t xml:space="preserve">With current teammates</t>
  </si>
  <si>
    <t xml:space="preserve">1WIN vs TY</t>
  </si>
  <si>
    <t xml:space="preserve">OK</t>
  </si>
  <si>
    <t xml:space="preserve">https://www.pickfinder.app/players/dota2/87bg9h826gapyba</t>
  </si>
  <si>
    <t xml:space="preserve">DOTA</t>
  </si>
  <si>
    <t xml:space="preserve">3</t>
  </si>
  <si>
    <t xml:space="preserve">https://www.pickfinder.app/players/dota2/9qvp3ug5kdx7fn3</t>
  </si>
  <si>
    <t xml:space="preserve">4</t>
  </si>
  <si>
    <t xml:space="preserve">https://www.pickfinder.app/players/dota2/2pxb4pwzxip4jee</t>
  </si>
  <si>
    <t xml:space="preserve">2</t>
  </si>
  <si>
    <t xml:space="preserve">https://www.pickfinder.app/players/dota2/5yokl0wo9za11sw</t>
  </si>
  <si>
    <t xml:space="preserve">1</t>
  </si>
  <si>
    <t xml:space="preserve">https://www.pickfinder.app/players/dota2/e685fr8xlwo3fj9</t>
  </si>
  <si>
    <t xml:space="preserve">5</t>
  </si>
  <si>
    <t xml:space="preserve">AI vs TS</t>
  </si>
  <si>
    <t xml:space="preserve">https://www.pickfinder.app/players/dota2/s2jkgqqpbza5fin</t>
  </si>
  <si>
    <t xml:space="preserve">https://www.pickfinder.app/players/dota2/x4uoxm57ga9w51t</t>
  </si>
  <si>
    <t xml:space="preserve">https://www.pickfinder.app/players/dota2/farftc4ryvoo8lz</t>
  </si>
  <si>
    <t xml:space="preserve">https://www.pickfinder.app/players/dota2/xvpkfrs8jnrcnra</t>
  </si>
  <si>
    <t xml:space="preserve">https://www.pickfinder.app/players/dota2/iakq95x0f2xxlh3</t>
  </si>
  <si>
    <t xml:space="preserve">BB vs PARI</t>
  </si>
  <si>
    <t xml:space="preserve">https://www.pickfinder.app/players/dota2/d5vtssc59tcc007</t>
  </si>
  <si>
    <t xml:space="preserve">https://www.pickfinder.app/players/dota2/qcmgn2st7qcaqxc</t>
  </si>
  <si>
    <t xml:space="preserve">https://www.pickfinder.app/players/dota2/nbyoi46qk2ybg8b</t>
  </si>
  <si>
    <t xml:space="preserve">https://www.pickfinder.app/players/dota2/eijyclfw930qk3c</t>
  </si>
  <si>
    <t xml:space="preserve">https://www.pickfinder.app/players/dota2/7ht2ppu8ke3cch9</t>
  </si>
  <si>
    <t xml:space="preserve">DK vs MKOI</t>
  </si>
  <si>
    <t xml:space="preserve">https://www.pickfinder.app/players/lol/0zmvpbzf5fskcxk</t>
  </si>
  <si>
    <t xml:space="preserve">LOL</t>
  </si>
  <si>
    <t xml:space="preserve">sup</t>
  </si>
  <si>
    <t xml:space="preserve">https://www.pickfinder.app/players/lol/kz1njp0fokgxabw</t>
  </si>
  <si>
    <t xml:space="preserve">jun</t>
  </si>
  <si>
    <t xml:space="preserve">https://www.pickfinder.app/players/lol/cg09u23al2tl0w4</t>
  </si>
  <si>
    <t xml:space="preserve">mid</t>
  </si>
  <si>
    <t xml:space="preserve">https://www.pickfinder.app/players/lol/r63hk078cgvtd58</t>
  </si>
  <si>
    <t xml:space="preserve">top</t>
  </si>
  <si>
    <t xml:space="preserve">https://www.pickfinder.app/players/lol/17a174au5pp8c55</t>
  </si>
  <si>
    <t xml:space="preserve">adc</t>
  </si>
  <si>
    <t xml:space="preserve">G2 vs TES</t>
  </si>
  <si>
    <t xml:space="preserve">https://www.pickfinder.app/players/lol/fcu6c9alckgkcdm</t>
  </si>
  <si>
    <t xml:space="preserve">https://www.pickfinder.app/players/lol/k04ep06dphq53i6</t>
  </si>
  <si>
    <t xml:space="preserve">https://www.pickfinder.app/players/lol/igjqi725ffi2xyn</t>
  </si>
  <si>
    <t xml:space="preserve">https://www.pickfinder.app/players/lol/lymjra1xhf5edn3</t>
  </si>
  <si>
    <t xml:space="preserve">https://www.pickfinder.app/players/lol/fiiuolpcyp1uifu</t>
  </si>
  <si>
    <t xml:space="preserve">GEN vs LY</t>
  </si>
  <si>
    <t xml:space="preserve">https://www.pickfinder.app/players/lol/lu1dk2kc9udu52r</t>
  </si>
  <si>
    <t xml:space="preserve">https://www.pickfinder.app/players/lol/n85jxqdsqe0o7yt</t>
  </si>
  <si>
    <t xml:space="preserve">https://www.pickfinder.app/players/lol/8vkeccv6e10ucrf</t>
  </si>
  <si>
    <t xml:space="preserve">https://www.pickfinder.app/players/lol/5l7ygpi00bc4tip</t>
  </si>
  <si>
    <t xml:space="preserve">https://www.pickfinder.app/players/lol/a1i2kuxagmuncr2</t>
  </si>
  <si>
    <t xml:space="preserve">HLE vs IG</t>
  </si>
  <si>
    <t xml:space="preserve">https://www.pickfinder.app/players/lol/1og5fatbgnm5iky</t>
  </si>
  <si>
    <t xml:space="preserve">https://www.pickfinder.app/players/lol/dk2xvnogliulqvm</t>
  </si>
  <si>
    <t xml:space="preserve">https://www.pickfinder.app/players/lol/sz58hgh9evxsz7i</t>
  </si>
  <si>
    <t xml:space="preserve">https://www.pickfinder.app/players/lol/a9kybbin6grz064</t>
  </si>
  <si>
    <t xml:space="preserve">https://www.pickfinder.app/players/lol/tdvdf1h4ixtxv6x</t>
  </si>
  <si>
    <t xml:space="preserve">IG vs HLE</t>
  </si>
  <si>
    <t xml:space="preserve">https://www.pickfinder.app/players/lol/xkumta5cuhr06ug</t>
  </si>
  <si>
    <t xml:space="preserve">https://www.pickfinder.app/players/lol/tm30neozvsj19qw</t>
  </si>
  <si>
    <t xml:space="preserve">https://www.pickfinder.app/players/lol/3vy8em8ahxc8dpm</t>
  </si>
  <si>
    <t xml:space="preserve">https://www.pickfinder.app/players/lol/9frb6zd2hdy3jrk</t>
  </si>
  <si>
    <t xml:space="preserve">LY vs GEN</t>
  </si>
  <si>
    <t xml:space="preserve">https://www.pickfinder.app/players/lol/59psvryzvsd87ax</t>
  </si>
  <si>
    <t xml:space="preserve">https://www.pickfinder.app/players/lol/669w2bo10c6kdxx</t>
  </si>
  <si>
    <t xml:space="preserve">https://www.pickfinder.app/players/lol/rkwgr384qtc66ge</t>
  </si>
  <si>
    <t xml:space="preserve">https://www.pickfinder.app/players/lol/5hz8uczujzdvcl3</t>
  </si>
  <si>
    <t xml:space="preserve">MKOI vs DK</t>
  </si>
  <si>
    <t xml:space="preserve">https://www.pickfinder.app/players/lol/dtzma60si9kmw5a</t>
  </si>
  <si>
    <t xml:space="preserve">https://www.pickfinder.app/players/lol/l061gni7rc68rt4</t>
  </si>
  <si>
    <t xml:space="preserve">https://www.pickfinder.app/players/lol/eh04uatcc7dtws5</t>
  </si>
  <si>
    <t xml:space="preserve">https://www.pickfinder.app/players/lol/ljg71l9tlvrjgsl</t>
  </si>
  <si>
    <t xml:space="preserve">OG vs Liquid</t>
  </si>
  <si>
    <t xml:space="preserve">https://www.pickfinder.app/players/dota2/5vihvu65ghkyan1</t>
  </si>
  <si>
    <t xml:space="preserve">https://www.pickfinder.app/players/dota2/gf5trr3nqlr6rzi</t>
  </si>
  <si>
    <t xml:space="preserve">https://www.pickfinder.app/players/dota2/327bydu6uqe51dl</t>
  </si>
  <si>
    <t xml:space="preserve">https://www.pickfinder.app/players/dota2/c9666oyxnrvurur</t>
  </si>
  <si>
    <t xml:space="preserve">PARI vs BB</t>
  </si>
  <si>
    <t xml:space="preserve">https://www.pickfinder.app/players/dota2/p48p2vywpenq4iz</t>
  </si>
  <si>
    <t xml:space="preserve">https://www.pickfinder.app/players/dota2/38c4z9ycctww8gl</t>
  </si>
  <si>
    <t xml:space="preserve">https://www.pickfinder.app/players/dota2/te1ihvul0whu8k1</t>
  </si>
  <si>
    <t xml:space="preserve">https://www.pickfinder.app/players/dota2/hkpy2i1q2cf4qrd</t>
  </si>
  <si>
    <t xml:space="preserve">https://www.pickfinder.app/players/dota2/s178rxweg2uixdf</t>
  </si>
  <si>
    <t xml:space="preserve">TES vs G2</t>
  </si>
  <si>
    <t xml:space="preserve">https://www.pickfinder.app/players/lol/d5dp09jubk87gzq</t>
  </si>
  <si>
    <t xml:space="preserve">https://www.pickfinder.app/players/lol/2lm5kmu2jy1q4aj</t>
  </si>
  <si>
    <t xml:space="preserve">https://www.pickfinder.app/players/lol/0hu7hmd8ldnn97r</t>
  </si>
  <si>
    <t xml:space="preserve">https://www.pickfinder.app/players/lol/fgtnfisj0lukgay</t>
  </si>
  <si>
    <t xml:space="preserve">https://www.pickfinder.app/players/lol/39ajy1cp6v3vhx1</t>
  </si>
  <si>
    <t xml:space="preserve">TS vs AI</t>
  </si>
  <si>
    <t xml:space="preserve">https://www.pickfinder.app/players/dota2/3nhf9uupulsq9gw</t>
  </si>
  <si>
    <t xml:space="preserve">https://www.pickfinder.app/players/dota2/eu78tcmea0duae0</t>
  </si>
  <si>
    <t xml:space="preserve">https://www.pickfinder.app/players/dota2/sw7j8rqyn0xsj7y</t>
  </si>
  <si>
    <t xml:space="preserve">https://www.pickfinder.app/players/dota2/7i0n30c69c9zmve</t>
  </si>
  <si>
    <t xml:space="preserve">TY vs 1WIN</t>
  </si>
  <si>
    <t xml:space="preserve">https://www.pickfinder.app/players/dota2/gjtmq8fbk0gya2i</t>
  </si>
  <si>
    <t xml:space="preserve">https://www.pickfinder.app/players/dota2/ms674i51eq6w83k</t>
  </si>
  <si>
    <t xml:space="preserve">https://www.pickfinder.app/players/dota2/0ajkyqw3r0k1f5j</t>
  </si>
  <si>
    <t xml:space="preserve">https://www.pickfinder.app/players/dota2/b2idu6d2bllmgsq</t>
  </si>
  <si>
    <t xml:space="preserve">https://www.pickfinder.app/players/dota2/sm63cqd6f6fdapn</t>
  </si>
  <si>
    <t xml:space="preserve">Date</t>
  </si>
  <si>
    <t xml:space="preserve">Opponent</t>
  </si>
  <si>
    <t xml:space="preserve">M 1K</t>
  </si>
  <si>
    <t xml:space="preserve">M 2K</t>
  </si>
  <si>
    <t xml:space="preserve">M 3K</t>
  </si>
  <si>
    <t xml:space="preserve">M 1-2K</t>
  </si>
  <si>
    <t xml:space="preserve">M 1-3K</t>
  </si>
  <si>
    <t xml:space="preserve">10/24</t>
  </si>
  <si>
    <t xml:space="preserve">GL</t>
  </si>
  <si>
    <t xml:space="preserve">10/23</t>
  </si>
  <si>
    <t xml:space="preserve">10/22</t>
  </si>
  <si>
    <t xml:space="preserve">10/09</t>
  </si>
  <si>
    <t xml:space="preserve">10/08</t>
  </si>
  <si>
    <t xml:space="preserve">AUR</t>
  </si>
  <si>
    <t xml:space="preserve">10/03</t>
  </si>
  <si>
    <t xml:space="preserve">10/02</t>
  </si>
  <si>
    <t xml:space="preserve">Nem</t>
  </si>
  <si>
    <t xml:space="preserve">09/30</t>
  </si>
  <si>
    <t xml:space="preserve">09/29</t>
  </si>
  <si>
    <t xml:space="preserve">Na`Vi</t>
  </si>
  <si>
    <t xml:space="preserve">09/25</t>
  </si>
  <si>
    <t xml:space="preserve">09/24</t>
  </si>
  <si>
    <t xml:space="preserve">09/23</t>
  </si>
  <si>
    <t xml:space="preserve">PIPS+4</t>
  </si>
  <si>
    <t xml:space="preserve">09/22</t>
  </si>
  <si>
    <t xml:space="preserve">09/21</t>
  </si>
  <si>
    <t xml:space="preserve">CS</t>
  </si>
  <si>
    <t xml:space="preserve">09/20</t>
  </si>
  <si>
    <t xml:space="preserve">HKR</t>
  </si>
  <si>
    <t xml:space="preserve">09/19</t>
  </si>
  <si>
    <t xml:space="preserve">08/21</t>
  </si>
  <si>
    <t xml:space="preserve">08/20</t>
  </si>
  <si>
    <t xml:space="preserve">08/16</t>
  </si>
  <si>
    <t xml:space="preserve">08/15</t>
  </si>
  <si>
    <t xml:space="preserve">08/14</t>
  </si>
  <si>
    <t xml:space="preserve">FLC</t>
  </si>
  <si>
    <t xml:space="preserve">LEGION</t>
  </si>
  <si>
    <t xml:space="preserve">YB</t>
  </si>
  <si>
    <t xml:space="preserve">Xtreme</t>
  </si>
  <si>
    <t xml:space="preserve">PlayTime</t>
  </si>
  <si>
    <t xml:space="preserve">08/23</t>
  </si>
  <si>
    <t xml:space="preserve">08/22</t>
  </si>
  <si>
    <t xml:space="preserve">VSN</t>
  </si>
  <si>
    <t xml:space="preserve">NGX</t>
  </si>
  <si>
    <t xml:space="preserve">LGD</t>
  </si>
  <si>
    <t xml:space="preserve">Iron Wing</t>
  </si>
  <si>
    <t xml:space="preserve">TR</t>
  </si>
  <si>
    <t xml:space="preserve">VG</t>
  </si>
  <si>
    <t xml:space="preserve">08/13</t>
  </si>
  <si>
    <t xml:space="preserve">08/02</t>
  </si>
  <si>
    <t xml:space="preserve">07/31</t>
  </si>
  <si>
    <t xml:space="preserve">07/30</t>
  </si>
  <si>
    <t xml:space="preserve">BoomBoys</t>
  </si>
  <si>
    <t xml:space="preserve">07/15</t>
  </si>
  <si>
    <t xml:space="preserve">RE</t>
  </si>
  <si>
    <t xml:space="preserve">07/11</t>
  </si>
  <si>
    <t xml:space="preserve">07/10</t>
  </si>
  <si>
    <t xml:space="preserve">07/09</t>
  </si>
  <si>
    <t xml:space="preserve">L1GA</t>
  </si>
  <si>
    <t xml:space="preserve">07/08</t>
  </si>
  <si>
    <t xml:space="preserve">07/07</t>
  </si>
  <si>
    <t xml:space="preserve">LVLUP</t>
  </si>
  <si>
    <t xml:space="preserve">10/01</t>
  </si>
  <si>
    <t xml:space="preserve">IW</t>
  </si>
  <si>
    <t xml:space="preserve">08/05</t>
  </si>
  <si>
    <t xml:space="preserve">09/13</t>
  </si>
  <si>
    <t xml:space="preserve">Dawn Bulls</t>
  </si>
  <si>
    <t xml:space="preserve">09/12</t>
  </si>
  <si>
    <t xml:space="preserve">HULIGANI</t>
  </si>
  <si>
    <t xml:space="preserve">09/10</t>
  </si>
  <si>
    <t xml:space="preserve">09/09</t>
  </si>
  <si>
    <t xml:space="preserve">MOUZ</t>
  </si>
  <si>
    <t xml:space="preserve">Team Synapse</t>
  </si>
  <si>
    <t xml:space="preserve">09/08</t>
  </si>
  <si>
    <t xml:space="preserve">09/07</t>
  </si>
  <si>
    <t xml:space="preserve">09/06</t>
  </si>
  <si>
    <t xml:space="preserve">09/04</t>
  </si>
  <si>
    <t xml:space="preserve">TS.A</t>
  </si>
  <si>
    <t xml:space="preserve">T1</t>
  </si>
  <si>
    <t xml:space="preserve">KT</t>
  </si>
  <si>
    <t xml:space="preserve">09/03</t>
  </si>
  <si>
    <t xml:space="preserve">BFX</t>
  </si>
  <si>
    <t xml:space="preserve">08/30</t>
  </si>
  <si>
    <t xml:space="preserve">08/12</t>
  </si>
  <si>
    <t xml:space="preserve">08/09</t>
  </si>
  <si>
    <t xml:space="preserve">08/06</t>
  </si>
  <si>
    <t xml:space="preserve">07/19</t>
  </si>
  <si>
    <t xml:space="preserve">KC</t>
  </si>
  <si>
    <t xml:space="preserve">07/18</t>
  </si>
  <si>
    <t xml:space="preserve">LOS</t>
  </si>
  <si>
    <t xml:space="preserve">09/05</t>
  </si>
  <si>
    <t xml:space="preserve">VIT</t>
  </si>
  <si>
    <t xml:space="preserve">08/24</t>
  </si>
  <si>
    <t xml:space="preserve">GX</t>
  </si>
  <si>
    <t xml:space="preserve">FNC</t>
  </si>
  <si>
    <t xml:space="preserve">SHFT</t>
  </si>
  <si>
    <t xml:space="preserve">08/10</t>
  </si>
  <si>
    <t xml:space="preserve">Navi</t>
  </si>
  <si>
    <t xml:space="preserve">TH</t>
  </si>
  <si>
    <t xml:space="preserve">SK</t>
  </si>
  <si>
    <t xml:space="preserve">07/26</t>
  </si>
  <si>
    <t xml:space="preserve">07/25</t>
  </si>
  <si>
    <t xml:space="preserve">07/24</t>
  </si>
  <si>
    <t xml:space="preserve">07/16</t>
  </si>
  <si>
    <t xml:space="preserve">TPE</t>
  </si>
  <si>
    <t xml:space="preserve">KSA</t>
  </si>
  <si>
    <t xml:space="preserve">HKG</t>
  </si>
  <si>
    <t xml:space="preserve">09/01</t>
  </si>
  <si>
    <t xml:space="preserve">08/19</t>
  </si>
  <si>
    <t xml:space="preserve">DNS</t>
  </si>
  <si>
    <t xml:space="preserve">08/07</t>
  </si>
  <si>
    <t xml:space="preserve">08/04</t>
  </si>
  <si>
    <t xml:space="preserve">09/02</t>
  </si>
  <si>
    <t xml:space="preserve">08/08</t>
  </si>
  <si>
    <t xml:space="preserve">TSW</t>
  </si>
  <si>
    <t xml:space="preserve">JDG</t>
  </si>
  <si>
    <t xml:space="preserve">09/17</t>
  </si>
  <si>
    <t xml:space="preserve">AL</t>
  </si>
  <si>
    <t xml:space="preserve">WE</t>
  </si>
  <si>
    <t xml:space="preserve">08/28</t>
  </si>
  <si>
    <t xml:space="preserve">TT</t>
  </si>
  <si>
    <t xml:space="preserve">NIP</t>
  </si>
  <si>
    <t xml:space="preserve">WB</t>
  </si>
  <si>
    <t xml:space="preserve">05/23</t>
  </si>
  <si>
    <t xml:space="preserve">05/17</t>
  </si>
  <si>
    <t xml:space="preserve">05/12</t>
  </si>
  <si>
    <t xml:space="preserve">BLG</t>
  </si>
  <si>
    <t xml:space="preserve">05/09</t>
  </si>
  <si>
    <t xml:space="preserve">LNG</t>
  </si>
  <si>
    <t xml:space="preserve">10/04</t>
  </si>
  <si>
    <t xml:space="preserve">TL</t>
  </si>
  <si>
    <t xml:space="preserve">C9</t>
  </si>
  <si>
    <t xml:space="preserve">09/26</t>
  </si>
  <si>
    <t xml:space="preserve">SR</t>
  </si>
  <si>
    <t xml:space="preserve">DSG</t>
  </si>
  <si>
    <t xml:space="preserve">08/29</t>
  </si>
  <si>
    <t xml:space="preserve">SEN</t>
  </si>
  <si>
    <t xml:space="preserve">DIG</t>
  </si>
  <si>
    <t xml:space="preserve">FLY</t>
  </si>
  <si>
    <t xml:space="preserve">MILO</t>
  </si>
  <si>
    <t xml:space="preserve">07/06</t>
  </si>
  <si>
    <t xml:space="preserve">CFO</t>
  </si>
  <si>
    <t xml:space="preserve">09/18</t>
  </si>
  <si>
    <t xml:space="preserve">10/16</t>
  </si>
  <si>
    <t xml:space="preserve">10/15</t>
  </si>
  <si>
    <t xml:space="preserve">P-</t>
  </si>
  <si>
    <t xml:space="preserve">08/11</t>
  </si>
  <si>
    <t xml:space="preserve">PR</t>
  </si>
  <si>
    <t xml:space="preserve">10/11</t>
  </si>
  <si>
    <t xml:space="preserve">10/10</t>
  </si>
  <si>
    <t xml:space="preserve">09/15</t>
  </si>
  <si>
    <t xml:space="preserve">NS Club</t>
  </si>
  <si>
    <t xml:space="preserve">Stariy Bog Club</t>
  </si>
  <si>
    <t xml:space="preserve">09/11</t>
  </si>
  <si>
    <t xml:space="preserve">VooDooSh Club</t>
  </si>
  <si>
    <t xml:space="preserve">Daxak Club</t>
  </si>
  <si>
    <t xml:space="preserve">Rostikfacekid Club</t>
  </si>
  <si>
    <t xml:space="preserve">09/14</t>
  </si>
  <si>
    <t xml:space="preserve">Recrent Club</t>
  </si>
  <si>
    <t xml:space="preserve">03/02</t>
  </si>
  <si>
    <t xml:space="preserve">02/28</t>
  </si>
  <si>
    <t xml:space="preserve">02/24</t>
  </si>
  <si>
    <t xml:space="preserve">02/09</t>
  </si>
  <si>
    <t xml:space="preserve">02/05</t>
  </si>
  <si>
    <t xml:space="preserve">02/01</t>
  </si>
  <si>
    <t xml:space="preserve">01/30</t>
  </si>
  <si>
    <t xml:space="preserve">01/27</t>
  </si>
  <si>
    <t xml:space="preserve">01/25</t>
  </si>
  <si>
    <t xml:space="preserve">01/24</t>
  </si>
  <si>
    <t xml:space="preserve">01/21</t>
  </si>
  <si>
    <t xml:space="preserve">01/19</t>
  </si>
  <si>
    <t xml:space="preserve">01/18</t>
  </si>
  <si>
    <t xml:space="preserve">EDG</t>
  </si>
  <si>
    <t xml:space="preserve">08/01</t>
  </si>
  <si>
    <t xml:space="preserve">SBT</t>
  </si>
  <si>
    <t xml:space="preserve">Stray</t>
  </si>
  <si>
    <t xml:space="preserve">10/14</t>
  </si>
  <si>
    <t xml:space="preserve">BOT</t>
  </si>
  <si>
    <t xml:space="preserve">10/17</t>
  </si>
  <si>
    <t xml:space="preserve">Nix</t>
  </si>
  <si>
    <t xml:space="preserve">10/13</t>
  </si>
  <si>
    <t xml:space="preserve">DB</t>
  </si>
  <si>
    <t xml:space="preserve">09/27</t>
  </si>
  <si>
    <t xml:space="preserve">TP player name</t>
  </si>
  <si>
    <t xml:space="preserve">Map 1 median</t>
  </si>
  <si>
    <t xml:space="preserve">Map 2 median</t>
  </si>
  <si>
    <t xml:space="preserve">Map 3 median</t>
  </si>
  <si>
    <t xml:space="preserve">Rungs (M1)</t>
  </si>
  <si>
    <t xml:space="preserve">Matched PID</t>
  </si>
  <si>
    <t xml:space="preserve">boxi</t>
  </si>
  <si>
    <t xml:space="preserve">malr1ne</t>
  </si>
  <si>
    <t xml:space="preserve">natsumi</t>
  </si>
  <si>
    <t xml:space="preserve">onejey</t>
  </si>
  <si>
    <t xml:space="preserve">rincyq</t>
  </si>
  <si>
    <t xml:space="preserve">skem</t>
  </si>
  <si>
    <t xml:space="preserve">tofu</t>
  </si>
  <si>
    <t xml:space="preserve">topson</t>
  </si>
  <si>
    <t xml:space="preserve">triplesss</t>
  </si>
  <si>
    <t xml:space="preserve">wisper</t>
  </si>
  <si>
    <t xml:space="preserve">ari</t>
  </si>
  <si>
    <t xml:space="preserve">atf</t>
  </si>
  <si>
    <t xml:space="preserve">chira_junior</t>
  </si>
  <si>
    <t xml:space="preserve">malady</t>
  </si>
  <si>
    <t xml:space="preserve">pure</t>
  </si>
  <si>
    <t xml:space="preserve">saksa</t>
  </si>
  <si>
    <t xml:space="preserve">whitemon</t>
  </si>
  <si>
    <t xml:space="preserve">batyuk</t>
  </si>
  <si>
    <t xml:space="preserve">gh</t>
  </si>
  <si>
    <t xml:space="preserve">larl</t>
  </si>
  <si>
    <t xml:space="preserve">nightfall</t>
  </si>
  <si>
    <t xml:space="preserve">omar</t>
  </si>
  <si>
    <t xml:space="preserve">yatoro</t>
  </si>
  <si>
    <t xml:space="preserve">delight</t>
  </si>
  <si>
    <t xml:space="preserve">gumayusi</t>
  </si>
  <si>
    <t xml:space="preserve">jiaqi</t>
  </si>
  <si>
    <t xml:space="preserve">kanavi</t>
  </si>
  <si>
    <t xml:space="preserve">meiko</t>
  </si>
  <si>
    <t xml:space="preserve">rookie</t>
  </si>
  <si>
    <t xml:space="preserve">theshy</t>
  </si>
  <si>
    <t xml:space="preserve">wei</t>
  </si>
  <si>
    <t xml:space="preserve">zeka</t>
  </si>
  <si>
    <t xml:space="preserve">zeus</t>
  </si>
  <si>
    <t xml:space="preserve">9class</t>
  </si>
  <si>
    <t xml:space="preserve">dukalis</t>
  </si>
  <si>
    <t xml:space="preserve">kataomi`</t>
  </si>
  <si>
    <t xml:space="preserve">kiritych</t>
  </si>
  <si>
    <t xml:space="preserve">miero`</t>
  </si>
  <si>
    <t xml:space="preserve">no[o]ne-</t>
  </si>
  <si>
    <t xml:space="preserve">noticed</t>
  </si>
  <si>
    <t xml:space="preserve">satanic</t>
  </si>
  <si>
    <t xml:space="preserve">save-</t>
  </si>
  <si>
    <t xml:space="preserve">brokenblade</t>
  </si>
  <si>
    <t xml:space="preserve">caps</t>
  </si>
  <si>
    <t xml:space="preserve">creme</t>
  </si>
  <si>
    <t xml:space="preserve">hans sama</t>
  </si>
  <si>
    <t xml:space="preserve">jackeylove</t>
  </si>
  <si>
    <t xml:space="preserve">labrov</t>
  </si>
  <si>
    <t xml:space="preserve">skewmond</t>
  </si>
  <si>
    <t xml:space="preserve">tian</t>
  </si>
  <si>
    <t xml:space="preserve">zhuo</t>
  </si>
  <si>
    <t xml:space="preserve">alvaro</t>
  </si>
  <si>
    <t xml:space="preserve">career</t>
  </si>
  <si>
    <t xml:space="preserve">elyoya</t>
  </si>
  <si>
    <t xml:space="preserve">jojopyun</t>
  </si>
  <si>
    <t xml:space="preserve">lucid</t>
  </si>
  <si>
    <t xml:space="preserve">myrwn</t>
  </si>
  <si>
    <t xml:space="preserve">showmaker</t>
  </si>
  <si>
    <t xml:space="preserve">siwoo</t>
  </si>
  <si>
    <t xml:space="preserve">smash</t>
  </si>
  <si>
    <t xml:space="preserve">supa</t>
  </si>
  <si>
    <t xml:space="preserve">berserker</t>
  </si>
  <si>
    <t xml:space="preserve">canyon</t>
  </si>
  <si>
    <t xml:space="preserve">dhokla</t>
  </si>
  <si>
    <t xml:space="preserve">duro</t>
  </si>
  <si>
    <t xml:space="preserve">inspired</t>
  </si>
  <si>
    <t xml:space="preserve">isles</t>
  </si>
  <si>
    <t xml:space="preserve">kiin</t>
  </si>
  <si>
    <t xml:space="preserve">ruler</t>
  </si>
  <si>
    <t xml:space="preserve">saint</t>
  </si>
  <si>
    <t xml:space="preserve">Logged (UTC)</t>
  </si>
  <si>
    <t xml:space="preserve">Slate</t>
  </si>
  <si>
    <t xml:space="preserve">Actual</t>
  </si>
  <si>
    <t xml:space="preserve">Result</t>
  </si>
  <si>
    <t xml:space="preserve">Check</t>
  </si>
  <si>
    <t xml:space="preserve">PickFinder board rows (LoL + Dota)</t>
  </si>
  <si>
    <t xml:space="preserve">Players with stats</t>
  </si>
  <si>
    <t xml:space="preserve">Gamelog identity M1+M2 = M1-2 and M1-2+M3 = M1-3, every row</t>
  </si>
  <si>
    <t xml:space="preserve">70 / 70 players pass</t>
  </si>
  <si>
    <t xml:space="preserve">Matches resolved to Thunderpick</t>
  </si>
  <si>
    <t xml:space="preserve">8 / 8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</si>
  <si>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</si>
  <si>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</si>
  <si>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</si>
  <si>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largest |Projections − Log| (≈0 at default settings)</t>
  </si>
  <si>
    <t xml:space="preserve">LIVE: identity — legs where P(win M1) = q but Proj ≠ Naive (should be 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</si>
</sst>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0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FEEE7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3F0EA"/>
          <bgColor rgb="FF000000"/>
        </patternFill>
      </fill>
    </dxf>
    <dxf>
      <fill>
        <patternFill patternType="solid">
          <fgColor rgb="FFE6F2EC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E0E3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1.7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28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 t="s">
        <v>19</v>
      </c>
    </row>
    <row r="25" customFormat="false" ht="28.3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28.3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7"/>
    <col collapsed="false" customWidth="true" hidden="false" outlineLevel="0" max="18" min="18" style="0" width="30"/>
    <col collapsed="false" customWidth="true" hidden="false" outlineLevel="0" max="19" min="19" style="0" width="2"/>
    <col collapsed="false" customWidth="true" hidden="true" outlineLevel="0" max="20" min="20" style="0" width="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  <c r="B2" s="5" t="s">
        <v>27</v>
      </c>
    </row>
    <row r="4" customFormat="false" ht="15" hidden="false" customHeight="false" outlineLevel="0" collapsed="false">
      <c r="A4" s="4" t="s">
        <v>28</v>
      </c>
      <c r="B4" s="0" t="str">
        <f aca="false">IFERROR(IF(INDEX(Matches!$E$5:$E$12,MATCH($B$2,Matches!$A$5:$A$12,0))="","",INDEX(Matches!$E$5:$E$12,MATCH($B$2,Matches!$A$5:$A$12,0))),"")&amp;"  vs  "&amp;IFERROR(IF(INDEX(Matches!$F$5:$F$12,MATCH($B$2,Matches!$A$5:$A$12,0))="","",INDEX(Matches!$F$5:$F$12,MATCH($B$2,Matches!$A$5:$A$12,0))),"")</f>
        <v>Team Liquid (Liquid)  vs  OG (OG)</v>
      </c>
      <c r="D4" s="4" t="s">
        <v>29</v>
      </c>
      <c r="E4" s="0" t="str">
        <f aca="false">IFERROR(IF(INDEX(Matches!$C$5:$C$12,MATCH($B$2,Matches!$A$5:$A$12,0))="","",INDEX(Matches!$C$5:$C$12,MATCH($B$2,Matches!$A$5:$A$12,0))),"")</f>
        <v>Sun 03:00</v>
      </c>
      <c r="G4" s="4" t="s">
        <v>30</v>
      </c>
      <c r="H4" s="6" t="n">
        <f aca="false">IFERROR(IF(INDEX(Matches!$D$5:$D$12,MATCH($B$2,Matches!$A$5:$A$12,0))="","",INDEX(Matches!$D$5:$D$12,MATCH($B$2,Matches!$A$5:$A$12,0))),"")</f>
        <v>3</v>
      </c>
    </row>
    <row r="5" customFormat="false" ht="15" hidden="false" customHeight="false" outlineLevel="0" collapsed="false">
      <c r="A5" s="4" t="s">
        <v>31</v>
      </c>
      <c r="B5" s="0" t="str">
        <f aca="false">IFERROR(IF(INDEX(Matches!$B$5:$B$12,MATCH($B$2,Matches!$A$5:$A$12,0))="","",INDEX(Matches!$B$5:$B$12,MATCH($B$2,Matches!$A$5:$A$12,0))),"")</f>
        <v>P Universe</v>
      </c>
      <c r="D5" s="4" t="s">
        <v>32</v>
      </c>
      <c r="E5" s="7" t="n">
        <f aca="false">IFERROR(IF(INDEX(Matches!$G$5:$G$12,MATCH($B$2,Matches!$A$5:$A$12,0))="","",INDEX(Matches!$G$5:$G$12,MATCH($B$2,Matches!$A$5:$A$12,0))),"")</f>
        <v>0.547619047619048</v>
      </c>
      <c r="G5" s="4" t="s">
        <v>33</v>
      </c>
      <c r="H5" s="7" t="n">
        <f aca="false">IFERROR(IF(INDEX(Matches!$M$5:$M$12,MATCH($B$2,Matches!$A$5:$A$12,0))="","",INDEX(Matches!$M$5:$M$12,MATCH($B$2,Matches!$A$5:$A$12,0))),"")</f>
        <v>0.5319</v>
      </c>
    </row>
    <row r="6" customFormat="false" ht="15" hidden="false" customHeight="false" outlineLevel="0" collapsed="false">
      <c r="A6" s="4" t="s">
        <v>34</v>
      </c>
      <c r="B6" s="8" t="n">
        <f aca="false">IFERROR(IF(INDEX(Matches!$H$5:$H$12,MATCH($B$2,Matches!$A$5:$A$12,0))="","",INDEX(Matches!$H$5:$H$12,MATCH($B$2,Matches!$A$5:$A$12,0))),"")</f>
        <v>56.3333333333333</v>
      </c>
      <c r="D6" s="4" t="s">
        <v>35</v>
      </c>
      <c r="E6" s="0" t="str">
        <f aca="false">IF(IFERROR(IF(INDEX(Matches!$I$5:$I$12,MATCH($B$2,Matches!$A$5:$A$12,0))="","",INDEX(Matches!$I$5:$I$12,MATCH($B$2,Matches!$A$5:$A$12,0))),"")="","",TEXT(IFERROR(IF(INDEX(Matches!$I$5:$I$12,MATCH($B$2,Matches!$A$5:$A$12,0))="","",INDEX(Matches!$I$5:$I$12,MATCH($B$2,Matches!$A$5:$A$12,0))),""),"0.0")&amp;" / "&amp;TEXT(IFERROR(IF(INDEX(Matches!$J$5:$J$12,MATCH($B$2,Matches!$A$5:$A$12,0))="","",INDEX(Matches!$J$5:$J$12,MATCH($B$2,Matches!$A$5:$A$12,0))),""),"0.0"))</f>
        <v>29.5 / 28.7</v>
      </c>
      <c r="G6" s="4" t="s">
        <v>36</v>
      </c>
      <c r="H6" s="8" t="n">
        <f aca="false">IFERROR(IF(INDEX(Matches!$K$5:$K$12,MATCH($B$2,Matches!$A$5:$A$12,0))="","",INDEX(Matches!$K$5:$K$12,MATCH($B$2,Matches!$A$5:$A$12,0))),"")</f>
        <v>44.4545454545455</v>
      </c>
    </row>
    <row r="7" customFormat="false" ht="15" hidden="false" customHeight="false" outlineLevel="0" collapsed="false">
      <c r="A7" s="4" t="s">
        <v>37</v>
      </c>
      <c r="B7" s="6" t="n">
        <f aca="false">IFERROR(IF(INDEX(Matches!$R$5:$R$12,MATCH($B$2,Matches!$A$5:$A$12,0))="","",INDEX(Matches!$R$5:$R$12,MATCH($B$2,Matches!$A$5:$A$12,0))),"")</f>
        <v>1</v>
      </c>
      <c r="D7" s="4" t="s">
        <v>38</v>
      </c>
      <c r="E7" s="0" t="str">
        <f aca="false">TEXT(IFERROR(IF(INDEX(Matches!$P$5:$P$12,MATCH($B$2,Matches!$A$5:$A$12,0))="","",INDEX(Matches!$P$5:$P$12,MATCH($B$2,Matches!$A$5:$A$12,0))),""),"0%")&amp;" / "&amp;TEXT(IFERROR(IF(INDEX(Matches!$Q$5:$Q$12,MATCH($B$2,Matches!$A$5:$A$12,0))="","",INDEX(Matches!$Q$5:$Q$12,MATCH($B$2,Matches!$A$5:$A$12,0))),""),"0%")</f>
        <v>100% / 50%</v>
      </c>
      <c r="G7" s="4" t="s">
        <v>39</v>
      </c>
      <c r="H7" s="8" t="n">
        <f aca="false">IF(IFERROR(IF(INDEX(Matches!$I$5:$I$12,MATCH($B$2,Matches!$A$5:$A$12,0))="","",INDEX(Matches!$I$5:$I$12,MATCH($B$2,Matches!$A$5:$A$12,0))),"")="","",IFERROR(IF(INDEX(Matches!$I$5:$I$12,MATCH($B$2,Matches!$A$5:$A$12,0))="","",INDEX(Matches!$I$5:$I$12,MATCH($B$2,Matches!$A$5:$A$12,0))),"")-IFERROR(IF(INDEX(Matches!$J$5:$J$12,MATCH($B$2,Matches!$A$5:$A$12,0))="","",INDEX(Matches!$J$5:$J$12,MATCH($B$2,Matches!$A$5:$A$12,0))),""))</f>
        <v>0.783333333333328</v>
      </c>
    </row>
    <row r="9" customFormat="false" ht="15" hidden="false" customHeight="false" outlineLevel="0" collapsed="false">
      <c r="B9" s="3" t="str">
        <f aca="false">"Change P(win), maps played or kill environment on the Matches tab, row "&amp;(MATCH($B$2,Matches!$A$5:$A$12,0)+4)&amp;"."</f>
        <v>Change P(win), maps played or kill environment on the Matches tab, row 5.</v>
      </c>
    </row>
    <row r="11" customFormat="false" ht="28.3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G11" s="9" t="s">
        <v>46</v>
      </c>
      <c r="H11" s="9" t="s">
        <v>47</v>
      </c>
      <c r="I11" s="9" t="s">
        <v>48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/>
      <c r="T11" s="9" t="s">
        <v>58</v>
      </c>
    </row>
    <row r="12" customFormat="false" ht="15" hidden="false" customHeight="false" outlineLevel="0" collapsed="false">
      <c r="A12" s="0" t="str">
        <f aca="false">IF($T12="","",INDEX(Calc!$C$2:$C$71,$T12))</f>
        <v>OG</v>
      </c>
      <c r="B12" s="0" t="str">
        <f aca="false">IF($T12="","",INDEX(Calc!$D$2:$D$71,$T12))</f>
        <v>Natsumi-</v>
      </c>
      <c r="C12" s="7" t="n">
        <f aca="false">IF($T12="","",INDEX(Calc!$H$2:$H$71,$T12))</f>
        <v>0.57</v>
      </c>
      <c r="D12" s="8" t="n">
        <f aca="false">IF($T12="","",INDEX(Calc!$I$2:$I$71,$T12))</f>
        <v>7.5</v>
      </c>
      <c r="E12" s="8" t="n">
        <f aca="false">IF($T12="","",INDEX(Calc!$J$2:$J$71,$T12))</f>
        <v>9.22579748418931</v>
      </c>
      <c r="F12" s="8" t="n">
        <f aca="false">IF($T12="","",INDEX(Calc!$K$2:$K$71,$T12))</f>
        <v>5.21231496281882</v>
      </c>
      <c r="G12" s="7" t="n">
        <f aca="false">IF($T12="","",INDEX(Calc!$M$2:$M$71,$T12))</f>
        <v>0.4681</v>
      </c>
      <c r="H12" s="8" t="n">
        <f aca="false">IF($T12="","",INDEX(Calc!$Y$2:$Y$71,$T12))</f>
        <v>7.09102613107235</v>
      </c>
      <c r="I12" s="8" t="n">
        <f aca="false">IF($T12="","",INDEX(Calc!$AE$2:$AE$71,$T12))</f>
        <v>7.5</v>
      </c>
      <c r="J12" s="0" t="str">
        <f aca="false">IF($T12="","",IFERROR(INDEX(Projections!$E$2:$E$71,MATCH(INDEX(Calc!$A$2:$A$71,$T12)&amp;"|K1",Projections!$AA$2:$AA$71,0)),""))</f>
        <v/>
      </c>
      <c r="K12" s="7" t="str">
        <f aca="false">IF($T12="","",IFERROR(INDEX(Projections!$H$2:$H$71,MATCH(INDEX(Calc!$A$2:$A$71,$T12)&amp;"|K1",Projections!$AA$2:$AA$71,0)),""))</f>
        <v/>
      </c>
      <c r="L12" s="8" t="n">
        <f aca="false">IF($T12="","",INDEX(Calc!$AK$2:$AK$71,$T12))</f>
        <v>14.1820522621447</v>
      </c>
      <c r="M12" s="6" t="n">
        <f aca="false">IF($T12="","",IFERROR(INDEX(Projections!$E$2:$E$71,MATCH(INDEX(Calc!$A$2:$A$71,$T12)&amp;"|"&amp;INDEX(Calc!$AJ$2:$AJ$71,$T12),Projections!$AA$2:$AA$71,0)),""))</f>
        <v>14.5</v>
      </c>
      <c r="N12" s="7" t="n">
        <f aca="false">IF($T12="","",IFERROR(INDEX(Projections!$H$2:$H$71,MATCH(INDEX(Calc!$A$2:$A$71,$T12)&amp;"|"&amp;INDEX(Calc!$AJ$2:$AJ$71,$T12),Projections!$AA$2:$AA$71,0)),""))</f>
        <v>0.478294441957924</v>
      </c>
      <c r="O12" s="6" t="n">
        <f aca="false">IF($T12="","",IFERROR(INDEX(Projections!$N$2:$N$71,MATCH(INDEX(Calc!$A$2:$A$71,$T12)&amp;"|K1",Projections!$AA$2:$AA$71,0)),IFERROR(INDEX(Projections!$N$2:$N$71,MATCH(INDEX(Calc!$A$2:$A$71,$T12)&amp;"|"&amp;INDEX(Calc!$AJ$2:$AJ$71,$T12),Projections!$AA$2:$AA$71,0)),"")))</f>
        <v>0</v>
      </c>
      <c r="P12" s="7" t="n">
        <f aca="false">IF($T12="","",IFERROR(INDEX(Projections!$S$2:$S$71,MATCH(INDEX(Calc!$A$2:$A$71,$T12)&amp;"|K1",Projections!$AA$2:$AA$71,0)),IFERROR(INDEX(Projections!$S$2:$S$71,MATCH(INDEX(Calc!$A$2:$A$71,$T12)&amp;"|"&amp;INDEX(Calc!$AJ$2:$AJ$71,$T12),Projections!$AA$2:$AA$71,0)),"")))</f>
        <v>0.4</v>
      </c>
      <c r="Q12" s="6" t="n">
        <f aca="false">IF($T12="","",INDEX(Calc!$G$2:$G$71,$T12))</f>
        <v>30</v>
      </c>
      <c r="R12" s="0" t="str">
        <f aca="false">IF($T12="","",INDEX(Calc!$AH$2:$AH$71,$T12))</f>
        <v>new roster: 0% of his recent games with these teammates</v>
      </c>
      <c r="T12" s="6" t="n">
        <f aca="false">IFERROR(MATCH(1,Calc!$AI$2:$AI$71,0),"")</f>
        <v>1</v>
      </c>
    </row>
    <row r="13" customFormat="false" ht="15" hidden="false" customHeight="false" outlineLevel="0" collapsed="false">
      <c r="A13" s="0" t="str">
        <f aca="false">IF($T13="","",INDEX(Calc!$C$2:$C$71,$T13))</f>
        <v>OG</v>
      </c>
      <c r="B13" s="0" t="str">
        <f aca="false">IF($T13="","",INDEX(Calc!$D$2:$D$71,$T13))</f>
        <v>TOPSON</v>
      </c>
      <c r="C13" s="7" t="n">
        <f aca="false">IF($T13="","",INDEX(Calc!$H$2:$H$71,$T13))</f>
        <v>0.63</v>
      </c>
      <c r="D13" s="8" t="n">
        <f aca="false">IF($T13="","",INDEX(Calc!$I$2:$I$71,$T13))</f>
        <v>7.3</v>
      </c>
      <c r="E13" s="8" t="n">
        <f aca="false">IF($T13="","",INDEX(Calc!$J$2:$J$71,$T13))</f>
        <v>8.70042421385765</v>
      </c>
      <c r="F13" s="8" t="n">
        <f aca="false">IF($T13="","",INDEX(Calc!$K$2:$K$71,$T13))</f>
        <v>4.91549390613427</v>
      </c>
      <c r="G13" s="7" t="n">
        <f aca="false">IF($T13="","",INDEX(Calc!$M$2:$M$71,$T13))</f>
        <v>0.4681</v>
      </c>
      <c r="H13" s="8" t="n">
        <f aca="false">IF($T13="","",INDEX(Calc!$Y$2:$Y$71,$T13))</f>
        <v>6.68721978317958</v>
      </c>
      <c r="I13" s="8" t="n">
        <f aca="false">IF($T13="","",INDEX(Calc!$AE$2:$AE$71,$T13))</f>
        <v>7.3</v>
      </c>
      <c r="J13" s="0" t="str">
        <f aca="false">IF($T13="","",IFERROR(INDEX(Projections!$E$2:$E$71,MATCH(INDEX(Calc!$A$2:$A$71,$T13)&amp;"|K1",Projections!$AA$2:$AA$71,0)),""))</f>
        <v/>
      </c>
      <c r="K13" s="7" t="str">
        <f aca="false">IF($T13="","",IFERROR(INDEX(Projections!$H$2:$H$71,MATCH(INDEX(Calc!$A$2:$A$71,$T13)&amp;"|K1",Projections!$AA$2:$AA$71,0)),""))</f>
        <v/>
      </c>
      <c r="L13" s="8" t="n">
        <f aca="false">IF($T13="","",INDEX(Calc!$AK$2:$AK$71,$T13))</f>
        <v>13.3744395663592</v>
      </c>
      <c r="M13" s="6" t="n">
        <f aca="false">IF($T13="","",IFERROR(INDEX(Projections!$E$2:$E$71,MATCH(INDEX(Calc!$A$2:$A$71,$T13)&amp;"|"&amp;INDEX(Calc!$AJ$2:$AJ$71,$T13),Projections!$AA$2:$AA$71,0)),""))</f>
        <v>13.5</v>
      </c>
      <c r="N13" s="7" t="n">
        <f aca="false">IF($T13="","",IFERROR(INDEX(Projections!$H$2:$H$71,MATCH(INDEX(Calc!$A$2:$A$71,$T13)&amp;"|"&amp;INDEX(Calc!$AJ$2:$AJ$71,$T13),Projections!$AA$2:$AA$71,0)),""))</f>
        <v>0.491109928481093</v>
      </c>
      <c r="O13" s="6" t="n">
        <f aca="false">IF($T13="","",IFERROR(INDEX(Projections!$N$2:$N$71,MATCH(INDEX(Calc!$A$2:$A$71,$T13)&amp;"|K1",Projections!$AA$2:$AA$71,0)),IFERROR(INDEX(Projections!$N$2:$N$71,MATCH(INDEX(Calc!$A$2:$A$71,$T13)&amp;"|"&amp;INDEX(Calc!$AJ$2:$AJ$71,$T13),Projections!$AA$2:$AA$71,0)),"")))</f>
        <v>12.6</v>
      </c>
      <c r="P13" s="7" t="n">
        <f aca="false">IF($T13="","",IFERROR(INDEX(Projections!$S$2:$S$71,MATCH(INDEX(Calc!$A$2:$A$71,$T13)&amp;"|K1",Projections!$AA$2:$AA$71,0)),IFERROR(INDEX(Projections!$S$2:$S$71,MATCH(INDEX(Calc!$A$2:$A$71,$T13)&amp;"|"&amp;INDEX(Calc!$AJ$2:$AJ$71,$T13),Projections!$AA$2:$AA$71,0)),"")))</f>
        <v>0.6</v>
      </c>
      <c r="Q13" s="6" t="n">
        <f aca="false">IF($T13="","",INDEX(Calc!$G$2:$G$71,$T13))</f>
        <v>30</v>
      </c>
      <c r="R13" s="0" t="str">
        <f aca="false">IF($T13="","",INDEX(Calc!$AH$2:$AH$71,$T13))</f>
        <v>new roster: 0% of his recent games with these teammates</v>
      </c>
      <c r="T13" s="6" t="n">
        <f aca="false">IFERROR(MATCH(2,Calc!$AI$2:$AI$71,0),"")</f>
        <v>4</v>
      </c>
    </row>
    <row r="14" customFormat="false" ht="15" hidden="false" customHeight="false" outlineLevel="0" collapsed="false">
      <c r="A14" s="0" t="str">
        <f aca="false">IF($T14="","",INDEX(Calc!$C$2:$C$71,$T14))</f>
        <v>OG</v>
      </c>
      <c r="B14" s="0" t="str">
        <f aca="false">IF($T14="","",INDEX(Calc!$D$2:$D$71,$T14))</f>
        <v>OneJey</v>
      </c>
      <c r="C14" s="7" t="n">
        <f aca="false">IF($T14="","",INDEX(Calc!$H$2:$H$71,$T14))</f>
        <v>0.57</v>
      </c>
      <c r="D14" s="8" t="n">
        <f aca="false">IF($T14="","",INDEX(Calc!$I$2:$I$71,$T14))</f>
        <v>3.9</v>
      </c>
      <c r="E14" s="8" t="n">
        <f aca="false">IF($T14="","",INDEX(Calc!$J$2:$J$71,$T14))</f>
        <v>4.79741469177844</v>
      </c>
      <c r="F14" s="8" t="n">
        <f aca="false">IF($T14="","",INDEX(Calc!$K$2:$K$71,$T14))</f>
        <v>2.71040378066579</v>
      </c>
      <c r="G14" s="7" t="n">
        <f aca="false">IF($T14="","",INDEX(Calc!$M$2:$M$71,$T14))</f>
        <v>0.4681</v>
      </c>
      <c r="H14" s="8" t="n">
        <f aca="false">IF($T14="","",INDEX(Calc!$Y$2:$Y$71,$T14))</f>
        <v>3.68733358815762</v>
      </c>
      <c r="I14" s="8" t="n">
        <f aca="false">IF($T14="","",INDEX(Calc!$AE$2:$AE$71,$T14))</f>
        <v>3.9</v>
      </c>
      <c r="J14" s="0" t="str">
        <f aca="false">IF($T14="","",IFERROR(INDEX(Projections!$E$2:$E$71,MATCH(INDEX(Calc!$A$2:$A$71,$T14)&amp;"|K1",Projections!$AA$2:$AA$71,0)),""))</f>
        <v/>
      </c>
      <c r="K14" s="7" t="str">
        <f aca="false">IF($T14="","",IFERROR(INDEX(Projections!$H$2:$H$71,MATCH(INDEX(Calc!$A$2:$A$71,$T14)&amp;"|K1",Projections!$AA$2:$AA$71,0)),""))</f>
        <v/>
      </c>
      <c r="L14" s="8" t="n">
        <f aca="false">IF($T14="","",INDEX(Calc!$AK$2:$AK$71,$T14))</f>
        <v>7.37466717631524</v>
      </c>
      <c r="M14" s="6" t="n">
        <f aca="false">IF($T14="","",IFERROR(INDEX(Projections!$E$2:$E$71,MATCH(INDEX(Calc!$A$2:$A$71,$T14)&amp;"|"&amp;INDEX(Calc!$AJ$2:$AJ$71,$T14),Projections!$AA$2:$AA$71,0)),""))</f>
        <v>6.5</v>
      </c>
      <c r="N14" s="7" t="n">
        <f aca="false">IF($T14="","",IFERROR(INDEX(Projections!$H$2:$H$71,MATCH(INDEX(Calc!$A$2:$A$71,$T14)&amp;"|"&amp;INDEX(Calc!$AJ$2:$AJ$71,$T14),Projections!$AA$2:$AA$71,0)),""))</f>
        <v>0.587250200226452</v>
      </c>
      <c r="O14" s="6" t="n">
        <f aca="false">IF($T14="","",IFERROR(INDEX(Projections!$N$2:$N$71,MATCH(INDEX(Calc!$A$2:$A$71,$T14)&amp;"|K1",Projections!$AA$2:$AA$71,0)),IFERROR(INDEX(Projections!$N$2:$N$71,MATCH(INDEX(Calc!$A$2:$A$71,$T14)&amp;"|"&amp;INDEX(Calc!$AJ$2:$AJ$71,$T14),Projections!$AA$2:$AA$71,0)),"")))</f>
        <v>6.78</v>
      </c>
      <c r="P14" s="7" t="n">
        <f aca="false">IF($T14="","",IFERROR(INDEX(Projections!$S$2:$S$71,MATCH(INDEX(Calc!$A$2:$A$71,$T14)&amp;"|K1",Projections!$AA$2:$AA$71,0)),IFERROR(INDEX(Projections!$S$2:$S$71,MATCH(INDEX(Calc!$A$2:$A$71,$T14)&amp;"|"&amp;INDEX(Calc!$AJ$2:$AJ$71,$T14),Projections!$AA$2:$AA$71,0)),"")))</f>
        <v>0.4</v>
      </c>
      <c r="Q14" s="6" t="n">
        <f aca="false">IF($T14="","",INDEX(Calc!$G$2:$G$71,$T14))</f>
        <v>30</v>
      </c>
      <c r="R14" s="0" t="str">
        <f aca="false">IF($T14="","",INDEX(Calc!$AH$2:$AH$71,$T14))</f>
        <v>new roster: 0% of his recent games with these teammates</v>
      </c>
      <c r="T14" s="6" t="n">
        <f aca="false">IFERROR(MATCH(3,Calc!$AI$2:$AI$71,0),"")</f>
        <v>2</v>
      </c>
    </row>
    <row r="15" customFormat="false" ht="15" hidden="false" customHeight="false" outlineLevel="0" collapsed="false">
      <c r="A15" s="0" t="str">
        <f aca="false">IF($T15="","",INDEX(Calc!$C$2:$C$71,$T15))</f>
        <v>OG</v>
      </c>
      <c r="B15" s="0" t="str">
        <f aca="false">IF($T15="","",INDEX(Calc!$D$2:$D$71,$T15))</f>
        <v>Skem</v>
      </c>
      <c r="C15" s="7" t="n">
        <f aca="false">IF($T15="","",INDEX(Calc!$H$2:$H$71,$T15))</f>
        <v>0.6</v>
      </c>
      <c r="D15" s="8" t="n">
        <f aca="false">IF($T15="","",INDEX(Calc!$I$2:$I$71,$T15))</f>
        <v>3.6</v>
      </c>
      <c r="E15" s="8" t="n">
        <f aca="false">IF($T15="","",INDEX(Calc!$J$2:$J$71,$T15))</f>
        <v>4.35841313269494</v>
      </c>
      <c r="F15" s="8" t="n">
        <f aca="false">IF($T15="","",INDEX(Calc!$K$2:$K$71,$T15))</f>
        <v>2.46238030095759</v>
      </c>
      <c r="G15" s="7" t="n">
        <f aca="false">IF($T15="","",INDEX(Calc!$M$2:$M$71,$T15))</f>
        <v>0.4681</v>
      </c>
      <c r="H15" s="8" t="n">
        <f aca="false">IF($T15="","",INDEX(Calc!$Y$2:$Y$71,$T15))</f>
        <v>3.34991326949384</v>
      </c>
      <c r="I15" s="8" t="n">
        <f aca="false">IF($T15="","",INDEX(Calc!$AE$2:$AE$71,$T15))</f>
        <v>3.6</v>
      </c>
      <c r="J15" s="0" t="str">
        <f aca="false">IF($T15="","",IFERROR(INDEX(Projections!$E$2:$E$71,MATCH(INDEX(Calc!$A$2:$A$71,$T15)&amp;"|K1",Projections!$AA$2:$AA$71,0)),""))</f>
        <v/>
      </c>
      <c r="K15" s="7" t="str">
        <f aca="false">IF($T15="","",IFERROR(INDEX(Projections!$H$2:$H$71,MATCH(INDEX(Calc!$A$2:$A$71,$T15)&amp;"|K1",Projections!$AA$2:$AA$71,0)),""))</f>
        <v/>
      </c>
      <c r="L15" s="8" t="n">
        <f aca="false">IF($T15="","",INDEX(Calc!$AK$2:$AK$71,$T15))</f>
        <v>6.69982653898769</v>
      </c>
      <c r="M15" s="6" t="n">
        <f aca="false">IF($T15="","",IFERROR(INDEX(Projections!$E$2:$E$71,MATCH(INDEX(Calc!$A$2:$A$71,$T15)&amp;"|"&amp;INDEX(Calc!$AJ$2:$AJ$71,$T15),Projections!$AA$2:$AA$71,0)),""))</f>
        <v>5</v>
      </c>
      <c r="N15" s="7" t="n">
        <f aca="false">IF($T15="","",IFERROR(INDEX(Projections!$H$2:$H$71,MATCH(INDEX(Calc!$A$2:$A$71,$T15)&amp;"|"&amp;INDEX(Calc!$AJ$2:$AJ$71,$T15),Projections!$AA$2:$AA$71,0)),""))</f>
        <v>0.625260379204812</v>
      </c>
      <c r="O15" s="6" t="n">
        <f aca="false">IF($T15="","",IFERROR(INDEX(Projections!$N$2:$N$71,MATCH(INDEX(Calc!$A$2:$A$71,$T15)&amp;"|K1",Projections!$AA$2:$AA$71,0)),IFERROR(INDEX(Projections!$N$2:$N$71,MATCH(INDEX(Calc!$A$2:$A$71,$T15)&amp;"|"&amp;INDEX(Calc!$AJ$2:$AJ$71,$T15),Projections!$AA$2:$AA$71,0)),"")))</f>
        <v>5.75</v>
      </c>
      <c r="P15" s="7" t="n">
        <f aca="false">IF($T15="","",IFERROR(INDEX(Projections!$S$2:$S$71,MATCH(INDEX(Calc!$A$2:$A$71,$T15)&amp;"|K1",Projections!$AA$2:$AA$71,0)),IFERROR(INDEX(Projections!$S$2:$S$71,MATCH(INDEX(Calc!$A$2:$A$71,$T15)&amp;"|"&amp;INDEX(Calc!$AJ$2:$AJ$71,$T15),Projections!$AA$2:$AA$71,0)),"")))</f>
        <v>0.5</v>
      </c>
      <c r="Q15" s="6" t="n">
        <f aca="false">IF($T15="","",INDEX(Calc!$G$2:$G$71,$T15))</f>
        <v>30</v>
      </c>
      <c r="R15" s="0" t="str">
        <f aca="false">IF($T15="","",INDEX(Calc!$AH$2:$AH$71,$T15))</f>
        <v>new roster: 0% of his recent games with these teammates</v>
      </c>
      <c r="T15" s="6" t="n">
        <f aca="false">IFERROR(MATCH(4,Calc!$AI$2:$AI$71,0),"")</f>
        <v>3</v>
      </c>
    </row>
    <row r="16" customFormat="false" ht="15" hidden="false" customHeight="false" outlineLevel="0" collapsed="false">
      <c r="A16" s="0" t="str">
        <f aca="false">IF($T16="","",INDEX(Calc!$C$2:$C$71,$T16))</f>
        <v/>
      </c>
      <c r="B16" s="0" t="str">
        <f aca="false">IF($T16="","",INDEX(Calc!$D$2:$D$71,$T16))</f>
        <v/>
      </c>
      <c r="C16" s="7" t="str">
        <f aca="false">IF($T16="","",INDEX(Calc!$H$2:$H$71,$T16))</f>
        <v/>
      </c>
      <c r="D16" s="8" t="str">
        <f aca="false">IF($T16="","",INDEX(Calc!$I$2:$I$71,$T16))</f>
        <v/>
      </c>
      <c r="E16" s="8" t="str">
        <f aca="false">IF($T16="","",INDEX(Calc!$J$2:$J$71,$T16))</f>
        <v/>
      </c>
      <c r="F16" s="8" t="str">
        <f aca="false">IF($T16="","",INDEX(Calc!$K$2:$K$71,$T16))</f>
        <v/>
      </c>
      <c r="G16" s="7" t="str">
        <f aca="false">IF($T16="","",INDEX(Calc!$M$2:$M$71,$T16))</f>
        <v/>
      </c>
      <c r="H16" s="8" t="str">
        <f aca="false">IF($T16="","",INDEX(Calc!$Y$2:$Y$71,$T16))</f>
        <v/>
      </c>
      <c r="I16" s="8" t="str">
        <f aca="false">IF($T16="","",INDEX(Calc!$AE$2:$AE$71,$T16))</f>
        <v/>
      </c>
      <c r="J16" s="0" t="str">
        <f aca="false">IF($T16="","",IFERROR(INDEX(Projections!$E$2:$E$71,MATCH(INDEX(Calc!$A$2:$A$71,$T16)&amp;"|K1",Projections!$AA$2:$AA$71,0)),""))</f>
        <v/>
      </c>
      <c r="K16" s="7" t="str">
        <f aca="false">IF($T16="","",IFERROR(INDEX(Projections!$H$2:$H$71,MATCH(INDEX(Calc!$A$2:$A$71,$T16)&amp;"|K1",Projections!$AA$2:$AA$71,0)),""))</f>
        <v/>
      </c>
      <c r="L16" s="8" t="str">
        <f aca="false">IF($T16="","",INDEX(Calc!$AK$2:$AK$71,$T16))</f>
        <v/>
      </c>
      <c r="M16" s="0" t="str">
        <f aca="false">IF($T16="","",IFERROR(INDEX(Projections!$E$2:$E$71,MATCH(INDEX(Calc!$A$2:$A$71,$T16)&amp;"|"&amp;INDEX(Calc!$AJ$2:$AJ$71,$T16),Projections!$AA$2:$AA$71,0)),""))</f>
        <v/>
      </c>
      <c r="N16" s="7" t="str">
        <f aca="false">IF($T16="","",IFERROR(INDEX(Projections!$H$2:$H$71,MATCH(INDEX(Calc!$A$2:$A$71,$T16)&amp;"|"&amp;INDEX(Calc!$AJ$2:$AJ$71,$T16),Projections!$AA$2:$AA$71,0)),""))</f>
        <v/>
      </c>
      <c r="O16" s="0" t="str">
        <f aca="false">IF($T16="","",IFERROR(INDEX(Projections!$N$2:$N$71,MATCH(INDEX(Calc!$A$2:$A$71,$T16)&amp;"|K1",Projections!$AA$2:$AA$71,0)),IFERROR(INDEX(Projections!$N$2:$N$71,MATCH(INDEX(Calc!$A$2:$A$71,$T16)&amp;"|"&amp;INDEX(Calc!$AJ$2:$AJ$71,$T16),Projections!$AA$2:$AA$71,0)),"")))</f>
        <v/>
      </c>
      <c r="P16" s="7" t="str">
        <f aca="false">IF($T16="","",IFERROR(INDEX(Projections!$S$2:$S$71,MATCH(INDEX(Calc!$A$2:$A$71,$T16)&amp;"|K1",Projections!$AA$2:$AA$71,0)),IFERROR(INDEX(Projections!$S$2:$S$71,MATCH(INDEX(Calc!$A$2:$A$71,$T16)&amp;"|"&amp;INDEX(Calc!$AJ$2:$AJ$71,$T16),Projections!$AA$2:$AA$71,0)),"")))</f>
        <v/>
      </c>
      <c r="Q16" s="0" t="str">
        <f aca="false">IF($T16="","",INDEX(Calc!$G$2:$G$71,$T16))</f>
        <v/>
      </c>
      <c r="R16" s="0" t="str">
        <f aca="false">IF($T16="","",INDEX(Calc!$AH$2:$AH$71,$T16))</f>
        <v/>
      </c>
      <c r="T16" s="0" t="str">
        <f aca="false">IFERROR(MATCH(5,Calc!$AI$2:$AI$71,0),"")</f>
        <v/>
      </c>
    </row>
    <row r="17" customFormat="false" ht="15" hidden="false" customHeight="false" outlineLevel="0" collapsed="false">
      <c r="A17" s="0" t="str">
        <f aca="false">IF($T17="","",INDEX(Calc!$C$2:$C$71,$T17))</f>
        <v/>
      </c>
      <c r="B17" s="0" t="str">
        <f aca="false">IF($T17="","",INDEX(Calc!$D$2:$D$71,$T17))</f>
        <v/>
      </c>
      <c r="C17" s="7" t="str">
        <f aca="false">IF($T17="","",INDEX(Calc!$H$2:$H$71,$T17))</f>
        <v/>
      </c>
      <c r="D17" s="8" t="str">
        <f aca="false">IF($T17="","",INDEX(Calc!$I$2:$I$71,$T17))</f>
        <v/>
      </c>
      <c r="E17" s="8" t="str">
        <f aca="false">IF($T17="","",INDEX(Calc!$J$2:$J$71,$T17))</f>
        <v/>
      </c>
      <c r="F17" s="8" t="str">
        <f aca="false">IF($T17="","",INDEX(Calc!$K$2:$K$71,$T17))</f>
        <v/>
      </c>
      <c r="G17" s="7" t="str">
        <f aca="false">IF($T17="","",INDEX(Calc!$M$2:$M$71,$T17))</f>
        <v/>
      </c>
      <c r="H17" s="8" t="str">
        <f aca="false">IF($T17="","",INDEX(Calc!$Y$2:$Y$71,$T17))</f>
        <v/>
      </c>
      <c r="I17" s="8" t="str">
        <f aca="false">IF($T17="","",INDEX(Calc!$AE$2:$AE$71,$T17))</f>
        <v/>
      </c>
      <c r="J17" s="0" t="str">
        <f aca="false">IF($T17="","",IFERROR(INDEX(Projections!$E$2:$E$71,MATCH(INDEX(Calc!$A$2:$A$71,$T17)&amp;"|K1",Projections!$AA$2:$AA$71,0)),""))</f>
        <v/>
      </c>
      <c r="K17" s="7" t="str">
        <f aca="false">IF($T17="","",IFERROR(INDEX(Projections!$H$2:$H$71,MATCH(INDEX(Calc!$A$2:$A$71,$T17)&amp;"|K1",Projections!$AA$2:$AA$71,0)),""))</f>
        <v/>
      </c>
      <c r="L17" s="8" t="str">
        <f aca="false">IF($T17="","",INDEX(Calc!$AK$2:$AK$71,$T17))</f>
        <v/>
      </c>
      <c r="M17" s="0" t="str">
        <f aca="false">IF($T17="","",IFERROR(INDEX(Projections!$E$2:$E$71,MATCH(INDEX(Calc!$A$2:$A$71,$T17)&amp;"|"&amp;INDEX(Calc!$AJ$2:$AJ$71,$T17),Projections!$AA$2:$AA$71,0)),""))</f>
        <v/>
      </c>
      <c r="N17" s="7" t="str">
        <f aca="false">IF($T17="","",IFERROR(INDEX(Projections!$H$2:$H$71,MATCH(INDEX(Calc!$A$2:$A$71,$T17)&amp;"|"&amp;INDEX(Calc!$AJ$2:$AJ$71,$T17),Projections!$AA$2:$AA$71,0)),""))</f>
        <v/>
      </c>
      <c r="O17" s="0" t="str">
        <f aca="false">IF($T17="","",IFERROR(INDEX(Projections!$N$2:$N$71,MATCH(INDEX(Calc!$A$2:$A$71,$T17)&amp;"|K1",Projections!$AA$2:$AA$71,0)),IFERROR(INDEX(Projections!$N$2:$N$71,MATCH(INDEX(Calc!$A$2:$A$71,$T17)&amp;"|"&amp;INDEX(Calc!$AJ$2:$AJ$71,$T17),Projections!$AA$2:$AA$71,0)),"")))</f>
        <v/>
      </c>
      <c r="P17" s="7" t="str">
        <f aca="false">IF($T17="","",IFERROR(INDEX(Projections!$S$2:$S$71,MATCH(INDEX(Calc!$A$2:$A$71,$T17)&amp;"|K1",Projections!$AA$2:$AA$71,0)),IFERROR(INDEX(Projections!$S$2:$S$71,MATCH(INDEX(Calc!$A$2:$A$71,$T17)&amp;"|"&amp;INDEX(Calc!$AJ$2:$AJ$71,$T17),Projections!$AA$2:$AA$71,0)),"")))</f>
        <v/>
      </c>
      <c r="Q17" s="0" t="str">
        <f aca="false">IF($T17="","",INDEX(Calc!$G$2:$G$71,$T17))</f>
        <v/>
      </c>
      <c r="R17" s="0" t="str">
        <f aca="false">IF($T17="","",INDEX(Calc!$AH$2:$AH$71,$T17))</f>
        <v/>
      </c>
      <c r="T17" s="0" t="str">
        <f aca="false">IFERROR(MATCH(6,Calc!$AI$2:$AI$71,0),"")</f>
        <v/>
      </c>
    </row>
    <row r="18" customFormat="false" ht="15" hidden="false" customHeight="false" outlineLevel="0" collapsed="false">
      <c r="A18" s="0" t="str">
        <f aca="false">IF($T18="","",INDEX(Calc!$C$2:$C$71,$T18))</f>
        <v/>
      </c>
      <c r="B18" s="0" t="str">
        <f aca="false">IF($T18="","",INDEX(Calc!$D$2:$D$71,$T18))</f>
        <v/>
      </c>
      <c r="C18" s="7" t="str">
        <f aca="false">IF($T18="","",INDEX(Calc!$H$2:$H$71,$T18))</f>
        <v/>
      </c>
      <c r="D18" s="8" t="str">
        <f aca="false">IF($T18="","",INDEX(Calc!$I$2:$I$71,$T18))</f>
        <v/>
      </c>
      <c r="E18" s="8" t="str">
        <f aca="false">IF($T18="","",INDEX(Calc!$J$2:$J$71,$T18))</f>
        <v/>
      </c>
      <c r="F18" s="8" t="str">
        <f aca="false">IF($T18="","",INDEX(Calc!$K$2:$K$71,$T18))</f>
        <v/>
      </c>
      <c r="G18" s="7" t="str">
        <f aca="false">IF($T18="","",INDEX(Calc!$M$2:$M$71,$T18))</f>
        <v/>
      </c>
      <c r="H18" s="8" t="str">
        <f aca="false">IF($T18="","",INDEX(Calc!$Y$2:$Y$71,$T18))</f>
        <v/>
      </c>
      <c r="I18" s="8" t="str">
        <f aca="false">IF($T18="","",INDEX(Calc!$AE$2:$AE$71,$T18))</f>
        <v/>
      </c>
      <c r="J18" s="0" t="str">
        <f aca="false">IF($T18="","",IFERROR(INDEX(Projections!$E$2:$E$71,MATCH(INDEX(Calc!$A$2:$A$71,$T18)&amp;"|K1",Projections!$AA$2:$AA$71,0)),""))</f>
        <v/>
      </c>
      <c r="K18" s="7" t="str">
        <f aca="false">IF($T18="","",IFERROR(INDEX(Projections!$H$2:$H$71,MATCH(INDEX(Calc!$A$2:$A$71,$T18)&amp;"|K1",Projections!$AA$2:$AA$71,0)),""))</f>
        <v/>
      </c>
      <c r="L18" s="8" t="str">
        <f aca="false">IF($T18="","",INDEX(Calc!$AK$2:$AK$71,$T18))</f>
        <v/>
      </c>
      <c r="M18" s="0" t="str">
        <f aca="false">IF($T18="","",IFERROR(INDEX(Projections!$E$2:$E$71,MATCH(INDEX(Calc!$A$2:$A$71,$T18)&amp;"|"&amp;INDEX(Calc!$AJ$2:$AJ$71,$T18),Projections!$AA$2:$AA$71,0)),""))</f>
        <v/>
      </c>
      <c r="N18" s="7" t="str">
        <f aca="false">IF($T18="","",IFERROR(INDEX(Projections!$H$2:$H$71,MATCH(INDEX(Calc!$A$2:$A$71,$T18)&amp;"|"&amp;INDEX(Calc!$AJ$2:$AJ$71,$T18),Projections!$AA$2:$AA$71,0)),""))</f>
        <v/>
      </c>
      <c r="O18" s="0" t="str">
        <f aca="false">IF($T18="","",IFERROR(INDEX(Projections!$N$2:$N$71,MATCH(INDEX(Calc!$A$2:$A$71,$T18)&amp;"|K1",Projections!$AA$2:$AA$71,0)),IFERROR(INDEX(Projections!$N$2:$N$71,MATCH(INDEX(Calc!$A$2:$A$71,$T18)&amp;"|"&amp;INDEX(Calc!$AJ$2:$AJ$71,$T18),Projections!$AA$2:$AA$71,0)),"")))</f>
        <v/>
      </c>
      <c r="P18" s="7" t="str">
        <f aca="false">IF($T18="","",IFERROR(INDEX(Projections!$S$2:$S$71,MATCH(INDEX(Calc!$A$2:$A$71,$T18)&amp;"|K1",Projections!$AA$2:$AA$71,0)),IFERROR(INDEX(Projections!$S$2:$S$71,MATCH(INDEX(Calc!$A$2:$A$71,$T18)&amp;"|"&amp;INDEX(Calc!$AJ$2:$AJ$71,$T18),Projections!$AA$2:$AA$71,0)),"")))</f>
        <v/>
      </c>
      <c r="Q18" s="0" t="str">
        <f aca="false">IF($T18="","",INDEX(Calc!$G$2:$G$71,$T18))</f>
        <v/>
      </c>
      <c r="R18" s="0" t="str">
        <f aca="false">IF($T18="","",INDEX(Calc!$AH$2:$AH$71,$T18))</f>
        <v/>
      </c>
      <c r="T18" s="0" t="str">
        <f aca="false">IFERROR(MATCH(7,Calc!$AI$2:$AI$71,0),"")</f>
        <v/>
      </c>
    </row>
    <row r="19" customFormat="false" ht="15" hidden="false" customHeight="false" outlineLevel="0" collapsed="false">
      <c r="A19" s="0" t="str">
        <f aca="false">IF($T19="","",INDEX(Calc!$C$2:$C$71,$T19))</f>
        <v/>
      </c>
      <c r="B19" s="0" t="str">
        <f aca="false">IF($T19="","",INDEX(Calc!$D$2:$D$71,$T19))</f>
        <v/>
      </c>
      <c r="C19" s="7" t="str">
        <f aca="false">IF($T19="","",INDEX(Calc!$H$2:$H$71,$T19))</f>
        <v/>
      </c>
      <c r="D19" s="8" t="str">
        <f aca="false">IF($T19="","",INDEX(Calc!$I$2:$I$71,$T19))</f>
        <v/>
      </c>
      <c r="E19" s="8" t="str">
        <f aca="false">IF($T19="","",INDEX(Calc!$J$2:$J$71,$T19))</f>
        <v/>
      </c>
      <c r="F19" s="8" t="str">
        <f aca="false">IF($T19="","",INDEX(Calc!$K$2:$K$71,$T19))</f>
        <v/>
      </c>
      <c r="G19" s="7" t="str">
        <f aca="false">IF($T19="","",INDEX(Calc!$M$2:$M$71,$T19))</f>
        <v/>
      </c>
      <c r="H19" s="8" t="str">
        <f aca="false">IF($T19="","",INDEX(Calc!$Y$2:$Y$71,$T19))</f>
        <v/>
      </c>
      <c r="I19" s="8" t="str">
        <f aca="false">IF($T19="","",INDEX(Calc!$AE$2:$AE$71,$T19))</f>
        <v/>
      </c>
      <c r="J19" s="0" t="str">
        <f aca="false">IF($T19="","",IFERROR(INDEX(Projections!$E$2:$E$71,MATCH(INDEX(Calc!$A$2:$A$71,$T19)&amp;"|K1",Projections!$AA$2:$AA$71,0)),""))</f>
        <v/>
      </c>
      <c r="K19" s="7" t="str">
        <f aca="false">IF($T19="","",IFERROR(INDEX(Projections!$H$2:$H$71,MATCH(INDEX(Calc!$A$2:$A$71,$T19)&amp;"|K1",Projections!$AA$2:$AA$71,0)),""))</f>
        <v/>
      </c>
      <c r="L19" s="8" t="str">
        <f aca="false">IF($T19="","",INDEX(Calc!$AK$2:$AK$71,$T19))</f>
        <v/>
      </c>
      <c r="M19" s="0" t="str">
        <f aca="false">IF($T19="","",IFERROR(INDEX(Projections!$E$2:$E$71,MATCH(INDEX(Calc!$A$2:$A$71,$T19)&amp;"|"&amp;INDEX(Calc!$AJ$2:$AJ$71,$T19),Projections!$AA$2:$AA$71,0)),""))</f>
        <v/>
      </c>
      <c r="N19" s="7" t="str">
        <f aca="false">IF($T19="","",IFERROR(INDEX(Projections!$H$2:$H$71,MATCH(INDEX(Calc!$A$2:$A$71,$T19)&amp;"|"&amp;INDEX(Calc!$AJ$2:$AJ$71,$T19),Projections!$AA$2:$AA$71,0)),""))</f>
        <v/>
      </c>
      <c r="O19" s="0" t="str">
        <f aca="false">IF($T19="","",IFERROR(INDEX(Projections!$N$2:$N$71,MATCH(INDEX(Calc!$A$2:$A$71,$T19)&amp;"|K1",Projections!$AA$2:$AA$71,0)),IFERROR(INDEX(Projections!$N$2:$N$71,MATCH(INDEX(Calc!$A$2:$A$71,$T19)&amp;"|"&amp;INDEX(Calc!$AJ$2:$AJ$71,$T19),Projections!$AA$2:$AA$71,0)),"")))</f>
        <v/>
      </c>
      <c r="P19" s="7" t="str">
        <f aca="false">IF($T19="","",IFERROR(INDEX(Projections!$S$2:$S$71,MATCH(INDEX(Calc!$A$2:$A$71,$T19)&amp;"|K1",Projections!$AA$2:$AA$71,0)),IFERROR(INDEX(Projections!$S$2:$S$71,MATCH(INDEX(Calc!$A$2:$A$71,$T19)&amp;"|"&amp;INDEX(Calc!$AJ$2:$AJ$71,$T19),Projections!$AA$2:$AA$71,0)),"")))</f>
        <v/>
      </c>
      <c r="Q19" s="0" t="str">
        <f aca="false">IF($T19="","",INDEX(Calc!$G$2:$G$71,$T19))</f>
        <v/>
      </c>
      <c r="R19" s="0" t="str">
        <f aca="false">IF($T19="","",INDEX(Calc!$AH$2:$AH$71,$T19))</f>
        <v/>
      </c>
      <c r="T19" s="0" t="str">
        <f aca="false">IFERROR(MATCH(8,Calc!$AI$2:$AI$71,0),"")</f>
        <v/>
      </c>
    </row>
    <row r="20" customFormat="false" ht="15" hidden="false" customHeight="false" outlineLevel="0" collapsed="false">
      <c r="A20" s="0" t="str">
        <f aca="false">IF($T20="","",INDEX(Calc!$C$2:$C$71,$T20))</f>
        <v/>
      </c>
      <c r="B20" s="0" t="str">
        <f aca="false">IF($T20="","",INDEX(Calc!$D$2:$D$71,$T20))</f>
        <v/>
      </c>
      <c r="C20" s="7" t="str">
        <f aca="false">IF($T20="","",INDEX(Calc!$H$2:$H$71,$T20))</f>
        <v/>
      </c>
      <c r="D20" s="8" t="str">
        <f aca="false">IF($T20="","",INDEX(Calc!$I$2:$I$71,$T20))</f>
        <v/>
      </c>
      <c r="E20" s="8" t="str">
        <f aca="false">IF($T20="","",INDEX(Calc!$J$2:$J$71,$T20))</f>
        <v/>
      </c>
      <c r="F20" s="8" t="str">
        <f aca="false">IF($T20="","",INDEX(Calc!$K$2:$K$71,$T20))</f>
        <v/>
      </c>
      <c r="G20" s="7" t="str">
        <f aca="false">IF($T20="","",INDEX(Calc!$M$2:$M$71,$T20))</f>
        <v/>
      </c>
      <c r="H20" s="8" t="str">
        <f aca="false">IF($T20="","",INDEX(Calc!$Y$2:$Y$71,$T20))</f>
        <v/>
      </c>
      <c r="I20" s="8" t="str">
        <f aca="false">IF($T20="","",INDEX(Calc!$AE$2:$AE$71,$T20))</f>
        <v/>
      </c>
      <c r="J20" s="0" t="str">
        <f aca="false">IF($T20="","",IFERROR(INDEX(Projections!$E$2:$E$71,MATCH(INDEX(Calc!$A$2:$A$71,$T20)&amp;"|K1",Projections!$AA$2:$AA$71,0)),""))</f>
        <v/>
      </c>
      <c r="K20" s="7" t="str">
        <f aca="false">IF($T20="","",IFERROR(INDEX(Projections!$H$2:$H$71,MATCH(INDEX(Calc!$A$2:$A$71,$T20)&amp;"|K1",Projections!$AA$2:$AA$71,0)),""))</f>
        <v/>
      </c>
      <c r="L20" s="8" t="str">
        <f aca="false">IF($T20="","",INDEX(Calc!$AK$2:$AK$71,$T20))</f>
        <v/>
      </c>
      <c r="M20" s="0" t="str">
        <f aca="false">IF($T20="","",IFERROR(INDEX(Projections!$E$2:$E$71,MATCH(INDEX(Calc!$A$2:$A$71,$T20)&amp;"|"&amp;INDEX(Calc!$AJ$2:$AJ$71,$T20),Projections!$AA$2:$AA$71,0)),""))</f>
        <v/>
      </c>
      <c r="N20" s="7" t="str">
        <f aca="false">IF($T20="","",IFERROR(INDEX(Projections!$H$2:$H$71,MATCH(INDEX(Calc!$A$2:$A$71,$T20)&amp;"|"&amp;INDEX(Calc!$AJ$2:$AJ$71,$T20),Projections!$AA$2:$AA$71,0)),""))</f>
        <v/>
      </c>
      <c r="O20" s="0" t="str">
        <f aca="false">IF($T20="","",IFERROR(INDEX(Projections!$N$2:$N$71,MATCH(INDEX(Calc!$A$2:$A$71,$T20)&amp;"|K1",Projections!$AA$2:$AA$71,0)),IFERROR(INDEX(Projections!$N$2:$N$71,MATCH(INDEX(Calc!$A$2:$A$71,$T20)&amp;"|"&amp;INDEX(Calc!$AJ$2:$AJ$71,$T20),Projections!$AA$2:$AA$71,0)),"")))</f>
        <v/>
      </c>
      <c r="P20" s="7" t="str">
        <f aca="false">IF($T20="","",IFERROR(INDEX(Projections!$S$2:$S$71,MATCH(INDEX(Calc!$A$2:$A$71,$T20)&amp;"|K1",Projections!$AA$2:$AA$71,0)),IFERROR(INDEX(Projections!$S$2:$S$71,MATCH(INDEX(Calc!$A$2:$A$71,$T20)&amp;"|"&amp;INDEX(Calc!$AJ$2:$AJ$71,$T20),Projections!$AA$2:$AA$71,0)),"")))</f>
        <v/>
      </c>
      <c r="Q20" s="0" t="str">
        <f aca="false">IF($T20="","",INDEX(Calc!$G$2:$G$71,$T20))</f>
        <v/>
      </c>
      <c r="R20" s="0" t="str">
        <f aca="false">IF($T20="","",INDEX(Calc!$AH$2:$AH$71,$T20))</f>
        <v/>
      </c>
      <c r="T20" s="0" t="str">
        <f aca="false">IFERROR(MATCH(9,Calc!$AI$2:$AI$71,0),"")</f>
        <v/>
      </c>
    </row>
    <row r="21" customFormat="false" ht="15" hidden="false" customHeight="false" outlineLevel="0" collapsed="false">
      <c r="A21" s="0" t="str">
        <f aca="false">IF($T21="","",INDEX(Calc!$C$2:$C$71,$T21))</f>
        <v/>
      </c>
      <c r="B21" s="0" t="str">
        <f aca="false">IF($T21="","",INDEX(Calc!$D$2:$D$71,$T21))</f>
        <v/>
      </c>
      <c r="C21" s="7" t="str">
        <f aca="false">IF($T21="","",INDEX(Calc!$H$2:$H$71,$T21))</f>
        <v/>
      </c>
      <c r="D21" s="8" t="str">
        <f aca="false">IF($T21="","",INDEX(Calc!$I$2:$I$71,$T21))</f>
        <v/>
      </c>
      <c r="E21" s="8" t="str">
        <f aca="false">IF($T21="","",INDEX(Calc!$J$2:$J$71,$T21))</f>
        <v/>
      </c>
      <c r="F21" s="8" t="str">
        <f aca="false">IF($T21="","",INDEX(Calc!$K$2:$K$71,$T21))</f>
        <v/>
      </c>
      <c r="G21" s="7" t="str">
        <f aca="false">IF($T21="","",INDEX(Calc!$M$2:$M$71,$T21))</f>
        <v/>
      </c>
      <c r="H21" s="8" t="str">
        <f aca="false">IF($T21="","",INDEX(Calc!$Y$2:$Y$71,$T21))</f>
        <v/>
      </c>
      <c r="I21" s="8" t="str">
        <f aca="false">IF($T21="","",INDEX(Calc!$AE$2:$AE$71,$T21))</f>
        <v/>
      </c>
      <c r="J21" s="0" t="str">
        <f aca="false">IF($T21="","",IFERROR(INDEX(Projections!$E$2:$E$71,MATCH(INDEX(Calc!$A$2:$A$71,$T21)&amp;"|K1",Projections!$AA$2:$AA$71,0)),""))</f>
        <v/>
      </c>
      <c r="K21" s="7" t="str">
        <f aca="false">IF($T21="","",IFERROR(INDEX(Projections!$H$2:$H$71,MATCH(INDEX(Calc!$A$2:$A$71,$T21)&amp;"|K1",Projections!$AA$2:$AA$71,0)),""))</f>
        <v/>
      </c>
      <c r="L21" s="8" t="str">
        <f aca="false">IF($T21="","",INDEX(Calc!$AK$2:$AK$71,$T21))</f>
        <v/>
      </c>
      <c r="M21" s="0" t="str">
        <f aca="false">IF($T21="","",IFERROR(INDEX(Projections!$E$2:$E$71,MATCH(INDEX(Calc!$A$2:$A$71,$T21)&amp;"|"&amp;INDEX(Calc!$AJ$2:$AJ$71,$T21),Projections!$AA$2:$AA$71,0)),""))</f>
        <v/>
      </c>
      <c r="N21" s="7" t="str">
        <f aca="false">IF($T21="","",IFERROR(INDEX(Projections!$H$2:$H$71,MATCH(INDEX(Calc!$A$2:$A$71,$T21)&amp;"|"&amp;INDEX(Calc!$AJ$2:$AJ$71,$T21),Projections!$AA$2:$AA$71,0)),""))</f>
        <v/>
      </c>
      <c r="O21" s="0" t="str">
        <f aca="false">IF($T21="","",IFERROR(INDEX(Projections!$N$2:$N$71,MATCH(INDEX(Calc!$A$2:$A$71,$T21)&amp;"|K1",Projections!$AA$2:$AA$71,0)),IFERROR(INDEX(Projections!$N$2:$N$71,MATCH(INDEX(Calc!$A$2:$A$71,$T21)&amp;"|"&amp;INDEX(Calc!$AJ$2:$AJ$71,$T21),Projections!$AA$2:$AA$71,0)),"")))</f>
        <v/>
      </c>
      <c r="P21" s="7" t="str">
        <f aca="false">IF($T21="","",IFERROR(INDEX(Projections!$S$2:$S$71,MATCH(INDEX(Calc!$A$2:$A$71,$T21)&amp;"|K1",Projections!$AA$2:$AA$71,0)),IFERROR(INDEX(Projections!$S$2:$S$71,MATCH(INDEX(Calc!$A$2:$A$71,$T21)&amp;"|"&amp;INDEX(Calc!$AJ$2:$AJ$71,$T21),Projections!$AA$2:$AA$71,0)),"")))</f>
        <v/>
      </c>
      <c r="Q21" s="0" t="str">
        <f aca="false">IF($T21="","",INDEX(Calc!$G$2:$G$71,$T21))</f>
        <v/>
      </c>
      <c r="R21" s="0" t="str">
        <f aca="false">IF($T21="","",INDEX(Calc!$AH$2:$AH$71,$T21))</f>
        <v/>
      </c>
      <c r="T21" s="0" t="str">
        <f aca="false">IFERROR(MATCH(10,Calc!$AI$2:$AI$71,0),"")</f>
        <v/>
      </c>
    </row>
    <row r="22" customFormat="false" ht="15" hidden="false" customHeight="false" outlineLevel="0" collapsed="false">
      <c r="A22" s="0" t="str">
        <f aca="false">IF($T22="","",INDEX(Calc!$C$2:$C$71,$T22))</f>
        <v/>
      </c>
      <c r="B22" s="0" t="str">
        <f aca="false">IF($T22="","",INDEX(Calc!$D$2:$D$71,$T22))</f>
        <v/>
      </c>
      <c r="C22" s="7" t="str">
        <f aca="false">IF($T22="","",INDEX(Calc!$H$2:$H$71,$T22))</f>
        <v/>
      </c>
      <c r="D22" s="8" t="str">
        <f aca="false">IF($T22="","",INDEX(Calc!$I$2:$I$71,$T22))</f>
        <v/>
      </c>
      <c r="E22" s="8" t="str">
        <f aca="false">IF($T22="","",INDEX(Calc!$J$2:$J$71,$T22))</f>
        <v/>
      </c>
      <c r="F22" s="8" t="str">
        <f aca="false">IF($T22="","",INDEX(Calc!$K$2:$K$71,$T22))</f>
        <v/>
      </c>
      <c r="G22" s="7" t="str">
        <f aca="false">IF($T22="","",INDEX(Calc!$M$2:$M$71,$T22))</f>
        <v/>
      </c>
      <c r="H22" s="8" t="str">
        <f aca="false">IF($T22="","",INDEX(Calc!$Y$2:$Y$71,$T22))</f>
        <v/>
      </c>
      <c r="I22" s="8" t="str">
        <f aca="false">IF($T22="","",INDEX(Calc!$AE$2:$AE$71,$T22))</f>
        <v/>
      </c>
      <c r="J22" s="0" t="str">
        <f aca="false">IF($T22="","",IFERROR(INDEX(Projections!$E$2:$E$71,MATCH(INDEX(Calc!$A$2:$A$71,$T22)&amp;"|K1",Projections!$AA$2:$AA$71,0)),""))</f>
        <v/>
      </c>
      <c r="K22" s="7" t="str">
        <f aca="false">IF($T22="","",IFERROR(INDEX(Projections!$H$2:$H$71,MATCH(INDEX(Calc!$A$2:$A$71,$T22)&amp;"|K1",Projections!$AA$2:$AA$71,0)),""))</f>
        <v/>
      </c>
      <c r="L22" s="8" t="str">
        <f aca="false">IF($T22="","",INDEX(Calc!$AK$2:$AK$71,$T22))</f>
        <v/>
      </c>
      <c r="M22" s="0" t="str">
        <f aca="false">IF($T22="","",IFERROR(INDEX(Projections!$E$2:$E$71,MATCH(INDEX(Calc!$A$2:$A$71,$T22)&amp;"|"&amp;INDEX(Calc!$AJ$2:$AJ$71,$T22),Projections!$AA$2:$AA$71,0)),""))</f>
        <v/>
      </c>
      <c r="N22" s="7" t="str">
        <f aca="false">IF($T22="","",IFERROR(INDEX(Projections!$H$2:$H$71,MATCH(INDEX(Calc!$A$2:$A$71,$T22)&amp;"|"&amp;INDEX(Calc!$AJ$2:$AJ$71,$T22),Projections!$AA$2:$AA$71,0)),""))</f>
        <v/>
      </c>
      <c r="O22" s="0" t="str">
        <f aca="false">IF($T22="","",IFERROR(INDEX(Projections!$N$2:$N$71,MATCH(INDEX(Calc!$A$2:$A$71,$T22)&amp;"|K1",Projections!$AA$2:$AA$71,0)),IFERROR(INDEX(Projections!$N$2:$N$71,MATCH(INDEX(Calc!$A$2:$A$71,$T22)&amp;"|"&amp;INDEX(Calc!$AJ$2:$AJ$71,$T22),Projections!$AA$2:$AA$71,0)),"")))</f>
        <v/>
      </c>
      <c r="P22" s="7" t="str">
        <f aca="false">IF($T22="","",IFERROR(INDEX(Projections!$S$2:$S$71,MATCH(INDEX(Calc!$A$2:$A$71,$T22)&amp;"|K1",Projections!$AA$2:$AA$71,0)),IFERROR(INDEX(Projections!$S$2:$S$71,MATCH(INDEX(Calc!$A$2:$A$71,$T22)&amp;"|"&amp;INDEX(Calc!$AJ$2:$AJ$71,$T22),Projections!$AA$2:$AA$71,0)),"")))</f>
        <v/>
      </c>
      <c r="Q22" s="0" t="str">
        <f aca="false">IF($T22="","",INDEX(Calc!$G$2:$G$71,$T22))</f>
        <v/>
      </c>
      <c r="R22" s="0" t="str">
        <f aca="false">IF($T22="","",INDEX(Calc!$AH$2:$AH$71,$T22))</f>
        <v/>
      </c>
      <c r="T22" s="0" t="str">
        <f aca="false">IFERROR(MATCH(11,Calc!$AI$2:$AI$71,0),"")</f>
        <v/>
      </c>
    </row>
    <row r="23" customFormat="false" ht="15" hidden="false" customHeight="false" outlineLevel="0" collapsed="false">
      <c r="A23" s="0" t="str">
        <f aca="false">IF($T23="","",INDEX(Calc!$C$2:$C$71,$T23))</f>
        <v/>
      </c>
      <c r="B23" s="0" t="str">
        <f aca="false">IF($T23="","",INDEX(Calc!$D$2:$D$71,$T23))</f>
        <v/>
      </c>
      <c r="C23" s="7" t="str">
        <f aca="false">IF($T23="","",INDEX(Calc!$H$2:$H$71,$T23))</f>
        <v/>
      </c>
      <c r="D23" s="8" t="str">
        <f aca="false">IF($T23="","",INDEX(Calc!$I$2:$I$71,$T23))</f>
        <v/>
      </c>
      <c r="E23" s="8" t="str">
        <f aca="false">IF($T23="","",INDEX(Calc!$J$2:$J$71,$T23))</f>
        <v/>
      </c>
      <c r="F23" s="8" t="str">
        <f aca="false">IF($T23="","",INDEX(Calc!$K$2:$K$71,$T23))</f>
        <v/>
      </c>
      <c r="G23" s="7" t="str">
        <f aca="false">IF($T23="","",INDEX(Calc!$M$2:$M$71,$T23))</f>
        <v/>
      </c>
      <c r="H23" s="8" t="str">
        <f aca="false">IF($T23="","",INDEX(Calc!$Y$2:$Y$71,$T23))</f>
        <v/>
      </c>
      <c r="I23" s="8" t="str">
        <f aca="false">IF($T23="","",INDEX(Calc!$AE$2:$AE$71,$T23))</f>
        <v/>
      </c>
      <c r="J23" s="0" t="str">
        <f aca="false">IF($T23="","",IFERROR(INDEX(Projections!$E$2:$E$71,MATCH(INDEX(Calc!$A$2:$A$71,$T23)&amp;"|K1",Projections!$AA$2:$AA$71,0)),""))</f>
        <v/>
      </c>
      <c r="K23" s="7" t="str">
        <f aca="false">IF($T23="","",IFERROR(INDEX(Projections!$H$2:$H$71,MATCH(INDEX(Calc!$A$2:$A$71,$T23)&amp;"|K1",Projections!$AA$2:$AA$71,0)),""))</f>
        <v/>
      </c>
      <c r="L23" s="8" t="str">
        <f aca="false">IF($T23="","",INDEX(Calc!$AK$2:$AK$71,$T23))</f>
        <v/>
      </c>
      <c r="M23" s="0" t="str">
        <f aca="false">IF($T23="","",IFERROR(INDEX(Projections!$E$2:$E$71,MATCH(INDEX(Calc!$A$2:$A$71,$T23)&amp;"|"&amp;INDEX(Calc!$AJ$2:$AJ$71,$T23),Projections!$AA$2:$AA$71,0)),""))</f>
        <v/>
      </c>
      <c r="N23" s="7" t="str">
        <f aca="false">IF($T23="","",IFERROR(INDEX(Projections!$H$2:$H$71,MATCH(INDEX(Calc!$A$2:$A$71,$T23)&amp;"|"&amp;INDEX(Calc!$AJ$2:$AJ$71,$T23),Projections!$AA$2:$AA$71,0)),""))</f>
        <v/>
      </c>
      <c r="O23" s="0" t="str">
        <f aca="false">IF($T23="","",IFERROR(INDEX(Projections!$N$2:$N$71,MATCH(INDEX(Calc!$A$2:$A$71,$T23)&amp;"|K1",Projections!$AA$2:$AA$71,0)),IFERROR(INDEX(Projections!$N$2:$N$71,MATCH(INDEX(Calc!$A$2:$A$71,$T23)&amp;"|"&amp;INDEX(Calc!$AJ$2:$AJ$71,$T23),Projections!$AA$2:$AA$71,0)),"")))</f>
        <v/>
      </c>
      <c r="P23" s="7" t="str">
        <f aca="false">IF($T23="","",IFERROR(INDEX(Projections!$S$2:$S$71,MATCH(INDEX(Calc!$A$2:$A$71,$T23)&amp;"|K1",Projections!$AA$2:$AA$71,0)),IFERROR(INDEX(Projections!$S$2:$S$71,MATCH(INDEX(Calc!$A$2:$A$71,$T23)&amp;"|"&amp;INDEX(Calc!$AJ$2:$AJ$71,$T23),Projections!$AA$2:$AA$71,0)),"")))</f>
        <v/>
      </c>
      <c r="Q23" s="0" t="str">
        <f aca="false">IF($T23="","",INDEX(Calc!$G$2:$G$71,$T23))</f>
        <v/>
      </c>
      <c r="R23" s="0" t="str">
        <f aca="false">IF($T23="","",INDEX(Calc!$AH$2:$AH$71,$T23))</f>
        <v/>
      </c>
      <c r="T23" s="0" t="str">
        <f aca="false">IFERROR(MATCH(12,Calc!$AI$2:$AI$71,0),"")</f>
        <v/>
      </c>
    </row>
    <row r="25" customFormat="false" ht="15" hidden="false" customHeight="false" outlineLevel="0" collapsed="false">
      <c r="A25" s="3" t="s">
        <v>59</v>
      </c>
    </row>
  </sheetData>
  <conditionalFormatting sqref="K12:K2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N12:N2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8" min="16" style="0" width="9"/>
    <col collapsed="false" customWidth="true" hidden="false" outlineLevel="0" max="20" min="19" style="0" width="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41.75" hidden="false" customHeight="false" outlineLevel="0" collapsed="false">
      <c r="A4" s="9" t="s">
        <v>62</v>
      </c>
      <c r="B4" s="9" t="s">
        <v>31</v>
      </c>
      <c r="C4" s="9" t="s">
        <v>29</v>
      </c>
      <c r="D4" s="9" t="s">
        <v>30</v>
      </c>
      <c r="E4" s="9" t="s">
        <v>63</v>
      </c>
      <c r="F4" s="9" t="s">
        <v>64</v>
      </c>
      <c r="G4" s="9" t="s">
        <v>32</v>
      </c>
      <c r="H4" s="9" t="s">
        <v>34</v>
      </c>
      <c r="I4" s="9" t="s">
        <v>65</v>
      </c>
      <c r="J4" s="9" t="s">
        <v>66</v>
      </c>
      <c r="K4" s="9" t="s">
        <v>36</v>
      </c>
      <c r="L4" s="9" t="s">
        <v>67</v>
      </c>
      <c r="M4" s="9" t="s">
        <v>33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37</v>
      </c>
      <c r="S4" s="9" t="s">
        <v>72</v>
      </c>
      <c r="T4" s="9" t="s">
        <v>73</v>
      </c>
    </row>
    <row r="5" customFormat="false" ht="15" hidden="false" customHeight="false" outlineLevel="0" collapsed="false">
      <c r="A5" s="0" t="s">
        <v>27</v>
      </c>
      <c r="B5" s="0" t="s">
        <v>74</v>
      </c>
      <c r="C5" s="0" t="s">
        <v>75</v>
      </c>
      <c r="D5" s="0" t="n">
        <v>3</v>
      </c>
      <c r="E5" s="0" t="s">
        <v>76</v>
      </c>
      <c r="F5" s="0" t="s">
        <v>77</v>
      </c>
      <c r="G5" s="7" t="n">
        <v>0.547619047619048</v>
      </c>
      <c r="H5" s="8" t="n">
        <v>56.3333333333333</v>
      </c>
      <c r="I5" s="8" t="n">
        <v>29.45</v>
      </c>
      <c r="J5" s="8" t="n">
        <v>28.6666666666667</v>
      </c>
      <c r="K5" s="8" t="n">
        <v>44.4545454545455</v>
      </c>
      <c r="L5" s="0" t="n">
        <v>332</v>
      </c>
      <c r="M5" s="10" t="n">
        <v>0.5319</v>
      </c>
      <c r="N5" s="10" t="n">
        <v>0.5319</v>
      </c>
      <c r="O5" s="10" t="n">
        <v>0.5476</v>
      </c>
      <c r="P5" s="10" t="n">
        <v>1</v>
      </c>
      <c r="Q5" s="10" t="n">
        <v>0.4963</v>
      </c>
      <c r="R5" s="11" t="n">
        <v>1</v>
      </c>
      <c r="S5" s="6" t="s">
        <v>78</v>
      </c>
      <c r="T5" s="6" t="s">
        <v>79</v>
      </c>
    </row>
    <row r="6" customFormat="false" ht="15" hidden="false" customHeight="false" outlineLevel="0" collapsed="false">
      <c r="A6" s="0" t="s">
        <v>80</v>
      </c>
      <c r="B6" s="0" t="s">
        <v>74</v>
      </c>
      <c r="C6" s="0" t="s">
        <v>81</v>
      </c>
      <c r="D6" s="0" t="n">
        <v>3</v>
      </c>
      <c r="E6" s="0" t="s">
        <v>82</v>
      </c>
      <c r="F6" s="0" t="s">
        <v>83</v>
      </c>
      <c r="G6" s="7" t="n">
        <v>0.892307692307692</v>
      </c>
      <c r="H6" s="8" t="n">
        <v>54.4444444444444</v>
      </c>
      <c r="I6" s="8" t="n">
        <v>34.0769230769231</v>
      </c>
      <c r="J6" s="8" t="n">
        <v>21.1950757575758</v>
      </c>
      <c r="K6" s="8" t="n">
        <v>39.4628657921292</v>
      </c>
      <c r="L6" s="0" t="n">
        <v>290</v>
      </c>
      <c r="M6" s="10" t="n">
        <v>0.8124</v>
      </c>
      <c r="N6" s="10" t="n">
        <v>0.8124</v>
      </c>
      <c r="O6" s="10" t="n">
        <v>0.8923</v>
      </c>
      <c r="P6" s="10" t="n">
        <v>1</v>
      </c>
      <c r="Q6" s="10" t="n">
        <v>0.3058</v>
      </c>
      <c r="R6" s="11" t="n">
        <v>1</v>
      </c>
      <c r="S6" s="6" t="s">
        <v>84</v>
      </c>
      <c r="T6" s="6" t="s">
        <v>85</v>
      </c>
    </row>
    <row r="7" customFormat="false" ht="15" hidden="false" customHeight="false" outlineLevel="0" collapsed="false">
      <c r="A7" s="0" t="s">
        <v>86</v>
      </c>
      <c r="B7" s="0" t="s">
        <v>74</v>
      </c>
      <c r="C7" s="0" t="s">
        <v>87</v>
      </c>
      <c r="D7" s="0" t="n">
        <v>3</v>
      </c>
      <c r="E7" s="0" t="s">
        <v>88</v>
      </c>
      <c r="F7" s="0" t="s">
        <v>89</v>
      </c>
      <c r="G7" s="7" t="n">
        <v>0.783636363636364</v>
      </c>
      <c r="H7" s="8" t="n">
        <v>54.5</v>
      </c>
      <c r="I7" s="8" t="n">
        <v>32.7916666666667</v>
      </c>
      <c r="J7" s="8" t="n">
        <v>22.75</v>
      </c>
      <c r="K7" s="8" t="n">
        <v>42.9583333333333</v>
      </c>
      <c r="L7" s="0" t="n">
        <v>282</v>
      </c>
      <c r="M7" s="10" t="n">
        <v>0.7025</v>
      </c>
      <c r="N7" s="10" t="n">
        <v>0.7025</v>
      </c>
      <c r="O7" s="10" t="n">
        <v>0.7836</v>
      </c>
      <c r="P7" s="10" t="n">
        <v>1</v>
      </c>
      <c r="Q7" s="10" t="n">
        <v>0.4156</v>
      </c>
      <c r="R7" s="11" t="n">
        <v>1</v>
      </c>
      <c r="S7" s="6" t="s">
        <v>90</v>
      </c>
      <c r="T7" s="6" t="s">
        <v>91</v>
      </c>
    </row>
    <row r="8" customFormat="false" ht="15" hidden="false" customHeight="false" outlineLevel="0" collapsed="false">
      <c r="A8" s="0" t="s">
        <v>92</v>
      </c>
      <c r="B8" s="0" t="s">
        <v>93</v>
      </c>
      <c r="C8" s="0" t="s">
        <v>94</v>
      </c>
      <c r="D8" s="0" t="n">
        <v>1</v>
      </c>
      <c r="E8" s="0" t="s">
        <v>95</v>
      </c>
      <c r="F8" s="0" t="s">
        <v>96</v>
      </c>
      <c r="G8" s="7" t="n">
        <v>0.711111111111111</v>
      </c>
      <c r="H8" s="8"/>
      <c r="I8" s="8"/>
      <c r="J8" s="8"/>
      <c r="K8" s="8"/>
      <c r="L8" s="0" t="n">
        <v>63</v>
      </c>
      <c r="M8" s="10" t="n">
        <v>0.7111</v>
      </c>
      <c r="N8" s="10"/>
      <c r="O8" s="10"/>
      <c r="P8" s="10" t="n">
        <v>0</v>
      </c>
      <c r="Q8" s="10" t="n">
        <v>0</v>
      </c>
      <c r="R8" s="11" t="n">
        <v>1</v>
      </c>
      <c r="S8" s="6" t="s">
        <v>97</v>
      </c>
      <c r="T8" s="6" t="s">
        <v>98</v>
      </c>
    </row>
    <row r="9" customFormat="false" ht="15" hidden="false" customHeight="false" outlineLevel="0" collapsed="false">
      <c r="A9" s="0" t="s">
        <v>99</v>
      </c>
      <c r="B9" s="0" t="s">
        <v>74</v>
      </c>
      <c r="C9" s="0" t="s">
        <v>94</v>
      </c>
      <c r="D9" s="0" t="n">
        <v>3</v>
      </c>
      <c r="E9" s="0" t="s">
        <v>100</v>
      </c>
      <c r="F9" s="0" t="s">
        <v>101</v>
      </c>
      <c r="G9" s="7" t="n">
        <v>0.864661654135338</v>
      </c>
      <c r="H9" s="8" t="n">
        <v>54.3125</v>
      </c>
      <c r="I9" s="8"/>
      <c r="J9" s="8" t="n">
        <v>21.1818181818182</v>
      </c>
      <c r="K9" s="8" t="n">
        <v>41.379712355633</v>
      </c>
      <c r="L9" s="0" t="n">
        <v>284</v>
      </c>
      <c r="M9" s="10" t="n">
        <v>0.779</v>
      </c>
      <c r="N9" s="10" t="n">
        <v>0.779</v>
      </c>
      <c r="O9" s="10" t="n">
        <v>0.8647</v>
      </c>
      <c r="P9" s="10" t="n">
        <v>1</v>
      </c>
      <c r="Q9" s="10" t="n">
        <v>0.3419</v>
      </c>
      <c r="R9" s="11" t="n">
        <v>1</v>
      </c>
      <c r="S9" s="6" t="s">
        <v>102</v>
      </c>
      <c r="T9" s="6" t="s">
        <v>103</v>
      </c>
    </row>
    <row r="10" customFormat="false" ht="15" hidden="false" customHeight="false" outlineLevel="0" collapsed="false">
      <c r="A10" s="0" t="s">
        <v>104</v>
      </c>
      <c r="B10" s="0" t="s">
        <v>93</v>
      </c>
      <c r="C10" s="0" t="s">
        <v>105</v>
      </c>
      <c r="D10" s="0" t="n">
        <v>1</v>
      </c>
      <c r="E10" s="0" t="s">
        <v>106</v>
      </c>
      <c r="F10" s="0" t="s">
        <v>107</v>
      </c>
      <c r="G10" s="7" t="n">
        <v>0.472972972972973</v>
      </c>
      <c r="H10" s="8"/>
      <c r="I10" s="8"/>
      <c r="J10" s="8"/>
      <c r="K10" s="8"/>
      <c r="L10" s="0" t="n">
        <v>63</v>
      </c>
      <c r="M10" s="10" t="n">
        <v>0.473</v>
      </c>
      <c r="N10" s="10"/>
      <c r="O10" s="10"/>
      <c r="P10" s="10" t="n">
        <v>0</v>
      </c>
      <c r="Q10" s="10" t="n">
        <v>0</v>
      </c>
      <c r="R10" s="11" t="n">
        <v>1</v>
      </c>
      <c r="S10" s="6" t="s">
        <v>108</v>
      </c>
      <c r="T10" s="6" t="s">
        <v>109</v>
      </c>
    </row>
    <row r="11" customFormat="false" ht="15" hidden="false" customHeight="false" outlineLevel="0" collapsed="false">
      <c r="A11" s="0" t="s">
        <v>110</v>
      </c>
      <c r="B11" s="0" t="s">
        <v>93</v>
      </c>
      <c r="C11" s="0" t="s">
        <v>111</v>
      </c>
      <c r="D11" s="0" t="n">
        <v>3</v>
      </c>
      <c r="E11" s="0" t="s">
        <v>112</v>
      </c>
      <c r="F11" s="0" t="s">
        <v>113</v>
      </c>
      <c r="G11" s="7" t="n">
        <v>0.720524017467249</v>
      </c>
      <c r="H11" s="8"/>
      <c r="I11" s="8"/>
      <c r="J11" s="8"/>
      <c r="K11" s="8"/>
      <c r="L11" s="0" t="n">
        <v>190</v>
      </c>
      <c r="M11" s="10" t="n">
        <v>0.6699</v>
      </c>
      <c r="N11" s="10" t="n">
        <v>0.6699</v>
      </c>
      <c r="O11" s="10" t="n">
        <v>0.6154</v>
      </c>
      <c r="P11" s="10" t="n">
        <v>1</v>
      </c>
      <c r="Q11" s="10" t="n">
        <v>0.4114</v>
      </c>
      <c r="R11" s="11" t="n">
        <v>1</v>
      </c>
      <c r="S11" s="6" t="s">
        <v>114</v>
      </c>
      <c r="T11" s="6" t="s">
        <v>115</v>
      </c>
    </row>
    <row r="12" customFormat="false" ht="15" hidden="false" customHeight="false" outlineLevel="0" collapsed="false">
      <c r="A12" s="0" t="s">
        <v>116</v>
      </c>
      <c r="B12" s="0" t="s">
        <v>93</v>
      </c>
      <c r="C12" s="0" t="s">
        <v>117</v>
      </c>
      <c r="D12" s="0" t="n">
        <v>3</v>
      </c>
      <c r="E12" s="0" t="s">
        <v>118</v>
      </c>
      <c r="F12" s="0" t="s">
        <v>119</v>
      </c>
      <c r="G12" s="7" t="n">
        <v>0.840579710144928</v>
      </c>
      <c r="H12" s="8"/>
      <c r="I12" s="8"/>
      <c r="J12" s="8"/>
      <c r="K12" s="8"/>
      <c r="L12" s="0" t="n">
        <v>181</v>
      </c>
      <c r="M12" s="10" t="n">
        <v>0.7899</v>
      </c>
      <c r="N12" s="10" t="n">
        <v>0.7899</v>
      </c>
      <c r="O12" s="10" t="n">
        <v>0.7014</v>
      </c>
      <c r="P12" s="10" t="n">
        <v>1</v>
      </c>
      <c r="Q12" s="10" t="n">
        <v>0.3275</v>
      </c>
      <c r="R12" s="11" t="n">
        <v>1</v>
      </c>
      <c r="S12" s="6" t="s">
        <v>120</v>
      </c>
      <c r="T12" s="6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6"/>
    <col collapsed="false" customWidth="true" hidden="false" outlineLevel="0" max="21" min="21" style="0" width="9"/>
    <col collapsed="false" customWidth="true" hidden="false" outlineLevel="0" max="22" min="22" style="0" width="6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true" outlineLevel="0" max="25" min="25" style="0" width="22"/>
    <col collapsed="false" customWidth="true" hidden="true" outlineLevel="0" max="26" min="26" style="0" width="5"/>
    <col collapsed="false" customWidth="true" hidden="true" outlineLevel="0" max="27" min="27" style="0" width="26"/>
  </cols>
  <sheetData>
    <row r="1" customFormat="false" ht="55.2" hidden="false" customHeight="false" outlineLevel="0" collapsed="false">
      <c r="A1" s="9" t="s">
        <v>62</v>
      </c>
      <c r="B1" s="9" t="s">
        <v>41</v>
      </c>
      <c r="C1" s="9" t="s">
        <v>40</v>
      </c>
      <c r="D1" s="9" t="s">
        <v>122</v>
      </c>
      <c r="E1" s="9" t="s">
        <v>123</v>
      </c>
      <c r="F1" s="9" t="s">
        <v>124</v>
      </c>
      <c r="G1" s="9" t="s">
        <v>125</v>
      </c>
      <c r="H1" s="9" t="s">
        <v>126</v>
      </c>
      <c r="I1" s="9" t="s">
        <v>127</v>
      </c>
      <c r="J1" s="9" t="s">
        <v>128</v>
      </c>
      <c r="K1" s="9" t="s">
        <v>129</v>
      </c>
      <c r="L1" s="9" t="s">
        <v>130</v>
      </c>
      <c r="M1" s="9" t="s">
        <v>131</v>
      </c>
      <c r="N1" s="9" t="s">
        <v>132</v>
      </c>
      <c r="O1" s="9" t="s">
        <v>133</v>
      </c>
      <c r="P1" s="9" t="s">
        <v>46</v>
      </c>
      <c r="Q1" s="9" t="s">
        <v>134</v>
      </c>
      <c r="R1" s="9" t="s">
        <v>135</v>
      </c>
      <c r="S1" s="9" t="s">
        <v>55</v>
      </c>
      <c r="T1" s="9" t="s">
        <v>136</v>
      </c>
      <c r="U1" s="9" t="s">
        <v>137</v>
      </c>
      <c r="V1" s="9" t="s">
        <v>138</v>
      </c>
      <c r="W1" s="9" t="s">
        <v>139</v>
      </c>
      <c r="X1" s="9" t="s">
        <v>57</v>
      </c>
      <c r="Y1" s="9" t="s">
        <v>140</v>
      </c>
      <c r="Z1" s="9" t="s">
        <v>141</v>
      </c>
      <c r="AA1" s="9" t="s">
        <v>142</v>
      </c>
    </row>
    <row r="2" customFormat="false" ht="15" hidden="false" customHeight="false" outlineLevel="0" collapsed="false">
      <c r="A2" s="0" t="s">
        <v>27</v>
      </c>
      <c r="B2" s="0" t="s">
        <v>143</v>
      </c>
      <c r="C2" s="0" t="s">
        <v>79</v>
      </c>
      <c r="D2" s="0" t="s">
        <v>144</v>
      </c>
      <c r="E2" s="0" t="n">
        <v>14.5</v>
      </c>
      <c r="F2" s="8" t="n">
        <f aca="false">IFERROR(INDEX(CHOOSE(MATCH($Z2,{"K1","K12","K13"},0),Calc!$Y$2:$Y$71,Calc!$AA$2:$AA$71,Calc!$AC$2:$AC$71),MATCH($Y2,Calc!$A$2:$A$71,0)),"")</f>
        <v>14.1820522621447</v>
      </c>
      <c r="G2" s="8" t="n">
        <f aca="false">IFERROR(SQRT(INDEX(CHOOSE(MATCH($Z2,{"K1","K12","K13"},0),Calc!$Z$2:$Z$71,Calc!$AB$2:$AB$71,Calc!$AD$2:$AD$71),MATCH($Y2,Calc!$A$2:$A$71,0))),"")</f>
        <v>5.84090863889201</v>
      </c>
      <c r="H2" s="7" t="n">
        <f aca="false">IF(OR($E2="",$F2="",N($G2)&lt;=0),"",1-NORMDIST(FLOOR($E2,1)+0.5,$F2,$G2,TRUE()))</f>
        <v>0.478294441957924</v>
      </c>
      <c r="I2" s="7" t="n">
        <f aca="false">IF($H2="","",NORMDIST(CEILING($E2,1)-0.5,$F2,$G2,TRUE()))</f>
        <v>0.521705558042077</v>
      </c>
      <c r="J2" s="7" t="n">
        <f aca="false">IF($H2="","",MAX(0,1-$H2-$I2))</f>
        <v>0</v>
      </c>
      <c r="K2" s="0" t="str">
        <f aca="false">IF($H2="","",IF($H2&gt;=0.5+Config!$B$8,"OVER",IF($I2&gt;=0.5+Config!$B$8,"UNDER","—")))</f>
        <v>—</v>
      </c>
      <c r="L2" s="8" t="n">
        <f aca="false">IFERROR(INDEX(CHOOSE(MATCH($Z2,{"K1","K12","K13"},0),Calc!$AE$2:$AE$71,Calc!$AF$2:$AF$71,Calc!$AG$2:$AG$71),MATCH($Y2,Calc!$A$2:$A$71,0)),"")</f>
        <v>15</v>
      </c>
      <c r="M2" s="7" t="n">
        <f aca="false">IF(OR($E2="",$L2="",N($G2)&lt;=0),"",1-NORMDIST(FLOOR($E2,1)+0.5,$L2,$G2*SQRT($L2/$F2),TRUE()))</f>
        <v>0.533168231217853</v>
      </c>
      <c r="O2" s="7" t="n">
        <f aca="false">IFERROR(INDEX(Calc!$H$2:$H$71,MATCH($Y2,Calc!$A$2:$A$71,0)),"")</f>
        <v>0.57</v>
      </c>
      <c r="P2" s="7" t="n">
        <f aca="false">IFERROR(INDEX(Calc!$M$2:$M$71,MATCH($Y2,Calc!$A$2:$A$71,0)),"")</f>
        <v>0.4681</v>
      </c>
      <c r="Q2" s="0" t="n">
        <v>12.7</v>
      </c>
      <c r="R2" s="7" t="n">
        <v>0.4</v>
      </c>
      <c r="S2" s="7" t="n">
        <v>0.4</v>
      </c>
      <c r="T2" s="7" t="n">
        <v>0.47</v>
      </c>
      <c r="U2" s="6" t="s">
        <v>145</v>
      </c>
      <c r="V2" s="0" t="n">
        <v>2</v>
      </c>
      <c r="X2" s="0" t="str">
        <f aca="false">IFERROR(INDEX(Calc!$AH$2:$AH$71,MATCH($Y2,Calc!$A$2:$A$71,0)),"")</f>
        <v>new roster: 0% of his recent games with these teammates</v>
      </c>
      <c r="Y2" s="6" t="s">
        <v>146</v>
      </c>
      <c r="Z2" s="6" t="s">
        <v>147</v>
      </c>
      <c r="AA2" s="0" t="str">
        <f aca="false">Y2&amp;"|"&amp;Z2</f>
        <v>5vihvu65ghkyan1|DOTA · Liquid vs OG|K12</v>
      </c>
    </row>
    <row r="3" customFormat="false" ht="15" hidden="false" customHeight="false" outlineLevel="0" collapsed="false">
      <c r="A3" s="0" t="s">
        <v>27</v>
      </c>
      <c r="B3" s="0" t="s">
        <v>148</v>
      </c>
      <c r="C3" s="0" t="s">
        <v>79</v>
      </c>
      <c r="D3" s="0" t="s">
        <v>144</v>
      </c>
      <c r="E3" s="0" t="n">
        <v>6.5</v>
      </c>
      <c r="F3" s="8" t="n">
        <f aca="false">IFERROR(INDEX(CHOOSE(MATCH($Z3,{"K1","K12","K13"},0),Calc!$Y$2:$Y$71,Calc!$AA$2:$AA$71,Calc!$AC$2:$AC$71),MATCH($Y3,Calc!$A$2:$A$71,0)),"")</f>
        <v>7.37466717631524</v>
      </c>
      <c r="G3" s="8" t="n">
        <f aca="false">IFERROR(SQRT(INDEX(CHOOSE(MATCH($Z3,{"K1","K12","K13"},0),Calc!$Z$2:$Z$71,Calc!$AB$2:$AB$71,Calc!$AD$2:$AD$71),MATCH($Y3,Calc!$A$2:$A$71,0))),"")</f>
        <v>3.96715644286197</v>
      </c>
      <c r="H3" s="7" t="n">
        <f aca="false">IF(OR($E3="",$F3="",N($G3)&lt;=0),"",1-NORMDIST(FLOOR($E3,1)+0.5,$F3,$G3,TRUE()))</f>
        <v>0.587250200226452</v>
      </c>
      <c r="I3" s="7" t="n">
        <f aca="false">IF($H3="","",NORMDIST(CEILING($E3,1)-0.5,$F3,$G3,TRUE()))</f>
        <v>0.412749799773548</v>
      </c>
      <c r="J3" s="7" t="n">
        <f aca="false">IF($H3="","",MAX(0,1-$H3-$I3))</f>
        <v>0</v>
      </c>
      <c r="K3" s="0" t="str">
        <f aca="false">IF($H3="","",IF($H3&gt;=0.5+Config!$B$8,"OVER",IF($I3&gt;=0.5+Config!$B$8,"UNDER","—")))</f>
        <v>OVER</v>
      </c>
      <c r="L3" s="8" t="n">
        <f aca="false">IFERROR(INDEX(CHOOSE(MATCH($Z3,{"K1","K12","K13"},0),Calc!$AE$2:$AE$71,Calc!$AF$2:$AF$71,Calc!$AG$2:$AG$71),MATCH($Y3,Calc!$A$2:$A$71,0)),"")</f>
        <v>7.8</v>
      </c>
      <c r="M3" s="7" t="n">
        <f aca="false">IF(OR($E3="",$L3="",N($G3)&lt;=0),"",1-NORMDIST(FLOOR($E3,1)+0.5,$L3,$G3*SQRT($L3/$F3),TRUE()))</f>
        <v>0.624996803365957</v>
      </c>
      <c r="N3" s="0" t="n">
        <v>6.78</v>
      </c>
      <c r="O3" s="7" t="n">
        <f aca="false">IFERROR(INDEX(Calc!$H$2:$H$71,MATCH($Y3,Calc!$A$2:$A$71,0)),"")</f>
        <v>0.57</v>
      </c>
      <c r="P3" s="7" t="n">
        <f aca="false">IFERROR(INDEX(Calc!$M$2:$M$71,MATCH($Y3,Calc!$A$2:$A$71,0)),"")</f>
        <v>0.4681</v>
      </c>
      <c r="Q3" s="0" t="n">
        <v>6.7</v>
      </c>
      <c r="R3" s="7" t="n">
        <v>0.4</v>
      </c>
      <c r="S3" s="7" t="n">
        <v>0.4</v>
      </c>
      <c r="T3" s="7" t="n">
        <v>0.47</v>
      </c>
      <c r="U3" s="6" t="s">
        <v>149</v>
      </c>
      <c r="V3" s="0" t="n">
        <v>2</v>
      </c>
      <c r="X3" s="0" t="str">
        <f aca="false">IFERROR(INDEX(Calc!$AH$2:$AH$71,MATCH($Y3,Calc!$A$2:$A$71,0)),"")</f>
        <v>new roster: 0% of his recent games with these teammates</v>
      </c>
      <c r="Y3" s="6" t="s">
        <v>150</v>
      </c>
      <c r="Z3" s="6" t="s">
        <v>147</v>
      </c>
      <c r="AA3" s="0" t="str">
        <f aca="false">Y3&amp;"|"&amp;Z3</f>
        <v>gf5trr3nqlr6rzi|DOTA · Liquid vs OG|K12</v>
      </c>
    </row>
    <row r="4" customFormat="false" ht="15" hidden="false" customHeight="false" outlineLevel="0" collapsed="false">
      <c r="A4" s="0" t="s">
        <v>27</v>
      </c>
      <c r="B4" s="0" t="s">
        <v>151</v>
      </c>
      <c r="C4" s="0" t="s">
        <v>79</v>
      </c>
      <c r="D4" s="0" t="s">
        <v>144</v>
      </c>
      <c r="E4" s="0" t="n">
        <v>5</v>
      </c>
      <c r="F4" s="8" t="n">
        <f aca="false">IFERROR(INDEX(CHOOSE(MATCH($Z4,{"K1","K12","K13"},0),Calc!$Y$2:$Y$71,Calc!$AA$2:$AA$71,Calc!$AC$2:$AC$71),MATCH($Y4,Calc!$A$2:$A$71,0)),"")</f>
        <v>6.69982653898769</v>
      </c>
      <c r="G4" s="8" t="n">
        <f aca="false">IFERROR(SQRT(INDEX(CHOOSE(MATCH($Z4,{"K1","K12","K13"},0),Calc!$Z$2:$Z$71,Calc!$AB$2:$AB$71,Calc!$AD$2:$AD$71),MATCH($Y4,Calc!$A$2:$A$71,0))),"")</f>
        <v>3.75737070122817</v>
      </c>
      <c r="H4" s="7" t="n">
        <f aca="false">IF(OR($E4="",$F4="",N($G4)&lt;=0),"",1-NORMDIST(FLOOR($E4,1)+0.5,$F4,$G4,TRUE()))</f>
        <v>0.625260379204812</v>
      </c>
      <c r="I4" s="7" t="n">
        <f aca="false">IF($H4="","",NORMDIST(CEILING($E4,1)-0.5,$F4,$G4,TRUE()))</f>
        <v>0.279115981408734</v>
      </c>
      <c r="J4" s="7" t="n">
        <f aca="false">IF($H4="","",MAX(0,1-$H4-$I4))</f>
        <v>0.0956236393864544</v>
      </c>
      <c r="K4" s="0" t="str">
        <f aca="false">IF($H4="","",IF($H4&gt;=0.5+Config!$B$8,"OVER",IF($I4&gt;=0.5+Config!$B$8,"UNDER","—")))</f>
        <v>OVER</v>
      </c>
      <c r="L4" s="8" t="n">
        <f aca="false">IFERROR(INDEX(CHOOSE(MATCH($Z4,{"K1","K12","K13"},0),Calc!$AE$2:$AE$71,Calc!$AF$2:$AF$71,Calc!$AG$2:$AG$71),MATCH($Y4,Calc!$A$2:$A$71,0)),"")</f>
        <v>7.2</v>
      </c>
      <c r="M4" s="7" t="n">
        <f aca="false">IF(OR($E4="",$L4="",N($G4)&lt;=0),"",1-NORMDIST(FLOOR($E4,1)+0.5,$L4,$G4*SQRT($L4/$F4),TRUE()))</f>
        <v>0.668743374919189</v>
      </c>
      <c r="N4" s="0" t="n">
        <v>5.75</v>
      </c>
      <c r="O4" s="7" t="n">
        <f aca="false">IFERROR(INDEX(Calc!$H$2:$H$71,MATCH($Y4,Calc!$A$2:$A$71,0)),"")</f>
        <v>0.6</v>
      </c>
      <c r="P4" s="7" t="n">
        <f aca="false">IFERROR(INDEX(Calc!$M$2:$M$71,MATCH($Y4,Calc!$A$2:$A$71,0)),"")</f>
        <v>0.4681</v>
      </c>
      <c r="Q4" s="0" t="n">
        <v>5.9</v>
      </c>
      <c r="R4" s="7" t="n">
        <v>0.6</v>
      </c>
      <c r="S4" s="7" t="n">
        <v>0.5</v>
      </c>
      <c r="T4" s="7" t="n">
        <v>0.53</v>
      </c>
      <c r="U4" s="6" t="s">
        <v>152</v>
      </c>
      <c r="V4" s="0" t="n">
        <v>-1</v>
      </c>
      <c r="W4" s="0" t="n">
        <v>0</v>
      </c>
      <c r="X4" s="0" t="str">
        <f aca="false">IFERROR(INDEX(Calc!$AH$2:$AH$71,MATCH($Y4,Calc!$A$2:$A$71,0)),"")</f>
        <v>new roster: 0% of his recent games with these teammates</v>
      </c>
      <c r="Y4" s="6" t="s">
        <v>153</v>
      </c>
      <c r="Z4" s="6" t="s">
        <v>147</v>
      </c>
      <c r="AA4" s="0" t="str">
        <f aca="false">Y4&amp;"|"&amp;Z4</f>
        <v>327bydu6uqe51dl|DOTA · Liquid vs OG|K12</v>
      </c>
    </row>
    <row r="5" customFormat="false" ht="15" hidden="false" customHeight="false" outlineLevel="0" collapsed="false">
      <c r="A5" s="0" t="s">
        <v>27</v>
      </c>
      <c r="B5" s="0" t="s">
        <v>154</v>
      </c>
      <c r="C5" s="0" t="s">
        <v>79</v>
      </c>
      <c r="D5" s="0" t="s">
        <v>144</v>
      </c>
      <c r="E5" s="0" t="n">
        <v>13.5</v>
      </c>
      <c r="F5" s="8" t="n">
        <f aca="false">IFERROR(INDEX(CHOOSE(MATCH($Z5,{"K1","K12","K13"},0),Calc!$Y$2:$Y$71,Calc!$AA$2:$AA$71,Calc!$AC$2:$AC$71),MATCH($Y5,Calc!$A$2:$A$71,0)),"")</f>
        <v>13.3744395663592</v>
      </c>
      <c r="G5" s="8" t="n">
        <f aca="false">IFERROR(SQRT(INDEX(CHOOSE(MATCH($Z5,{"K1","K12","K13"},0),Calc!$Z$2:$Z$71,Calc!$AB$2:$AB$71,Calc!$AD$2:$AD$71),MATCH($Y5,Calc!$A$2:$A$71,0))),"")</f>
        <v>5.63406261709347</v>
      </c>
      <c r="H5" s="7" t="n">
        <f aca="false">IF(OR($E5="",$F5="",N($G5)&lt;=0),"",1-NORMDIST(FLOOR($E5,1)+0.5,$F5,$G5,TRUE()))</f>
        <v>0.491109928481093</v>
      </c>
      <c r="I5" s="7" t="n">
        <f aca="false">IF($H5="","",NORMDIST(CEILING($E5,1)-0.5,$F5,$G5,TRUE()))</f>
        <v>0.508890071518907</v>
      </c>
      <c r="J5" s="7" t="n">
        <f aca="false">IF($H5="","",MAX(0,1-$H5-$I5))</f>
        <v>0</v>
      </c>
      <c r="K5" s="0" t="str">
        <f aca="false">IF($H5="","",IF($H5&gt;=0.5+Config!$B$8,"OVER",IF($I5&gt;=0.5+Config!$B$8,"UNDER","—")))</f>
        <v>—</v>
      </c>
      <c r="L5" s="8" t="n">
        <f aca="false">IFERROR(INDEX(CHOOSE(MATCH($Z5,{"K1","K12","K13"},0),Calc!$AE$2:$AE$71,Calc!$AF$2:$AF$71,Calc!$AG$2:$AG$71),MATCH($Y5,Calc!$A$2:$A$71,0)),"")</f>
        <v>14.6</v>
      </c>
      <c r="M5" s="7" t="n">
        <f aca="false">IF(OR($E5="",$L5="",N($G5)&lt;=0),"",1-NORMDIST(FLOOR($E5,1)+0.5,$L5,$G5*SQRT($L5/$F5),TRUE()))</f>
        <v>0.574117504541539</v>
      </c>
      <c r="N5" s="0" t="n">
        <v>12.6</v>
      </c>
      <c r="O5" s="7" t="n">
        <f aca="false">IFERROR(INDEX(Calc!$H$2:$H$71,MATCH($Y5,Calc!$A$2:$A$71,0)),"")</f>
        <v>0.63</v>
      </c>
      <c r="P5" s="7" t="n">
        <f aca="false">IFERROR(INDEX(Calc!$M$2:$M$71,MATCH($Y5,Calc!$A$2:$A$71,0)),"")</f>
        <v>0.4681</v>
      </c>
      <c r="Q5" s="0" t="n">
        <v>14.3</v>
      </c>
      <c r="R5" s="7" t="n">
        <v>0.8</v>
      </c>
      <c r="S5" s="7" t="n">
        <v>0.6</v>
      </c>
      <c r="T5" s="7" t="n">
        <v>0.67</v>
      </c>
      <c r="U5" s="6" t="s">
        <v>155</v>
      </c>
      <c r="V5" s="0" t="n">
        <v>2</v>
      </c>
      <c r="X5" s="0" t="str">
        <f aca="false">IFERROR(INDEX(Calc!$AH$2:$AH$71,MATCH($Y5,Calc!$A$2:$A$71,0)),"")</f>
        <v>new roster: 0% of his recent games with these teammates</v>
      </c>
      <c r="Y5" s="6" t="s">
        <v>156</v>
      </c>
      <c r="Z5" s="6" t="s">
        <v>147</v>
      </c>
      <c r="AA5" s="0" t="str">
        <f aca="false">Y5&amp;"|"&amp;Z5</f>
        <v>c9666oyxnrvurur|DOTA · Liquid vs OG|K12</v>
      </c>
    </row>
    <row r="6" customFormat="false" ht="15" hidden="false" customHeight="false" outlineLevel="0" collapsed="false">
      <c r="A6" s="0" t="s">
        <v>99</v>
      </c>
      <c r="B6" s="0" t="s">
        <v>157</v>
      </c>
      <c r="C6" s="0" t="s">
        <v>103</v>
      </c>
      <c r="D6" s="0" t="s">
        <v>144</v>
      </c>
      <c r="E6" s="0" t="n">
        <v>5</v>
      </c>
      <c r="F6" s="8" t="n">
        <f aca="false">IFERROR(INDEX(CHOOSE(MATCH($Z6,{"K1","K12","K13"},0),Calc!$Y$2:$Y$71,Calc!$AA$2:$AA$71,Calc!$AC$2:$AC$71),MATCH($Y6,Calc!$A$2:$A$71,0)),"")</f>
        <v>4.00711962020391</v>
      </c>
      <c r="G6" s="8" t="n">
        <f aca="false">IFERROR(SQRT(INDEX(CHOOSE(MATCH($Z6,{"K1","K12","K13"},0),Calc!$Z$2:$Z$71,Calc!$AB$2:$AB$71,Calc!$AD$2:$AD$71),MATCH($Y6,Calc!$A$2:$A$71,0))),"")</f>
        <v>2.82339824936046</v>
      </c>
      <c r="H6" s="7" t="n">
        <f aca="false">IF(OR($E6="",$F6="",N($G6)&lt;=0),"",1-NORMDIST(FLOOR($E6,1)+0.5,$F6,$G6,TRUE()))</f>
        <v>0.298488392342212</v>
      </c>
      <c r="I6" s="7" t="n">
        <f aca="false">IF($H6="","",NORMDIST(CEILING($E6,1)-0.5,$F6,$G6,TRUE()))</f>
        <v>0.569291203300777</v>
      </c>
      <c r="J6" s="7" t="n">
        <f aca="false">IF($H6="","",MAX(0,1-$H6-$I6))</f>
        <v>0.132220404357011</v>
      </c>
      <c r="K6" s="0" t="str">
        <f aca="false">IF($H6="","",IF($H6&gt;=0.5+Config!$B$8,"OVER",IF($I6&gt;=0.5+Config!$B$8,"UNDER","—")))</f>
        <v>UNDER</v>
      </c>
      <c r="L6" s="8" t="n">
        <f aca="false">IFERROR(INDEX(CHOOSE(MATCH($Z6,{"K1","K12","K13"},0),Calc!$AE$2:$AE$71,Calc!$AF$2:$AF$71,Calc!$AG$2:$AG$71),MATCH($Y6,Calc!$A$2:$A$71,0)),"")</f>
        <v>4.4</v>
      </c>
      <c r="M6" s="7" t="n">
        <f aca="false">IF(OR($E6="",$L6="",N($G6)&lt;=0),"",1-NORMDIST(FLOOR($E6,1)+0.5,$L6,$G6*SQRT($L6/$F6),TRUE()))</f>
        <v>0.35502057141581</v>
      </c>
      <c r="O6" s="7" t="n">
        <f aca="false">IFERROR(INDEX(Calc!$H$2:$H$71,MATCH($Y6,Calc!$A$2:$A$71,0)),"")</f>
        <v>0.37</v>
      </c>
      <c r="P6" s="7" t="n">
        <f aca="false">IFERROR(INDEX(Calc!$M$2:$M$71,MATCH($Y6,Calc!$A$2:$A$71,0)),"")</f>
        <v>0.221</v>
      </c>
      <c r="Q6" s="0" t="n">
        <v>5.1</v>
      </c>
      <c r="R6" s="7" t="n">
        <v>0.6</v>
      </c>
      <c r="S6" s="7" t="n">
        <v>0.6</v>
      </c>
      <c r="T6" s="7" t="n">
        <v>0.53</v>
      </c>
      <c r="U6" s="6" t="s">
        <v>158</v>
      </c>
      <c r="V6" s="0" t="n">
        <v>-1</v>
      </c>
      <c r="W6" s="0" t="n">
        <v>3</v>
      </c>
      <c r="X6" s="0" t="str">
        <f aca="false">IFERROR(INDEX(Calc!$AH$2:$AH$71,MATCH($Y6,Calc!$A$2:$A$71,0)),"")</f>
        <v>new roster: 0% of his recent games with these teammates</v>
      </c>
      <c r="Y6" s="6" t="s">
        <v>159</v>
      </c>
      <c r="Z6" s="6" t="s">
        <v>147</v>
      </c>
      <c r="AA6" s="0" t="str">
        <f aca="false">Y6&amp;"|"&amp;Z6</f>
        <v>d5vtssc59tcc007|DOTA · PARI vs BB|K12</v>
      </c>
    </row>
    <row r="7" customFormat="false" ht="15" hidden="false" customHeight="false" outlineLevel="0" collapsed="false">
      <c r="A7" s="0" t="s">
        <v>99</v>
      </c>
      <c r="B7" s="0" t="s">
        <v>160</v>
      </c>
      <c r="C7" s="0" t="s">
        <v>103</v>
      </c>
      <c r="D7" s="0" t="s">
        <v>144</v>
      </c>
      <c r="E7" s="0" t="n">
        <v>13.5</v>
      </c>
      <c r="F7" s="8" t="n">
        <f aca="false">IFERROR(INDEX(CHOOSE(MATCH($Z7,{"K1","K12","K13"},0),Calc!$Y$2:$Y$71,Calc!$AA$2:$AA$71,Calc!$AC$2:$AC$71),MATCH($Y7,Calc!$A$2:$A$71,0)),"")</f>
        <v>12.3856424624484</v>
      </c>
      <c r="G7" s="8" t="n">
        <f aca="false">IFERROR(SQRT(INDEX(CHOOSE(MATCH($Z7,{"K1","K12","K13"},0),Calc!$Z$2:$Z$71,Calc!$AB$2:$AB$71,Calc!$AD$2:$AD$71),MATCH($Y7,Calc!$A$2:$A$71,0))),"")</f>
        <v>5.33921985866092</v>
      </c>
      <c r="H7" s="7" t="n">
        <f aca="false">IF(OR($E7="",$F7="",N($G7)&lt;=0),"",1-NORMDIST(FLOOR($E7,1)+0.5,$F7,$G7,TRUE()))</f>
        <v>0.417336661470798</v>
      </c>
      <c r="I7" s="7" t="n">
        <f aca="false">IF($H7="","",NORMDIST(CEILING($E7,1)-0.5,$F7,$G7,TRUE()))</f>
        <v>0.582663338529202</v>
      </c>
      <c r="J7" s="7" t="n">
        <f aca="false">IF($H7="","",MAX(0,1-$H7-$I7))</f>
        <v>0</v>
      </c>
      <c r="K7" s="0" t="str">
        <f aca="false">IF($H7="","",IF($H7&gt;=0.5+Config!$B$8,"OVER",IF($I7&gt;=0.5+Config!$B$8,"UNDER","—")))</f>
        <v>UNDER</v>
      </c>
      <c r="L7" s="8" t="n">
        <f aca="false">IFERROR(INDEX(CHOOSE(MATCH($Z7,{"K1","K12","K13"},0),Calc!$AE$2:$AE$71,Calc!$AF$2:$AF$71,Calc!$AG$2:$AG$71),MATCH($Y7,Calc!$A$2:$A$71,0)),"")</f>
        <v>13.6</v>
      </c>
      <c r="M7" s="7" t="n">
        <f aca="false">IF(OR($E7="",$L7="",N($G7)&lt;=0),"",1-NORMDIST(FLOOR($E7,1)+0.5,$L7,$G7*SQRT($L7/$F7),TRUE()))</f>
        <v>0.507130154711021</v>
      </c>
      <c r="O7" s="7" t="n">
        <f aca="false">IFERROR(INDEX(Calc!$H$2:$H$71,MATCH($Y7,Calc!$A$2:$A$71,0)),"")</f>
        <v>0.37</v>
      </c>
      <c r="P7" s="7" t="n">
        <f aca="false">IFERROR(INDEX(Calc!$M$2:$M$71,MATCH($Y7,Calc!$A$2:$A$71,0)),"")</f>
        <v>0.221</v>
      </c>
      <c r="Q7" s="0" t="n">
        <v>14.1</v>
      </c>
      <c r="R7" s="7" t="n">
        <v>0.4</v>
      </c>
      <c r="S7" s="7" t="n">
        <v>0.4</v>
      </c>
      <c r="T7" s="7" t="n">
        <v>0.4</v>
      </c>
      <c r="U7" s="6" t="s">
        <v>161</v>
      </c>
      <c r="V7" s="0" t="n">
        <v>-2</v>
      </c>
      <c r="X7" s="0" t="str">
        <f aca="false">IFERROR(INDEX(Calc!$AH$2:$AH$71,MATCH($Y7,Calc!$A$2:$A$71,0)),"")</f>
        <v>new roster: 0% of his recent games with these teammates</v>
      </c>
      <c r="Y7" s="6" t="s">
        <v>162</v>
      </c>
      <c r="Z7" s="6" t="s">
        <v>147</v>
      </c>
      <c r="AA7" s="0" t="str">
        <f aca="false">Y7&amp;"|"&amp;Z7</f>
        <v>qcmgn2st7qcaqxc|DOTA · PARI vs BB|K12</v>
      </c>
    </row>
    <row r="8" customFormat="false" ht="15" hidden="false" customHeight="false" outlineLevel="0" collapsed="false">
      <c r="A8" s="0" t="s">
        <v>99</v>
      </c>
      <c r="B8" s="0" t="s">
        <v>163</v>
      </c>
      <c r="C8" s="0" t="s">
        <v>103</v>
      </c>
      <c r="D8" s="0" t="s">
        <v>144</v>
      </c>
      <c r="E8" s="0" t="n">
        <v>7.5</v>
      </c>
      <c r="F8" s="8" t="n">
        <f aca="false">IFERROR(INDEX(CHOOSE(MATCH($Z8,{"K1","K12","K13"},0),Calc!$Y$2:$Y$71,Calc!$AA$2:$AA$71,Calc!$AC$2:$AC$71),MATCH($Y8,Calc!$A$2:$A$71,0)),"")</f>
        <v>7.83209743948945</v>
      </c>
      <c r="G8" s="8" t="n">
        <f aca="false">IFERROR(SQRT(INDEX(CHOOSE(MATCH($Z8,{"K1","K12","K13"},0),Calc!$Z$2:$Z$71,Calc!$AB$2:$AB$71,Calc!$AD$2:$AD$71),MATCH($Y8,Calc!$A$2:$A$71,0))),"")</f>
        <v>4.08624424154983</v>
      </c>
      <c r="H8" s="7" t="n">
        <f aca="false">IF(OR($E8="",$F8="",N($G8)&lt;=0),"",1-NORMDIST(FLOOR($E8,1)+0.5,$F8,$G8,TRUE()))</f>
        <v>0.532387198680584</v>
      </c>
      <c r="I8" s="7" t="n">
        <f aca="false">IF($H8="","",NORMDIST(CEILING($E8,1)-0.5,$F8,$G8,TRUE()))</f>
        <v>0.467612801319416</v>
      </c>
      <c r="J8" s="7" t="n">
        <f aca="false">IF($H8="","",MAX(0,1-$H8-$I8))</f>
        <v>0</v>
      </c>
      <c r="K8" s="0" t="str">
        <f aca="false">IF($H8="","",IF($H8&gt;=0.5+Config!$B$8,"OVER",IF($I8&gt;=0.5+Config!$B$8,"UNDER","—")))</f>
        <v>—</v>
      </c>
      <c r="L8" s="8" t="n">
        <f aca="false">IFERROR(INDEX(CHOOSE(MATCH($Z8,{"K1","K12","K13"},0),Calc!$AE$2:$AE$71,Calc!$AF$2:$AF$71,Calc!$AG$2:$AG$71),MATCH($Y8,Calc!$A$2:$A$71,0)),"")</f>
        <v>8.6</v>
      </c>
      <c r="M8" s="7" t="n">
        <f aca="false">IF(OR($E8="",$L8="",N($G8)&lt;=0),"",1-NORMDIST(FLOOR($E8,1)+0.5,$L8,$G8*SQRT($L8/$F8),TRUE()))</f>
        <v>0.601370661797625</v>
      </c>
      <c r="O8" s="7" t="n">
        <f aca="false">IFERROR(INDEX(Calc!$H$2:$H$71,MATCH($Y8,Calc!$A$2:$A$71,0)),"")</f>
        <v>0.37</v>
      </c>
      <c r="P8" s="7" t="n">
        <f aca="false">IFERROR(INDEX(Calc!$M$2:$M$71,MATCH($Y8,Calc!$A$2:$A$71,0)),"")</f>
        <v>0.221</v>
      </c>
      <c r="Q8" s="0" t="n">
        <v>8.5</v>
      </c>
      <c r="R8" s="7" t="n">
        <v>0.8</v>
      </c>
      <c r="S8" s="7" t="n">
        <v>0.6</v>
      </c>
      <c r="T8" s="7" t="n">
        <v>0.67</v>
      </c>
      <c r="U8" s="6" t="s">
        <v>164</v>
      </c>
      <c r="V8" s="0" t="n">
        <v>1</v>
      </c>
      <c r="X8" s="0" t="str">
        <f aca="false">IFERROR(INDEX(Calc!$AH$2:$AH$71,MATCH($Y8,Calc!$A$2:$A$71,0)),"")</f>
        <v>new roster: 0% of his recent games with these teammates</v>
      </c>
      <c r="Y8" s="6" t="s">
        <v>165</v>
      </c>
      <c r="Z8" s="6" t="s">
        <v>147</v>
      </c>
      <c r="AA8" s="0" t="str">
        <f aca="false">Y8&amp;"|"&amp;Z8</f>
        <v>nbyoi46qk2ybg8b|DOTA · PARI vs BB|K12</v>
      </c>
    </row>
    <row r="9" customFormat="false" ht="15" hidden="false" customHeight="false" outlineLevel="0" collapsed="false">
      <c r="A9" s="0" t="s">
        <v>99</v>
      </c>
      <c r="B9" s="0" t="s">
        <v>166</v>
      </c>
      <c r="C9" s="0" t="s">
        <v>103</v>
      </c>
      <c r="D9" s="0" t="s">
        <v>144</v>
      </c>
      <c r="E9" s="0" t="n">
        <v>9.5</v>
      </c>
      <c r="F9" s="8" t="n">
        <f aca="false">IFERROR(INDEX(CHOOSE(MATCH($Z9,{"K1","K12","K13"},0),Calc!$Y$2:$Y$71,Calc!$AA$2:$AA$71,Calc!$AC$2:$AC$71),MATCH($Y9,Calc!$A$2:$A$71,0)),"")</f>
        <v>6.92138843489766</v>
      </c>
      <c r="G9" s="8" t="n">
        <f aca="false">IFERROR(SQRT(INDEX(CHOOSE(MATCH($Z9,{"K1","K12","K13"},0),Calc!$Z$2:$Z$71,Calc!$AB$2:$AB$71,Calc!$AD$2:$AD$71),MATCH($Y9,Calc!$A$2:$A$71,0))),"")</f>
        <v>3.81062924578957</v>
      </c>
      <c r="H9" s="7" t="n">
        <f aca="false">IF(OR($E9="",$F9="",N($G9)&lt;=0),"",1-NORMDIST(FLOOR($E9,1)+0.5,$F9,$G9,TRUE()))</f>
        <v>0.249301592677112</v>
      </c>
      <c r="I9" s="7" t="n">
        <f aca="false">IF($H9="","",NORMDIST(CEILING($E9,1)-0.5,$F9,$G9,TRUE()))</f>
        <v>0.750698407322888</v>
      </c>
      <c r="J9" s="7" t="n">
        <f aca="false">IF($H9="","",MAX(0,1-$H9-$I9))</f>
        <v>0</v>
      </c>
      <c r="K9" s="0" t="str">
        <f aca="false">IF($H9="","",IF($H9&gt;=0.5+Config!$B$8,"OVER",IF($I9&gt;=0.5+Config!$B$8,"UNDER","—")))</f>
        <v>UNDER</v>
      </c>
      <c r="L9" s="8" t="n">
        <f aca="false">IFERROR(INDEX(CHOOSE(MATCH($Z9,{"K1","K12","K13"},0),Calc!$AE$2:$AE$71,Calc!$AF$2:$AF$71,Calc!$AG$2:$AG$71),MATCH($Y9,Calc!$A$2:$A$71,0)),"")</f>
        <v>7.6</v>
      </c>
      <c r="M9" s="7" t="n">
        <f aca="false">IF(OR($E9="",$L9="",N($G9)&lt;=0),"",1-NORMDIST(FLOOR($E9,1)+0.5,$L9,$G9*SQRT($L9/$F9),TRUE()))</f>
        <v>0.317099738116412</v>
      </c>
      <c r="N9" s="0" t="n">
        <v>9.34</v>
      </c>
      <c r="O9" s="7" t="n">
        <f aca="false">IFERROR(INDEX(Calc!$H$2:$H$71,MATCH($Y9,Calc!$A$2:$A$71,0)),"")</f>
        <v>0.37</v>
      </c>
      <c r="P9" s="7" t="n">
        <f aca="false">IFERROR(INDEX(Calc!$M$2:$M$71,MATCH($Y9,Calc!$A$2:$A$71,0)),"")</f>
        <v>0.221</v>
      </c>
      <c r="Q9" s="0" t="n">
        <v>8</v>
      </c>
      <c r="R9" s="7" t="n">
        <v>0.6</v>
      </c>
      <c r="S9" s="7" t="n">
        <v>0.4</v>
      </c>
      <c r="T9" s="7" t="n">
        <v>0.27</v>
      </c>
      <c r="U9" s="6" t="s">
        <v>167</v>
      </c>
      <c r="V9" s="0" t="n">
        <v>-2</v>
      </c>
      <c r="X9" s="0" t="str">
        <f aca="false">IFERROR(INDEX(Calc!$AH$2:$AH$71,MATCH($Y9,Calc!$A$2:$A$71,0)),"")</f>
        <v>new roster: 0% of his recent games with these teammates</v>
      </c>
      <c r="Y9" s="6" t="s">
        <v>168</v>
      </c>
      <c r="Z9" s="6" t="s">
        <v>147</v>
      </c>
      <c r="AA9" s="0" t="str">
        <f aca="false">Y9&amp;"|"&amp;Z9</f>
        <v>eijyclfw930qk3c|DOTA · PARI vs BB|K12</v>
      </c>
    </row>
    <row r="10" customFormat="false" ht="15" hidden="false" customHeight="false" outlineLevel="0" collapsed="false">
      <c r="A10" s="0" t="s">
        <v>99</v>
      </c>
      <c r="B10" s="0" t="s">
        <v>169</v>
      </c>
      <c r="C10" s="0" t="s">
        <v>103</v>
      </c>
      <c r="D10" s="0" t="s">
        <v>144</v>
      </c>
      <c r="E10" s="0" t="n">
        <v>5.5</v>
      </c>
      <c r="F10" s="8" t="n">
        <f aca="false">IFERROR(INDEX(CHOOSE(MATCH($Z10,{"K1","K12","K13"},0),Calc!$Y$2:$Y$71,Calc!$AA$2:$AA$71,Calc!$AC$2:$AC$71),MATCH($Y10,Calc!$A$2:$A$71,0)),"")</f>
        <v>4.47312691131498</v>
      </c>
      <c r="G10" s="8" t="n">
        <f aca="false">IFERROR(SQRT(INDEX(CHOOSE(MATCH($Z10,{"K1","K12","K13"},0),Calc!$Z$2:$Z$71,Calc!$AB$2:$AB$71,Calc!$AD$2:$AD$71),MATCH($Y10,Calc!$A$2:$A$71,0))),"")</f>
        <v>2.99605154938592</v>
      </c>
      <c r="H10" s="7" t="n">
        <f aca="false">IF(OR($E10="",$F10="",N($G10)&lt;=0),"",1-NORMDIST(FLOOR($E10,1)+0.5,$F10,$G10,TRUE()))</f>
        <v>0.365896232696916</v>
      </c>
      <c r="I10" s="7" t="n">
        <f aca="false">IF($H10="","",NORMDIST(CEILING($E10,1)-0.5,$F10,$G10,TRUE()))</f>
        <v>0.634103767303084</v>
      </c>
      <c r="J10" s="7" t="n">
        <f aca="false">IF($H10="","",MAX(0,1-$H10-$I10))</f>
        <v>0</v>
      </c>
      <c r="K10" s="0" t="str">
        <f aca="false">IF($H10="","",IF($H10&gt;=0.5+Config!$B$8,"OVER",IF($I10&gt;=0.5+Config!$B$8,"UNDER","—")))</f>
        <v>UNDER</v>
      </c>
      <c r="L10" s="8" t="n">
        <f aca="false">IFERROR(INDEX(CHOOSE(MATCH($Z10,{"K1","K12","K13"},0),Calc!$AE$2:$AE$71,Calc!$AF$2:$AF$71,Calc!$AG$2:$AG$71),MATCH($Y10,Calc!$A$2:$A$71,0)),"")</f>
        <v>5</v>
      </c>
      <c r="M10" s="7" t="n">
        <f aca="false">IF(OR($E10="",$L10="",N($G10)&lt;=0),"",1-NORMDIST(FLOOR($E10,1)+0.5,$L10,$G10*SQRT($L10/$F10),TRUE()))</f>
        <v>0.437287965300901</v>
      </c>
      <c r="N10" s="0" t="n">
        <v>6.49</v>
      </c>
      <c r="O10" s="7" t="n">
        <f aca="false">IFERROR(INDEX(Calc!$H$2:$H$71,MATCH($Y10,Calc!$A$2:$A$71,0)),"")</f>
        <v>0.4</v>
      </c>
      <c r="P10" s="7" t="n">
        <f aca="false">IFERROR(INDEX(Calc!$M$2:$M$71,MATCH($Y10,Calc!$A$2:$A$71,0)),"")</f>
        <v>0.221</v>
      </c>
      <c r="Q10" s="0" t="n">
        <v>4.8</v>
      </c>
      <c r="R10" s="7" t="n">
        <v>0.2</v>
      </c>
      <c r="S10" s="7" t="n">
        <v>0.3</v>
      </c>
      <c r="T10" s="7" t="n">
        <v>0.47</v>
      </c>
      <c r="U10" s="6" t="s">
        <v>170</v>
      </c>
      <c r="V10" s="0" t="n">
        <v>-2</v>
      </c>
      <c r="X10" s="0" t="str">
        <f aca="false">IFERROR(INDEX(Calc!$AH$2:$AH$71,MATCH($Y10,Calc!$A$2:$A$71,0)),"")</f>
        <v>new roster: 0% of his recent games with these teammates</v>
      </c>
      <c r="Y10" s="6" t="s">
        <v>171</v>
      </c>
      <c r="Z10" s="6" t="s">
        <v>147</v>
      </c>
      <c r="AA10" s="0" t="str">
        <f aca="false">Y10&amp;"|"&amp;Z10</f>
        <v>7ht2ppu8ke3cch9|DOTA · PARI vs BB|K12</v>
      </c>
    </row>
    <row r="11" customFormat="false" ht="15" hidden="false" customHeight="false" outlineLevel="0" collapsed="false">
      <c r="A11" s="0" t="s">
        <v>99</v>
      </c>
      <c r="B11" s="0" t="s">
        <v>172</v>
      </c>
      <c r="C11" s="0" t="s">
        <v>102</v>
      </c>
      <c r="D11" s="0" t="s">
        <v>144</v>
      </c>
      <c r="E11" s="0" t="n">
        <v>8</v>
      </c>
      <c r="F11" s="8" t="n">
        <f aca="false">IFERROR(INDEX(CHOOSE(MATCH($Z11,{"K1","K12","K13"},0),Calc!$Y$2:$Y$71,Calc!$AA$2:$AA$71,Calc!$AC$2:$AC$71),MATCH($Y11,Calc!$A$2:$A$71,0)),"")</f>
        <v>9.77154126055881</v>
      </c>
      <c r="G11" s="8" t="n">
        <f aca="false">IFERROR(SQRT(INDEX(CHOOSE(MATCH($Z11,{"K1","K12","K13"},0),Calc!$Z$2:$Z$71,Calc!$AB$2:$AB$71,Calc!$AD$2:$AD$71),MATCH($Y11,Calc!$A$2:$A$71,0))),"")</f>
        <v>4.45910349256123</v>
      </c>
      <c r="H11" s="7" t="n">
        <f aca="false">IF(OR($E11="",$F11="",N($G11)&lt;=0),"",1-NORMDIST(FLOOR($E11,1)+0.5,$F11,$G11,TRUE()))</f>
        <v>0.612237784183645</v>
      </c>
      <c r="I11" s="7" t="n">
        <f aca="false">IF($H11="","",NORMDIST(CEILING($E11,1)-0.5,$F11,$G11,TRUE()))</f>
        <v>0.305230127833427</v>
      </c>
      <c r="J11" s="7" t="n">
        <f aca="false">IF($H11="","",MAX(0,1-$H11-$I11))</f>
        <v>0.0825320879829274</v>
      </c>
      <c r="K11" s="0" t="str">
        <f aca="false">IF($H11="","",IF($H11&gt;=0.5+Config!$B$8,"OVER",IF($I11&gt;=0.5+Config!$B$8,"UNDER","—")))</f>
        <v>OVER</v>
      </c>
      <c r="L11" s="8" t="n">
        <f aca="false">IFERROR(INDEX(CHOOSE(MATCH($Z11,{"K1","K12","K13"},0),Calc!$AE$2:$AE$71,Calc!$AF$2:$AF$71,Calc!$AG$2:$AG$71),MATCH($Y11,Calc!$A$2:$A$71,0)),"")</f>
        <v>9.4</v>
      </c>
      <c r="M11" s="7" t="n">
        <f aca="false">IF(OR($E11="",$L11="",N($G11)&lt;=0),"",1-NORMDIST(FLOOR($E11,1)+0.5,$L11,$G11*SQRT($L11/$F11),TRUE()))</f>
        <v>0.581520357898221</v>
      </c>
      <c r="N11" s="0" t="n">
        <v>7.54</v>
      </c>
      <c r="O11" s="7" t="n">
        <f aca="false">IFERROR(INDEX(Calc!$H$2:$H$71,MATCH($Y11,Calc!$A$2:$A$71,0)),"")</f>
        <v>0.7</v>
      </c>
      <c r="P11" s="7" t="n">
        <f aca="false">IFERROR(INDEX(Calc!$M$2:$M$71,MATCH($Y11,Calc!$A$2:$A$71,0)),"")</f>
        <v>0.779</v>
      </c>
      <c r="Q11" s="0" t="n">
        <v>9.9</v>
      </c>
      <c r="R11" s="7" t="n">
        <v>0.6</v>
      </c>
      <c r="S11" s="7" t="n">
        <v>0.6</v>
      </c>
      <c r="T11" s="7" t="n">
        <v>0.53</v>
      </c>
      <c r="U11" s="6" t="s">
        <v>173</v>
      </c>
      <c r="V11" s="0" t="n">
        <v>-1</v>
      </c>
      <c r="W11" s="0" t="n">
        <v>1</v>
      </c>
      <c r="X11" s="0" t="str">
        <f aca="false">IFERROR(INDEX(Calc!$AH$2:$AH$71,MATCH($Y11,Calc!$A$2:$A$71,0)),"")</f>
        <v>new roster: 0% of his recent games with these teammates</v>
      </c>
      <c r="Y11" s="6" t="s">
        <v>174</v>
      </c>
      <c r="Z11" s="6" t="s">
        <v>147</v>
      </c>
      <c r="AA11" s="0" t="str">
        <f aca="false">Y11&amp;"|"&amp;Z11</f>
        <v>p48p2vywpenq4iz|DOTA · PARI vs BB|K12</v>
      </c>
    </row>
    <row r="12" customFormat="false" ht="15" hidden="false" customHeight="false" outlineLevel="0" collapsed="false">
      <c r="A12" s="0" t="s">
        <v>99</v>
      </c>
      <c r="B12" s="0" t="s">
        <v>175</v>
      </c>
      <c r="C12" s="0" t="s">
        <v>102</v>
      </c>
      <c r="D12" s="0" t="s">
        <v>144</v>
      </c>
      <c r="E12" s="0" t="n">
        <v>6</v>
      </c>
      <c r="F12" s="8" t="n">
        <f aca="false">IFERROR(INDEX(CHOOSE(MATCH($Z12,{"K1","K12","K13"},0),Calc!$Y$2:$Y$71,Calc!$AA$2:$AA$71,Calc!$AC$2:$AC$71),MATCH($Y12,Calc!$A$2:$A$71,0)),"")</f>
        <v>7.48458479532164</v>
      </c>
      <c r="G12" s="8" t="n">
        <f aca="false">IFERROR(SQRT(INDEX(CHOOSE(MATCH($Z12,{"K1","K12","K13"},0),Calc!$Z$2:$Z$71,Calc!$AB$2:$AB$71,Calc!$AD$2:$AD$71),MATCH($Y12,Calc!$A$2:$A$71,0))),"")</f>
        <v>3.85858478906437</v>
      </c>
      <c r="H12" s="7" t="n">
        <f aca="false">IF(OR($E12="",$F12="",N($G12)&lt;=0),"",1-NORMDIST(FLOOR($E12,1)+0.5,$F12,$G12,TRUE()))</f>
        <v>0.600703070260863</v>
      </c>
      <c r="I12" s="7" t="n">
        <f aca="false">IF($H12="","",NORMDIST(CEILING($E12,1)-0.5,$F12,$G12,TRUE()))</f>
        <v>0.303510746679782</v>
      </c>
      <c r="J12" s="7" t="n">
        <f aca="false">IF($H12="","",MAX(0,1-$H12-$I12))</f>
        <v>0.0957861830593551</v>
      </c>
      <c r="K12" s="0" t="str">
        <f aca="false">IF($H12="","",IF($H12&gt;=0.5+Config!$B$8,"OVER",IF($I12&gt;=0.5+Config!$B$8,"UNDER","—")))</f>
        <v>OVER</v>
      </c>
      <c r="L12" s="8" t="n">
        <f aca="false">IFERROR(INDEX(CHOOSE(MATCH($Z12,{"K1","K12","K13"},0),Calc!$AE$2:$AE$71,Calc!$AF$2:$AF$71,Calc!$AG$2:$AG$71),MATCH($Y12,Calc!$A$2:$A$71,0)),"")</f>
        <v>7.2</v>
      </c>
      <c r="M12" s="7" t="n">
        <f aca="false">IF(OR($E12="",$L12="",N($G12)&lt;=0),"",1-NORMDIST(FLOOR($E12,1)+0.5,$L12,$G12*SQRT($L12/$F12),TRUE()))</f>
        <v>0.573371429320664</v>
      </c>
      <c r="O12" s="7" t="n">
        <f aca="false">IFERROR(INDEX(Calc!$H$2:$H$71,MATCH($Y12,Calc!$A$2:$A$71,0)),"")</f>
        <v>0.7</v>
      </c>
      <c r="P12" s="7" t="n">
        <f aca="false">IFERROR(INDEX(Calc!$M$2:$M$71,MATCH($Y12,Calc!$A$2:$A$71,0)),"")</f>
        <v>0.779</v>
      </c>
      <c r="Q12" s="0" t="n">
        <v>7.2</v>
      </c>
      <c r="R12" s="7" t="n">
        <v>0.4</v>
      </c>
      <c r="S12" s="7" t="n">
        <v>0.6</v>
      </c>
      <c r="T12" s="7" t="n">
        <v>0.47</v>
      </c>
      <c r="U12" s="6" t="s">
        <v>176</v>
      </c>
      <c r="V12" s="0" t="n">
        <v>2</v>
      </c>
      <c r="W12" s="0" t="n">
        <v>1</v>
      </c>
      <c r="X12" s="0" t="str">
        <f aca="false">IFERROR(INDEX(Calc!$AH$2:$AH$71,MATCH($Y12,Calc!$A$2:$A$71,0)),"")</f>
        <v>new roster: 0% of his recent games with these teammates</v>
      </c>
      <c r="Y12" s="6" t="s">
        <v>177</v>
      </c>
      <c r="Z12" s="6" t="s">
        <v>147</v>
      </c>
      <c r="AA12" s="0" t="str">
        <f aca="false">Y12&amp;"|"&amp;Z12</f>
        <v>38c4z9ycctww8gl|DOTA · PARI vs BB|K12</v>
      </c>
    </row>
    <row r="13" customFormat="false" ht="15" hidden="false" customHeight="false" outlineLevel="0" collapsed="false">
      <c r="A13" s="0" t="s">
        <v>99</v>
      </c>
      <c r="B13" s="0" t="s">
        <v>178</v>
      </c>
      <c r="C13" s="0" t="s">
        <v>102</v>
      </c>
      <c r="D13" s="0" t="s">
        <v>144</v>
      </c>
      <c r="E13" s="0" t="n">
        <v>17.5</v>
      </c>
      <c r="F13" s="8" t="n">
        <f aca="false">IFERROR(INDEX(CHOOSE(MATCH($Z13,{"K1","K12","K13"},0),Calc!$Y$2:$Y$71,Calc!$AA$2:$AA$71,Calc!$AC$2:$AC$71),MATCH($Y13,Calc!$A$2:$A$71,0)),"")</f>
        <v>16.0086952566602</v>
      </c>
      <c r="G13" s="8" t="n">
        <f aca="false">IFERROR(SQRT(INDEX(CHOOSE(MATCH($Z13,{"K1","K12","K13"},0),Calc!$Z$2:$Z$71,Calc!$AB$2:$AB$71,Calc!$AD$2:$AD$71),MATCH($Y13,Calc!$A$2:$A$71,0))),"")</f>
        <v>5.87931011346666</v>
      </c>
      <c r="H13" s="7" t="n">
        <f aca="false">IF(OR($E13="",$F13="",N($G13)&lt;=0),"",1-NORMDIST(FLOOR($E13,1)+0.5,$F13,$G13,TRUE()))</f>
        <v>0.399881817360989</v>
      </c>
      <c r="I13" s="7" t="n">
        <f aca="false">IF($H13="","",NORMDIST(CEILING($E13,1)-0.5,$F13,$G13,TRUE()))</f>
        <v>0.600118182639011</v>
      </c>
      <c r="J13" s="7" t="n">
        <f aca="false">IF($H13="","",MAX(0,1-$H13-$I13))</f>
        <v>0</v>
      </c>
      <c r="K13" s="0" t="str">
        <f aca="false">IF($H13="","",IF($H13&gt;=0.5+Config!$B$8,"OVER",IF($I13&gt;=0.5+Config!$B$8,"UNDER","—")))</f>
        <v>UNDER</v>
      </c>
      <c r="L13" s="8" t="n">
        <f aca="false">IFERROR(INDEX(CHOOSE(MATCH($Z13,{"K1","K12","K13"},0),Calc!$AE$2:$AE$71,Calc!$AF$2:$AF$71,Calc!$AG$2:$AG$71),MATCH($Y13,Calc!$A$2:$A$71,0)),"")</f>
        <v>15.4</v>
      </c>
      <c r="M13" s="7" t="n">
        <f aca="false">IF(OR($E13="",$L13="",N($G13)&lt;=0),"",1-NORMDIST(FLOOR($E13,1)+0.5,$L13,$G13*SQRT($L13/$F13),TRUE()))</f>
        <v>0.35786354005716</v>
      </c>
      <c r="O13" s="7" t="n">
        <f aca="false">IFERROR(INDEX(Calc!$H$2:$H$71,MATCH($Y13,Calc!$A$2:$A$71,0)),"")</f>
        <v>0.7</v>
      </c>
      <c r="P13" s="7" t="n">
        <f aca="false">IFERROR(INDEX(Calc!$M$2:$M$71,MATCH($Y13,Calc!$A$2:$A$71,0)),"")</f>
        <v>0.779</v>
      </c>
      <c r="Q13" s="0" t="n">
        <v>17.4</v>
      </c>
      <c r="R13" s="7" t="n">
        <v>0.6</v>
      </c>
      <c r="S13" s="7" t="n">
        <v>0.6</v>
      </c>
      <c r="T13" s="7" t="n">
        <v>0.6</v>
      </c>
      <c r="U13" s="6" t="s">
        <v>179</v>
      </c>
      <c r="V13" s="0" t="n">
        <v>1</v>
      </c>
      <c r="X13" s="0" t="str">
        <f aca="false">IFERROR(INDEX(Calc!$AH$2:$AH$71,MATCH($Y13,Calc!$A$2:$A$71,0)),"")</f>
        <v>new roster: 0% of his recent games with these teammates</v>
      </c>
      <c r="Y13" s="6" t="s">
        <v>180</v>
      </c>
      <c r="Z13" s="6" t="s">
        <v>147</v>
      </c>
      <c r="AA13" s="0" t="str">
        <f aca="false">Y13&amp;"|"&amp;Z13</f>
        <v>te1ihvul0whu8k1|DOTA · PARI vs BB|K12</v>
      </c>
    </row>
    <row r="14" customFormat="false" ht="15" hidden="false" customHeight="false" outlineLevel="0" collapsed="false">
      <c r="A14" s="0" t="s">
        <v>99</v>
      </c>
      <c r="B14" s="0" t="s">
        <v>181</v>
      </c>
      <c r="C14" s="0" t="s">
        <v>102</v>
      </c>
      <c r="D14" s="0" t="s">
        <v>144</v>
      </c>
      <c r="E14" s="0" t="n">
        <v>12.5</v>
      </c>
      <c r="F14" s="8" t="n">
        <f aca="false">IFERROR(INDEX(CHOOSE(MATCH($Z14,{"K1","K12","K13"},0),Calc!$Y$2:$Y$71,Calc!$AA$2:$AA$71,Calc!$AC$2:$AC$71),MATCH($Y14,Calc!$A$2:$A$71,0)),"")</f>
        <v>13.3579503063767</v>
      </c>
      <c r="G14" s="8" t="n">
        <f aca="false">IFERROR(SQRT(INDEX(CHOOSE(MATCH($Z14,{"K1","K12","K13"},0),Calc!$Z$2:$Z$71,Calc!$AB$2:$AB$71,Calc!$AD$2:$AD$71),MATCH($Y14,Calc!$A$2:$A$71,0))),"")</f>
        <v>5.30440267000953</v>
      </c>
      <c r="H14" s="7" t="n">
        <f aca="false">IF(OR($E14="",$F14="",N($G14)&lt;=0),"",1-NORMDIST(FLOOR($E14,1)+0.5,$F14,$G14,TRUE()))</f>
        <v>0.564245902044397</v>
      </c>
      <c r="I14" s="7" t="n">
        <f aca="false">IF($H14="","",NORMDIST(CEILING($E14,1)-0.5,$F14,$G14,TRUE()))</f>
        <v>0.435754097955603</v>
      </c>
      <c r="J14" s="7" t="n">
        <f aca="false">IF($H14="","",MAX(0,1-$H14-$I14))</f>
        <v>0</v>
      </c>
      <c r="K14" s="0" t="str">
        <f aca="false">IF($H14="","",IF($H14&gt;=0.5+Config!$B$8,"OVER",IF($I14&gt;=0.5+Config!$B$8,"UNDER","—")))</f>
        <v>OVER</v>
      </c>
      <c r="L14" s="8" t="n">
        <f aca="false">IFERROR(INDEX(CHOOSE(MATCH($Z14,{"K1","K12","K13"},0),Calc!$AE$2:$AE$71,Calc!$AF$2:$AF$71,Calc!$AG$2:$AG$71),MATCH($Y14,Calc!$A$2:$A$71,0)),"")</f>
        <v>12.4</v>
      </c>
      <c r="M14" s="7" t="n">
        <f aca="false">IF(OR($E14="",$L14="",N($G14)&lt;=0),"",1-NORMDIST(FLOOR($E14,1)+0.5,$L14,$G14*SQRT($L14/$F14),TRUE()))</f>
        <v>0.492194424334429</v>
      </c>
      <c r="N14" s="0" t="n">
        <v>10.18</v>
      </c>
      <c r="O14" s="7" t="n">
        <f aca="false">IFERROR(INDEX(Calc!$H$2:$H$71,MATCH($Y14,Calc!$A$2:$A$71,0)),"")</f>
        <v>0.63</v>
      </c>
      <c r="P14" s="7" t="n">
        <f aca="false">IFERROR(INDEX(Calc!$M$2:$M$71,MATCH($Y14,Calc!$A$2:$A$71,0)),"")</f>
        <v>0.779</v>
      </c>
      <c r="Q14" s="0" t="n">
        <v>11.7</v>
      </c>
      <c r="R14" s="7" t="n">
        <v>0.6</v>
      </c>
      <c r="S14" s="7" t="n">
        <v>0.5</v>
      </c>
      <c r="T14" s="7" t="n">
        <v>0.53</v>
      </c>
      <c r="U14" s="6" t="s">
        <v>182</v>
      </c>
      <c r="V14" s="0" t="n">
        <v>2</v>
      </c>
      <c r="X14" s="0" t="str">
        <f aca="false">IFERROR(INDEX(Calc!$AH$2:$AH$71,MATCH($Y14,Calc!$A$2:$A$71,0)),"")</f>
        <v>new roster: 0% of his recent games with these teammates</v>
      </c>
      <c r="Y14" s="6" t="s">
        <v>183</v>
      </c>
      <c r="Z14" s="6" t="s">
        <v>147</v>
      </c>
      <c r="AA14" s="0" t="str">
        <f aca="false">Y14&amp;"|"&amp;Z14</f>
        <v>hkpy2i1q2cf4qrd|DOTA · PARI vs BB|K12</v>
      </c>
    </row>
    <row r="15" customFormat="false" ht="15" hidden="false" customHeight="false" outlineLevel="0" collapsed="false">
      <c r="A15" s="0" t="s">
        <v>99</v>
      </c>
      <c r="B15" s="0" t="s">
        <v>184</v>
      </c>
      <c r="C15" s="0" t="s">
        <v>102</v>
      </c>
      <c r="D15" s="0" t="s">
        <v>144</v>
      </c>
      <c r="E15" s="0" t="n">
        <v>21.5</v>
      </c>
      <c r="F15" s="8" t="n">
        <f aca="false">IFERROR(INDEX(CHOOSE(MATCH($Z15,{"K1","K12","K13"},0),Calc!$Y$2:$Y$71,Calc!$AA$2:$AA$71,Calc!$AC$2:$AC$71),MATCH($Y15,Calc!$A$2:$A$71,0)),"")</f>
        <v>23.4841384418558</v>
      </c>
      <c r="G15" s="8" t="n">
        <f aca="false">IFERROR(SQRT(INDEX(CHOOSE(MATCH($Z15,{"K1","K12","K13"},0),Calc!$Z$2:$Z$71,Calc!$AB$2:$AB$71,Calc!$AD$2:$AD$71),MATCH($Y15,Calc!$A$2:$A$71,0))),"")</f>
        <v>7.36261035810609</v>
      </c>
      <c r="H15" s="7" t="n">
        <f aca="false">IF(OR($E15="",$F15="",N($G15)&lt;=0),"",1-NORMDIST(FLOOR($E15,1)+0.5,$F15,$G15,TRUE()))</f>
        <v>0.606223084831408</v>
      </c>
      <c r="I15" s="7" t="n">
        <f aca="false">IF($H15="","",NORMDIST(CEILING($E15,1)-0.5,$F15,$G15,TRUE()))</f>
        <v>0.393776915168592</v>
      </c>
      <c r="J15" s="7" t="n">
        <f aca="false">IF($H15="","",MAX(0,1-$H15-$I15))</f>
        <v>0</v>
      </c>
      <c r="K15" s="0" t="str">
        <f aca="false">IF($H15="","",IF($H15&gt;=0.5+Config!$B$8,"OVER",IF($I15&gt;=0.5+Config!$B$8,"UNDER","—")))</f>
        <v>OVER</v>
      </c>
      <c r="L15" s="8" t="n">
        <f aca="false">IFERROR(INDEX(CHOOSE(MATCH($Z15,{"K1","K12","K13"},0),Calc!$AE$2:$AE$71,Calc!$AF$2:$AF$71,Calc!$AG$2:$AG$71),MATCH($Y15,Calc!$A$2:$A$71,0)),"")</f>
        <v>21.8</v>
      </c>
      <c r="M15" s="7" t="n">
        <f aca="false">IF(OR($E15="",$L15="",N($G15)&lt;=0),"",1-NORMDIST(FLOOR($E15,1)+0.5,$L15,$G15*SQRT($L15/$F15),TRUE()))</f>
        <v>0.516866661508622</v>
      </c>
      <c r="N15" s="0" t="n">
        <v>20.62</v>
      </c>
      <c r="O15" s="7" t="n">
        <f aca="false">IFERROR(INDEX(Calc!$H$2:$H$71,MATCH($Y15,Calc!$A$2:$A$71,0)),"")</f>
        <v>0.63</v>
      </c>
      <c r="P15" s="7" t="n">
        <f aca="false">IFERROR(INDEX(Calc!$M$2:$M$71,MATCH($Y15,Calc!$A$2:$A$71,0)),"")</f>
        <v>0.779</v>
      </c>
      <c r="Q15" s="0" t="n">
        <v>22.1</v>
      </c>
      <c r="R15" s="7" t="n">
        <v>0.6</v>
      </c>
      <c r="S15" s="7" t="n">
        <v>0.5</v>
      </c>
      <c r="T15" s="7" t="n">
        <v>0.53</v>
      </c>
      <c r="U15" s="6" t="s">
        <v>185</v>
      </c>
      <c r="V15" s="0" t="n">
        <v>-1</v>
      </c>
      <c r="X15" s="0" t="str">
        <f aca="false">IFERROR(INDEX(Calc!$AH$2:$AH$71,MATCH($Y15,Calc!$A$2:$A$71,0)),"")</f>
        <v>new roster: 0% of his recent games with these teammates</v>
      </c>
      <c r="Y15" s="6" t="s">
        <v>186</v>
      </c>
      <c r="Z15" s="6" t="s">
        <v>147</v>
      </c>
      <c r="AA15" s="0" t="str">
        <f aca="false">Y15&amp;"|"&amp;Z15</f>
        <v>s178rxweg2uixdf|DOTA · PARI vs BB|K12</v>
      </c>
    </row>
    <row r="16" customFormat="false" ht="15" hidden="false" customHeight="false" outlineLevel="0" collapsed="false">
      <c r="A16" s="0" t="s">
        <v>86</v>
      </c>
      <c r="B16" s="0" t="s">
        <v>187</v>
      </c>
      <c r="C16" s="0" t="s">
        <v>91</v>
      </c>
      <c r="D16" s="0" t="s">
        <v>144</v>
      </c>
      <c r="E16" s="0" t="n">
        <v>8.5</v>
      </c>
      <c r="F16" s="8" t="n">
        <f aca="false">IFERROR(INDEX(CHOOSE(MATCH($Z16,{"K1","K12","K13"},0),Calc!$Y$2:$Y$71,Calc!$AA$2:$AA$71,Calc!$AC$2:$AC$71),MATCH($Y16,Calc!$A$2:$A$71,0)),"")</f>
        <v>9.3856964534841</v>
      </c>
      <c r="G16" s="8" t="n">
        <f aca="false">IFERROR(SQRT(INDEX(CHOOSE(MATCH($Z16,{"K1","K12","K13"},0),Calc!$Z$2:$Z$71,Calc!$AB$2:$AB$71,Calc!$AD$2:$AD$71),MATCH($Y16,Calc!$A$2:$A$71,0))),"")</f>
        <v>4.56975092261005</v>
      </c>
      <c r="H16" s="7" t="n">
        <f aca="false">IF(OR($E16="",$F16="",N($G16)&lt;=0),"",1-NORMDIST(FLOOR($E16,1)+0.5,$F16,$G16,TRUE()))</f>
        <v>0.576840501339601</v>
      </c>
      <c r="I16" s="7" t="n">
        <f aca="false">IF($H16="","",NORMDIST(CEILING($E16,1)-0.5,$F16,$G16,TRUE()))</f>
        <v>0.423159498660399</v>
      </c>
      <c r="J16" s="7" t="n">
        <f aca="false">IF($H16="","",MAX(0,1-$H16-$I16))</f>
        <v>0</v>
      </c>
      <c r="K16" s="0" t="str">
        <f aca="false">IF($H16="","",IF($H16&gt;=0.5+Config!$B$8,"OVER",IF($I16&gt;=0.5+Config!$B$8,"UNDER","—")))</f>
        <v>OVER</v>
      </c>
      <c r="L16" s="8" t="n">
        <f aca="false">IFERROR(INDEX(CHOOSE(MATCH($Z16,{"K1","K12","K13"},0),Calc!$AE$2:$AE$71,Calc!$AF$2:$AF$71,Calc!$AG$2:$AG$71),MATCH($Y16,Calc!$A$2:$A$71,0)),"")</f>
        <v>10.4</v>
      </c>
      <c r="M16" s="7" t="n">
        <f aca="false">IF(OR($E16="",$L16="",N($G16)&lt;=0),"",1-NORMDIST(FLOOR($E16,1)+0.5,$L16,$G16*SQRT($L16/$F16),TRUE()))</f>
        <v>0.653572031324011</v>
      </c>
      <c r="O16" s="7" t="n">
        <f aca="false">IFERROR(INDEX(Calc!$H$2:$H$71,MATCH($Y16,Calc!$A$2:$A$71,0)),"")</f>
        <v>0.47</v>
      </c>
      <c r="P16" s="7" t="n">
        <f aca="false">IFERROR(INDEX(Calc!$M$2:$M$71,MATCH($Y16,Calc!$A$2:$A$71,0)),"")</f>
        <v>0.2975</v>
      </c>
      <c r="Q16" s="0" t="n">
        <v>9.7</v>
      </c>
      <c r="R16" s="7" t="n">
        <v>0.6</v>
      </c>
      <c r="S16" s="7" t="n">
        <v>0.5</v>
      </c>
      <c r="T16" s="7" t="n">
        <v>0.47</v>
      </c>
      <c r="U16" s="6" t="s">
        <v>188</v>
      </c>
      <c r="V16" s="0" t="n">
        <v>2</v>
      </c>
      <c r="X16" s="0" t="str">
        <f aca="false">IFERROR(INDEX(Calc!$AH$2:$AH$71,MATCH($Y16,Calc!$A$2:$A$71,0)),"")</f>
        <v>new roster: 0% of his recent games with these teammates</v>
      </c>
      <c r="Y16" s="6" t="s">
        <v>189</v>
      </c>
      <c r="Z16" s="6" t="s">
        <v>147</v>
      </c>
      <c r="AA16" s="0" t="str">
        <f aca="false">Y16&amp;"|"&amp;Z16</f>
        <v>s2jkgqqpbza5fin|DOTA · TS vs AI|K12</v>
      </c>
    </row>
    <row r="17" customFormat="false" ht="15" hidden="false" customHeight="false" outlineLevel="0" collapsed="false">
      <c r="A17" s="0" t="s">
        <v>86</v>
      </c>
      <c r="B17" s="0" t="s">
        <v>190</v>
      </c>
      <c r="C17" s="0" t="s">
        <v>91</v>
      </c>
      <c r="D17" s="0" t="s">
        <v>144</v>
      </c>
      <c r="E17" s="0" t="n">
        <v>4.5</v>
      </c>
      <c r="F17" s="8" t="n">
        <f aca="false">IFERROR(INDEX(CHOOSE(MATCH($Z17,{"K1","K12","K13"},0),Calc!$Y$2:$Y$71,Calc!$AA$2:$AA$71,Calc!$AC$2:$AC$71),MATCH($Y17,Calc!$A$2:$A$71,0)),"")</f>
        <v>3.14229813223493</v>
      </c>
      <c r="G17" s="8" t="n">
        <f aca="false">IFERROR(SQRT(INDEX(CHOOSE(MATCH($Z17,{"K1","K12","K13"},0),Calc!$Z$2:$Z$71,Calc!$AB$2:$AB$71,Calc!$AD$2:$AD$71),MATCH($Y17,Calc!$A$2:$A$71,0))),"")</f>
        <v>2.487327577037</v>
      </c>
      <c r="H17" s="7" t="n">
        <f aca="false">IF(OR($E17="",$F17="",N($G17)&lt;=0),"",1-NORMDIST(FLOOR($E17,1)+0.5,$F17,$G17,TRUE()))</f>
        <v>0.292585339140964</v>
      </c>
      <c r="I17" s="7" t="n">
        <f aca="false">IF($H17="","",NORMDIST(CEILING($E17,1)-0.5,$F17,$G17,TRUE()))</f>
        <v>0.707414660859036</v>
      </c>
      <c r="J17" s="7" t="n">
        <f aca="false">IF($H17="","",MAX(0,1-$H17-$I17))</f>
        <v>0</v>
      </c>
      <c r="K17" s="0" t="str">
        <f aca="false">IF($H17="","",IF($H17&gt;=0.5+Config!$B$8,"OVER",IF($I17&gt;=0.5+Config!$B$8,"UNDER","—")))</f>
        <v>UNDER</v>
      </c>
      <c r="L17" s="8" t="n">
        <f aca="false">IFERROR(INDEX(CHOOSE(MATCH($Z17,{"K1","K12","K13"},0),Calc!$AE$2:$AE$71,Calc!$AF$2:$AF$71,Calc!$AG$2:$AG$71),MATCH($Y17,Calc!$A$2:$A$71,0)),"")</f>
        <v>3.6</v>
      </c>
      <c r="M17" s="7" t="n">
        <f aca="false">IF(OR($E17="",$L17="",N($G17)&lt;=0),"",1-NORMDIST(FLOOR($E17,1)+0.5,$L17,$G17*SQRT($L17/$F17),TRUE()))</f>
        <v>0.367662453069019</v>
      </c>
      <c r="O17" s="7" t="n">
        <f aca="false">IFERROR(INDEX(Calc!$H$2:$H$71,MATCH($Y17,Calc!$A$2:$A$71,0)),"")</f>
        <v>0.53</v>
      </c>
      <c r="P17" s="7" t="n">
        <f aca="false">IFERROR(INDEX(Calc!$M$2:$M$71,MATCH($Y17,Calc!$A$2:$A$71,0)),"")</f>
        <v>0.2975</v>
      </c>
      <c r="Q17" s="0" t="n">
        <v>4.2</v>
      </c>
      <c r="R17" s="7" t="n">
        <v>0.2</v>
      </c>
      <c r="S17" s="7" t="n">
        <v>0.3</v>
      </c>
      <c r="T17" s="7" t="n">
        <v>0.27</v>
      </c>
      <c r="U17" s="6" t="s">
        <v>191</v>
      </c>
      <c r="V17" s="0" t="n">
        <v>1</v>
      </c>
      <c r="X17" s="0" t="str">
        <f aca="false">IFERROR(INDEX(Calc!$AH$2:$AH$71,MATCH($Y17,Calc!$A$2:$A$71,0)),"")</f>
        <v>new roster: 0% of his recent games with these teammates</v>
      </c>
      <c r="Y17" s="6" t="s">
        <v>192</v>
      </c>
      <c r="Z17" s="6" t="s">
        <v>147</v>
      </c>
      <c r="AA17" s="0" t="str">
        <f aca="false">Y17&amp;"|"&amp;Z17</f>
        <v>x4uoxm57ga9w51t|DOTA · TS vs AI|K12</v>
      </c>
    </row>
    <row r="18" customFormat="false" ht="15" hidden="false" customHeight="false" outlineLevel="0" collapsed="false">
      <c r="A18" s="0" t="s">
        <v>86</v>
      </c>
      <c r="B18" s="0" t="s">
        <v>193</v>
      </c>
      <c r="C18" s="0" t="s">
        <v>91</v>
      </c>
      <c r="D18" s="0" t="s">
        <v>144</v>
      </c>
      <c r="E18" s="0" t="n">
        <v>14.5</v>
      </c>
      <c r="F18" s="8" t="n">
        <f aca="false">IFERROR(INDEX(CHOOSE(MATCH($Z18,{"K1","K12","K13"},0),Calc!$Y$2:$Y$71,Calc!$AA$2:$AA$71,Calc!$AC$2:$AC$71),MATCH($Y18,Calc!$A$2:$A$71,0)),"")</f>
        <v>16.0639804684632</v>
      </c>
      <c r="G18" s="8" t="n">
        <f aca="false">IFERROR(SQRT(INDEX(CHOOSE(MATCH($Z18,{"K1","K12","K13"},0),Calc!$Z$2:$Z$71,Calc!$AB$2:$AB$71,Calc!$AD$2:$AD$71),MATCH($Y18,Calc!$A$2:$A$71,0))),"")</f>
        <v>6.33571984925373</v>
      </c>
      <c r="H18" s="7" t="n">
        <f aca="false">IF(OR($E18="",$F18="",N($G18)&lt;=0),"",1-NORMDIST(FLOOR($E18,1)+0.5,$F18,$G18,TRUE()))</f>
        <v>0.597488333482294</v>
      </c>
      <c r="I18" s="7" t="n">
        <f aca="false">IF($H18="","",NORMDIST(CEILING($E18,1)-0.5,$F18,$G18,TRUE()))</f>
        <v>0.402511666517706</v>
      </c>
      <c r="J18" s="7" t="n">
        <f aca="false">IF($H18="","",MAX(0,1-$H18-$I18))</f>
        <v>0</v>
      </c>
      <c r="K18" s="0" t="str">
        <f aca="false">IF($H18="","",IF($H18&gt;=0.5+Config!$B$8,"OVER",IF($I18&gt;=0.5+Config!$B$8,"UNDER","—")))</f>
        <v>OVER</v>
      </c>
      <c r="L18" s="8" t="n">
        <f aca="false">IFERROR(INDEX(CHOOSE(MATCH($Z18,{"K1","K12","K13"},0),Calc!$AE$2:$AE$71,Calc!$AF$2:$AF$71,Calc!$AG$2:$AG$71),MATCH($Y18,Calc!$A$2:$A$71,0)),"")</f>
        <v>17.8</v>
      </c>
      <c r="M18" s="7" t="n">
        <f aca="false">IF(OR($E18="",$L18="",N($G18)&lt;=0),"",1-NORMDIST(FLOOR($E18,1)+0.5,$L18,$G18*SQRT($L18/$F18),TRUE()))</f>
        <v>0.689631304687743</v>
      </c>
      <c r="N18" s="0" t="n">
        <v>13.82</v>
      </c>
      <c r="O18" s="7" t="n">
        <f aca="false">IFERROR(INDEX(Calc!$H$2:$H$71,MATCH($Y18,Calc!$A$2:$A$71,0)),"")</f>
        <v>0.47</v>
      </c>
      <c r="P18" s="7" t="n">
        <f aca="false">IFERROR(INDEX(Calc!$M$2:$M$71,MATCH($Y18,Calc!$A$2:$A$71,0)),"")</f>
        <v>0.2975</v>
      </c>
      <c r="Q18" s="0" t="n">
        <v>18</v>
      </c>
      <c r="R18" s="7" t="n">
        <v>0.8</v>
      </c>
      <c r="S18" s="7" t="n">
        <v>0.8</v>
      </c>
      <c r="T18" s="7" t="n">
        <v>0.8</v>
      </c>
      <c r="U18" s="6" t="s">
        <v>194</v>
      </c>
      <c r="V18" s="0" t="n">
        <v>2</v>
      </c>
      <c r="X18" s="0" t="str">
        <f aca="false">IFERROR(INDEX(Calc!$AH$2:$AH$71,MATCH($Y18,Calc!$A$2:$A$71,0)),"")</f>
        <v>new roster: 0% of his recent games with these teammates</v>
      </c>
      <c r="Y18" s="6" t="s">
        <v>195</v>
      </c>
      <c r="Z18" s="6" t="s">
        <v>147</v>
      </c>
      <c r="AA18" s="0" t="str">
        <f aca="false">Y18&amp;"|"&amp;Z18</f>
        <v>farftc4ryvoo8lz|DOTA · TS vs AI|K12</v>
      </c>
    </row>
    <row r="19" customFormat="false" ht="15" hidden="false" customHeight="false" outlineLevel="0" collapsed="false">
      <c r="A19" s="0" t="s">
        <v>86</v>
      </c>
      <c r="B19" s="0" t="s">
        <v>196</v>
      </c>
      <c r="C19" s="0" t="s">
        <v>91</v>
      </c>
      <c r="D19" s="0" t="s">
        <v>144</v>
      </c>
      <c r="E19" s="0" t="n">
        <v>13.5</v>
      </c>
      <c r="F19" s="8" t="n">
        <f aca="false">IFERROR(INDEX(CHOOSE(MATCH($Z19,{"K1","K12","K13"},0),Calc!$Y$2:$Y$71,Calc!$AA$2:$AA$71,Calc!$AC$2:$AC$71),MATCH($Y19,Calc!$A$2:$A$71,0)),"")</f>
        <v>12.7788303249097</v>
      </c>
      <c r="G19" s="8" t="n">
        <f aca="false">IFERROR(SQRT(INDEX(CHOOSE(MATCH($Z19,{"K1","K12","K13"},0),Calc!$Z$2:$Z$71,Calc!$AB$2:$AB$71,Calc!$AD$2:$AD$71),MATCH($Y19,Calc!$A$2:$A$71,0))),"")</f>
        <v>5.49640871453447</v>
      </c>
      <c r="H19" s="7" t="n">
        <f aca="false">IF(OR($E19="",$F19="",N($G19)&lt;=0),"",1-NORMDIST(FLOOR($E19,1)+0.5,$F19,$G19,TRUE()))</f>
        <v>0.447805608275389</v>
      </c>
      <c r="I19" s="7" t="n">
        <f aca="false">IF($H19="","",NORMDIST(CEILING($E19,1)-0.5,$F19,$G19,TRUE()))</f>
        <v>0.552194391724611</v>
      </c>
      <c r="J19" s="7" t="n">
        <f aca="false">IF($H19="","",MAX(0,1-$H19-$I19))</f>
        <v>0</v>
      </c>
      <c r="K19" s="0" t="str">
        <f aca="false">IF($H19="","",IF($H19&gt;=0.5+Config!$B$8,"OVER",IF($I19&gt;=0.5+Config!$B$8,"UNDER","—")))</f>
        <v>UNDER</v>
      </c>
      <c r="L19" s="8" t="n">
        <f aca="false">IFERROR(INDEX(CHOOSE(MATCH($Z19,{"K1","K12","K13"},0),Calc!$AE$2:$AE$71,Calc!$AF$2:$AF$71,Calc!$AG$2:$AG$71),MATCH($Y19,Calc!$A$2:$A$71,0)),"")</f>
        <v>14.4</v>
      </c>
      <c r="M19" s="7" t="n">
        <f aca="false">IF(OR($E19="",$L19="",N($G19)&lt;=0),"",1-NORMDIST(FLOOR($E19,1)+0.5,$L19,$G19*SQRT($L19/$F19),TRUE()))</f>
        <v>0.5612940574703</v>
      </c>
      <c r="N19" s="0" t="n">
        <v>12.18</v>
      </c>
      <c r="O19" s="7" t="n">
        <f aca="false">IFERROR(INDEX(Calc!$H$2:$H$71,MATCH($Y19,Calc!$A$2:$A$71,0)),"")</f>
        <v>0.5</v>
      </c>
      <c r="P19" s="7" t="n">
        <f aca="false">IFERROR(INDEX(Calc!$M$2:$M$71,MATCH($Y19,Calc!$A$2:$A$71,0)),"")</f>
        <v>0.2975</v>
      </c>
      <c r="Q19" s="0" t="n">
        <v>14.8</v>
      </c>
      <c r="R19" s="7" t="n">
        <v>0.4</v>
      </c>
      <c r="S19" s="7" t="n">
        <v>0.6</v>
      </c>
      <c r="T19" s="7" t="n">
        <v>0.6</v>
      </c>
      <c r="U19" s="6" t="s">
        <v>197</v>
      </c>
      <c r="V19" s="0" t="n">
        <v>-1</v>
      </c>
      <c r="X19" s="0" t="str">
        <f aca="false">IFERROR(INDEX(Calc!$AH$2:$AH$71,MATCH($Y19,Calc!$A$2:$A$71,0)),"")</f>
        <v>new roster: 0% of his recent games with these teammates</v>
      </c>
      <c r="Y19" s="6" t="s">
        <v>198</v>
      </c>
      <c r="Z19" s="6" t="s">
        <v>147</v>
      </c>
      <c r="AA19" s="0" t="str">
        <f aca="false">Y19&amp;"|"&amp;Z19</f>
        <v>xvpkfrs8jnrcnra|DOTA · TS vs AI|K12</v>
      </c>
    </row>
    <row r="20" customFormat="false" ht="15" hidden="false" customHeight="false" outlineLevel="0" collapsed="false">
      <c r="A20" s="0" t="s">
        <v>86</v>
      </c>
      <c r="B20" s="0" t="s">
        <v>199</v>
      </c>
      <c r="C20" s="0" t="s">
        <v>91</v>
      </c>
      <c r="D20" s="0" t="s">
        <v>144</v>
      </c>
      <c r="E20" s="0" t="n">
        <v>5.5</v>
      </c>
      <c r="F20" s="8" t="n">
        <f aca="false">IFERROR(INDEX(CHOOSE(MATCH($Z20,{"K1","K12","K13"},0),Calc!$Y$2:$Y$71,Calc!$AA$2:$AA$71,Calc!$AC$2:$AC$71),MATCH($Y20,Calc!$A$2:$A$71,0)),"")</f>
        <v>6.31729568984507</v>
      </c>
      <c r="G20" s="8" t="n">
        <f aca="false">IFERROR(SQRT(INDEX(CHOOSE(MATCH($Z20,{"K1","K12","K13"},0),Calc!$Z$2:$Z$71,Calc!$AB$2:$AB$71,Calc!$AD$2:$AD$71),MATCH($Y20,Calc!$A$2:$A$71,0))),"")</f>
        <v>3.64151127767816</v>
      </c>
      <c r="H20" s="7" t="n">
        <f aca="false">IF(OR($E20="",$F20="",N($G20)&lt;=0),"",1-NORMDIST(FLOOR($E20,1)+0.5,$F20,$G20,TRUE()))</f>
        <v>0.588791980545642</v>
      </c>
      <c r="I20" s="7" t="n">
        <f aca="false">IF($H20="","",NORMDIST(CEILING($E20,1)-0.5,$F20,$G20,TRUE()))</f>
        <v>0.411208019454358</v>
      </c>
      <c r="J20" s="7" t="n">
        <f aca="false">IF($H20="","",MAX(0,1-$H20-$I20))</f>
        <v>0</v>
      </c>
      <c r="K20" s="0" t="str">
        <f aca="false">IF($H20="","",IF($H20&gt;=0.5+Config!$B$8,"OVER",IF($I20&gt;=0.5+Config!$B$8,"UNDER","—")))</f>
        <v>OVER</v>
      </c>
      <c r="L20" s="8" t="n">
        <f aca="false">IFERROR(INDEX(CHOOSE(MATCH($Z20,{"K1","K12","K13"},0),Calc!$AE$2:$AE$71,Calc!$AF$2:$AF$71,Calc!$AG$2:$AG$71),MATCH($Y20,Calc!$A$2:$A$71,0)),"")</f>
        <v>7</v>
      </c>
      <c r="M20" s="7" t="n">
        <f aca="false">IF(OR($E20="",$L20="",N($G20)&lt;=0),"",1-NORMDIST(FLOOR($E20,1)+0.5,$L20,$G20*SQRT($L20/$F20),TRUE()))</f>
        <v>0.652217689297987</v>
      </c>
      <c r="N20" s="0" t="n">
        <v>5.18</v>
      </c>
      <c r="O20" s="7" t="n">
        <f aca="false">IFERROR(INDEX(Calc!$H$2:$H$71,MATCH($Y20,Calc!$A$2:$A$71,0)),"")</f>
        <v>0.47</v>
      </c>
      <c r="P20" s="7" t="n">
        <f aca="false">IFERROR(INDEX(Calc!$M$2:$M$71,MATCH($Y20,Calc!$A$2:$A$71,0)),"")</f>
        <v>0.2975</v>
      </c>
      <c r="Q20" s="0" t="n">
        <v>7.4</v>
      </c>
      <c r="R20" s="7" t="n">
        <v>1</v>
      </c>
      <c r="S20" s="7" t="n">
        <v>0.9</v>
      </c>
      <c r="T20" s="7" t="n">
        <v>0.67</v>
      </c>
      <c r="U20" s="6" t="s">
        <v>200</v>
      </c>
      <c r="V20" s="0" t="n">
        <v>7</v>
      </c>
      <c r="X20" s="0" t="str">
        <f aca="false">IFERROR(INDEX(Calc!$AH$2:$AH$71,MATCH($Y20,Calc!$A$2:$A$71,0)),"")</f>
        <v>new roster: 0% of his recent games with these teammates</v>
      </c>
      <c r="Y20" s="6" t="s">
        <v>201</v>
      </c>
      <c r="Z20" s="6" t="s">
        <v>147</v>
      </c>
      <c r="AA20" s="0" t="str">
        <f aca="false">Y20&amp;"|"&amp;Z20</f>
        <v>iakq95x0f2xxlh3|DOTA · TS vs AI|K12</v>
      </c>
    </row>
    <row r="21" customFormat="false" ht="15" hidden="false" customHeight="false" outlineLevel="0" collapsed="false">
      <c r="A21" s="0" t="s">
        <v>86</v>
      </c>
      <c r="B21" s="0" t="s">
        <v>202</v>
      </c>
      <c r="C21" s="0" t="s">
        <v>90</v>
      </c>
      <c r="D21" s="0" t="s">
        <v>144</v>
      </c>
      <c r="E21" s="0" t="n">
        <v>17.5</v>
      </c>
      <c r="F21" s="8" t="n">
        <f aca="false">IFERROR(INDEX(CHOOSE(MATCH($Z21,{"K1","K12","K13"},0),Calc!$Y$2:$Y$71,Calc!$AA$2:$AA$71,Calc!$AC$2:$AC$71),MATCH($Y21,Calc!$A$2:$A$71,0)),"")</f>
        <v>17.6390310416807</v>
      </c>
      <c r="G21" s="8" t="n">
        <f aca="false">IFERROR(SQRT(INDEX(CHOOSE(MATCH($Z21,{"K1","K12","K13"},0),Calc!$Z$2:$Z$71,Calc!$AB$2:$AB$71,Calc!$AD$2:$AD$71),MATCH($Y21,Calc!$A$2:$A$71,0))),"")</f>
        <v>6.36979051603805</v>
      </c>
      <c r="H21" s="7" t="n">
        <f aca="false">IF(OR($E21="",$F21="",N($G21)&lt;=0),"",1-NORMDIST(FLOOR($E21,1)+0.5,$F21,$G21,TRUE()))</f>
        <v>0.508706873016446</v>
      </c>
      <c r="I21" s="7" t="n">
        <f aca="false">IF($H21="","",NORMDIST(CEILING($E21,1)-0.5,$F21,$G21,TRUE()))</f>
        <v>0.491293126983554</v>
      </c>
      <c r="J21" s="7" t="n">
        <f aca="false">IF($H21="","",MAX(0,1-$H21-$I21))</f>
        <v>0</v>
      </c>
      <c r="K21" s="0" t="str">
        <f aca="false">IF($H21="","",IF($H21&gt;=0.5+Config!$B$8,"OVER",IF($I21&gt;=0.5+Config!$B$8,"UNDER","—")))</f>
        <v>—</v>
      </c>
      <c r="L21" s="8" t="n">
        <f aca="false">IFERROR(INDEX(CHOOSE(MATCH($Z21,{"K1","K12","K13"},0),Calc!$AE$2:$AE$71,Calc!$AF$2:$AF$71,Calc!$AG$2:$AG$71),MATCH($Y21,Calc!$A$2:$A$71,0)),"")</f>
        <v>17</v>
      </c>
      <c r="M21" s="7" t="n">
        <f aca="false">IF(OR($E21="",$L21="",N($G21)&lt;=0),"",1-NORMDIST(FLOOR($E21,1)+0.5,$L21,$G21*SQRT($L21/$F21),TRUE()))</f>
        <v>0.468135635105728</v>
      </c>
      <c r="N21" s="0" t="n">
        <v>14.94</v>
      </c>
      <c r="O21" s="7" t="n">
        <f aca="false">IFERROR(INDEX(Calc!$H$2:$H$71,MATCH($Y21,Calc!$A$2:$A$71,0)),"")</f>
        <v>0.63</v>
      </c>
      <c r="P21" s="7" t="n">
        <f aca="false">IFERROR(INDEX(Calc!$M$2:$M$71,MATCH($Y21,Calc!$A$2:$A$71,0)),"")</f>
        <v>0.7025</v>
      </c>
      <c r="Q21" s="0" t="n">
        <v>16.7</v>
      </c>
      <c r="R21" s="7" t="n">
        <v>0.6</v>
      </c>
      <c r="S21" s="7" t="n">
        <v>0.4</v>
      </c>
      <c r="T21" s="7" t="n">
        <v>0.33</v>
      </c>
      <c r="U21" s="6" t="s">
        <v>203</v>
      </c>
      <c r="V21" s="0" t="n">
        <v>3</v>
      </c>
      <c r="X21" s="0" t="str">
        <f aca="false">IFERROR(INDEX(Calc!$AH$2:$AH$71,MATCH($Y21,Calc!$A$2:$A$71,0)),"")</f>
        <v>new roster: 0% of his recent games with these teammates</v>
      </c>
      <c r="Y21" s="6" t="s">
        <v>204</v>
      </c>
      <c r="Z21" s="6" t="s">
        <v>147</v>
      </c>
      <c r="AA21" s="0" t="str">
        <f aca="false">Y21&amp;"|"&amp;Z21</f>
        <v>3nhf9uupulsq9gw|DOTA · TS vs AI|K12</v>
      </c>
    </row>
    <row r="22" customFormat="false" ht="15" hidden="false" customHeight="false" outlineLevel="0" collapsed="false">
      <c r="A22" s="0" t="s">
        <v>86</v>
      </c>
      <c r="B22" s="0" t="s">
        <v>205</v>
      </c>
      <c r="C22" s="0" t="s">
        <v>90</v>
      </c>
      <c r="D22" s="0" t="s">
        <v>144</v>
      </c>
      <c r="E22" s="0" t="n">
        <v>8.5</v>
      </c>
      <c r="F22" s="8" t="n">
        <f aca="false">IFERROR(INDEX(CHOOSE(MATCH($Z22,{"K1","K12","K13"},0),Calc!$Y$2:$Y$71,Calc!$AA$2:$AA$71,Calc!$AC$2:$AC$71),MATCH($Y22,Calc!$A$2:$A$71,0)),"")</f>
        <v>11.9941344082285</v>
      </c>
      <c r="G22" s="8" t="n">
        <f aca="false">IFERROR(SQRT(INDEX(CHOOSE(MATCH($Z22,{"K1","K12","K13"},0),Calc!$Z$2:$Z$71,Calc!$AB$2:$AB$71,Calc!$AD$2:$AD$71),MATCH($Y22,Calc!$A$2:$A$71,0))),"")</f>
        <v>5.0816244867717</v>
      </c>
      <c r="H22" s="7" t="n">
        <f aca="false">IF(OR($E22="",$F22="",N($G22)&lt;=0),"",1-NORMDIST(FLOOR($E22,1)+0.5,$F22,$G22,TRUE()))</f>
        <v>0.754148229178299</v>
      </c>
      <c r="I22" s="7" t="n">
        <f aca="false">IF($H22="","",NORMDIST(CEILING($E22,1)-0.5,$F22,$G22,TRUE()))</f>
        <v>0.245851770821701</v>
      </c>
      <c r="J22" s="7" t="n">
        <f aca="false">IF($H22="","",MAX(0,1-$H22-$I22))</f>
        <v>0</v>
      </c>
      <c r="K22" s="0" t="str">
        <f aca="false">IF($H22="","",IF($H22&gt;=0.5+Config!$B$8,"OVER",IF($I22&gt;=0.5+Config!$B$8,"UNDER","—")))</f>
        <v>OVER</v>
      </c>
      <c r="L22" s="8" t="n">
        <f aca="false">IFERROR(INDEX(CHOOSE(MATCH($Z22,{"K1","K12","K13"},0),Calc!$AE$2:$AE$71,Calc!$AF$2:$AF$71,Calc!$AG$2:$AG$71),MATCH($Y22,Calc!$A$2:$A$71,0)),"")</f>
        <v>11.2</v>
      </c>
      <c r="M22" s="7" t="n">
        <f aca="false">IF(OR($E22="",$L22="",N($G22)&lt;=0),"",1-NORMDIST(FLOOR($E22,1)+0.5,$L22,$G22*SQRT($L22/$F22),TRUE()))</f>
        <v>0.708785573707588</v>
      </c>
      <c r="N22" s="0" t="n">
        <v>7.84</v>
      </c>
      <c r="O22" s="7" t="n">
        <f aca="false">IFERROR(INDEX(Calc!$H$2:$H$71,MATCH($Y22,Calc!$A$2:$A$71,0)),"")</f>
        <v>0.57</v>
      </c>
      <c r="P22" s="7" t="n">
        <f aca="false">IFERROR(INDEX(Calc!$M$2:$M$71,MATCH($Y22,Calc!$A$2:$A$71,0)),"")</f>
        <v>0.7025</v>
      </c>
      <c r="Q22" s="0" t="n">
        <v>10.8</v>
      </c>
      <c r="R22" s="7" t="n">
        <v>1</v>
      </c>
      <c r="S22" s="7" t="n">
        <v>0.6</v>
      </c>
      <c r="T22" s="7" t="n">
        <v>0.67</v>
      </c>
      <c r="U22" s="6" t="s">
        <v>203</v>
      </c>
      <c r="V22" s="0" t="n">
        <v>5</v>
      </c>
      <c r="X22" s="0" t="str">
        <f aca="false">IFERROR(INDEX(Calc!$AH$2:$AH$71,MATCH($Y22,Calc!$A$2:$A$71,0)),"")</f>
        <v>new roster: 0% of his recent games with these teammates</v>
      </c>
      <c r="Y22" s="6" t="s">
        <v>206</v>
      </c>
      <c r="Z22" s="6" t="s">
        <v>147</v>
      </c>
      <c r="AA22" s="0" t="str">
        <f aca="false">Y22&amp;"|"&amp;Z22</f>
        <v>eu78tcmea0duae0|DOTA · TS vs AI|K12</v>
      </c>
    </row>
    <row r="23" customFormat="false" ht="15" hidden="false" customHeight="false" outlineLevel="0" collapsed="false">
      <c r="A23" s="0" t="s">
        <v>86</v>
      </c>
      <c r="B23" s="0" t="s">
        <v>207</v>
      </c>
      <c r="C23" s="0" t="s">
        <v>90</v>
      </c>
      <c r="D23" s="0" t="s">
        <v>144</v>
      </c>
      <c r="E23" s="0" t="n">
        <v>6</v>
      </c>
      <c r="F23" s="8" t="n">
        <f aca="false">IFERROR(INDEX(CHOOSE(MATCH($Z23,{"K1","K12","K13"},0),Calc!$Y$2:$Y$71,Calc!$AA$2:$AA$71,Calc!$AC$2:$AC$71),MATCH($Y23,Calc!$A$2:$A$71,0)),"")</f>
        <v>6.01802235539694</v>
      </c>
      <c r="G23" s="8" t="n">
        <f aca="false">IFERROR(SQRT(INDEX(CHOOSE(MATCH($Z23,{"K1","K12","K13"},0),Calc!$Z$2:$Z$71,Calc!$AB$2:$AB$71,Calc!$AD$2:$AD$71),MATCH($Y23,Calc!$A$2:$A$71,0))),"")</f>
        <v>3.46672118462188</v>
      </c>
      <c r="H23" s="7" t="n">
        <f aca="false">IF(OR($E23="",$F23="",N($G23)&lt;=0),"",1-NORMDIST(FLOOR($E23,1)+0.5,$F23,$G23,TRUE()))</f>
        <v>0.444713289918766</v>
      </c>
      <c r="I23" s="7" t="n">
        <f aca="false">IF($H23="","",NORMDIST(CEILING($E23,1)-0.5,$F23,$G23,TRUE()))</f>
        <v>0.440608284690499</v>
      </c>
      <c r="J23" s="7" t="n">
        <f aca="false">IF($H23="","",MAX(0,1-$H23-$I23))</f>
        <v>0.114678425390735</v>
      </c>
      <c r="K23" s="0" t="str">
        <f aca="false">IF($H23="","",IF($H23&gt;=0.5+Config!$B$8,"OVER",IF($I23&gt;=0.5+Config!$B$8,"UNDER","—")))</f>
        <v>—</v>
      </c>
      <c r="L23" s="8" t="n">
        <f aca="false">IFERROR(INDEX(CHOOSE(MATCH($Z23,{"K1","K12","K13"},0),Calc!$AE$2:$AE$71,Calc!$AF$2:$AF$71,Calc!$AG$2:$AG$71),MATCH($Y23,Calc!$A$2:$A$71,0)),"")</f>
        <v>5.8</v>
      </c>
      <c r="M23" s="7" t="n">
        <f aca="false">IF(OR($E23="",$L23="",N($G23)&lt;=0),"",1-NORMDIST(FLOOR($E23,1)+0.5,$L23,$G23*SQRT($L23/$F23),TRUE()))</f>
        <v>0.418520447852371</v>
      </c>
      <c r="O23" s="7" t="n">
        <f aca="false">IFERROR(INDEX(Calc!$H$2:$H$71,MATCH($Y23,Calc!$A$2:$A$71,0)),"")</f>
        <v>0.63</v>
      </c>
      <c r="P23" s="7" t="n">
        <f aca="false">IFERROR(INDEX(Calc!$M$2:$M$71,MATCH($Y23,Calc!$A$2:$A$71,0)),"")</f>
        <v>0.7025</v>
      </c>
      <c r="Q23" s="0" t="n">
        <v>6</v>
      </c>
      <c r="R23" s="7" t="n">
        <v>0.6</v>
      </c>
      <c r="S23" s="7" t="n">
        <v>0.5</v>
      </c>
      <c r="T23" s="7" t="n">
        <v>0.47</v>
      </c>
      <c r="U23" s="6" t="s">
        <v>203</v>
      </c>
      <c r="V23" s="0" t="n">
        <v>2</v>
      </c>
      <c r="W23" s="0" t="n">
        <v>2</v>
      </c>
      <c r="X23" s="0" t="str">
        <f aca="false">IFERROR(INDEX(Calc!$AH$2:$AH$71,MATCH($Y23,Calc!$A$2:$A$71,0)),"")</f>
        <v>new roster: 0% of his recent games with these teammates</v>
      </c>
      <c r="Y23" s="6" t="s">
        <v>208</v>
      </c>
      <c r="Z23" s="6" t="s">
        <v>147</v>
      </c>
      <c r="AA23" s="0" t="str">
        <f aca="false">Y23&amp;"|"&amp;Z23</f>
        <v>sw7j8rqyn0xsj7y|DOTA · TS vs AI|K12</v>
      </c>
    </row>
    <row r="24" customFormat="false" ht="15" hidden="false" customHeight="false" outlineLevel="0" collapsed="false">
      <c r="A24" s="0" t="s">
        <v>86</v>
      </c>
      <c r="B24" s="0" t="s">
        <v>209</v>
      </c>
      <c r="C24" s="0" t="s">
        <v>90</v>
      </c>
      <c r="D24" s="0" t="s">
        <v>144</v>
      </c>
      <c r="E24" s="0" t="n">
        <v>21.5</v>
      </c>
      <c r="F24" s="8" t="n">
        <f aca="false">IFERROR(INDEX(CHOOSE(MATCH($Z24,{"K1","K12","K13"},0),Calc!$Y$2:$Y$71,Calc!$AA$2:$AA$71,Calc!$AC$2:$AC$71),MATCH($Y24,Calc!$A$2:$A$71,0)),"")</f>
        <v>17.9912016123428</v>
      </c>
      <c r="G24" s="8" t="n">
        <f aca="false">IFERROR(SQRT(INDEX(CHOOSE(MATCH($Z24,{"K1","K12","K13"},0),Calc!$Z$2:$Z$71,Calc!$AB$2:$AB$71,Calc!$AD$2:$AD$71),MATCH($Y24,Calc!$A$2:$A$71,0))),"")</f>
        <v>6.44590073006866</v>
      </c>
      <c r="H24" s="7" t="n">
        <f aca="false">IF(OR($E24="",$F24="",N($G24)&lt;=0),"",1-NORMDIST(FLOOR($E24,1)+0.5,$F24,$G24,TRUE()))</f>
        <v>0.293101799905924</v>
      </c>
      <c r="I24" s="7" t="n">
        <f aca="false">IF($H24="","",NORMDIST(CEILING($E24,1)-0.5,$F24,$G24,TRUE()))</f>
        <v>0.706898200094076</v>
      </c>
      <c r="J24" s="7" t="n">
        <f aca="false">IF($H24="","",MAX(0,1-$H24-$I24))</f>
        <v>0</v>
      </c>
      <c r="K24" s="0" t="str">
        <f aca="false">IF($H24="","",IF($H24&gt;=0.5+Config!$B$8,"OVER",IF($I24&gt;=0.5+Config!$B$8,"UNDER","—")))</f>
        <v>UNDER</v>
      </c>
      <c r="L24" s="8" t="n">
        <f aca="false">IFERROR(INDEX(CHOOSE(MATCH($Z24,{"K1","K12","K13"},0),Calc!$AE$2:$AE$71,Calc!$AF$2:$AF$71,Calc!$AG$2:$AG$71),MATCH($Y24,Calc!$A$2:$A$71,0)),"")</f>
        <v>16.8</v>
      </c>
      <c r="M24" s="7" t="n">
        <f aca="false">IF(OR($E24="",$L24="",N($G24)&lt;=0),"",1-NORMDIST(FLOOR($E24,1)+0.5,$L24,$G24*SQRT($L24/$F24),TRUE()))</f>
        <v>0.225258648345339</v>
      </c>
      <c r="N24" s="0" t="n">
        <v>19.04</v>
      </c>
      <c r="O24" s="7" t="n">
        <f aca="false">IFERROR(INDEX(Calc!$H$2:$H$71,MATCH($Y24,Calc!$A$2:$A$71,0)),"")</f>
        <v>0.57</v>
      </c>
      <c r="P24" s="7" t="n">
        <f aca="false">IFERROR(INDEX(Calc!$M$2:$M$71,MATCH($Y24,Calc!$A$2:$A$71,0)),"")</f>
        <v>0.7025</v>
      </c>
      <c r="Q24" s="0" t="n">
        <v>17.2</v>
      </c>
      <c r="R24" s="7" t="n">
        <v>0.4</v>
      </c>
      <c r="S24" s="7" t="n">
        <v>0.4</v>
      </c>
      <c r="T24" s="7" t="n">
        <v>0.4</v>
      </c>
      <c r="U24" s="6" t="s">
        <v>203</v>
      </c>
      <c r="V24" s="0" t="n">
        <v>-1</v>
      </c>
      <c r="X24" s="0" t="str">
        <f aca="false">IFERROR(INDEX(Calc!$AH$2:$AH$71,MATCH($Y24,Calc!$A$2:$A$71,0)),"")</f>
        <v>new roster: 0% of his recent games with these teammates</v>
      </c>
      <c r="Y24" s="6" t="s">
        <v>210</v>
      </c>
      <c r="Z24" s="6" t="s">
        <v>147</v>
      </c>
      <c r="AA24" s="0" t="str">
        <f aca="false">Y24&amp;"|"&amp;Z24</f>
        <v>7i0n30c69c9zmve|DOTA · TS vs AI|K12</v>
      </c>
    </row>
    <row r="25" customFormat="false" ht="15" hidden="false" customHeight="false" outlineLevel="0" collapsed="false">
      <c r="A25" s="0" t="s">
        <v>80</v>
      </c>
      <c r="B25" s="0" t="s">
        <v>211</v>
      </c>
      <c r="C25" s="0" t="s">
        <v>85</v>
      </c>
      <c r="D25" s="0" t="s">
        <v>144</v>
      </c>
      <c r="E25" s="0" t="n">
        <v>7.5</v>
      </c>
      <c r="F25" s="8" t="n">
        <f aca="false">IFERROR(INDEX(CHOOSE(MATCH($Z25,{"K1","K12","K13"},0),Calc!$Y$2:$Y$71,Calc!$AA$2:$AA$71,Calc!$AC$2:$AC$71),MATCH($Y25,Calc!$A$2:$A$71,0)),"")</f>
        <v>8.94317008213061</v>
      </c>
      <c r="G25" s="8" t="n">
        <f aca="false">IFERROR(SQRT(INDEX(CHOOSE(MATCH($Z25,{"K1","K12","K13"},0),Calc!$Z$2:$Z$71,Calc!$AB$2:$AB$71,Calc!$AD$2:$AD$71),MATCH($Y25,Calc!$A$2:$A$71,0))),"")</f>
        <v>4.38342006291008</v>
      </c>
      <c r="H25" s="7" t="n">
        <f aca="false">IF(OR($E25="",$F25="",N($G25)&lt;=0),"",1-NORMDIST(FLOOR($E25,1)+0.5,$F25,$G25,TRUE()))</f>
        <v>0.629010514752452</v>
      </c>
      <c r="I25" s="7" t="n">
        <f aca="false">IF($H25="","",NORMDIST(CEILING($E25,1)-0.5,$F25,$G25,TRUE()))</f>
        <v>0.370989485247548</v>
      </c>
      <c r="J25" s="7" t="n">
        <f aca="false">IF($H25="","",MAX(0,1-$H25-$I25))</f>
        <v>0</v>
      </c>
      <c r="K25" s="0" t="str">
        <f aca="false">IF($H25="","",IF($H25&gt;=0.5+Config!$B$8,"OVER",IF($I25&gt;=0.5+Config!$B$8,"UNDER","—")))</f>
        <v>OVER</v>
      </c>
      <c r="L25" s="8" t="n">
        <f aca="false">IFERROR(INDEX(CHOOSE(MATCH($Z25,{"K1","K12","K13"},0),Calc!$AE$2:$AE$71,Calc!$AF$2:$AF$71,Calc!$AG$2:$AG$71),MATCH($Y25,Calc!$A$2:$A$71,0)),"")</f>
        <v>9.8</v>
      </c>
      <c r="M25" s="7" t="n">
        <f aca="false">IF(OR($E25="",$L25="",N($G25)&lt;=0),"",1-NORMDIST(FLOOR($E25,1)+0.5,$L25,$G25*SQRT($L25/$F25),TRUE()))</f>
        <v>0.691899589767167</v>
      </c>
      <c r="N25" s="0" t="n">
        <v>6.78</v>
      </c>
      <c r="O25" s="7" t="n">
        <f aca="false">IFERROR(INDEX(Calc!$H$2:$H$71,MATCH($Y25,Calc!$A$2:$A$71,0)),"")</f>
        <v>0.33</v>
      </c>
      <c r="P25" s="7" t="n">
        <f aca="false">IFERROR(INDEX(Calc!$M$2:$M$71,MATCH($Y25,Calc!$A$2:$A$71,0)),"")</f>
        <v>0.1876</v>
      </c>
      <c r="Q25" s="0" t="n">
        <v>8.9</v>
      </c>
      <c r="R25" s="7" t="n">
        <v>1</v>
      </c>
      <c r="S25" s="7" t="n">
        <v>0.8</v>
      </c>
      <c r="T25" s="7" t="n">
        <v>0.73</v>
      </c>
      <c r="U25" s="6" t="s">
        <v>212</v>
      </c>
      <c r="V25" s="0" t="n">
        <v>5</v>
      </c>
      <c r="X25" s="0" t="str">
        <f aca="false">IFERROR(INDEX(Calc!$AH$2:$AH$71,MATCH($Y25,Calc!$A$2:$A$71,0)),"")</f>
        <v>new roster: 0% of his recent games with these teammates</v>
      </c>
      <c r="Y25" s="6" t="s">
        <v>213</v>
      </c>
      <c r="Z25" s="6" t="s">
        <v>147</v>
      </c>
      <c r="AA25" s="0" t="str">
        <f aca="false">Y25&amp;"|"&amp;Z25</f>
        <v>87bg9h826gapyba|DOTA · TY vs 1WIN|K12</v>
      </c>
    </row>
    <row r="26" customFormat="false" ht="15" hidden="false" customHeight="false" outlineLevel="0" collapsed="false">
      <c r="A26" s="0" t="s">
        <v>80</v>
      </c>
      <c r="B26" s="0" t="s">
        <v>214</v>
      </c>
      <c r="C26" s="0" t="s">
        <v>85</v>
      </c>
      <c r="D26" s="0" t="s">
        <v>144</v>
      </c>
      <c r="E26" s="0" t="n">
        <v>5.5</v>
      </c>
      <c r="F26" s="8" t="n">
        <f aca="false">IFERROR(INDEX(CHOOSE(MATCH($Z26,{"K1","K12","K13"},0),Calc!$Y$2:$Y$71,Calc!$AA$2:$AA$71,Calc!$AC$2:$AC$71),MATCH($Y26,Calc!$A$2:$A$71,0)),"")</f>
        <v>5.84043760465673</v>
      </c>
      <c r="G26" s="8" t="n">
        <f aca="false">IFERROR(SQRT(INDEX(CHOOSE(MATCH($Z26,{"K1","K12","K13"},0),Calc!$Z$2:$Z$71,Calc!$AB$2:$AB$71,Calc!$AD$2:$AD$71),MATCH($Y26,Calc!$A$2:$A$71,0))),"")</f>
        <v>3.45297871566899</v>
      </c>
      <c r="H26" s="7" t="n">
        <f aca="false">IF(OR($E26="",$F26="",N($G26)&lt;=0),"",1-NORMDIST(FLOOR($E26,1)+0.5,$F26,$G26,TRUE()))</f>
        <v>0.539269064507412</v>
      </c>
      <c r="I26" s="7" t="n">
        <f aca="false">IF($H26="","",NORMDIST(CEILING($E26,1)-0.5,$F26,$G26,TRUE()))</f>
        <v>0.460730935492588</v>
      </c>
      <c r="J26" s="7" t="n">
        <f aca="false">IF($H26="","",MAX(0,1-$H26-$I26))</f>
        <v>0</v>
      </c>
      <c r="K26" s="0" t="str">
        <f aca="false">IF($H26="","",IF($H26&gt;=0.5+Config!$B$8,"OVER",IF($I26&gt;=0.5+Config!$B$8,"UNDER","—")))</f>
        <v>—</v>
      </c>
      <c r="L26" s="8" t="n">
        <f aca="false">IFERROR(INDEX(CHOOSE(MATCH($Z26,{"K1","K12","K13"},0),Calc!$AE$2:$AE$71,Calc!$AF$2:$AF$71,Calc!$AG$2:$AG$71),MATCH($Y26,Calc!$A$2:$A$71,0)),"")</f>
        <v>6.4</v>
      </c>
      <c r="M26" s="7" t="n">
        <f aca="false">IF(OR($E26="",$L26="",N($G26)&lt;=0),"",1-NORMDIST(FLOOR($E26,1)+0.5,$L26,$G26*SQRT($L26/$F26),TRUE()))</f>
        <v>0.598315610857836</v>
      </c>
      <c r="N26" s="0" t="n">
        <v>5.13</v>
      </c>
      <c r="O26" s="7" t="n">
        <f aca="false">IFERROR(INDEX(Calc!$H$2:$H$71,MATCH($Y26,Calc!$A$2:$A$71,0)),"")</f>
        <v>0.33</v>
      </c>
      <c r="P26" s="7" t="n">
        <f aca="false">IFERROR(INDEX(Calc!$M$2:$M$71,MATCH($Y26,Calc!$A$2:$A$71,0)),"")</f>
        <v>0.1876</v>
      </c>
      <c r="Q26" s="0" t="n">
        <v>7.3</v>
      </c>
      <c r="R26" s="7" t="n">
        <v>0.8</v>
      </c>
      <c r="S26" s="7" t="n">
        <v>0.6</v>
      </c>
      <c r="T26" s="7" t="n">
        <v>0.67</v>
      </c>
      <c r="U26" s="6" t="s">
        <v>215</v>
      </c>
      <c r="V26" s="0" t="n">
        <v>-1</v>
      </c>
      <c r="X26" s="0" t="str">
        <f aca="false">IFERROR(INDEX(Calc!$AH$2:$AH$71,MATCH($Y26,Calc!$A$2:$A$71,0)),"")</f>
        <v>new roster: 0% of his recent games with these teammates</v>
      </c>
      <c r="Y26" s="6" t="s">
        <v>216</v>
      </c>
      <c r="Z26" s="6" t="s">
        <v>147</v>
      </c>
      <c r="AA26" s="0" t="str">
        <f aca="false">Y26&amp;"|"&amp;Z26</f>
        <v>9qvp3ug5kdx7fn3|DOTA · TY vs 1WIN|K12</v>
      </c>
    </row>
    <row r="27" customFormat="false" ht="15" hidden="false" customHeight="false" outlineLevel="0" collapsed="false">
      <c r="A27" s="0" t="s">
        <v>80</v>
      </c>
      <c r="B27" s="0" t="s">
        <v>217</v>
      </c>
      <c r="C27" s="0" t="s">
        <v>85</v>
      </c>
      <c r="D27" s="0" t="s">
        <v>144</v>
      </c>
      <c r="E27" s="0" t="n">
        <v>11.5</v>
      </c>
      <c r="F27" s="8" t="n">
        <f aca="false">IFERROR(INDEX(CHOOSE(MATCH($Z27,{"K1","K12","K13"},0),Calc!$Y$2:$Y$71,Calc!$AA$2:$AA$71,Calc!$AC$2:$AC$71),MATCH($Y27,Calc!$A$2:$A$71,0)),"")</f>
        <v>12.9494568807339</v>
      </c>
      <c r="G27" s="8" t="n">
        <f aca="false">IFERROR(SQRT(INDEX(CHOOSE(MATCH($Z27,{"K1","K12","K13"},0),Calc!$Z$2:$Z$71,Calc!$AB$2:$AB$71,Calc!$AD$2:$AD$71),MATCH($Y27,Calc!$A$2:$A$71,0))),"")</f>
        <v>5.44164052994911</v>
      </c>
      <c r="H27" s="7" t="n">
        <f aca="false">IF(OR($E27="",$F27="",N($G27)&lt;=0),"",1-NORMDIST(FLOOR($E27,1)+0.5,$F27,$G27,TRUE()))</f>
        <v>0.605020537875669</v>
      </c>
      <c r="I27" s="7" t="n">
        <f aca="false">IF($H27="","",NORMDIST(CEILING($E27,1)-0.5,$F27,$G27,TRUE()))</f>
        <v>0.394979462124331</v>
      </c>
      <c r="J27" s="7" t="n">
        <f aca="false">IF($H27="","",MAX(0,1-$H27-$I27))</f>
        <v>0</v>
      </c>
      <c r="K27" s="0" t="str">
        <f aca="false">IF($H27="","",IF($H27&gt;=0.5+Config!$B$8,"OVER",IF($I27&gt;=0.5+Config!$B$8,"UNDER","—")))</f>
        <v>OVER</v>
      </c>
      <c r="L27" s="8" t="n">
        <f aca="false">IFERROR(INDEX(CHOOSE(MATCH($Z27,{"K1","K12","K13"},0),Calc!$AE$2:$AE$71,Calc!$AF$2:$AF$71,Calc!$AG$2:$AG$71),MATCH($Y27,Calc!$A$2:$A$71,0)),"")</f>
        <v>14.8</v>
      </c>
      <c r="M27" s="7" t="n">
        <f aca="false">IF(OR($E27="",$L27="",N($G27)&lt;=0),"",1-NORMDIST(FLOOR($E27,1)+0.5,$L27,$G27*SQRT($L27/$F27),TRUE()))</f>
        <v>0.714729827683601</v>
      </c>
      <c r="N27" s="0" t="n">
        <v>9.58</v>
      </c>
      <c r="O27" s="7" t="n">
        <f aca="false">IFERROR(INDEX(Calc!$H$2:$H$71,MATCH($Y27,Calc!$A$2:$A$71,0)),"")</f>
        <v>0.4</v>
      </c>
      <c r="P27" s="7" t="n">
        <f aca="false">IFERROR(INDEX(Calc!$M$2:$M$71,MATCH($Y27,Calc!$A$2:$A$71,0)),"")</f>
        <v>0.1876</v>
      </c>
      <c r="Q27" s="0" t="n">
        <v>13.8</v>
      </c>
      <c r="R27" s="7" t="n">
        <v>0.6</v>
      </c>
      <c r="S27" s="7" t="n">
        <v>0.5</v>
      </c>
      <c r="T27" s="7" t="n">
        <v>0.67</v>
      </c>
      <c r="U27" s="6" t="s">
        <v>212</v>
      </c>
      <c r="V27" s="0" t="n">
        <v>-1</v>
      </c>
      <c r="X27" s="0" t="str">
        <f aca="false">IFERROR(INDEX(Calc!$AH$2:$AH$71,MATCH($Y27,Calc!$A$2:$A$71,0)),"")</f>
        <v>new roster: 0% of his recent games with these teammates</v>
      </c>
      <c r="Y27" s="6" t="s">
        <v>218</v>
      </c>
      <c r="Z27" s="6" t="s">
        <v>147</v>
      </c>
      <c r="AA27" s="0" t="str">
        <f aca="false">Y27&amp;"|"&amp;Z27</f>
        <v>2pxb4pwzxip4jee|DOTA · TY vs 1WIN|K12</v>
      </c>
    </row>
    <row r="28" customFormat="false" ht="15" hidden="false" customHeight="false" outlineLevel="0" collapsed="false">
      <c r="A28" s="0" t="s">
        <v>80</v>
      </c>
      <c r="B28" s="0" t="s">
        <v>219</v>
      </c>
      <c r="C28" s="0" t="s">
        <v>85</v>
      </c>
      <c r="D28" s="0" t="s">
        <v>144</v>
      </c>
      <c r="E28" s="0" t="n">
        <v>12.5</v>
      </c>
      <c r="F28" s="8" t="n">
        <f aca="false">IFERROR(INDEX(CHOOSE(MATCH($Z28,{"K1","K12","K13"},0),Calc!$Y$2:$Y$71,Calc!$AA$2:$AA$71,Calc!$AC$2:$AC$71),MATCH($Y28,Calc!$A$2:$A$71,0)),"")</f>
        <v>13.1822628998366</v>
      </c>
      <c r="G28" s="8" t="n">
        <f aca="false">IFERROR(SQRT(INDEX(CHOOSE(MATCH($Z28,{"K1","K12","K13"},0),Calc!$Z$2:$Z$71,Calc!$AB$2:$AB$71,Calc!$AD$2:$AD$71),MATCH($Y28,Calc!$A$2:$A$71,0))),"")</f>
        <v>5.49997005968525</v>
      </c>
      <c r="H28" s="7" t="n">
        <f aca="false">IF(OR($E28="",$F28="",N($G28)&lt;=0),"",1-NORMDIST(FLOOR($E28,1)+0.5,$F28,$G28,TRUE()))</f>
        <v>0.549361553131367</v>
      </c>
      <c r="I28" s="7" t="n">
        <f aca="false">IF($H28="","",NORMDIST(CEILING($E28,1)-0.5,$F28,$G28,TRUE()))</f>
        <v>0.450638446868633</v>
      </c>
      <c r="J28" s="7" t="n">
        <f aca="false">IF($H28="","",MAX(0,1-$H28-$I28))</f>
        <v>0</v>
      </c>
      <c r="K28" s="0" t="str">
        <f aca="false">IF($H28="","",IF($H28&gt;=0.5+Config!$B$8,"OVER",IF($I28&gt;=0.5+Config!$B$8,"UNDER","—")))</f>
        <v>OVER</v>
      </c>
      <c r="L28" s="8" t="n">
        <f aca="false">IFERROR(INDEX(CHOOSE(MATCH($Z28,{"K1","K12","K13"},0),Calc!$AE$2:$AE$71,Calc!$AF$2:$AF$71,Calc!$AG$2:$AG$71),MATCH($Y28,Calc!$A$2:$A$71,0)),"")</f>
        <v>14.8</v>
      </c>
      <c r="M28" s="7" t="n">
        <f aca="false">IF(OR($E28="",$L28="",N($G28)&lt;=0),"",1-NORMDIST(FLOOR($E28,1)+0.5,$L28,$G28*SQRT($L28/$F28),TRUE()))</f>
        <v>0.653455945978608</v>
      </c>
      <c r="N28" s="0" t="n">
        <v>11.73</v>
      </c>
      <c r="O28" s="7" t="n">
        <f aca="false">IFERROR(INDEX(Calc!$H$2:$H$71,MATCH($Y28,Calc!$A$2:$A$71,0)),"")</f>
        <v>0.37</v>
      </c>
      <c r="P28" s="7" t="n">
        <f aca="false">IFERROR(INDEX(Calc!$M$2:$M$71,MATCH($Y28,Calc!$A$2:$A$71,0)),"")</f>
        <v>0.1876</v>
      </c>
      <c r="Q28" s="0" t="n">
        <v>15.2</v>
      </c>
      <c r="R28" s="7" t="n">
        <v>0.2</v>
      </c>
      <c r="S28" s="7" t="n">
        <v>0.5</v>
      </c>
      <c r="T28" s="7" t="n">
        <v>0.53</v>
      </c>
      <c r="U28" s="6" t="s">
        <v>220</v>
      </c>
      <c r="V28" s="0" t="n">
        <v>-4</v>
      </c>
      <c r="X28" s="0" t="str">
        <f aca="false">IFERROR(INDEX(Calc!$AH$2:$AH$71,MATCH($Y28,Calc!$A$2:$A$71,0)),"")</f>
        <v>new roster: 0% of his recent games with these teammates</v>
      </c>
      <c r="Y28" s="6" t="s">
        <v>221</v>
      </c>
      <c r="Z28" s="6" t="s">
        <v>147</v>
      </c>
      <c r="AA28" s="0" t="str">
        <f aca="false">Y28&amp;"|"&amp;Z28</f>
        <v>5yokl0wo9za11sw|DOTA · TY vs 1WIN|K12</v>
      </c>
    </row>
    <row r="29" customFormat="false" ht="15" hidden="false" customHeight="false" outlineLevel="0" collapsed="false">
      <c r="A29" s="0" t="s">
        <v>80</v>
      </c>
      <c r="B29" s="0" t="s">
        <v>222</v>
      </c>
      <c r="C29" s="0" t="s">
        <v>85</v>
      </c>
      <c r="D29" s="0" t="s">
        <v>144</v>
      </c>
      <c r="E29" s="0" t="n">
        <v>5.5</v>
      </c>
      <c r="F29" s="8" t="n">
        <f aca="false">IFERROR(INDEX(CHOOSE(MATCH($Z29,{"K1","K12","K13"},0),Calc!$Y$2:$Y$71,Calc!$AA$2:$AA$71,Calc!$AC$2:$AC$71),MATCH($Y29,Calc!$A$2:$A$71,0)),"")</f>
        <v>5.84043760465673</v>
      </c>
      <c r="G29" s="8" t="n">
        <f aca="false">IFERROR(SQRT(INDEX(CHOOSE(MATCH($Z29,{"K1","K12","K13"},0),Calc!$Z$2:$Z$71,Calc!$AB$2:$AB$71,Calc!$AD$2:$AD$71),MATCH($Y29,Calc!$A$2:$A$71,0))),"")</f>
        <v>3.45297871566899</v>
      </c>
      <c r="H29" s="7" t="n">
        <f aca="false">IF(OR($E29="",$F29="",N($G29)&lt;=0),"",1-NORMDIST(FLOOR($E29,1)+0.5,$F29,$G29,TRUE()))</f>
        <v>0.539269064507412</v>
      </c>
      <c r="I29" s="7" t="n">
        <f aca="false">IF($H29="","",NORMDIST(CEILING($E29,1)-0.5,$F29,$G29,TRUE()))</f>
        <v>0.460730935492588</v>
      </c>
      <c r="J29" s="7" t="n">
        <f aca="false">IF($H29="","",MAX(0,1-$H29-$I29))</f>
        <v>0</v>
      </c>
      <c r="K29" s="0" t="str">
        <f aca="false">IF($H29="","",IF($H29&gt;=0.5+Config!$B$8,"OVER",IF($I29&gt;=0.5+Config!$B$8,"UNDER","—")))</f>
        <v>—</v>
      </c>
      <c r="L29" s="8" t="n">
        <f aca="false">IFERROR(INDEX(CHOOSE(MATCH($Z29,{"K1","K12","K13"},0),Calc!$AE$2:$AE$71,Calc!$AF$2:$AF$71,Calc!$AG$2:$AG$71),MATCH($Y29,Calc!$A$2:$A$71,0)),"")</f>
        <v>6.4</v>
      </c>
      <c r="M29" s="7" t="n">
        <f aca="false">IF(OR($E29="",$L29="",N($G29)&lt;=0),"",1-NORMDIST(FLOOR($E29,1)+0.5,$L29,$G29*SQRT($L29/$F29),TRUE()))</f>
        <v>0.598315610857836</v>
      </c>
      <c r="O29" s="7" t="n">
        <f aca="false">IFERROR(INDEX(Calc!$H$2:$H$71,MATCH($Y29,Calc!$A$2:$A$71,0)),"")</f>
        <v>0.33</v>
      </c>
      <c r="P29" s="7" t="n">
        <f aca="false">IFERROR(INDEX(Calc!$M$2:$M$71,MATCH($Y29,Calc!$A$2:$A$71,0)),"")</f>
        <v>0.1876</v>
      </c>
      <c r="Q29" s="0" t="n">
        <v>7.3</v>
      </c>
      <c r="R29" s="7" t="n">
        <v>0.4</v>
      </c>
      <c r="S29" s="7" t="n">
        <v>0.4</v>
      </c>
      <c r="T29" s="7" t="n">
        <v>0.53</v>
      </c>
      <c r="U29" s="6" t="s">
        <v>212</v>
      </c>
      <c r="V29" s="0" t="n">
        <v>-1</v>
      </c>
      <c r="X29" s="0" t="str">
        <f aca="false">IFERROR(INDEX(Calc!$AH$2:$AH$71,MATCH($Y29,Calc!$A$2:$A$71,0)),"")</f>
        <v>new roster: 0% of his recent games with these teammates</v>
      </c>
      <c r="Y29" s="6" t="s">
        <v>223</v>
      </c>
      <c r="Z29" s="6" t="s">
        <v>147</v>
      </c>
      <c r="AA29" s="0" t="str">
        <f aca="false">Y29&amp;"|"&amp;Z29</f>
        <v>e685fr8xlwo3fj9|DOTA · TY vs 1WIN|K12</v>
      </c>
    </row>
    <row r="30" customFormat="false" ht="15" hidden="false" customHeight="false" outlineLevel="0" collapsed="false">
      <c r="A30" s="0" t="s">
        <v>80</v>
      </c>
      <c r="B30" s="0" t="s">
        <v>224</v>
      </c>
      <c r="C30" s="0" t="s">
        <v>84</v>
      </c>
      <c r="D30" s="0" t="s">
        <v>144</v>
      </c>
      <c r="E30" s="0" t="n">
        <v>16.5</v>
      </c>
      <c r="F30" s="8" t="n">
        <f aca="false">IFERROR(INDEX(CHOOSE(MATCH($Z30,{"K1","K12","K13"},0),Calc!$Y$2:$Y$71,Calc!$AA$2:$AA$71,Calc!$AC$2:$AC$71),MATCH($Y30,Calc!$A$2:$A$71,0)),"")</f>
        <v>18.8429089134281</v>
      </c>
      <c r="G30" s="8" t="n">
        <f aca="false">IFERROR(SQRT(INDEX(CHOOSE(MATCH($Z30,{"K1","K12","K13"},0),Calc!$Z$2:$Z$71,Calc!$AB$2:$AB$71,Calc!$AD$2:$AD$71),MATCH($Y30,Calc!$A$2:$A$71,0))),"")</f>
        <v>6.38293164723776</v>
      </c>
      <c r="H30" s="7" t="n">
        <f aca="false">IF(OR($E30="",$F30="",N($G30)&lt;=0),"",1-NORMDIST(FLOOR($E30,1)+0.5,$F30,$G30,TRUE()))</f>
        <v>0.643212285422644</v>
      </c>
      <c r="I30" s="7" t="n">
        <f aca="false">IF($H30="","",NORMDIST(CEILING($E30,1)-0.5,$F30,$G30,TRUE()))</f>
        <v>0.356787714577356</v>
      </c>
      <c r="J30" s="7" t="n">
        <f aca="false">IF($H30="","",MAX(0,1-$H30-$I30))</f>
        <v>0</v>
      </c>
      <c r="K30" s="0" t="str">
        <f aca="false">IF($H30="","",IF($H30&gt;=0.5+Config!$B$8,"OVER",IF($I30&gt;=0.5+Config!$B$8,"UNDER","—")))</f>
        <v>OVER</v>
      </c>
      <c r="L30" s="8" t="n">
        <f aca="false">IFERROR(INDEX(CHOOSE(MATCH($Z30,{"K1","K12","K13"},0),Calc!$AE$2:$AE$71,Calc!$AF$2:$AF$71,Calc!$AG$2:$AG$71),MATCH($Y30,Calc!$A$2:$A$71,0)),"")</f>
        <v>19</v>
      </c>
      <c r="M30" s="7" t="n">
        <f aca="false">IF(OR($E30="",$L30="",N($G30)&lt;=0),"",1-NORMDIST(FLOOR($E30,1)+0.5,$L30,$G30*SQRT($L30/$F30),TRUE()))</f>
        <v>0.651749119154472</v>
      </c>
      <c r="N30" s="0" t="n">
        <v>14.96</v>
      </c>
      <c r="O30" s="7" t="n">
        <f aca="false">IFERROR(INDEX(Calc!$H$2:$H$71,MATCH($Y30,Calc!$A$2:$A$71,0)),"")</f>
        <v>0.83</v>
      </c>
      <c r="P30" s="7" t="n">
        <f aca="false">IFERROR(INDEX(Calc!$M$2:$M$71,MATCH($Y30,Calc!$A$2:$A$71,0)),"")</f>
        <v>0.8124</v>
      </c>
      <c r="Q30" s="0" t="n">
        <v>19</v>
      </c>
      <c r="R30" s="7" t="n">
        <v>0.8</v>
      </c>
      <c r="S30" s="7" t="n">
        <v>0.5</v>
      </c>
      <c r="T30" s="7" t="n">
        <v>0.53</v>
      </c>
      <c r="U30" s="6" t="s">
        <v>225</v>
      </c>
      <c r="V30" s="0" t="n">
        <v>4</v>
      </c>
      <c r="X30" s="0" t="str">
        <f aca="false">IFERROR(INDEX(Calc!$AH$2:$AH$71,MATCH($Y30,Calc!$A$2:$A$71,0)),"")</f>
        <v>new roster: 0% of his recent games with these teammates</v>
      </c>
      <c r="Y30" s="6" t="s">
        <v>226</v>
      </c>
      <c r="Z30" s="6" t="s">
        <v>147</v>
      </c>
      <c r="AA30" s="0" t="str">
        <f aca="false">Y30&amp;"|"&amp;Z30</f>
        <v>gjtmq8fbk0gya2i|DOTA · TY vs 1WIN|K12</v>
      </c>
    </row>
    <row r="31" customFormat="false" ht="15" hidden="false" customHeight="false" outlineLevel="0" collapsed="false">
      <c r="A31" s="0" t="s">
        <v>80</v>
      </c>
      <c r="B31" s="0" t="s">
        <v>227</v>
      </c>
      <c r="C31" s="0" t="s">
        <v>84</v>
      </c>
      <c r="D31" s="0" t="s">
        <v>144</v>
      </c>
      <c r="E31" s="0" t="n">
        <v>16.5</v>
      </c>
      <c r="F31" s="8" t="n">
        <f aca="false">IFERROR(INDEX(CHOOSE(MATCH($Z31,{"K1","K12","K13"},0),Calc!$Y$2:$Y$71,Calc!$AA$2:$AA$71,Calc!$AC$2:$AC$71),MATCH($Y31,Calc!$A$2:$A$71,0)),"")</f>
        <v>15.6693663595876</v>
      </c>
      <c r="G31" s="8" t="n">
        <f aca="false">IFERROR(SQRT(INDEX(CHOOSE(MATCH($Z31,{"K1","K12","K13"},0),Calc!$Z$2:$Z$71,Calc!$AB$2:$AB$71,Calc!$AD$2:$AD$71),MATCH($Y31,Calc!$A$2:$A$71,0))),"")</f>
        <v>5.74715403561942</v>
      </c>
      <c r="H31" s="7" t="n">
        <f aca="false">IF(OR($E31="",$F31="",N($G31)&lt;=0),"",1-NORMDIST(FLOOR($E31,1)+0.5,$F31,$G31,TRUE()))</f>
        <v>0.44254115824172</v>
      </c>
      <c r="I31" s="7" t="n">
        <f aca="false">IF($H31="","",NORMDIST(CEILING($E31,1)-0.5,$F31,$G31,TRUE()))</f>
        <v>0.55745884175828</v>
      </c>
      <c r="J31" s="7" t="n">
        <f aca="false">IF($H31="","",MAX(0,1-$H31-$I31))</f>
        <v>0</v>
      </c>
      <c r="K31" s="0" t="str">
        <f aca="false">IF($H31="","",IF($H31&gt;=0.5+Config!$B$8,"OVER",IF($I31&gt;=0.5+Config!$B$8,"UNDER","—")))</f>
        <v>UNDER</v>
      </c>
      <c r="L31" s="8" t="n">
        <f aca="false">IFERROR(INDEX(CHOOSE(MATCH($Z31,{"K1","K12","K13"},0),Calc!$AE$2:$AE$71,Calc!$AF$2:$AF$71,Calc!$AG$2:$AG$71),MATCH($Y31,Calc!$A$2:$A$71,0)),"")</f>
        <v>15.8</v>
      </c>
      <c r="M31" s="7" t="n">
        <f aca="false">IF(OR($E31="",$L31="",N($G31)&lt;=0),"",1-NORMDIST(FLOOR($E31,1)+0.5,$L31,$G31*SQRT($L31/$F31),TRUE()))</f>
        <v>0.451728747857979</v>
      </c>
      <c r="O31" s="7" t="n">
        <f aca="false">IFERROR(INDEX(Calc!$H$2:$H$71,MATCH($Y31,Calc!$A$2:$A$71,0)),"")</f>
        <v>0.83</v>
      </c>
      <c r="P31" s="7" t="n">
        <f aca="false">IFERROR(INDEX(Calc!$M$2:$M$71,MATCH($Y31,Calc!$A$2:$A$71,0)),"")</f>
        <v>0.8124</v>
      </c>
      <c r="Q31" s="0" t="n">
        <v>15.4</v>
      </c>
      <c r="R31" s="7" t="n">
        <v>0.6</v>
      </c>
      <c r="S31" s="7" t="n">
        <v>0.4</v>
      </c>
      <c r="T31" s="7" t="n">
        <v>0.53</v>
      </c>
      <c r="U31" s="6" t="s">
        <v>149</v>
      </c>
      <c r="V31" s="0" t="n">
        <v>2</v>
      </c>
      <c r="X31" s="0" t="str">
        <f aca="false">IFERROR(INDEX(Calc!$AH$2:$AH$71,MATCH($Y31,Calc!$A$2:$A$71,0)),"")</f>
        <v>new roster: 0% of his recent games with these teammates</v>
      </c>
      <c r="Y31" s="6" t="s">
        <v>228</v>
      </c>
      <c r="Z31" s="6" t="s">
        <v>147</v>
      </c>
      <c r="AA31" s="0" t="str">
        <f aca="false">Y31&amp;"|"&amp;Z31</f>
        <v>ms674i51eq6w83k|DOTA · TY vs 1WIN|K12</v>
      </c>
    </row>
    <row r="32" customFormat="false" ht="15" hidden="false" customHeight="false" outlineLevel="0" collapsed="false">
      <c r="A32" s="0" t="s">
        <v>80</v>
      </c>
      <c r="B32" s="0" t="s">
        <v>229</v>
      </c>
      <c r="C32" s="0" t="s">
        <v>84</v>
      </c>
      <c r="D32" s="0" t="s">
        <v>144</v>
      </c>
      <c r="E32" s="0" t="n">
        <v>6.5</v>
      </c>
      <c r="F32" s="8" t="n">
        <f aca="false">IFERROR(INDEX(CHOOSE(MATCH($Z32,{"K1","K12","K13"},0),Calc!$Y$2:$Y$71,Calc!$AA$2:$AA$71,Calc!$AC$2:$AC$71),MATCH($Y32,Calc!$A$2:$A$71,0)),"")</f>
        <v>7.33881715575621</v>
      </c>
      <c r="G32" s="8" t="n">
        <f aca="false">IFERROR(SQRT(INDEX(CHOOSE(MATCH($Z32,{"K1","K12","K13"},0),Calc!$Z$2:$Z$71,Calc!$AB$2:$AB$71,Calc!$AD$2:$AD$71),MATCH($Y32,Calc!$A$2:$A$71,0))),"")</f>
        <v>3.79793515151999</v>
      </c>
      <c r="H32" s="7" t="n">
        <f aca="false">IF(OR($E32="",$F32="",N($G32)&lt;=0),"",1-NORMDIST(FLOOR($E32,1)+0.5,$F32,$G32,TRUE()))</f>
        <v>0.58739981103268</v>
      </c>
      <c r="I32" s="7" t="n">
        <f aca="false">IF($H32="","",NORMDIST(CEILING($E32,1)-0.5,$F32,$G32,TRUE()))</f>
        <v>0.41260018896732</v>
      </c>
      <c r="J32" s="7" t="n">
        <f aca="false">IF($H32="","",MAX(0,1-$H32-$I32))</f>
        <v>0</v>
      </c>
      <c r="K32" s="0" t="str">
        <f aca="false">IF($H32="","",IF($H32&gt;=0.5+Config!$B$8,"OVER",IF($I32&gt;=0.5+Config!$B$8,"UNDER","—")))</f>
        <v>OVER</v>
      </c>
      <c r="L32" s="8" t="n">
        <f aca="false">IFERROR(INDEX(CHOOSE(MATCH($Z32,{"K1","K12","K13"},0),Calc!$AE$2:$AE$71,Calc!$AF$2:$AF$71,Calc!$AG$2:$AG$71),MATCH($Y32,Calc!$A$2:$A$71,0)),"")</f>
        <v>7.4</v>
      </c>
      <c r="M32" s="7" t="n">
        <f aca="false">IF(OR($E32="",$L32="",N($G32)&lt;=0),"",1-NORMDIST(FLOOR($E32,1)+0.5,$L32,$G32*SQRT($L32/$F32),TRUE()))</f>
        <v>0.593279476829209</v>
      </c>
      <c r="N32" s="0" t="n">
        <v>5.85</v>
      </c>
      <c r="O32" s="7" t="n">
        <f aca="false">IFERROR(INDEX(Calc!$H$2:$H$71,MATCH($Y32,Calc!$A$2:$A$71,0)),"")</f>
        <v>0.83</v>
      </c>
      <c r="P32" s="7" t="n">
        <f aca="false">IFERROR(INDEX(Calc!$M$2:$M$71,MATCH($Y32,Calc!$A$2:$A$71,0)),"")</f>
        <v>0.8124</v>
      </c>
      <c r="Q32" s="0" t="n">
        <v>7.1</v>
      </c>
      <c r="R32" s="7" t="n">
        <v>0.4</v>
      </c>
      <c r="S32" s="7" t="n">
        <v>0.4</v>
      </c>
      <c r="T32" s="7" t="n">
        <v>0.6</v>
      </c>
      <c r="U32" s="6" t="s">
        <v>212</v>
      </c>
      <c r="V32" s="0" t="n">
        <v>2</v>
      </c>
      <c r="X32" s="0" t="str">
        <f aca="false">IFERROR(INDEX(Calc!$AH$2:$AH$71,MATCH($Y32,Calc!$A$2:$A$71,0)),"")</f>
        <v>new roster: 0% of his recent games with these teammates</v>
      </c>
      <c r="Y32" s="6" t="s">
        <v>230</v>
      </c>
      <c r="Z32" s="6" t="s">
        <v>147</v>
      </c>
      <c r="AA32" s="0" t="str">
        <f aca="false">Y32&amp;"|"&amp;Z32</f>
        <v>0ajkyqw3r0k1f5j|DOTA · TY vs 1WIN|K12</v>
      </c>
    </row>
    <row r="33" customFormat="false" ht="15" hidden="false" customHeight="false" outlineLevel="0" collapsed="false">
      <c r="A33" s="0" t="s">
        <v>80</v>
      </c>
      <c r="B33" s="0" t="s">
        <v>231</v>
      </c>
      <c r="C33" s="0" t="s">
        <v>84</v>
      </c>
      <c r="D33" s="0" t="s">
        <v>144</v>
      </c>
      <c r="E33" s="0" t="n">
        <v>7.5</v>
      </c>
      <c r="F33" s="8" t="n">
        <f aca="false">IFERROR(INDEX(CHOOSE(MATCH($Z33,{"K1","K12","K13"},0),Calc!$Y$2:$Y$71,Calc!$AA$2:$AA$71,Calc!$AC$2:$AC$71),MATCH($Y33,Calc!$A$2:$A$71,0)),"")</f>
        <v>7.73550997498627</v>
      </c>
      <c r="G33" s="8" t="n">
        <f aca="false">IFERROR(SQRT(INDEX(CHOOSE(MATCH($Z33,{"K1","K12","K13"},0),Calc!$Z$2:$Z$71,Calc!$AB$2:$AB$71,Calc!$AD$2:$AD$71),MATCH($Y33,Calc!$A$2:$A$71,0))),"")</f>
        <v>3.90595344740219</v>
      </c>
      <c r="H33" s="7" t="n">
        <f aca="false">IF(OR($E33="",$F33="",N($G33)&lt;=0),"",1-NORMDIST(FLOOR($E33,1)+0.5,$F33,$G33,TRUE()))</f>
        <v>0.524039710124085</v>
      </c>
      <c r="I33" s="7" t="n">
        <f aca="false">IF($H33="","",NORMDIST(CEILING($E33,1)-0.5,$F33,$G33,TRUE()))</f>
        <v>0.475960289875915</v>
      </c>
      <c r="J33" s="7" t="n">
        <f aca="false">IF($H33="","",MAX(0,1-$H33-$I33))</f>
        <v>0</v>
      </c>
      <c r="K33" s="0" t="str">
        <f aca="false">IF($H33="","",IF($H33&gt;=0.5+Config!$B$8,"OVER",IF($I33&gt;=0.5+Config!$B$8,"UNDER","—")))</f>
        <v>—</v>
      </c>
      <c r="L33" s="8" t="n">
        <f aca="false">IFERROR(INDEX(CHOOSE(MATCH($Z33,{"K1","K12","K13"},0),Calc!$AE$2:$AE$71,Calc!$AF$2:$AF$71,Calc!$AG$2:$AG$71),MATCH($Y33,Calc!$A$2:$A$71,0)),"")</f>
        <v>7.8</v>
      </c>
      <c r="M33" s="7" t="n">
        <f aca="false">IF(OR($E33="",$L33="",N($G33)&lt;=0),"",1-NORMDIST(FLOOR($E33,1)+0.5,$L33,$G33*SQRT($L33/$F33),TRUE()))</f>
        <v>0.530484433817763</v>
      </c>
      <c r="N33" s="0" t="n">
        <v>6.9</v>
      </c>
      <c r="O33" s="7" t="n">
        <f aca="false">IFERROR(INDEX(Calc!$H$2:$H$71,MATCH($Y33,Calc!$A$2:$A$71,0)),"")</f>
        <v>0.83</v>
      </c>
      <c r="P33" s="7" t="n">
        <f aca="false">IFERROR(INDEX(Calc!$M$2:$M$71,MATCH($Y33,Calc!$A$2:$A$71,0)),"")</f>
        <v>0.8124</v>
      </c>
      <c r="Q33" s="0" t="n">
        <v>8.6</v>
      </c>
      <c r="R33" s="7" t="n">
        <v>0.6</v>
      </c>
      <c r="S33" s="7" t="n">
        <v>0.7</v>
      </c>
      <c r="T33" s="7" t="n">
        <v>0.6</v>
      </c>
      <c r="U33" s="6" t="s">
        <v>232</v>
      </c>
      <c r="V33" s="0" t="n">
        <v>-1</v>
      </c>
      <c r="X33" s="0" t="str">
        <f aca="false">IFERROR(INDEX(Calc!$AH$2:$AH$71,MATCH($Y33,Calc!$A$2:$A$71,0)),"")</f>
        <v>new roster: 0% of his recent games with these teammates</v>
      </c>
      <c r="Y33" s="6" t="s">
        <v>233</v>
      </c>
      <c r="Z33" s="6" t="s">
        <v>147</v>
      </c>
      <c r="AA33" s="0" t="str">
        <f aca="false">Y33&amp;"|"&amp;Z33</f>
        <v>b2idu6d2bllmgsq|DOTA · TY vs 1WIN|K12</v>
      </c>
    </row>
    <row r="34" customFormat="false" ht="15" hidden="false" customHeight="false" outlineLevel="0" collapsed="false">
      <c r="A34" s="0" t="s">
        <v>80</v>
      </c>
      <c r="B34" s="0" t="s">
        <v>234</v>
      </c>
      <c r="C34" s="0" t="s">
        <v>84</v>
      </c>
      <c r="D34" s="0" t="s">
        <v>144</v>
      </c>
      <c r="E34" s="0" t="n">
        <v>20</v>
      </c>
      <c r="F34" s="8" t="n">
        <f aca="false">IFERROR(INDEX(CHOOSE(MATCH($Z34,{"K1","K12","K13"},0),Calc!$Y$2:$Y$71,Calc!$AA$2:$AA$71,Calc!$AC$2:$AC$71),MATCH($Y34,Calc!$A$2:$A$71,0)),"")</f>
        <v>22.0164514672686</v>
      </c>
      <c r="G34" s="8" t="n">
        <f aca="false">IFERROR(SQRT(INDEX(CHOOSE(MATCH($Z34,{"K1","K12","K13"},0),Calc!$Z$2:$Z$71,Calc!$AB$2:$AB$71,Calc!$AD$2:$AD$71),MATCH($Y34,Calc!$A$2:$A$71,0))),"")</f>
        <v>6.98557523306506</v>
      </c>
      <c r="H34" s="7" t="n">
        <f aca="false">IF(OR($E34="",$F34="",N($G34)&lt;=0),"",1-NORMDIST(FLOOR($E34,1)+0.5,$F34,$G34,TRUE()))</f>
        <v>0.585928271519794</v>
      </c>
      <c r="I34" s="7" t="n">
        <f aca="false">IF($H34="","",NORMDIST(CEILING($E34,1)-0.5,$F34,$G34,TRUE()))</f>
        <v>0.359335553082077</v>
      </c>
      <c r="J34" s="7" t="n">
        <f aca="false">IF($H34="","",MAX(0,1-$H34-$I34))</f>
        <v>0.0547361753981295</v>
      </c>
      <c r="K34" s="0" t="str">
        <f aca="false">IF($H34="","",IF($H34&gt;=0.5+Config!$B$8,"OVER",IF($I34&gt;=0.5+Config!$B$8,"UNDER","—")))</f>
        <v>OVER</v>
      </c>
      <c r="L34" s="8" t="n">
        <f aca="false">IFERROR(INDEX(CHOOSE(MATCH($Z34,{"K1","K12","K13"},0),Calc!$AE$2:$AE$71,Calc!$AF$2:$AF$71,Calc!$AG$2:$AG$71),MATCH($Y34,Calc!$A$2:$A$71,0)),"")</f>
        <v>22.2</v>
      </c>
      <c r="M34" s="7" t="n">
        <f aca="false">IF(OR($E34="",$L34="",N($G34)&lt;=0),"",1-NORMDIST(FLOOR($E34,1)+0.5,$L34,$G34*SQRT($L34/$F34),TRUE()))</f>
        <v>0.59574570698293</v>
      </c>
      <c r="N34" s="0" t="n">
        <v>17.44</v>
      </c>
      <c r="O34" s="7" t="n">
        <f aca="false">IFERROR(INDEX(Calc!$H$2:$H$71,MATCH($Y34,Calc!$A$2:$A$71,0)),"")</f>
        <v>0.83</v>
      </c>
      <c r="P34" s="7" t="n">
        <f aca="false">IFERROR(INDEX(Calc!$M$2:$M$71,MATCH($Y34,Calc!$A$2:$A$71,0)),"")</f>
        <v>0.8124</v>
      </c>
      <c r="Q34" s="0" t="n">
        <v>21.5</v>
      </c>
      <c r="R34" s="7" t="n">
        <v>0.4</v>
      </c>
      <c r="S34" s="7" t="n">
        <v>0.5</v>
      </c>
      <c r="T34" s="7" t="n">
        <v>0.47</v>
      </c>
      <c r="U34" s="6" t="s">
        <v>235</v>
      </c>
      <c r="V34" s="0" t="n">
        <v>1</v>
      </c>
      <c r="W34" s="0" t="n">
        <v>0</v>
      </c>
      <c r="X34" s="0" t="str">
        <f aca="false">IFERROR(INDEX(Calc!$AH$2:$AH$71,MATCH($Y34,Calc!$A$2:$A$71,0)),"")</f>
        <v>new roster: 0% of his recent games with these teammates</v>
      </c>
      <c r="Y34" s="6" t="s">
        <v>236</v>
      </c>
      <c r="Z34" s="6" t="s">
        <v>147</v>
      </c>
      <c r="AA34" s="0" t="str">
        <f aca="false">Y34&amp;"|"&amp;Z34</f>
        <v>sm63cqd6f6fdapn|DOTA · TY vs 1WIN|K12</v>
      </c>
    </row>
    <row r="35" customFormat="false" ht="15" hidden="false" customHeight="false" outlineLevel="0" collapsed="false">
      <c r="A35" s="0" t="s">
        <v>110</v>
      </c>
      <c r="B35" s="0" t="s">
        <v>237</v>
      </c>
      <c r="C35" s="0" t="s">
        <v>114</v>
      </c>
      <c r="D35" s="0" t="s">
        <v>144</v>
      </c>
      <c r="E35" s="0" t="n">
        <v>1.5</v>
      </c>
      <c r="F35" s="8" t="n">
        <f aca="false">IFERROR(INDEX(CHOOSE(MATCH($Z35,{"K1","K12","K13"},0),Calc!$Y$2:$Y$71,Calc!$AA$2:$AA$71,Calc!$AC$2:$AC$71),MATCH($Y35,Calc!$A$2:$A$71,0)),"")</f>
        <v>1.50015422856128</v>
      </c>
      <c r="G35" s="8" t="n">
        <f aca="false">IFERROR(SQRT(INDEX(CHOOSE(MATCH($Z35,{"K1","K12","K13"},0),Calc!$Z$2:$Z$71,Calc!$AB$2:$AB$71,Calc!$AD$2:$AD$71),MATCH($Y35,Calc!$A$2:$A$71,0))),"")</f>
        <v>1.43573359530563</v>
      </c>
      <c r="H35" s="7" t="n">
        <f aca="false">IF(OR($E35="",$F35="",N($G35)&lt;=0),"",1-NORMDIST(FLOOR($E35,1)+0.5,$F35,$G35,TRUE()))</f>
        <v>0.50004285495166</v>
      </c>
      <c r="I35" s="7" t="n">
        <f aca="false">IF($H35="","",NORMDIST(CEILING($E35,1)-0.5,$F35,$G35,TRUE()))</f>
        <v>0.49995714504834</v>
      </c>
      <c r="J35" s="7" t="n">
        <f aca="false">IF($H35="","",MAX(0,1-$H35-$I35))</f>
        <v>0</v>
      </c>
      <c r="K35" s="0" t="str">
        <f aca="false">IF($H35="","",IF($H35&gt;=0.5+Config!$B$8,"OVER",IF($I35&gt;=0.5+Config!$B$8,"UNDER","—")))</f>
        <v>—</v>
      </c>
      <c r="L35" s="8" t="n">
        <f aca="false">IFERROR(INDEX(CHOOSE(MATCH($Z35,{"K1","K12","K13"},0),Calc!$AE$2:$AE$71,Calc!$AF$2:$AF$71,Calc!$AG$2:$AG$71),MATCH($Y35,Calc!$A$2:$A$71,0)),"")</f>
        <v>1.4</v>
      </c>
      <c r="M35" s="7" t="n">
        <f aca="false">IF(OR($E35="",$L35="",N($G35)&lt;=0),"",1-NORMDIST(FLOOR($E35,1)+0.5,$L35,$G35*SQRT($L35/$F35),TRUE()))</f>
        <v>0.471261505960525</v>
      </c>
      <c r="O35" s="7" t="n">
        <f aca="false">IFERROR(INDEX(Calc!$H$2:$H$71,MATCH($Y35,Calc!$A$2:$A$71,0)),"")</f>
        <v>0.57</v>
      </c>
      <c r="P35" s="7" t="n">
        <f aca="false">IFERROR(INDEX(Calc!$M$2:$M$71,MATCH($Y35,Calc!$A$2:$A$71,0)),"")</f>
        <v>0.6699</v>
      </c>
      <c r="Q35" s="0" t="n">
        <v>0.8</v>
      </c>
      <c r="R35" s="7" t="n">
        <v>0</v>
      </c>
      <c r="S35" s="7" t="n">
        <v>0.1</v>
      </c>
      <c r="T35" s="7" t="n">
        <v>0.33</v>
      </c>
      <c r="U35" s="6" t="s">
        <v>203</v>
      </c>
      <c r="V35" s="0" t="n">
        <v>-7</v>
      </c>
      <c r="X35" s="0" t="str">
        <f aca="false">IFERROR(INDEX(Calc!$AH$2:$AH$71,MATCH($Y35,Calc!$A$2:$A$71,0)),"")</f>
        <v>new roster: 0% of his recent games with these teammates</v>
      </c>
      <c r="Y35" s="6" t="s">
        <v>238</v>
      </c>
      <c r="Z35" s="6" t="s">
        <v>147</v>
      </c>
      <c r="AA35" s="0" t="str">
        <f aca="false">Y35&amp;"|"&amp;Z35</f>
        <v>0zmvpbzf5fskcxk|LOL · DK vs MKOI|K12</v>
      </c>
    </row>
    <row r="36" customFormat="false" ht="15" hidden="false" customHeight="false" outlineLevel="0" collapsed="false">
      <c r="A36" s="0" t="s">
        <v>110</v>
      </c>
      <c r="B36" s="0" t="s">
        <v>239</v>
      </c>
      <c r="C36" s="0" t="s">
        <v>114</v>
      </c>
      <c r="D36" s="0" t="s">
        <v>144</v>
      </c>
      <c r="E36" s="0" t="n">
        <v>6.5</v>
      </c>
      <c r="F36" s="8" t="n">
        <f aca="false">IFERROR(INDEX(CHOOSE(MATCH($Z36,{"K1","K12","K13"},0),Calc!$Y$2:$Y$71,Calc!$AA$2:$AA$71,Calc!$AC$2:$AC$71),MATCH($Y36,Calc!$A$2:$A$71,0)),"")</f>
        <v>5.78630916730781</v>
      </c>
      <c r="G36" s="8" t="n">
        <f aca="false">IFERROR(SQRT(INDEX(CHOOSE(MATCH($Z36,{"K1","K12","K13"},0),Calc!$Z$2:$Z$71,Calc!$AB$2:$AB$71,Calc!$AD$2:$AD$71),MATCH($Y36,Calc!$A$2:$A$71,0))),"")</f>
        <v>3.02911719804945</v>
      </c>
      <c r="H36" s="7" t="n">
        <f aca="false">IF(OR($E36="",$F36="",N($G36)&lt;=0),"",1-NORMDIST(FLOOR($E36,1)+0.5,$F36,$G36,TRUE()))</f>
        <v>0.406867588661918</v>
      </c>
      <c r="I36" s="7" t="n">
        <f aca="false">IF($H36="","",NORMDIST(CEILING($E36,1)-0.5,$F36,$G36,TRUE()))</f>
        <v>0.593132411338082</v>
      </c>
      <c r="J36" s="7" t="n">
        <f aca="false">IF($H36="","",MAX(0,1-$H36-$I36))</f>
        <v>0</v>
      </c>
      <c r="K36" s="0" t="str">
        <f aca="false">IF($H36="","",IF($H36&gt;=0.5+Config!$B$8,"OVER",IF($I36&gt;=0.5+Config!$B$8,"UNDER","—")))</f>
        <v>UNDER</v>
      </c>
      <c r="L36" s="8" t="n">
        <f aca="false">IFERROR(INDEX(CHOOSE(MATCH($Z36,{"K1","K12","K13"},0),Calc!$AE$2:$AE$71,Calc!$AF$2:$AF$71,Calc!$AG$2:$AG$71),MATCH($Y36,Calc!$A$2:$A$71,0)),"")</f>
        <v>5.4</v>
      </c>
      <c r="M36" s="7" t="n">
        <f aca="false">IF(OR($E36="",$L36="",N($G36)&lt;=0),"",1-NORMDIST(FLOOR($E36,1)+0.5,$L36,$G36*SQRT($L36/$F36),TRUE()))</f>
        <v>0.353492975430689</v>
      </c>
      <c r="O36" s="7" t="n">
        <f aca="false">IFERROR(INDEX(Calc!$H$2:$H$71,MATCH($Y36,Calc!$A$2:$A$71,0)),"")</f>
        <v>0.57</v>
      </c>
      <c r="P36" s="7" t="n">
        <f aca="false">IFERROR(INDEX(Calc!$M$2:$M$71,MATCH($Y36,Calc!$A$2:$A$71,0)),"")</f>
        <v>0.6699</v>
      </c>
      <c r="Q36" s="0" t="n">
        <v>4.8</v>
      </c>
      <c r="R36" s="7" t="n">
        <v>0.2</v>
      </c>
      <c r="S36" s="7" t="n">
        <v>0.2</v>
      </c>
      <c r="T36" s="7" t="n">
        <v>0.27</v>
      </c>
      <c r="U36" s="6" t="s">
        <v>203</v>
      </c>
      <c r="V36" s="0" t="n">
        <v>-4</v>
      </c>
      <c r="X36" s="0" t="str">
        <f aca="false">IFERROR(INDEX(Calc!$AH$2:$AH$71,MATCH($Y36,Calc!$A$2:$A$71,0)),"")</f>
        <v>new roster: 0% of his recent games with these teammates</v>
      </c>
      <c r="Y36" s="6" t="s">
        <v>240</v>
      </c>
      <c r="Z36" s="6" t="s">
        <v>147</v>
      </c>
      <c r="AA36" s="0" t="str">
        <f aca="false">Y36&amp;"|"&amp;Z36</f>
        <v>kz1njp0fokgxabw|LOL · DK vs MKOI|K12</v>
      </c>
    </row>
    <row r="37" customFormat="false" ht="15" hidden="false" customHeight="false" outlineLevel="0" collapsed="false">
      <c r="A37" s="0" t="s">
        <v>110</v>
      </c>
      <c r="B37" s="0" t="s">
        <v>241</v>
      </c>
      <c r="C37" s="0" t="s">
        <v>114</v>
      </c>
      <c r="D37" s="0" t="s">
        <v>144</v>
      </c>
      <c r="E37" s="0" t="n">
        <v>7.5</v>
      </c>
      <c r="F37" s="8" t="n">
        <f aca="false">IFERROR(INDEX(CHOOSE(MATCH($Z37,{"K1","K12","K13"},0),Calc!$Y$2:$Y$71,Calc!$AA$2:$AA$71,Calc!$AC$2:$AC$71),MATCH($Y37,Calc!$A$2:$A$71,0)),"")</f>
        <v>7.92938663668107</v>
      </c>
      <c r="G37" s="8" t="n">
        <f aca="false">IFERROR(SQRT(INDEX(CHOOSE(MATCH($Z37,{"K1","K12","K13"},0),Calc!$Z$2:$Z$71,Calc!$AB$2:$AB$71,Calc!$AD$2:$AD$71),MATCH($Y37,Calc!$A$2:$A$71,0))),"")</f>
        <v>3.66238332096271</v>
      </c>
      <c r="H37" s="7" t="n">
        <f aca="false">IF(OR($E37="",$F37="",N($G37)&lt;=0),"",1-NORMDIST(FLOOR($E37,1)+0.5,$F37,$G37,TRUE()))</f>
        <v>0.54666601873438</v>
      </c>
      <c r="I37" s="7" t="n">
        <f aca="false">IF($H37="","",NORMDIST(CEILING($E37,1)-0.5,$F37,$G37,TRUE()))</f>
        <v>0.45333398126562</v>
      </c>
      <c r="J37" s="7" t="n">
        <f aca="false">IF($H37="","",MAX(0,1-$H37-$I37))</f>
        <v>0</v>
      </c>
      <c r="K37" s="0" t="str">
        <f aca="false">IF($H37="","",IF($H37&gt;=0.5+Config!$B$8,"OVER",IF($I37&gt;=0.5+Config!$B$8,"UNDER","—")))</f>
        <v>OVER</v>
      </c>
      <c r="L37" s="8" t="n">
        <f aca="false">IFERROR(INDEX(CHOOSE(MATCH($Z37,{"K1","K12","K13"},0),Calc!$AE$2:$AE$71,Calc!$AF$2:$AF$71,Calc!$AG$2:$AG$71),MATCH($Y37,Calc!$A$2:$A$71,0)),"")</f>
        <v>7.4</v>
      </c>
      <c r="M37" s="7" t="n">
        <f aca="false">IF(OR($E37="",$L37="",N($G37)&lt;=0),"",1-NORMDIST(FLOOR($E37,1)+0.5,$L37,$G37*SQRT($L37/$F37),TRUE()))</f>
        <v>0.488725627382726</v>
      </c>
      <c r="O37" s="7" t="n">
        <f aca="false">IFERROR(INDEX(Calc!$H$2:$H$71,MATCH($Y37,Calc!$A$2:$A$71,0)),"")</f>
        <v>0.57</v>
      </c>
      <c r="P37" s="7" t="n">
        <f aca="false">IFERROR(INDEX(Calc!$M$2:$M$71,MATCH($Y37,Calc!$A$2:$A$71,0)),"")</f>
        <v>0.6699</v>
      </c>
      <c r="Q37" s="0" t="n">
        <v>6.7</v>
      </c>
      <c r="R37" s="7" t="n">
        <v>0.2</v>
      </c>
      <c r="S37" s="7" t="n">
        <v>0.2</v>
      </c>
      <c r="T37" s="7" t="n">
        <v>0.33</v>
      </c>
      <c r="U37" s="6" t="s">
        <v>203</v>
      </c>
      <c r="V37" s="0" t="n">
        <v>-2</v>
      </c>
      <c r="X37" s="0" t="str">
        <f aca="false">IFERROR(INDEX(Calc!$AH$2:$AH$71,MATCH($Y37,Calc!$A$2:$A$71,0)),"")</f>
        <v>new roster: 0% of his recent games with these teammates</v>
      </c>
      <c r="Y37" s="6" t="s">
        <v>242</v>
      </c>
      <c r="Z37" s="6" t="s">
        <v>147</v>
      </c>
      <c r="AA37" s="0" t="str">
        <f aca="false">Y37&amp;"|"&amp;Z37</f>
        <v>cg09u23al2tl0w4|LOL · DK vs MKOI|K12</v>
      </c>
    </row>
    <row r="38" customFormat="false" ht="15" hidden="false" customHeight="false" outlineLevel="0" collapsed="false">
      <c r="A38" s="0" t="s">
        <v>110</v>
      </c>
      <c r="B38" s="0" t="s">
        <v>243</v>
      </c>
      <c r="C38" s="0" t="s">
        <v>114</v>
      </c>
      <c r="D38" s="0" t="s">
        <v>144</v>
      </c>
      <c r="E38" s="0" t="n">
        <v>5.5</v>
      </c>
      <c r="F38" s="8" t="n">
        <f aca="false">IFERROR(INDEX(CHOOSE(MATCH($Z38,{"K1","K12","K13"},0),Calc!$Y$2:$Y$71,Calc!$AA$2:$AA$71,Calc!$AC$2:$AC$71),MATCH($Y38,Calc!$A$2:$A$71,0)),"")</f>
        <v>5.07443087796259</v>
      </c>
      <c r="G38" s="8" t="n">
        <f aca="false">IFERROR(SQRT(INDEX(CHOOSE(MATCH($Z38,{"K1","K12","K13"},0),Calc!$Z$2:$Z$71,Calc!$AB$2:$AB$71,Calc!$AD$2:$AD$71),MATCH($Y38,Calc!$A$2:$A$71,0))),"")</f>
        <v>2.80505214686496</v>
      </c>
      <c r="H38" s="7" t="n">
        <f aca="false">IF(OR($E38="",$F38="",N($G38)&lt;=0),"",1-NORMDIST(FLOOR($E38,1)+0.5,$F38,$G38,TRUE()))</f>
        <v>0.439705773561301</v>
      </c>
      <c r="I38" s="7" t="n">
        <f aca="false">IF($H38="","",NORMDIST(CEILING($E38,1)-0.5,$F38,$G38,TRUE()))</f>
        <v>0.560294226438699</v>
      </c>
      <c r="J38" s="7" t="n">
        <f aca="false">IF($H38="","",MAX(0,1-$H38-$I38))</f>
        <v>0</v>
      </c>
      <c r="K38" s="0" t="str">
        <f aca="false">IF($H38="","",IF($H38&gt;=0.5+Config!$B$8,"OVER",IF($I38&gt;=0.5+Config!$B$8,"UNDER","—")))</f>
        <v>UNDER</v>
      </c>
      <c r="L38" s="8" t="n">
        <f aca="false">IFERROR(INDEX(CHOOSE(MATCH($Z38,{"K1","K12","K13"},0),Calc!$AE$2:$AE$71,Calc!$AF$2:$AF$71,Calc!$AG$2:$AG$71),MATCH($Y38,Calc!$A$2:$A$71,0)),"")</f>
        <v>4.6</v>
      </c>
      <c r="M38" s="7" t="n">
        <f aca="false">IF(OR($E38="",$L38="",N($G38)&lt;=0),"",1-NORMDIST(FLOOR($E38,1)+0.5,$L38,$G38*SQRT($L38/$F38),TRUE()))</f>
        <v>0.368062420712443</v>
      </c>
      <c r="O38" s="7" t="n">
        <f aca="false">IFERROR(INDEX(Calc!$H$2:$H$71,MATCH($Y38,Calc!$A$2:$A$71,0)),"")</f>
        <v>0.53</v>
      </c>
      <c r="P38" s="7" t="n">
        <f aca="false">IFERROR(INDEX(Calc!$M$2:$M$71,MATCH($Y38,Calc!$A$2:$A$71,0)),"")</f>
        <v>0.6699</v>
      </c>
      <c r="Q38" s="0" t="n">
        <v>5.4</v>
      </c>
      <c r="R38" s="7" t="n">
        <v>0</v>
      </c>
      <c r="S38" s="7" t="n">
        <v>0.3</v>
      </c>
      <c r="T38" s="7" t="n">
        <v>0.33</v>
      </c>
      <c r="U38" s="6" t="s">
        <v>203</v>
      </c>
      <c r="V38" s="0" t="n">
        <v>-5</v>
      </c>
      <c r="X38" s="0" t="str">
        <f aca="false">IFERROR(INDEX(Calc!$AH$2:$AH$71,MATCH($Y38,Calc!$A$2:$A$71,0)),"")</f>
        <v>new roster: 0% of his recent games with these teammates</v>
      </c>
      <c r="Y38" s="6" t="s">
        <v>244</v>
      </c>
      <c r="Z38" s="6" t="s">
        <v>147</v>
      </c>
      <c r="AA38" s="0" t="str">
        <f aca="false">Y38&amp;"|"&amp;Z38</f>
        <v>r63hk078cgvtd58|LOL · DK vs MKOI|K12</v>
      </c>
    </row>
    <row r="39" customFormat="false" ht="15" hidden="false" customHeight="false" outlineLevel="0" collapsed="false">
      <c r="A39" s="0" t="s">
        <v>110</v>
      </c>
      <c r="B39" s="0" t="s">
        <v>245</v>
      </c>
      <c r="C39" s="0" t="s">
        <v>114</v>
      </c>
      <c r="D39" s="0" t="s">
        <v>144</v>
      </c>
      <c r="E39" s="0" t="n">
        <v>9</v>
      </c>
      <c r="F39" s="8" t="n">
        <f aca="false">IFERROR(INDEX(CHOOSE(MATCH($Z39,{"K1","K12","K13"},0),Calc!$Y$2:$Y$71,Calc!$AA$2:$AA$71,Calc!$AC$2:$AC$71),MATCH($Y39,Calc!$A$2:$A$71,0)),"")</f>
        <v>9.92823432644855</v>
      </c>
      <c r="G39" s="8" t="n">
        <f aca="false">IFERROR(SQRT(INDEX(CHOOSE(MATCH($Z39,{"K1","K12","K13"},0),Calc!$Z$2:$Z$71,Calc!$AB$2:$AB$71,Calc!$AD$2:$AD$71),MATCH($Y39,Calc!$A$2:$A$71,0))),"")</f>
        <v>4.21594562671223</v>
      </c>
      <c r="H39" s="7" t="n">
        <f aca="false">IF(OR($E39="",$F39="",N($G39)&lt;=0),"",1-NORMDIST(FLOOR($E39,1)+0.5,$F39,$G39,TRUE()))</f>
        <v>0.540452955044836</v>
      </c>
      <c r="I39" s="7" t="n">
        <f aca="false">IF($H39="","",NORMDIST(CEILING($E39,1)-0.5,$F39,$G39,TRUE()))</f>
        <v>0.367391642005671</v>
      </c>
      <c r="J39" s="7" t="n">
        <f aca="false">IF($H39="","",MAX(0,1-$H39-$I39))</f>
        <v>0.0921554029494938</v>
      </c>
      <c r="K39" s="0" t="str">
        <f aca="false">IF($H39="","",IF($H39&gt;=0.5+Config!$B$8,"OVER",IF($I39&gt;=0.5+Config!$B$8,"UNDER","—")))</f>
        <v>OVER</v>
      </c>
      <c r="L39" s="8" t="n">
        <f aca="false">IFERROR(INDEX(CHOOSE(MATCH($Z39,{"K1","K12","K13"},0),Calc!$AE$2:$AE$71,Calc!$AF$2:$AF$71,Calc!$AG$2:$AG$71),MATCH($Y39,Calc!$A$2:$A$71,0)),"")</f>
        <v>9</v>
      </c>
      <c r="M39" s="7" t="n">
        <f aca="false">IF(OR($E39="",$L39="",N($G39)&lt;=0),"",1-NORMDIST(FLOOR($E39,1)+0.5,$L39,$G39*SQRT($L39/$F39),TRUE()))</f>
        <v>0.450434681640121</v>
      </c>
      <c r="O39" s="7" t="n">
        <f aca="false">IFERROR(INDEX(Calc!$H$2:$H$71,MATCH($Y39,Calc!$A$2:$A$71,0)),"")</f>
        <v>0.53</v>
      </c>
      <c r="P39" s="7" t="n">
        <f aca="false">IFERROR(INDEX(Calc!$M$2:$M$71,MATCH($Y39,Calc!$A$2:$A$71,0)),"")</f>
        <v>0.6699</v>
      </c>
      <c r="Q39" s="0" t="n">
        <v>7.7</v>
      </c>
      <c r="R39" s="7" t="n">
        <v>0.2</v>
      </c>
      <c r="S39" s="7" t="n">
        <v>0.3</v>
      </c>
      <c r="T39" s="7" t="n">
        <v>0.4</v>
      </c>
      <c r="U39" s="6" t="s">
        <v>203</v>
      </c>
      <c r="V39" s="0" t="n">
        <v>1</v>
      </c>
      <c r="W39" s="0" t="n">
        <v>1</v>
      </c>
      <c r="X39" s="0" t="str">
        <f aca="false">IFERROR(INDEX(Calc!$AH$2:$AH$71,MATCH($Y39,Calc!$A$2:$A$71,0)),"")</f>
        <v>new roster: 0% of his recent games with these teammates</v>
      </c>
      <c r="Y39" s="6" t="s">
        <v>246</v>
      </c>
      <c r="Z39" s="6" t="s">
        <v>147</v>
      </c>
      <c r="AA39" s="0" t="str">
        <f aca="false">Y39&amp;"|"&amp;Z39</f>
        <v>17a174au5pp8c55|LOL · DK vs MKOI|K12</v>
      </c>
    </row>
    <row r="40" customFormat="false" ht="15" hidden="false" customHeight="false" outlineLevel="0" collapsed="false">
      <c r="A40" s="0" t="s">
        <v>110</v>
      </c>
      <c r="B40" s="0" t="s">
        <v>247</v>
      </c>
      <c r="C40" s="0" t="s">
        <v>115</v>
      </c>
      <c r="D40" s="0" t="s">
        <v>144</v>
      </c>
      <c r="E40" s="0" t="n">
        <v>5</v>
      </c>
      <c r="F40" s="8" t="n">
        <f aca="false">IFERROR(INDEX(CHOOSE(MATCH($Z40,{"K1","K12","K13"},0),Calc!$Y$2:$Y$71,Calc!$AA$2:$AA$71,Calc!$AC$2:$AC$71),MATCH($Y40,Calc!$A$2:$A$71,0)),"")</f>
        <v>4.76452703852919</v>
      </c>
      <c r="G40" s="8" t="n">
        <f aca="false">IFERROR(SQRT(INDEX(CHOOSE(MATCH($Z40,{"K1","K12","K13"},0),Calc!$Z$2:$Z$71,Calc!$AB$2:$AB$71,Calc!$AD$2:$AD$71),MATCH($Y40,Calc!$A$2:$A$71,0))),"")</f>
        <v>2.84083510406732</v>
      </c>
      <c r="H40" s="7" t="n">
        <f aca="false">IF(OR($E40="",$F40="",N($G40)&lt;=0),"",1-NORMDIST(FLOOR($E40,1)+0.5,$F40,$G40,TRUE()))</f>
        <v>0.397858812888212</v>
      </c>
      <c r="I40" s="7" t="n">
        <f aca="false">IF($H40="","",NORMDIST(CEILING($E40,1)-0.5,$F40,$G40,TRUE()))</f>
        <v>0.462905726044277</v>
      </c>
      <c r="J40" s="7" t="n">
        <f aca="false">IF($H40="","",MAX(0,1-$H40-$I40))</f>
        <v>0.139235461067512</v>
      </c>
      <c r="K40" s="0" t="str">
        <f aca="false">IF($H40="","",IF($H40&gt;=0.5+Config!$B$8,"OVER",IF($I40&gt;=0.5+Config!$B$8,"UNDER","—")))</f>
        <v>—</v>
      </c>
      <c r="L40" s="8" t="n">
        <f aca="false">IFERROR(INDEX(CHOOSE(MATCH($Z40,{"K1","K12","K13"},0),Calc!$AE$2:$AE$71,Calc!$AF$2:$AF$71,Calc!$AG$2:$AG$71),MATCH($Y40,Calc!$A$2:$A$71,0)),"")</f>
        <v>6</v>
      </c>
      <c r="M40" s="7" t="n">
        <f aca="false">IF(OR($E40="",$L40="",N($G40)&lt;=0),"",1-NORMDIST(FLOOR($E40,1)+0.5,$L40,$G40*SQRT($L40/$F40),TRUE()))</f>
        <v>0.56231472798598</v>
      </c>
      <c r="O40" s="7" t="n">
        <f aca="false">IFERROR(INDEX(Calc!$H$2:$H$71,MATCH($Y40,Calc!$A$2:$A$71,0)),"")</f>
        <v>0.63</v>
      </c>
      <c r="P40" s="7" t="n">
        <f aca="false">IFERROR(INDEX(Calc!$M$2:$M$71,MATCH($Y40,Calc!$A$2:$A$71,0)),"")</f>
        <v>0.3301</v>
      </c>
      <c r="Q40" s="0" t="n">
        <v>4.8</v>
      </c>
      <c r="R40" s="7" t="n">
        <v>0.2</v>
      </c>
      <c r="S40" s="7" t="n">
        <v>0.5</v>
      </c>
      <c r="T40" s="7" t="n">
        <v>0.6</v>
      </c>
      <c r="U40" s="6" t="s">
        <v>203</v>
      </c>
      <c r="V40" s="0" t="n">
        <v>-1</v>
      </c>
      <c r="W40" s="0" t="n">
        <v>3</v>
      </c>
      <c r="X40" s="0" t="str">
        <f aca="false">IFERROR(INDEX(Calc!$AH$2:$AH$71,MATCH($Y40,Calc!$A$2:$A$71,0)),"")</f>
        <v>new roster: 0% of his recent games with these teammates</v>
      </c>
      <c r="Y40" s="6" t="s">
        <v>248</v>
      </c>
      <c r="Z40" s="6" t="s">
        <v>147</v>
      </c>
      <c r="AA40" s="0" t="str">
        <f aca="false">Y40&amp;"|"&amp;Z40</f>
        <v>dtzma60si9kmw5a|LOL · DK vs MKOI|K12</v>
      </c>
    </row>
    <row r="41" customFormat="false" ht="15" hidden="false" customHeight="false" outlineLevel="0" collapsed="false">
      <c r="A41" s="0" t="s">
        <v>110</v>
      </c>
      <c r="B41" s="0" t="s">
        <v>249</v>
      </c>
      <c r="C41" s="0" t="s">
        <v>115</v>
      </c>
      <c r="D41" s="0" t="s">
        <v>144</v>
      </c>
      <c r="E41" s="0" t="n">
        <v>6</v>
      </c>
      <c r="F41" s="8" t="n">
        <f aca="false">IFERROR(INDEX(CHOOSE(MATCH($Z41,{"K1","K12","K13"},0),Calc!$Y$2:$Y$71,Calc!$AA$2:$AA$71,Calc!$AC$2:$AC$71),MATCH($Y41,Calc!$A$2:$A$71,0)),"")</f>
        <v>6.5115202859899</v>
      </c>
      <c r="G41" s="8" t="n">
        <f aca="false">IFERROR(SQRT(INDEX(CHOOSE(MATCH($Z41,{"K1","K12","K13"},0),Calc!$Z$2:$Z$71,Calc!$AB$2:$AB$71,Calc!$AD$2:$AD$71),MATCH($Y41,Calc!$A$2:$A$71,0))),"")</f>
        <v>3.45973766026668</v>
      </c>
      <c r="H41" s="7" t="n">
        <f aca="false">IF(OR($E41="",$F41="",N($G41)&lt;=0),"",1-NORMDIST(FLOOR($E41,1)+0.5,$F41,$G41,TRUE()))</f>
        <v>0.501328401492246</v>
      </c>
      <c r="I41" s="7" t="n">
        <f aca="false">IF($H41="","",NORMDIST(CEILING($E41,1)-0.5,$F41,$G41,TRUE()))</f>
        <v>0.385002226656533</v>
      </c>
      <c r="J41" s="7" t="n">
        <f aca="false">IF($H41="","",MAX(0,1-$H41-$I41))</f>
        <v>0.113669371851221</v>
      </c>
      <c r="K41" s="0" t="str">
        <f aca="false">IF($H41="","",IF($H41&gt;=0.5+Config!$B$8,"OVER",IF($I41&gt;=0.5+Config!$B$8,"UNDER","—")))</f>
        <v>—</v>
      </c>
      <c r="L41" s="8" t="n">
        <f aca="false">IFERROR(INDEX(CHOOSE(MATCH($Z41,{"K1","K12","K13"},0),Calc!$AE$2:$AE$71,Calc!$AF$2:$AF$71,Calc!$AG$2:$AG$71),MATCH($Y41,Calc!$A$2:$A$71,0)),"")</f>
        <v>8.2</v>
      </c>
      <c r="M41" s="7" t="n">
        <f aca="false">IF(OR($E41="",$L41="",N($G41)&lt;=0),"",1-NORMDIST(FLOOR($E41,1)+0.5,$L41,$G41*SQRT($L41/$F41),TRUE()))</f>
        <v>0.669257850086948</v>
      </c>
      <c r="O41" s="7" t="n">
        <f aca="false">IFERROR(INDEX(Calc!$H$2:$H$71,MATCH($Y41,Calc!$A$2:$A$71,0)),"")</f>
        <v>0.63</v>
      </c>
      <c r="P41" s="7" t="n">
        <f aca="false">IFERROR(INDEX(Calc!$M$2:$M$71,MATCH($Y41,Calc!$A$2:$A$71,0)),"")</f>
        <v>0.3301</v>
      </c>
      <c r="Q41" s="0" t="n">
        <v>7.3</v>
      </c>
      <c r="R41" s="7" t="n">
        <v>0.8</v>
      </c>
      <c r="S41" s="7" t="n">
        <v>0.8</v>
      </c>
      <c r="T41" s="7" t="n">
        <v>0.8</v>
      </c>
      <c r="U41" s="6" t="s">
        <v>203</v>
      </c>
      <c r="V41" s="0" t="n">
        <v>-1</v>
      </c>
      <c r="W41" s="0" t="n">
        <v>2</v>
      </c>
      <c r="X41" s="0" t="str">
        <f aca="false">IFERROR(INDEX(Calc!$AH$2:$AH$71,MATCH($Y41,Calc!$A$2:$A$71,0)),"")</f>
        <v>new roster: 0% of his recent games with these teammates</v>
      </c>
      <c r="Y41" s="6" t="s">
        <v>250</v>
      </c>
      <c r="Z41" s="6" t="s">
        <v>147</v>
      </c>
      <c r="AA41" s="0" t="str">
        <f aca="false">Y41&amp;"|"&amp;Z41</f>
        <v>l061gni7rc68rt4|LOL · DK vs MKOI|K12</v>
      </c>
    </row>
    <row r="42" customFormat="false" ht="15" hidden="false" customHeight="false" outlineLevel="0" collapsed="false">
      <c r="A42" s="0" t="s">
        <v>110</v>
      </c>
      <c r="B42" s="0" t="s">
        <v>251</v>
      </c>
      <c r="C42" s="0" t="s">
        <v>115</v>
      </c>
      <c r="D42" s="0" t="s">
        <v>144</v>
      </c>
      <c r="E42" s="0" t="n">
        <v>3.5</v>
      </c>
      <c r="F42" s="8" t="n">
        <f aca="false">IFERROR(INDEX(CHOOSE(MATCH($Z42,{"K1","K12","K13"},0),Calc!$Y$2:$Y$71,Calc!$AA$2:$AA$71,Calc!$AC$2:$AC$71),MATCH($Y42,Calc!$A$2:$A$71,0)),"")</f>
        <v>4.44689190262725</v>
      </c>
      <c r="G42" s="8" t="n">
        <f aca="false">IFERROR(SQRT(INDEX(CHOOSE(MATCH($Z42,{"K1","K12","K13"},0),Calc!$Z$2:$Z$71,Calc!$AB$2:$AB$71,Calc!$AD$2:$AD$71),MATCH($Y42,Calc!$A$2:$A$71,0))),"")</f>
        <v>2.72315326491385</v>
      </c>
      <c r="H42" s="7" t="n">
        <f aca="false">IF(OR($E42="",$F42="",N($G42)&lt;=0),"",1-NORMDIST(FLOOR($E42,1)+0.5,$F42,$G42,TRUE()))</f>
        <v>0.63597435555991</v>
      </c>
      <c r="I42" s="7" t="n">
        <f aca="false">IF($H42="","",NORMDIST(CEILING($E42,1)-0.5,$F42,$G42,TRUE()))</f>
        <v>0.36402564444009</v>
      </c>
      <c r="J42" s="7" t="n">
        <f aca="false">IF($H42="","",MAX(0,1-$H42-$I42))</f>
        <v>0</v>
      </c>
      <c r="K42" s="0" t="str">
        <f aca="false">IF($H42="","",IF($H42&gt;=0.5+Config!$B$8,"OVER",IF($I42&gt;=0.5+Config!$B$8,"UNDER","—")))</f>
        <v>OVER</v>
      </c>
      <c r="L42" s="8" t="n">
        <f aca="false">IFERROR(INDEX(CHOOSE(MATCH($Z42,{"K1","K12","K13"},0),Calc!$AE$2:$AE$71,Calc!$AF$2:$AF$71,Calc!$AG$2:$AG$71),MATCH($Y42,Calc!$A$2:$A$71,0)),"")</f>
        <v>5.6</v>
      </c>
      <c r="M42" s="7" t="n">
        <f aca="false">IF(OR($E42="",$L42="",N($G42)&lt;=0),"",1-NORMDIST(FLOOR($E42,1)+0.5,$L42,$G42*SQRT($L42/$F42),TRUE()))</f>
        <v>0.7540208161308</v>
      </c>
      <c r="O42" s="7" t="n">
        <f aca="false">IFERROR(INDEX(Calc!$H$2:$H$71,MATCH($Y42,Calc!$A$2:$A$71,0)),"")</f>
        <v>0.63</v>
      </c>
      <c r="P42" s="7" t="n">
        <f aca="false">IFERROR(INDEX(Calc!$M$2:$M$71,MATCH($Y42,Calc!$A$2:$A$71,0)),"")</f>
        <v>0.3301</v>
      </c>
      <c r="Q42" s="0" t="n">
        <v>5.2</v>
      </c>
      <c r="R42" s="7" t="n">
        <v>1</v>
      </c>
      <c r="S42" s="7" t="n">
        <v>0.9</v>
      </c>
      <c r="T42" s="7" t="n">
        <v>0.73</v>
      </c>
      <c r="U42" s="6" t="s">
        <v>203</v>
      </c>
      <c r="V42" s="0" t="n">
        <v>6</v>
      </c>
      <c r="X42" s="0" t="str">
        <f aca="false">IFERROR(INDEX(Calc!$AH$2:$AH$71,MATCH($Y42,Calc!$A$2:$A$71,0)),"")</f>
        <v>new roster: 0% of his recent games with these teammates</v>
      </c>
      <c r="Y42" s="6" t="s">
        <v>252</v>
      </c>
      <c r="Z42" s="6" t="s">
        <v>147</v>
      </c>
      <c r="AA42" s="0" t="str">
        <f aca="false">Y42&amp;"|"&amp;Z42</f>
        <v>eh04uatcc7dtws5|LOL · DK vs MKOI|K12</v>
      </c>
    </row>
    <row r="43" customFormat="false" ht="15" hidden="false" customHeight="false" outlineLevel="0" collapsed="false">
      <c r="A43" s="0" t="s">
        <v>110</v>
      </c>
      <c r="B43" s="0" t="s">
        <v>253</v>
      </c>
      <c r="C43" s="0" t="s">
        <v>115</v>
      </c>
      <c r="D43" s="0" t="s">
        <v>144</v>
      </c>
      <c r="E43" s="0" t="n">
        <v>7</v>
      </c>
      <c r="F43" s="8" t="n">
        <f aca="false">IFERROR(INDEX(CHOOSE(MATCH($Z43,{"K1","K12","K13"},0),Calc!$Y$2:$Y$71,Calc!$AA$2:$AA$71,Calc!$AC$2:$AC$71),MATCH($Y43,Calc!$A$2:$A$71,0)),"")</f>
        <v>8.43220069524913</v>
      </c>
      <c r="G43" s="8" t="n">
        <f aca="false">IFERROR(SQRT(INDEX(CHOOSE(MATCH($Z43,{"K1","K12","K13"},0),Calc!$Z$2:$Z$71,Calc!$AB$2:$AB$71,Calc!$AD$2:$AD$71),MATCH($Y43,Calc!$A$2:$A$71,0))),"")</f>
        <v>4.10356041107677</v>
      </c>
      <c r="H43" s="7" t="n">
        <f aca="false">IF(OR($E43="",$F43="",N($G43)&lt;=0),"",1-NORMDIST(FLOOR($E43,1)+0.5,$F43,$G43,TRUE()))</f>
        <v>0.589853737396652</v>
      </c>
      <c r="I43" s="7" t="n">
        <f aca="false">IF($H43="","",NORMDIST(CEILING($E43,1)-0.5,$F43,$G43,TRUE()))</f>
        <v>0.318870510262969</v>
      </c>
      <c r="J43" s="7" t="n">
        <f aca="false">IF($H43="","",MAX(0,1-$H43-$I43))</f>
        <v>0.0912757523403792</v>
      </c>
      <c r="K43" s="0" t="str">
        <f aca="false">IF($H43="","",IF($H43&gt;=0.5+Config!$B$8,"OVER",IF($I43&gt;=0.5+Config!$B$8,"UNDER","—")))</f>
        <v>OVER</v>
      </c>
      <c r="L43" s="8" t="n">
        <f aca="false">IFERROR(INDEX(CHOOSE(MATCH($Z43,{"K1","K12","K13"},0),Calc!$AE$2:$AE$71,Calc!$AF$2:$AF$71,Calc!$AG$2:$AG$71),MATCH($Y43,Calc!$A$2:$A$71,0)),"")</f>
        <v>10.4</v>
      </c>
      <c r="M43" s="7" t="n">
        <f aca="false">IF(OR($E43="",$L43="",N($G43)&lt;=0),"",1-NORMDIST(FLOOR($E43,1)+0.5,$L43,$G43*SQRT($L43/$F43),TRUE()))</f>
        <v>0.737723411569211</v>
      </c>
      <c r="O43" s="7" t="n">
        <f aca="false">IFERROR(INDEX(Calc!$H$2:$H$71,MATCH($Y43,Calc!$A$2:$A$71,0)),"")</f>
        <v>0.6</v>
      </c>
      <c r="P43" s="7" t="n">
        <f aca="false">IFERROR(INDEX(Calc!$M$2:$M$71,MATCH($Y43,Calc!$A$2:$A$71,0)),"")</f>
        <v>0.3301</v>
      </c>
      <c r="Q43" s="0" t="n">
        <v>9.9</v>
      </c>
      <c r="R43" s="7" t="n">
        <v>0.8</v>
      </c>
      <c r="S43" s="7" t="n">
        <v>0.7</v>
      </c>
      <c r="T43" s="7" t="n">
        <v>0.67</v>
      </c>
      <c r="U43" s="6" t="s">
        <v>203</v>
      </c>
      <c r="V43" s="0" t="n">
        <v>-1</v>
      </c>
      <c r="W43" s="0" t="n">
        <v>1</v>
      </c>
      <c r="X43" s="0" t="str">
        <f aca="false">IFERROR(INDEX(Calc!$AH$2:$AH$71,MATCH($Y43,Calc!$A$2:$A$71,0)),"")</f>
        <v>new roster: 0% of his recent games with these teammates</v>
      </c>
      <c r="Y43" s="6" t="s">
        <v>254</v>
      </c>
      <c r="Z43" s="6" t="s">
        <v>147</v>
      </c>
      <c r="AA43" s="0" t="str">
        <f aca="false">Y43&amp;"|"&amp;Z43</f>
        <v>ljg71l9tlvrjgsl|LOL · DK vs MKOI|K12</v>
      </c>
    </row>
    <row r="44" customFormat="false" ht="15" hidden="false" customHeight="false" outlineLevel="0" collapsed="false">
      <c r="A44" s="0" t="s">
        <v>116</v>
      </c>
      <c r="B44" s="0" t="s">
        <v>255</v>
      </c>
      <c r="C44" s="0" t="s">
        <v>120</v>
      </c>
      <c r="D44" s="0" t="s">
        <v>144</v>
      </c>
      <c r="E44" s="0" t="n">
        <v>8.5</v>
      </c>
      <c r="F44" s="8" t="n">
        <f aca="false">IFERROR(INDEX(CHOOSE(MATCH($Z44,{"K1","K12","K13"},0),Calc!$Y$2:$Y$71,Calc!$AA$2:$AA$71,Calc!$AC$2:$AC$71),MATCH($Y44,Calc!$A$2:$A$71,0)),"")</f>
        <v>6.83054083720002</v>
      </c>
      <c r="G44" s="8" t="n">
        <f aca="false">IFERROR(SQRT(INDEX(CHOOSE(MATCH($Z44,{"K1","K12","K13"},0),Calc!$Z$2:$Z$71,Calc!$AB$2:$AB$71,Calc!$AD$2:$AD$71),MATCH($Y44,Calc!$A$2:$A$71,0))),"")</f>
        <v>3.21893944512054</v>
      </c>
      <c r="H44" s="7" t="n">
        <f aca="false">IF(OR($E44="",$F44="",N($G44)&lt;=0),"",1-NORMDIST(FLOOR($E44,1)+0.5,$F44,$G44,TRUE()))</f>
        <v>0.302007160614091</v>
      </c>
      <c r="I44" s="7" t="n">
        <f aca="false">IF($H44="","",NORMDIST(CEILING($E44,1)-0.5,$F44,$G44,TRUE()))</f>
        <v>0.697992839385909</v>
      </c>
      <c r="J44" s="7" t="n">
        <f aca="false">IF($H44="","",MAX(0,1-$H44-$I44))</f>
        <v>0</v>
      </c>
      <c r="K44" s="0" t="str">
        <f aca="false">IF($H44="","",IF($H44&gt;=0.5+Config!$B$8,"OVER",IF($I44&gt;=0.5+Config!$B$8,"UNDER","—")))</f>
        <v>UNDER</v>
      </c>
      <c r="L44" s="8" t="n">
        <f aca="false">IFERROR(INDEX(CHOOSE(MATCH($Z44,{"K1","K12","K13"},0),Calc!$AE$2:$AE$71,Calc!$AF$2:$AF$71,Calc!$AG$2:$AG$71),MATCH($Y44,Calc!$A$2:$A$71,0)),"")</f>
        <v>7</v>
      </c>
      <c r="M44" s="7" t="n">
        <f aca="false">IF(OR($E44="",$L44="",N($G44)&lt;=0),"",1-NORMDIST(FLOOR($E44,1)+0.5,$L44,$G44*SQRT($L44/$F44),TRUE()))</f>
        <v>0.322644363944661</v>
      </c>
      <c r="O44" s="7" t="n">
        <f aca="false">IFERROR(INDEX(Calc!$H$2:$H$71,MATCH($Y44,Calc!$A$2:$A$71,0)),"")</f>
        <v>0.83</v>
      </c>
      <c r="P44" s="7" t="n">
        <f aca="false">IFERROR(INDEX(Calc!$M$2:$M$71,MATCH($Y44,Calc!$A$2:$A$71,0)),"")</f>
        <v>0.7899</v>
      </c>
      <c r="Q44" s="0" t="n">
        <v>7</v>
      </c>
      <c r="R44" s="7" t="n">
        <v>0.6</v>
      </c>
      <c r="S44" s="7" t="n">
        <v>0.3</v>
      </c>
      <c r="T44" s="7" t="n">
        <v>0.2</v>
      </c>
      <c r="U44" s="6" t="s">
        <v>256</v>
      </c>
      <c r="V44" s="0" t="n">
        <v>2</v>
      </c>
      <c r="X44" s="0" t="str">
        <f aca="false">IFERROR(INDEX(Calc!$AH$2:$AH$71,MATCH($Y44,Calc!$A$2:$A$71,0)),"")</f>
        <v>new roster: 0% of his recent games with these teammates</v>
      </c>
      <c r="Y44" s="6" t="s">
        <v>257</v>
      </c>
      <c r="Z44" s="6" t="s">
        <v>147</v>
      </c>
      <c r="AA44" s="0" t="str">
        <f aca="false">Y44&amp;"|"&amp;Z44</f>
        <v>lu1dk2kc9udu52r|LOL · GEN vs LY|K12</v>
      </c>
    </row>
    <row r="45" customFormat="false" ht="15" hidden="false" customHeight="false" outlineLevel="0" collapsed="false">
      <c r="A45" s="0" t="s">
        <v>116</v>
      </c>
      <c r="B45" s="0" t="s">
        <v>258</v>
      </c>
      <c r="C45" s="0" t="s">
        <v>120</v>
      </c>
      <c r="D45" s="0" t="s">
        <v>144</v>
      </c>
      <c r="E45" s="0" t="n">
        <v>10</v>
      </c>
      <c r="F45" s="8" t="n">
        <f aca="false">IFERROR(INDEX(CHOOSE(MATCH($Z45,{"K1","K12","K13"},0),Calc!$Y$2:$Y$71,Calc!$AA$2:$AA$71,Calc!$AC$2:$AC$71),MATCH($Y45,Calc!$A$2:$A$71,0)),"")</f>
        <v>8.04760173253925</v>
      </c>
      <c r="G45" s="8" t="n">
        <f aca="false">IFERROR(SQRT(INDEX(CHOOSE(MATCH($Z45,{"K1","K12","K13"},0),Calc!$Z$2:$Z$71,Calc!$AB$2:$AB$71,Calc!$AD$2:$AD$71),MATCH($Y45,Calc!$A$2:$A$71,0))),"")</f>
        <v>3.53820192215573</v>
      </c>
      <c r="H45" s="7" t="n">
        <f aca="false">IF(OR($E45="",$F45="",N($G45)&lt;=0),"",1-NORMDIST(FLOOR($E45,1)+0.5,$F45,$G45,TRUE()))</f>
        <v>0.244117145778013</v>
      </c>
      <c r="I45" s="7" t="n">
        <f aca="false">IF($H45="","",NORMDIST(CEILING($E45,1)-0.5,$F45,$G45,TRUE()))</f>
        <v>0.659276913638907</v>
      </c>
      <c r="J45" s="7" t="n">
        <f aca="false">IF($H45="","",MAX(0,1-$H45-$I45))</f>
        <v>0.0966059405830807</v>
      </c>
      <c r="K45" s="0" t="str">
        <f aca="false">IF($H45="","",IF($H45&gt;=0.5+Config!$B$8,"OVER",IF($I45&gt;=0.5+Config!$B$8,"UNDER","—")))</f>
        <v>UNDER</v>
      </c>
      <c r="L45" s="8" t="n">
        <f aca="false">IFERROR(INDEX(CHOOSE(MATCH($Z45,{"K1","K12","K13"},0),Calc!$AE$2:$AE$71,Calc!$AF$2:$AF$71,Calc!$AG$2:$AG$71),MATCH($Y45,Calc!$A$2:$A$71,0)),"")</f>
        <v>7.6</v>
      </c>
      <c r="M45" s="7" t="n">
        <f aca="false">IF(OR($E45="",$L45="",N($G45)&lt;=0),"",1-NORMDIST(FLOOR($E45,1)+0.5,$L45,$G45*SQRT($L45/$F45),TRUE()))</f>
        <v>0.199497918815999</v>
      </c>
      <c r="O45" s="7" t="n">
        <f aca="false">IFERROR(INDEX(Calc!$H$2:$H$71,MATCH($Y45,Calc!$A$2:$A$71,0)),"")</f>
        <v>0.7</v>
      </c>
      <c r="P45" s="7" t="n">
        <f aca="false">IFERROR(INDEX(Calc!$M$2:$M$71,MATCH($Y45,Calc!$A$2:$A$71,0)),"")</f>
        <v>0.7899</v>
      </c>
      <c r="Q45" s="0" t="n">
        <v>7.1</v>
      </c>
      <c r="R45" s="7" t="n">
        <v>0.2</v>
      </c>
      <c r="S45" s="7" t="n">
        <v>0.2</v>
      </c>
      <c r="T45" s="7" t="n">
        <v>0.27</v>
      </c>
      <c r="U45" s="6" t="s">
        <v>256</v>
      </c>
      <c r="V45" s="0" t="n">
        <v>-1</v>
      </c>
      <c r="W45" s="0" t="n">
        <v>0</v>
      </c>
      <c r="X45" s="0" t="str">
        <f aca="false">IFERROR(INDEX(Calc!$AH$2:$AH$71,MATCH($Y45,Calc!$A$2:$A$71,0)),"")</f>
        <v>new roster: 0% of his recent games with these teammates</v>
      </c>
      <c r="Y45" s="6" t="s">
        <v>259</v>
      </c>
      <c r="Z45" s="6" t="s">
        <v>147</v>
      </c>
      <c r="AA45" s="0" t="str">
        <f aca="false">Y45&amp;"|"&amp;Z45</f>
        <v>n85jxqdsqe0o7yt|LOL · GEN vs LY|K12</v>
      </c>
    </row>
    <row r="46" customFormat="false" ht="15" hidden="false" customHeight="false" outlineLevel="0" collapsed="false">
      <c r="A46" s="0" t="s">
        <v>116</v>
      </c>
      <c r="B46" s="0" t="s">
        <v>260</v>
      </c>
      <c r="C46" s="0" t="s">
        <v>120</v>
      </c>
      <c r="D46" s="0" t="s">
        <v>144</v>
      </c>
      <c r="E46" s="0" t="n">
        <v>1.5</v>
      </c>
      <c r="F46" s="8" t="n">
        <f aca="false">IFERROR(INDEX(CHOOSE(MATCH($Z46,{"K1","K12","K13"},0),Calc!$Y$2:$Y$71,Calc!$AA$2:$AA$71,Calc!$AC$2:$AC$71),MATCH($Y46,Calc!$A$2:$A$71,0)),"")</f>
        <v>1.48245295073092</v>
      </c>
      <c r="G46" s="8" t="n">
        <f aca="false">IFERROR(SQRT(INDEX(CHOOSE(MATCH($Z46,{"K1","K12","K13"},0),Calc!$Z$2:$Z$71,Calc!$AB$2:$AB$71,Calc!$AD$2:$AD$71),MATCH($Y46,Calc!$A$2:$A$71,0))),"")</f>
        <v>1.41314888216393</v>
      </c>
      <c r="H46" s="7" t="n">
        <f aca="false">IF(OR($E46="",$F46="",N($G46)&lt;=0),"",1-NORMDIST(FLOOR($E46,1)+0.5,$F46,$G46,TRUE()))</f>
        <v>0.495046466754418</v>
      </c>
      <c r="I46" s="7" t="n">
        <f aca="false">IF($H46="","",NORMDIST(CEILING($E46,1)-0.5,$F46,$G46,TRUE()))</f>
        <v>0.504953533245582</v>
      </c>
      <c r="J46" s="7" t="n">
        <f aca="false">IF($H46="","",MAX(0,1-$H46-$I46))</f>
        <v>0</v>
      </c>
      <c r="K46" s="0" t="str">
        <f aca="false">IF($H46="","",IF($H46&gt;=0.5+Config!$B$8,"OVER",IF($I46&gt;=0.5+Config!$B$8,"UNDER","—")))</f>
        <v>—</v>
      </c>
      <c r="L46" s="8" t="n">
        <f aca="false">IFERROR(INDEX(CHOOSE(MATCH($Z46,{"K1","K12","K13"},0),Calc!$AE$2:$AE$71,Calc!$AF$2:$AF$71,Calc!$AG$2:$AG$71),MATCH($Y46,Calc!$A$2:$A$71,0)),"")</f>
        <v>1.4</v>
      </c>
      <c r="M46" s="7" t="n">
        <f aca="false">IF(OR($E46="",$L46="",N($G46)&lt;=0),"",1-NORMDIST(FLOOR($E46,1)+0.5,$L46,$G46*SQRT($L46/$F46),TRUE()))</f>
        <v>0.470975488488181</v>
      </c>
      <c r="O46" s="7" t="n">
        <f aca="false">IFERROR(INDEX(Calc!$H$2:$H$71,MATCH($Y46,Calc!$A$2:$A$71,0)),"")</f>
        <v>0.7</v>
      </c>
      <c r="P46" s="7" t="n">
        <f aca="false">IFERROR(INDEX(Calc!$M$2:$M$71,MATCH($Y46,Calc!$A$2:$A$71,0)),"")</f>
        <v>0.7899</v>
      </c>
      <c r="Q46" s="0" t="n">
        <v>1.8</v>
      </c>
      <c r="R46" s="7" t="n">
        <v>0.8</v>
      </c>
      <c r="S46" s="7" t="n">
        <v>0.5</v>
      </c>
      <c r="T46" s="7" t="n">
        <v>0.47</v>
      </c>
      <c r="U46" s="6" t="s">
        <v>261</v>
      </c>
      <c r="V46" s="0" t="n">
        <v>1</v>
      </c>
      <c r="X46" s="0" t="str">
        <f aca="false">IFERROR(INDEX(Calc!$AH$2:$AH$71,MATCH($Y46,Calc!$A$2:$A$71,0)),"")</f>
        <v>new roster: 0% of his recent games with these teammates</v>
      </c>
      <c r="Y46" s="6" t="s">
        <v>262</v>
      </c>
      <c r="Z46" s="6" t="s">
        <v>147</v>
      </c>
      <c r="AA46" s="0" t="str">
        <f aca="false">Y46&amp;"|"&amp;Z46</f>
        <v>8vkeccv6e10ucrf|LOL · GEN vs LY|K12</v>
      </c>
    </row>
    <row r="47" customFormat="false" ht="15" hidden="false" customHeight="false" outlineLevel="0" collapsed="false">
      <c r="A47" s="0" t="s">
        <v>116</v>
      </c>
      <c r="B47" s="0" t="s">
        <v>263</v>
      </c>
      <c r="C47" s="0" t="s">
        <v>120</v>
      </c>
      <c r="D47" s="0" t="s">
        <v>144</v>
      </c>
      <c r="E47" s="0" t="n">
        <v>7.5</v>
      </c>
      <c r="F47" s="8" t="n">
        <f aca="false">IFERROR(INDEX(CHOOSE(MATCH($Z47,{"K1","K12","K13"},0),Calc!$Y$2:$Y$71,Calc!$AA$2:$AA$71,Calc!$AC$2:$AC$71),MATCH($Y47,Calc!$A$2:$A$71,0)),"")</f>
        <v>7.62404374661614</v>
      </c>
      <c r="G47" s="8" t="n">
        <f aca="false">IFERROR(SQRT(INDEX(CHOOSE(MATCH($Z47,{"K1","K12","K13"},0),Calc!$Z$2:$Z$71,Calc!$AB$2:$AB$71,Calc!$AD$2:$AD$71),MATCH($Y47,Calc!$A$2:$A$71,0))),"")</f>
        <v>3.42890947239716</v>
      </c>
      <c r="H47" s="7" t="n">
        <f aca="false">IF(OR($E47="",$F47="",N($G47)&lt;=0),"",1-NORMDIST(FLOOR($E47,1)+0.5,$F47,$G47,TRUE()))</f>
        <v>0.51442893256152</v>
      </c>
      <c r="I47" s="7" t="n">
        <f aca="false">IF($H47="","",NORMDIST(CEILING($E47,1)-0.5,$F47,$G47,TRUE()))</f>
        <v>0.48557106743848</v>
      </c>
      <c r="J47" s="7" t="n">
        <f aca="false">IF($H47="","",MAX(0,1-$H47-$I47))</f>
        <v>0</v>
      </c>
      <c r="K47" s="0" t="str">
        <f aca="false">IF($H47="","",IF($H47&gt;=0.5+Config!$B$8,"OVER",IF($I47&gt;=0.5+Config!$B$8,"UNDER","—")))</f>
        <v>—</v>
      </c>
      <c r="L47" s="8" t="n">
        <f aca="false">IFERROR(INDEX(CHOOSE(MATCH($Z47,{"K1","K12","K13"},0),Calc!$AE$2:$AE$71,Calc!$AF$2:$AF$71,Calc!$AG$2:$AG$71),MATCH($Y47,Calc!$A$2:$A$71,0)),"")</f>
        <v>7.2</v>
      </c>
      <c r="M47" s="7" t="n">
        <f aca="false">IF(OR($E47="",$L47="",N($G47)&lt;=0),"",1-NORMDIST(FLOOR($E47,1)+0.5,$L47,$G47*SQRT($L47/$F47),TRUE()))</f>
        <v>0.464131322909741</v>
      </c>
      <c r="O47" s="7" t="n">
        <f aca="false">IFERROR(INDEX(Calc!$H$2:$H$71,MATCH($Y47,Calc!$A$2:$A$71,0)),"")</f>
        <v>0.7</v>
      </c>
      <c r="P47" s="7" t="n">
        <f aca="false">IFERROR(INDEX(Calc!$M$2:$M$71,MATCH($Y47,Calc!$A$2:$A$71,0)),"")</f>
        <v>0.7899</v>
      </c>
      <c r="Q47" s="0" t="n">
        <v>7.5</v>
      </c>
      <c r="R47" s="7" t="n">
        <v>0.4</v>
      </c>
      <c r="S47" s="7" t="n">
        <v>0.4</v>
      </c>
      <c r="T47" s="7" t="n">
        <v>0.47</v>
      </c>
      <c r="U47" s="6" t="s">
        <v>261</v>
      </c>
      <c r="V47" s="0" t="n">
        <v>1</v>
      </c>
      <c r="X47" s="0" t="str">
        <f aca="false">IFERROR(INDEX(Calc!$AH$2:$AH$71,MATCH($Y47,Calc!$A$2:$A$71,0)),"")</f>
        <v>new roster: 0% of his recent games with these teammates</v>
      </c>
      <c r="Y47" s="6" t="s">
        <v>264</v>
      </c>
      <c r="Z47" s="6" t="s">
        <v>147</v>
      </c>
      <c r="AA47" s="0" t="str">
        <f aca="false">Y47&amp;"|"&amp;Z47</f>
        <v>5l7ygpi00bc4tip|LOL · GEN vs LY|K12</v>
      </c>
    </row>
    <row r="48" customFormat="false" ht="15" hidden="false" customHeight="false" outlineLevel="0" collapsed="false">
      <c r="A48" s="0" t="s">
        <v>116</v>
      </c>
      <c r="B48" s="0" t="s">
        <v>265</v>
      </c>
      <c r="C48" s="0" t="s">
        <v>120</v>
      </c>
      <c r="D48" s="0" t="s">
        <v>144</v>
      </c>
      <c r="E48" s="0" t="n">
        <v>12</v>
      </c>
      <c r="F48" s="8" t="n">
        <f aca="false">IFERROR(INDEX(CHOOSE(MATCH($Z48,{"K1","K12","K13"},0),Calc!$Y$2:$Y$71,Calc!$AA$2:$AA$71,Calc!$AC$2:$AC$71),MATCH($Y48,Calc!$A$2:$A$71,0)),"")</f>
        <v>10.1653916621548</v>
      </c>
      <c r="G48" s="8" t="n">
        <f aca="false">IFERROR(SQRT(INDEX(CHOOSE(MATCH($Z48,{"K1","K12","K13"},0),Calc!$Z$2:$Z$71,Calc!$AB$2:$AB$71,Calc!$AD$2:$AD$71),MATCH($Y48,Calc!$A$2:$A$71,0))),"")</f>
        <v>4.06165942053677</v>
      </c>
      <c r="H48" s="7" t="n">
        <f aca="false">IF(OR($E48="",$F48="",N($G48)&lt;=0),"",1-NORMDIST(FLOOR($E48,1)+0.5,$F48,$G48,TRUE()))</f>
        <v>0.282716072516288</v>
      </c>
      <c r="I48" s="7" t="n">
        <f aca="false">IF($H48="","",NORMDIST(CEILING($E48,1)-0.5,$F48,$G48,TRUE()))</f>
        <v>0.628766048680128</v>
      </c>
      <c r="J48" s="7" t="n">
        <f aca="false">IF($H48="","",MAX(0,1-$H48-$I48))</f>
        <v>0.0885178788035842</v>
      </c>
      <c r="K48" s="0" t="str">
        <f aca="false">IF($H48="","",IF($H48&gt;=0.5+Config!$B$8,"OVER",IF($I48&gt;=0.5+Config!$B$8,"UNDER","—")))</f>
        <v>UNDER</v>
      </c>
      <c r="L48" s="8" t="n">
        <f aca="false">IFERROR(INDEX(CHOOSE(MATCH($Z48,{"K1","K12","K13"},0),Calc!$AE$2:$AE$71,Calc!$AF$2:$AF$71,Calc!$AG$2:$AG$71),MATCH($Y48,Calc!$A$2:$A$71,0)),"")</f>
        <v>9.6</v>
      </c>
      <c r="M48" s="7" t="n">
        <f aca="false">IF(OR($E48="",$L48="",N($G48)&lt;=0),"",1-NORMDIST(FLOOR($E48,1)+0.5,$L48,$G48*SQRT($L48/$F48),TRUE()))</f>
        <v>0.231255496084221</v>
      </c>
      <c r="O48" s="7" t="n">
        <f aca="false">IFERROR(INDEX(Calc!$H$2:$H$71,MATCH($Y48,Calc!$A$2:$A$71,0)),"")</f>
        <v>0.7</v>
      </c>
      <c r="P48" s="7" t="n">
        <f aca="false">IFERROR(INDEX(Calc!$M$2:$M$71,MATCH($Y48,Calc!$A$2:$A$71,0)),"")</f>
        <v>0.7899</v>
      </c>
      <c r="Q48" s="0" t="n">
        <v>8.4</v>
      </c>
      <c r="R48" s="7" t="n">
        <v>0.2</v>
      </c>
      <c r="S48" s="7" t="n">
        <v>0.2</v>
      </c>
      <c r="T48" s="7" t="n">
        <v>0.13</v>
      </c>
      <c r="U48" s="6" t="s">
        <v>256</v>
      </c>
      <c r="V48" s="0" t="n">
        <v>1</v>
      </c>
      <c r="W48" s="0" t="n">
        <v>0</v>
      </c>
      <c r="X48" s="0" t="str">
        <f aca="false">IFERROR(INDEX(Calc!$AH$2:$AH$71,MATCH($Y48,Calc!$A$2:$A$71,0)),"")</f>
        <v>new roster: 0% of his recent games with these teammates</v>
      </c>
      <c r="Y48" s="6" t="s">
        <v>266</v>
      </c>
      <c r="Z48" s="6" t="s">
        <v>147</v>
      </c>
      <c r="AA48" s="0" t="str">
        <f aca="false">Y48&amp;"|"&amp;Z48</f>
        <v>a1i2kuxagmuncr2|LOL · GEN vs LY|K12</v>
      </c>
    </row>
    <row r="49" customFormat="false" ht="15" hidden="false" customHeight="false" outlineLevel="0" collapsed="false">
      <c r="A49" s="0" t="s">
        <v>116</v>
      </c>
      <c r="B49" s="0" t="s">
        <v>267</v>
      </c>
      <c r="C49" s="0" t="s">
        <v>121</v>
      </c>
      <c r="D49" s="0" t="s">
        <v>144</v>
      </c>
      <c r="E49" s="0" t="n">
        <v>5.5</v>
      </c>
      <c r="F49" s="8" t="n">
        <f aca="false">IFERROR(INDEX(CHOOSE(MATCH($Z49,{"K1","K12","K13"},0),Calc!$Y$2:$Y$71,Calc!$AA$2:$AA$71,Calc!$AC$2:$AC$71),MATCH($Y49,Calc!$A$2:$A$71,0)),"")</f>
        <v>6.78818456950351</v>
      </c>
      <c r="G49" s="8" t="n">
        <f aca="false">IFERROR(SQRT(INDEX(CHOOSE(MATCH($Z49,{"K1","K12","K13"},0),Calc!$Z$2:$Z$71,Calc!$AB$2:$AB$71,Calc!$AD$2:$AD$71),MATCH($Y49,Calc!$A$2:$A$71,0))),"")</f>
        <v>3.51900478642842</v>
      </c>
      <c r="H49" s="7" t="n">
        <f aca="false">IF(OR($E49="",$F49="",N($G49)&lt;=0),"",1-NORMDIST(FLOOR($E49,1)+0.5,$F49,$G49,TRUE()))</f>
        <v>0.642841721969948</v>
      </c>
      <c r="I49" s="7" t="n">
        <f aca="false">IF($H49="","",NORMDIST(CEILING($E49,1)-0.5,$F49,$G49,TRUE()))</f>
        <v>0.357158278030052</v>
      </c>
      <c r="J49" s="7" t="n">
        <f aca="false">IF($H49="","",MAX(0,1-$H49-$I49))</f>
        <v>0</v>
      </c>
      <c r="K49" s="0" t="str">
        <f aca="false">IF($H49="","",IF($H49&gt;=0.5+Config!$B$8,"OVER",IF($I49&gt;=0.5+Config!$B$8,"UNDER","—")))</f>
        <v>OVER</v>
      </c>
      <c r="L49" s="8" t="n">
        <f aca="false">IFERROR(INDEX(CHOOSE(MATCH($Z49,{"K1","K12","K13"},0),Calc!$AE$2:$AE$71,Calc!$AF$2:$AF$71,Calc!$AG$2:$AG$71),MATCH($Y49,Calc!$A$2:$A$71,0)),"")</f>
        <v>9.8</v>
      </c>
      <c r="M49" s="7" t="n">
        <f aca="false">IF(OR($E49="",$L49="",N($G49)&lt;=0),"",1-NORMDIST(FLOOR($E49,1)+0.5,$L49,$G49*SQRT($L49/$F49),TRUE()))</f>
        <v>0.845418510905191</v>
      </c>
      <c r="O49" s="7" t="n">
        <f aca="false">IFERROR(INDEX(Calc!$H$2:$H$71,MATCH($Y49,Calc!$A$2:$A$71,0)),"")</f>
        <v>0.67</v>
      </c>
      <c r="P49" s="7" t="n">
        <f aca="false">IFERROR(INDEX(Calc!$M$2:$M$71,MATCH($Y49,Calc!$A$2:$A$71,0)),"")</f>
        <v>0.2101</v>
      </c>
      <c r="Q49" s="0" t="n">
        <v>10.5</v>
      </c>
      <c r="R49" s="7" t="n">
        <v>0.8</v>
      </c>
      <c r="S49" s="7" t="n">
        <v>0.9</v>
      </c>
      <c r="T49" s="7" t="n">
        <v>0.87</v>
      </c>
      <c r="U49" s="6" t="s">
        <v>268</v>
      </c>
      <c r="V49" s="0" t="n">
        <v>-1</v>
      </c>
      <c r="X49" s="0" t="str">
        <f aca="false">IFERROR(INDEX(Calc!$AH$2:$AH$71,MATCH($Y49,Calc!$A$2:$A$71,0)),"")</f>
        <v>new roster: 0% of his recent games with these teammates</v>
      </c>
      <c r="Y49" s="6" t="s">
        <v>269</v>
      </c>
      <c r="Z49" s="6" t="s">
        <v>147</v>
      </c>
      <c r="AA49" s="0" t="str">
        <f aca="false">Y49&amp;"|"&amp;Z49</f>
        <v>59psvryzvsd87ax|LOL · GEN vs LY|K12</v>
      </c>
    </row>
    <row r="50" customFormat="false" ht="15" hidden="false" customHeight="false" outlineLevel="0" collapsed="false">
      <c r="A50" s="0" t="s">
        <v>116</v>
      </c>
      <c r="B50" s="0" t="s">
        <v>270</v>
      </c>
      <c r="C50" s="0" t="s">
        <v>121</v>
      </c>
      <c r="D50" s="0" t="s">
        <v>144</v>
      </c>
      <c r="E50" s="0" t="n">
        <v>3</v>
      </c>
      <c r="F50" s="8" t="n">
        <f aca="false">IFERROR(INDEX(CHOOSE(MATCH($Z50,{"K1","K12","K13"},0),Calc!$Y$2:$Y$71,Calc!$AA$2:$AA$71,Calc!$AC$2:$AC$71),MATCH($Y50,Calc!$A$2:$A$71,0)),"")</f>
        <v>2.90922195835865</v>
      </c>
      <c r="G50" s="8" t="n">
        <f aca="false">IFERROR(SQRT(INDEX(CHOOSE(MATCH($Z50,{"K1","K12","K13"},0),Calc!$Z$2:$Z$71,Calc!$AB$2:$AB$71,Calc!$AD$2:$AD$71),MATCH($Y50,Calc!$A$2:$A$71,0))),"")</f>
        <v>2.10609529149692</v>
      </c>
      <c r="H50" s="7" t="n">
        <f aca="false">IF(OR($E50="",$F50="",N($G50)&lt;=0),"",1-NORMDIST(FLOOR($E50,1)+0.5,$F50,$G50,TRUE()))</f>
        <v>0.38954362776865</v>
      </c>
      <c r="I50" s="7" t="n">
        <f aca="false">IF($H50="","",NORMDIST(CEILING($E50,1)-0.5,$F50,$G50,TRUE()))</f>
        <v>0.422969072090799</v>
      </c>
      <c r="J50" s="7" t="n">
        <f aca="false">IF($H50="","",MAX(0,1-$H50-$I50))</f>
        <v>0.187487300140551</v>
      </c>
      <c r="K50" s="0" t="str">
        <f aca="false">IF($H50="","",IF($H50&gt;=0.5+Config!$B$8,"OVER",IF($I50&gt;=0.5+Config!$B$8,"UNDER","—")))</f>
        <v>—</v>
      </c>
      <c r="L50" s="8" t="n">
        <f aca="false">IFERROR(INDEX(CHOOSE(MATCH($Z50,{"K1","K12","K13"},0),Calc!$AE$2:$AE$71,Calc!$AF$2:$AF$71,Calc!$AG$2:$AG$71),MATCH($Y50,Calc!$A$2:$A$71,0)),"")</f>
        <v>4.2</v>
      </c>
      <c r="M50" s="7" t="n">
        <f aca="false">IF(OR($E50="",$L50="",N($G50)&lt;=0),"",1-NORMDIST(FLOOR($E50,1)+0.5,$L50,$G50*SQRT($L50/$F50),TRUE()))</f>
        <v>0.608964103044053</v>
      </c>
      <c r="O50" s="7" t="n">
        <f aca="false">IFERROR(INDEX(Calc!$H$2:$H$71,MATCH($Y50,Calc!$A$2:$A$71,0)),"")</f>
        <v>0.67</v>
      </c>
      <c r="P50" s="7" t="n">
        <f aca="false">IFERROR(INDEX(Calc!$M$2:$M$71,MATCH($Y50,Calc!$A$2:$A$71,0)),"")</f>
        <v>0.2101</v>
      </c>
      <c r="Q50" s="0" t="n">
        <v>4.7</v>
      </c>
      <c r="R50" s="7" t="n">
        <v>0.6</v>
      </c>
      <c r="S50" s="7" t="n">
        <v>0.7</v>
      </c>
      <c r="T50" s="7" t="n">
        <v>0.8</v>
      </c>
      <c r="U50" s="6" t="s">
        <v>256</v>
      </c>
      <c r="V50" s="0" t="n">
        <v>-2</v>
      </c>
      <c r="W50" s="0" t="n">
        <v>1</v>
      </c>
      <c r="X50" s="0" t="str">
        <f aca="false">IFERROR(INDEX(Calc!$AH$2:$AH$71,MATCH($Y50,Calc!$A$2:$A$71,0)),"")</f>
        <v>new roster: 0% of his recent games with these teammates</v>
      </c>
      <c r="Y50" s="6" t="s">
        <v>271</v>
      </c>
      <c r="Z50" s="6" t="s">
        <v>147</v>
      </c>
      <c r="AA50" s="0" t="str">
        <f aca="false">Y50&amp;"|"&amp;Z50</f>
        <v>669w2bo10c6kdxx|LOL · GEN vs LY|K12</v>
      </c>
    </row>
    <row r="51" customFormat="false" ht="15" hidden="false" customHeight="false" outlineLevel="0" collapsed="false">
      <c r="A51" s="0" t="s">
        <v>116</v>
      </c>
      <c r="B51" s="0" t="s">
        <v>272</v>
      </c>
      <c r="C51" s="0" t="s">
        <v>121</v>
      </c>
      <c r="D51" s="0" t="s">
        <v>144</v>
      </c>
      <c r="E51" s="0" t="n">
        <v>4.5</v>
      </c>
      <c r="F51" s="8" t="n">
        <f aca="false">IFERROR(INDEX(CHOOSE(MATCH($Z51,{"K1","K12","K13"},0),Calc!$Y$2:$Y$71,Calc!$AA$2:$AA$71,Calc!$AC$2:$AC$71),MATCH($Y51,Calc!$A$2:$A$71,0)),"")</f>
        <v>3.85982671480144</v>
      </c>
      <c r="G51" s="8" t="n">
        <f aca="false">IFERROR(SQRT(INDEX(CHOOSE(MATCH($Z51,{"K1","K12","K13"},0),Calc!$Z$2:$Z$71,Calc!$AB$2:$AB$71,Calc!$AD$2:$AD$71),MATCH($Y51,Calc!$A$2:$A$71,0))),"")</f>
        <v>2.48362237117886</v>
      </c>
      <c r="H51" s="7" t="n">
        <f aca="false">IF(OR($E51="",$F51="",N($G51)&lt;=0),"",1-NORMDIST(FLOOR($E51,1)+0.5,$F51,$G51,TRUE()))</f>
        <v>0.398296879100005</v>
      </c>
      <c r="I51" s="7" t="n">
        <f aca="false">IF($H51="","",NORMDIST(CEILING($E51,1)-0.5,$F51,$G51,TRUE()))</f>
        <v>0.601703120899995</v>
      </c>
      <c r="J51" s="7" t="n">
        <f aca="false">IF($H51="","",MAX(0,1-$H51-$I51))</f>
        <v>0</v>
      </c>
      <c r="K51" s="0" t="str">
        <f aca="false">IF($H51="","",IF($H51&gt;=0.5+Config!$B$8,"OVER",IF($I51&gt;=0.5+Config!$B$8,"UNDER","—")))</f>
        <v>UNDER</v>
      </c>
      <c r="L51" s="8" t="n">
        <f aca="false">IFERROR(INDEX(CHOOSE(MATCH($Z51,{"K1","K12","K13"},0),Calc!$AE$2:$AE$71,Calc!$AF$2:$AF$71,Calc!$AG$2:$AG$71),MATCH($Y51,Calc!$A$2:$A$71,0)),"")</f>
        <v>5.2</v>
      </c>
      <c r="M51" s="7" t="n">
        <f aca="false">IF(OR($E51="",$L51="",N($G51)&lt;=0),"",1-NORMDIST(FLOOR($E51,1)+0.5,$L51,$G51*SQRT($L51/$F51),TRUE()))</f>
        <v>0.595929800101355</v>
      </c>
      <c r="O51" s="7" t="n">
        <f aca="false">IFERROR(INDEX(Calc!$H$2:$H$71,MATCH($Y51,Calc!$A$2:$A$71,0)),"")</f>
        <v>0.57</v>
      </c>
      <c r="P51" s="7" t="n">
        <f aca="false">IFERROR(INDEX(Calc!$M$2:$M$71,MATCH($Y51,Calc!$A$2:$A$71,0)),"")</f>
        <v>0.2101</v>
      </c>
      <c r="Q51" s="0" t="n">
        <v>6.6</v>
      </c>
      <c r="R51" s="7" t="n">
        <v>0.6</v>
      </c>
      <c r="S51" s="7" t="n">
        <v>0.7</v>
      </c>
      <c r="T51" s="7" t="n">
        <v>0.67</v>
      </c>
      <c r="U51" s="6" t="s">
        <v>273</v>
      </c>
      <c r="V51" s="0" t="n">
        <v>-1</v>
      </c>
      <c r="X51" s="0" t="str">
        <f aca="false">IFERROR(INDEX(Calc!$AH$2:$AH$71,MATCH($Y51,Calc!$A$2:$A$71,0)),"")</f>
        <v>new roster: 0% of his recent games with these teammates</v>
      </c>
      <c r="Y51" s="6" t="s">
        <v>274</v>
      </c>
      <c r="Z51" s="6" t="s">
        <v>147</v>
      </c>
      <c r="AA51" s="0" t="str">
        <f aca="false">Y51&amp;"|"&amp;Z51</f>
        <v>rkwgr384qtc66ge|LOL · GEN vs LY|K12</v>
      </c>
    </row>
    <row r="52" customFormat="false" ht="15" hidden="false" customHeight="false" outlineLevel="0" collapsed="false">
      <c r="A52" s="0" t="s">
        <v>116</v>
      </c>
      <c r="B52" s="0" t="s">
        <v>275</v>
      </c>
      <c r="C52" s="0" t="s">
        <v>121</v>
      </c>
      <c r="D52" s="0" t="s">
        <v>144</v>
      </c>
      <c r="E52" s="0" t="n">
        <v>5</v>
      </c>
      <c r="F52" s="8" t="n">
        <f aca="false">IFERROR(INDEX(CHOOSE(MATCH($Z52,{"K1","K12","K13"},0),Calc!$Y$2:$Y$71,Calc!$AA$2:$AA$71,Calc!$AC$2:$AC$71),MATCH($Y52,Calc!$A$2:$A$71,0)),"")</f>
        <v>6.23404705362567</v>
      </c>
      <c r="G52" s="8" t="n">
        <f aca="false">IFERROR(SQRT(INDEX(CHOOSE(MATCH($Z52,{"K1","K12","K13"},0),Calc!$Z$2:$Z$71,Calc!$AB$2:$AB$71,Calc!$AD$2:$AD$71),MATCH($Y52,Calc!$A$2:$A$71,0))),"")</f>
        <v>3.3325230507058</v>
      </c>
      <c r="H52" s="7" t="n">
        <f aca="false">IF(OR($E52="",$F52="",N($G52)&lt;=0),"",1-NORMDIST(FLOOR($E52,1)+0.5,$F52,$G52,TRUE()))</f>
        <v>0.587168647312509</v>
      </c>
      <c r="I52" s="7" t="n">
        <f aca="false">IF($H52="","",NORMDIST(CEILING($E52,1)-0.5,$F52,$G52,TRUE()))</f>
        <v>0.301413100474203</v>
      </c>
      <c r="J52" s="7" t="n">
        <f aca="false">IF($H52="","",MAX(0,1-$H52-$I52))</f>
        <v>0.111418252213288</v>
      </c>
      <c r="K52" s="0" t="str">
        <f aca="false">IF($H52="","",IF($H52&gt;=0.5+Config!$B$8,"OVER",IF($I52&gt;=0.5+Config!$B$8,"UNDER","—")))</f>
        <v>OVER</v>
      </c>
      <c r="L52" s="8" t="n">
        <f aca="false">IFERROR(INDEX(CHOOSE(MATCH($Z52,{"K1","K12","K13"},0),Calc!$AE$2:$AE$71,Calc!$AF$2:$AF$71,Calc!$AG$2:$AG$71),MATCH($Y52,Calc!$A$2:$A$71,0)),"")</f>
        <v>9</v>
      </c>
      <c r="M52" s="7" t="n">
        <f aca="false">IF(OR($E52="",$L52="",N($G52)&lt;=0),"",1-NORMDIST(FLOOR($E52,1)+0.5,$L52,$G52*SQRT($L52/$F52),TRUE()))</f>
        <v>0.80896675608877</v>
      </c>
      <c r="O52" s="7" t="n">
        <f aca="false">IFERROR(INDEX(Calc!$H$2:$H$71,MATCH($Y52,Calc!$A$2:$A$71,0)),"")</f>
        <v>0.67</v>
      </c>
      <c r="P52" s="7" t="n">
        <f aca="false">IFERROR(INDEX(Calc!$M$2:$M$71,MATCH($Y52,Calc!$A$2:$A$71,0)),"")</f>
        <v>0.2101</v>
      </c>
      <c r="Q52" s="0" t="n">
        <v>10.2</v>
      </c>
      <c r="R52" s="7" t="n">
        <v>1</v>
      </c>
      <c r="S52" s="7" t="n">
        <v>1</v>
      </c>
      <c r="T52" s="7" t="n">
        <v>1</v>
      </c>
      <c r="U52" s="6" t="s">
        <v>256</v>
      </c>
      <c r="V52" s="0" t="n">
        <v>16</v>
      </c>
      <c r="W52" s="0" t="n">
        <v>1</v>
      </c>
      <c r="X52" s="0" t="str">
        <f aca="false">IFERROR(INDEX(Calc!$AH$2:$AH$71,MATCH($Y52,Calc!$A$2:$A$71,0)),"")</f>
        <v>new roster: 0% of his recent games with these teammates</v>
      </c>
      <c r="Y52" s="6" t="s">
        <v>276</v>
      </c>
      <c r="Z52" s="6" t="s">
        <v>147</v>
      </c>
      <c r="AA52" s="0" t="str">
        <f aca="false">Y52&amp;"|"&amp;Z52</f>
        <v>5hz8uczujzdvcl3|LOL · GEN vs LY|K12</v>
      </c>
    </row>
    <row r="53" customFormat="false" ht="15" hidden="false" customHeight="false" outlineLevel="0" collapsed="false">
      <c r="A53" s="0" t="s">
        <v>92</v>
      </c>
      <c r="B53" s="0" t="s">
        <v>277</v>
      </c>
      <c r="C53" s="0" t="s">
        <v>97</v>
      </c>
      <c r="D53" s="0" t="s">
        <v>278</v>
      </c>
      <c r="E53" s="0" t="n">
        <v>0.5</v>
      </c>
      <c r="F53" s="8" t="n">
        <f aca="false">IFERROR(INDEX(CHOOSE(MATCH($Z53,{"K1","K12","K13"},0),Calc!$Y$2:$Y$71,Calc!$AA$2:$AA$71,Calc!$AC$2:$AC$71),MATCH($Y53,Calc!$A$2:$A$71,0)),"")</f>
        <v>0.660625318103805</v>
      </c>
      <c r="G53" s="8" t="n">
        <f aca="false">IFERROR(SQRT(INDEX(CHOOSE(MATCH($Z53,{"K1","K12","K13"},0),Calc!$Z$2:$Z$71,Calc!$AB$2:$AB$71,Calc!$AD$2:$AD$71),MATCH($Y53,Calc!$A$2:$A$71,0))),"")</f>
        <v>0.946962774083999</v>
      </c>
      <c r="H53" s="7" t="n">
        <f aca="false">IF(OR($E53="",$F53="",N($G53)&lt;=0),"",1-NORMDIST(FLOOR($E53,1)+0.5,$F53,$G53,TRUE()))</f>
        <v>0.567346123359055</v>
      </c>
      <c r="I53" s="7" t="n">
        <f aca="false">IF($H53="","",NORMDIST(CEILING($E53,1)-0.5,$F53,$G53,TRUE()))</f>
        <v>0.432653876640945</v>
      </c>
      <c r="J53" s="7" t="n">
        <f aca="false">IF($H53="","",MAX(0,1-$H53-$I53))</f>
        <v>0</v>
      </c>
      <c r="K53" s="0" t="str">
        <f aca="false">IF($H53="","",IF($H53&gt;=0.5+Config!$B$8,"OVER",IF($I53&gt;=0.5+Config!$B$8,"UNDER","—")))</f>
        <v>OVER</v>
      </c>
      <c r="L53" s="8" t="n">
        <f aca="false">IFERROR(INDEX(CHOOSE(MATCH($Z53,{"K1","K12","K13"},0),Calc!$AE$2:$AE$71,Calc!$AF$2:$AF$71,Calc!$AG$2:$AG$71),MATCH($Y53,Calc!$A$2:$A$71,0)),"")</f>
        <v>0.6</v>
      </c>
      <c r="M53" s="7" t="n">
        <f aca="false">IF(OR($E53="",$L53="",N($G53)&lt;=0),"",1-NORMDIST(FLOOR($E53,1)+0.5,$L53,$G53*SQRT($L53/$F53),TRUE()))</f>
        <v>0.544115492809895</v>
      </c>
      <c r="O53" s="7" t="n">
        <f aca="false">IFERROR(INDEX(Calc!$H$2:$H$71,MATCH($Y53,Calc!$A$2:$A$71,0)),"")</f>
        <v>0.57</v>
      </c>
      <c r="P53" s="7" t="n">
        <f aca="false">IFERROR(INDEX(Calc!$M$2:$M$71,MATCH($Y53,Calc!$A$2:$A$71,0)),"")</f>
        <v>0.7111</v>
      </c>
      <c r="Q53" s="0" t="n">
        <v>0.6</v>
      </c>
      <c r="R53" s="7" t="n">
        <v>0.2</v>
      </c>
      <c r="S53" s="7" t="n">
        <v>0.4</v>
      </c>
      <c r="T53" s="7" t="n">
        <v>0.33</v>
      </c>
      <c r="U53" s="6" t="s">
        <v>203</v>
      </c>
      <c r="V53" s="0" t="n">
        <v>-3</v>
      </c>
      <c r="X53" s="0" t="str">
        <f aca="false">IFERROR(INDEX(Calc!$AH$2:$AH$71,MATCH($Y53,Calc!$A$2:$A$71,0)),"")</f>
        <v>new roster: 0% of his recent games with these teammates</v>
      </c>
      <c r="Y53" s="6" t="s">
        <v>279</v>
      </c>
      <c r="Z53" s="6" t="s">
        <v>280</v>
      </c>
      <c r="AA53" s="0" t="str">
        <f aca="false">Y53&amp;"|"&amp;Z53</f>
        <v>1og5fatbgnm5iky|LOL · HLE vs IG|K1</v>
      </c>
    </row>
    <row r="54" customFormat="false" ht="15" hidden="false" customHeight="false" outlineLevel="0" collapsed="false">
      <c r="A54" s="0" t="s">
        <v>92</v>
      </c>
      <c r="B54" s="0" t="s">
        <v>281</v>
      </c>
      <c r="C54" s="0" t="s">
        <v>97</v>
      </c>
      <c r="D54" s="0" t="s">
        <v>278</v>
      </c>
      <c r="E54" s="0" t="n">
        <v>5.5</v>
      </c>
      <c r="F54" s="8" t="n">
        <f aca="false">IFERROR(INDEX(CHOOSE(MATCH($Z54,{"K1","K12","K13"},0),Calc!$Y$2:$Y$71,Calc!$AA$2:$AA$71,Calc!$AC$2:$AC$71),MATCH($Y54,Calc!$A$2:$A$71,0)),"")</f>
        <v>4.52084630253493</v>
      </c>
      <c r="G54" s="8" t="n">
        <f aca="false">IFERROR(SQRT(INDEX(CHOOSE(MATCH($Z54,{"K1","K12","K13"},0),Calc!$Z$2:$Z$71,Calc!$AB$2:$AB$71,Calc!$AD$2:$AD$71),MATCH($Y54,Calc!$A$2:$A$71,0))),"")</f>
        <v>2.76643728159873</v>
      </c>
      <c r="H54" s="7" t="n">
        <f aca="false">IF(OR($E54="",$F54="",N($G54)&lt;=0),"",1-NORMDIST(FLOOR($E54,1)+0.5,$F54,$G54,TRUE()))</f>
        <v>0.361691804586553</v>
      </c>
      <c r="I54" s="7" t="n">
        <f aca="false">IF($H54="","",NORMDIST(CEILING($E54,1)-0.5,$F54,$G54,TRUE()))</f>
        <v>0.638308195413447</v>
      </c>
      <c r="J54" s="7" t="n">
        <f aca="false">IF($H54="","",MAX(0,1-$H54-$I54))</f>
        <v>0</v>
      </c>
      <c r="K54" s="0" t="str">
        <f aca="false">IF($H54="","",IF($H54&gt;=0.5+Config!$B$8,"OVER",IF($I54&gt;=0.5+Config!$B$8,"UNDER","—")))</f>
        <v>UNDER</v>
      </c>
      <c r="L54" s="8" t="n">
        <f aca="false">IFERROR(INDEX(CHOOSE(MATCH($Z54,{"K1","K12","K13"},0),Calc!$AE$2:$AE$71,Calc!$AF$2:$AF$71,Calc!$AG$2:$AG$71),MATCH($Y54,Calc!$A$2:$A$71,0)),"")</f>
        <v>4.4</v>
      </c>
      <c r="M54" s="7" t="n">
        <f aca="false">IF(OR($E54="",$L54="",N($G54)&lt;=0),"",1-NORMDIST(FLOOR($E54,1)+0.5,$L54,$G54*SQRT($L54/$F54),TRUE()))</f>
        <v>0.343456928154812</v>
      </c>
      <c r="N54" s="0" t="n">
        <v>3.7</v>
      </c>
      <c r="O54" s="7" t="n">
        <f aca="false">IFERROR(INDEX(Calc!$H$2:$H$71,MATCH($Y54,Calc!$A$2:$A$71,0)),"")</f>
        <v>0.67</v>
      </c>
      <c r="P54" s="7" t="n">
        <f aca="false">IFERROR(INDEX(Calc!$M$2:$M$71,MATCH($Y54,Calc!$A$2:$A$71,0)),"")</f>
        <v>0.7111</v>
      </c>
      <c r="Q54" s="0" t="n">
        <v>3.7</v>
      </c>
      <c r="R54" s="7" t="n">
        <v>0</v>
      </c>
      <c r="S54" s="7" t="n">
        <v>0.1</v>
      </c>
      <c r="T54" s="7" t="n">
        <v>0.07</v>
      </c>
      <c r="U54" s="6" t="s">
        <v>256</v>
      </c>
      <c r="V54" s="0" t="n">
        <v>-6</v>
      </c>
      <c r="X54" s="0" t="str">
        <f aca="false">IFERROR(INDEX(Calc!$AH$2:$AH$71,MATCH($Y54,Calc!$A$2:$A$71,0)),"")</f>
        <v>new roster: 0% of his recent games with these teammates</v>
      </c>
      <c r="Y54" s="6" t="s">
        <v>282</v>
      </c>
      <c r="Z54" s="6" t="s">
        <v>280</v>
      </c>
      <c r="AA54" s="0" t="str">
        <f aca="false">Y54&amp;"|"&amp;Z54</f>
        <v>dk2xvnogliulqvm|LOL · HLE vs IG|K1</v>
      </c>
    </row>
    <row r="55" customFormat="false" ht="15" hidden="false" customHeight="false" outlineLevel="0" collapsed="false">
      <c r="A55" s="0" t="s">
        <v>92</v>
      </c>
      <c r="B55" s="0" t="s">
        <v>283</v>
      </c>
      <c r="C55" s="0" t="s">
        <v>97</v>
      </c>
      <c r="D55" s="0" t="s">
        <v>278</v>
      </c>
      <c r="E55" s="0" t="n">
        <v>4</v>
      </c>
      <c r="F55" s="8" t="n">
        <f aca="false">IFERROR(INDEX(CHOOSE(MATCH($Z55,{"K1","K12","K13"},0),Calc!$Y$2:$Y$71,Calc!$AA$2:$AA$71,Calc!$AC$2:$AC$71),MATCH($Y55,Calc!$A$2:$A$71,0)),"")</f>
        <v>3.52333502988696</v>
      </c>
      <c r="G55" s="8" t="n">
        <f aca="false">IFERROR(SQRT(INDEX(CHOOSE(MATCH($Z55,{"K1","K12","K13"},0),Calc!$Z$2:$Z$71,Calc!$AB$2:$AB$71,Calc!$AD$2:$AD$71),MATCH($Y55,Calc!$A$2:$A$71,0))),"")</f>
        <v>2.3788879015426</v>
      </c>
      <c r="H55" s="7" t="n">
        <f aca="false">IF(OR($E55="",$F55="",N($G55)&lt;=0),"",1-NORMDIST(FLOOR($E55,1)+0.5,$F55,$G55,TRUE()))</f>
        <v>0.340699333278643</v>
      </c>
      <c r="I55" s="7" t="n">
        <f aca="false">IF($H55="","",NORMDIST(CEILING($E55,1)-0.5,$F55,$G55,TRUE()))</f>
        <v>0.496086750981136</v>
      </c>
      <c r="J55" s="7" t="n">
        <f aca="false">IF($H55="","",MAX(0,1-$H55-$I55))</f>
        <v>0.163213915740221</v>
      </c>
      <c r="K55" s="0" t="str">
        <f aca="false">IF($H55="","",IF($H55&gt;=0.5+Config!$B$8,"OVER",IF($I55&gt;=0.5+Config!$B$8,"UNDER","—")))</f>
        <v>—</v>
      </c>
      <c r="L55" s="8" t="n">
        <f aca="false">IFERROR(INDEX(CHOOSE(MATCH($Z55,{"K1","K12","K13"},0),Calc!$AE$2:$AE$71,Calc!$AF$2:$AF$71,Calc!$AG$2:$AG$71),MATCH($Y55,Calc!$A$2:$A$71,0)),"")</f>
        <v>3.2</v>
      </c>
      <c r="M55" s="7" t="n">
        <f aca="false">IF(OR($E55="",$L55="",N($G55)&lt;=0),"",1-NORMDIST(FLOOR($E55,1)+0.5,$L55,$G55*SQRT($L55/$F55),TRUE()))</f>
        <v>0.28318083727098</v>
      </c>
      <c r="N55" s="0" t="n">
        <v>3.31</v>
      </c>
      <c r="O55" s="7" t="n">
        <f aca="false">IFERROR(INDEX(Calc!$H$2:$H$71,MATCH($Y55,Calc!$A$2:$A$71,0)),"")</f>
        <v>0.57</v>
      </c>
      <c r="P55" s="7" t="n">
        <f aca="false">IFERROR(INDEX(Calc!$M$2:$M$71,MATCH($Y55,Calc!$A$2:$A$71,0)),"")</f>
        <v>0.7111</v>
      </c>
      <c r="Q55" s="0" t="n">
        <v>2.8</v>
      </c>
      <c r="R55" s="7" t="n">
        <v>0.2</v>
      </c>
      <c r="S55" s="7" t="n">
        <v>0.4</v>
      </c>
      <c r="T55" s="7" t="n">
        <v>0.4</v>
      </c>
      <c r="U55" s="6" t="s">
        <v>191</v>
      </c>
      <c r="V55" s="0" t="n">
        <v>-2</v>
      </c>
      <c r="W55" s="0" t="n">
        <v>2</v>
      </c>
      <c r="X55" s="0" t="str">
        <f aca="false">IFERROR(INDEX(Calc!$AH$2:$AH$71,MATCH($Y55,Calc!$A$2:$A$71,0)),"")</f>
        <v>new roster: 0% of his recent games with these teammates</v>
      </c>
      <c r="Y55" s="6" t="s">
        <v>284</v>
      </c>
      <c r="Z55" s="6" t="s">
        <v>280</v>
      </c>
      <c r="AA55" s="0" t="str">
        <f aca="false">Y55&amp;"|"&amp;Z55</f>
        <v>sz58hgh9evxsz7i|LOL · HLE vs IG|K1</v>
      </c>
    </row>
    <row r="56" customFormat="false" ht="15" hidden="false" customHeight="false" outlineLevel="0" collapsed="false">
      <c r="A56" s="0" t="s">
        <v>92</v>
      </c>
      <c r="B56" s="0" t="s">
        <v>285</v>
      </c>
      <c r="C56" s="0" t="s">
        <v>97</v>
      </c>
      <c r="D56" s="0" t="s">
        <v>278</v>
      </c>
      <c r="E56" s="0" t="n">
        <v>5.5</v>
      </c>
      <c r="F56" s="8" t="n">
        <f aca="false">IFERROR(INDEX(CHOOSE(MATCH($Z56,{"K1","K12","K13"},0),Calc!$Y$2:$Y$71,Calc!$AA$2:$AA$71,Calc!$AC$2:$AC$71),MATCH($Y56,Calc!$A$2:$A$71,0)),"")</f>
        <v>5.23781331889551</v>
      </c>
      <c r="G56" s="8" t="n">
        <f aca="false">IFERROR(SQRT(INDEX(CHOOSE(MATCH($Z56,{"K1","K12","K13"},0),Calc!$Z$2:$Z$71,Calc!$AB$2:$AB$71,Calc!$AD$2:$AD$71),MATCH($Y56,Calc!$A$2:$A$71,0))),"")</f>
        <v>3.03203611217053</v>
      </c>
      <c r="H56" s="7" t="n">
        <f aca="false">IF(OR($E56="",$F56="",N($G56)&lt;=0),"",1-NORMDIST(FLOOR($E56,1)+0.5,$F56,$G56,TRUE()))</f>
        <v>0.465545547155527</v>
      </c>
      <c r="I56" s="7" t="n">
        <f aca="false">IF($H56="","",NORMDIST(CEILING($E56,1)-0.5,$F56,$G56,TRUE()))</f>
        <v>0.534454452844474</v>
      </c>
      <c r="J56" s="7" t="n">
        <f aca="false">IF($H56="","",MAX(0,1-$H56-$I56))</f>
        <v>0</v>
      </c>
      <c r="K56" s="0" t="str">
        <f aca="false">IF($H56="","",IF($H56&gt;=0.5+Config!$B$8,"OVER",IF($I56&gt;=0.5+Config!$B$8,"UNDER","—")))</f>
        <v>—</v>
      </c>
      <c r="L56" s="8" t="n">
        <f aca="false">IFERROR(INDEX(CHOOSE(MATCH($Z56,{"K1","K12","K13"},0),Calc!$AE$2:$AE$71,Calc!$AF$2:$AF$71,Calc!$AG$2:$AG$71),MATCH($Y56,Calc!$A$2:$A$71,0)),"")</f>
        <v>5.2</v>
      </c>
      <c r="M56" s="7" t="n">
        <f aca="false">IF(OR($E56="",$L56="",N($G56)&lt;=0),"",1-NORMDIST(FLOOR($E56,1)+0.5,$L56,$G56*SQRT($L56/$F56),TRUE()))</f>
        <v>0.460449043223309</v>
      </c>
      <c r="N56" s="0" t="n">
        <v>4.5</v>
      </c>
      <c r="O56" s="7" t="n">
        <f aca="false">IFERROR(INDEX(Calc!$H$2:$H$71,MATCH($Y56,Calc!$A$2:$A$71,0)),"")</f>
        <v>0.7</v>
      </c>
      <c r="P56" s="7" t="n">
        <f aca="false">IFERROR(INDEX(Calc!$M$2:$M$71,MATCH($Y56,Calc!$A$2:$A$71,0)),"")</f>
        <v>0.7111</v>
      </c>
      <c r="Q56" s="0" t="n">
        <v>5.7</v>
      </c>
      <c r="R56" s="7" t="n">
        <v>0.4</v>
      </c>
      <c r="S56" s="7" t="n">
        <v>0.3</v>
      </c>
      <c r="T56" s="7" t="n">
        <v>0.27</v>
      </c>
      <c r="U56" s="6" t="s">
        <v>203</v>
      </c>
      <c r="V56" s="0" t="n">
        <v>-1</v>
      </c>
      <c r="X56" s="0" t="str">
        <f aca="false">IFERROR(INDEX(Calc!$AH$2:$AH$71,MATCH($Y56,Calc!$A$2:$A$71,0)),"")</f>
        <v>new roster: 0% of his recent games with these teammates</v>
      </c>
      <c r="Y56" s="6" t="s">
        <v>286</v>
      </c>
      <c r="Z56" s="6" t="s">
        <v>280</v>
      </c>
      <c r="AA56" s="0" t="str">
        <f aca="false">Y56&amp;"|"&amp;Z56</f>
        <v>a9kybbin6grz064|LOL · HLE vs IG|K1</v>
      </c>
    </row>
    <row r="57" customFormat="false" ht="15" hidden="false" customHeight="false" outlineLevel="0" collapsed="false">
      <c r="A57" s="0" t="s">
        <v>92</v>
      </c>
      <c r="B57" s="0" t="s">
        <v>287</v>
      </c>
      <c r="C57" s="0" t="s">
        <v>97</v>
      </c>
      <c r="D57" s="0" t="s">
        <v>278</v>
      </c>
      <c r="E57" s="0" t="n">
        <v>3.5</v>
      </c>
      <c r="F57" s="8" t="n">
        <f aca="false">IFERROR(INDEX(CHOOSE(MATCH($Z57,{"K1","K12","K13"},0),Calc!$Y$2:$Y$71,Calc!$AA$2:$AA$71,Calc!$AC$2:$AC$71),MATCH($Y57,Calc!$A$2:$A$71,0)),"")</f>
        <v>3.1225425554954</v>
      </c>
      <c r="G57" s="8" t="n">
        <f aca="false">IFERROR(SQRT(INDEX(CHOOSE(MATCH($Z57,{"K1","K12","K13"},0),Calc!$Z$2:$Z$71,Calc!$AB$2:$AB$71,Calc!$AD$2:$AD$71),MATCH($Y57,Calc!$A$2:$A$71,0))),"")</f>
        <v>2.21508644501636</v>
      </c>
      <c r="H57" s="7" t="n">
        <f aca="false">IF(OR($E57="",$F57="",N($G57)&lt;=0),"",1-NORMDIST(FLOOR($E57,1)+0.5,$F57,$G57,TRUE()))</f>
        <v>0.432346594244014</v>
      </c>
      <c r="I57" s="7" t="n">
        <f aca="false">IF($H57="","",NORMDIST(CEILING($E57,1)-0.5,$F57,$G57,TRUE()))</f>
        <v>0.567653405755986</v>
      </c>
      <c r="J57" s="7" t="n">
        <f aca="false">IF($H57="","",MAX(0,1-$H57-$I57))</f>
        <v>0</v>
      </c>
      <c r="K57" s="0" t="str">
        <f aca="false">IF($H57="","",IF($H57&gt;=0.5+Config!$B$8,"OVER",IF($I57&gt;=0.5+Config!$B$8,"UNDER","—")))</f>
        <v>UNDER</v>
      </c>
      <c r="L57" s="8" t="n">
        <f aca="false">IFERROR(INDEX(CHOOSE(MATCH($Z57,{"K1","K12","K13"},0),Calc!$AE$2:$AE$71,Calc!$AF$2:$AF$71,Calc!$AG$2:$AG$71),MATCH($Y57,Calc!$A$2:$A$71,0)),"")</f>
        <v>3.1</v>
      </c>
      <c r="M57" s="7" t="n">
        <f aca="false">IF(OR($E57="",$L57="",N($G57)&lt;=0),"",1-NORMDIST(FLOOR($E57,1)+0.5,$L57,$G57*SQRT($L57/$F57),TRUE()))</f>
        <v>0.428091467434262</v>
      </c>
      <c r="N57" s="0" t="n">
        <v>2.67</v>
      </c>
      <c r="O57" s="7" t="n">
        <f aca="false">IFERROR(INDEX(Calc!$H$2:$H$71,MATCH($Y57,Calc!$A$2:$A$71,0)),"")</f>
        <v>0.7</v>
      </c>
      <c r="P57" s="7" t="n">
        <f aca="false">IFERROR(INDEX(Calc!$M$2:$M$71,MATCH($Y57,Calc!$A$2:$A$71,0)),"")</f>
        <v>0.7111</v>
      </c>
      <c r="Q57" s="0" t="n">
        <v>3.1</v>
      </c>
      <c r="R57" s="7" t="n">
        <v>0.2</v>
      </c>
      <c r="S57" s="7" t="n">
        <v>0.3</v>
      </c>
      <c r="T57" s="7" t="n">
        <v>0.27</v>
      </c>
      <c r="U57" s="6" t="s">
        <v>203</v>
      </c>
      <c r="V57" s="0" t="n">
        <v>-4</v>
      </c>
      <c r="X57" s="0" t="str">
        <f aca="false">IFERROR(INDEX(Calc!$AH$2:$AH$71,MATCH($Y57,Calc!$A$2:$A$71,0)),"")</f>
        <v>new roster: 0% of his recent games with these teammates</v>
      </c>
      <c r="Y57" s="6" t="s">
        <v>288</v>
      </c>
      <c r="Z57" s="6" t="s">
        <v>280</v>
      </c>
      <c r="AA57" s="0" t="str">
        <f aca="false">Y57&amp;"|"&amp;Z57</f>
        <v>tdvdf1h4ixtxv6x|LOL · HLE vs IG|K1</v>
      </c>
    </row>
    <row r="58" customFormat="false" ht="15" hidden="false" customHeight="false" outlineLevel="0" collapsed="false">
      <c r="A58" s="0" t="s">
        <v>92</v>
      </c>
      <c r="B58" s="0" t="s">
        <v>289</v>
      </c>
      <c r="C58" s="0" t="s">
        <v>98</v>
      </c>
      <c r="D58" s="0" t="s">
        <v>278</v>
      </c>
      <c r="E58" s="0" t="n">
        <v>3.5</v>
      </c>
      <c r="F58" s="8" t="n">
        <f aca="false">IFERROR(INDEX(CHOOSE(MATCH($Z58,{"K1","K12","K13"},0),Calc!$Y$2:$Y$71,Calc!$AA$2:$AA$71,Calc!$AC$2:$AC$71),MATCH($Y58,Calc!$A$2:$A$71,0)),"")</f>
        <v>4.14409947856315</v>
      </c>
      <c r="G58" s="8" t="n">
        <f aca="false">IFERROR(SQRT(INDEX(CHOOSE(MATCH($Z58,{"K1","K12","K13"},0),Calc!$Z$2:$Z$71,Calc!$AB$2:$AB$71,Calc!$AD$2:$AD$71),MATCH($Y58,Calc!$A$2:$A$71,0))),"")</f>
        <v>2.86764947363303</v>
      </c>
      <c r="H58" s="7" t="n">
        <f aca="false">IF(OR($E58="",$F58="",N($G58)&lt;=0),"",1-NORMDIST(FLOOR($E58,1)+0.5,$F58,$G58,TRUE()))</f>
        <v>0.588858214063715</v>
      </c>
      <c r="I58" s="7" t="n">
        <f aca="false">IF($H58="","",NORMDIST(CEILING($E58,1)-0.5,$F58,$G58,TRUE()))</f>
        <v>0.411141785936286</v>
      </c>
      <c r="J58" s="7" t="n">
        <f aca="false">IF($H58="","",MAX(0,1-$H58-$I58))</f>
        <v>0</v>
      </c>
      <c r="K58" s="0" t="str">
        <f aca="false">IF($H58="","",IF($H58&gt;=0.5+Config!$B$8,"OVER",IF($I58&gt;=0.5+Config!$B$8,"UNDER","—")))</f>
        <v>OVER</v>
      </c>
      <c r="L58" s="8" t="n">
        <f aca="false">IFERROR(INDEX(CHOOSE(MATCH($Z58,{"K1","K12","K13"},0),Calc!$AE$2:$AE$71,Calc!$AF$2:$AF$71,Calc!$AG$2:$AG$71),MATCH($Y58,Calc!$A$2:$A$71,0)),"")</f>
        <v>5.3</v>
      </c>
      <c r="M58" s="7" t="n">
        <f aca="false">IF(OR($E58="",$L58="",N($G58)&lt;=0),"",1-NORMDIST(FLOOR($E58,1)+0.5,$L58,$G58*SQRT($L58/$F58),TRUE()))</f>
        <v>0.710566047719675</v>
      </c>
      <c r="N58" s="0" t="n">
        <v>2.78</v>
      </c>
      <c r="O58" s="7" t="n">
        <f aca="false">IFERROR(INDEX(Calc!$H$2:$H$71,MATCH($Y58,Calc!$A$2:$A$71,0)),"")</f>
        <v>0.6</v>
      </c>
      <c r="P58" s="7" t="n">
        <f aca="false">IFERROR(INDEX(Calc!$M$2:$M$71,MATCH($Y58,Calc!$A$2:$A$71,0)),"")</f>
        <v>0.2889</v>
      </c>
      <c r="Q58" s="0" t="n">
        <v>6.1</v>
      </c>
      <c r="R58" s="7" t="n">
        <v>0.8</v>
      </c>
      <c r="S58" s="7" t="n">
        <v>0.9</v>
      </c>
      <c r="T58" s="7" t="n">
        <v>0.8</v>
      </c>
      <c r="U58" s="6" t="s">
        <v>203</v>
      </c>
      <c r="V58" s="0" t="n">
        <v>-1</v>
      </c>
      <c r="X58" s="0" t="str">
        <f aca="false">IFERROR(INDEX(Calc!$AH$2:$AH$71,MATCH($Y58,Calc!$A$2:$A$71,0)),"")</f>
        <v>new roster: 0% of his recent games with these teammates</v>
      </c>
      <c r="Y58" s="6" t="s">
        <v>290</v>
      </c>
      <c r="Z58" s="6" t="s">
        <v>280</v>
      </c>
      <c r="AA58" s="0" t="str">
        <f aca="false">Y58&amp;"|"&amp;Z58</f>
        <v>xkumta5cuhr06ug|LOL · HLE vs IG|K1</v>
      </c>
    </row>
    <row r="59" customFormat="false" ht="15" hidden="false" customHeight="false" outlineLevel="0" collapsed="false">
      <c r="A59" s="0" t="s">
        <v>92</v>
      </c>
      <c r="B59" s="0" t="s">
        <v>291</v>
      </c>
      <c r="C59" s="0" t="s">
        <v>98</v>
      </c>
      <c r="D59" s="0" t="s">
        <v>278</v>
      </c>
      <c r="E59" s="0" t="n">
        <v>3</v>
      </c>
      <c r="F59" s="8" t="n">
        <f aca="false">IFERROR(INDEX(CHOOSE(MATCH($Z59,{"K1","K12","K13"},0),Calc!$Y$2:$Y$71,Calc!$AA$2:$AA$71,Calc!$AC$2:$AC$71),MATCH($Y59,Calc!$A$2:$A$71,0)),"")</f>
        <v>3.12762224797219</v>
      </c>
      <c r="G59" s="8" t="n">
        <f aca="false">IFERROR(SQRT(INDEX(CHOOSE(MATCH($Z59,{"K1","K12","K13"},0),Calc!$Z$2:$Z$71,Calc!$AB$2:$AB$71,Calc!$AD$2:$AD$71),MATCH($Y59,Calc!$A$2:$A$71,0))),"")</f>
        <v>2.38355532984562</v>
      </c>
      <c r="H59" s="7" t="n">
        <f aca="false">IF(OR($E59="",$F59="",N($G59)&lt;=0),"",1-NORMDIST(FLOOR($E59,1)+0.5,$F59,$G59,TRUE()))</f>
        <v>0.437926708020455</v>
      </c>
      <c r="I59" s="7" t="n">
        <f aca="false">IF($H59="","",NORMDIST(CEILING($E59,1)-0.5,$F59,$G59,TRUE()))</f>
        <v>0.396154485442306</v>
      </c>
      <c r="J59" s="7" t="n">
        <f aca="false">IF($H59="","",MAX(0,1-$H59-$I59))</f>
        <v>0.16591880653724</v>
      </c>
      <c r="K59" s="0" t="str">
        <f aca="false">IF($H59="","",IF($H59&gt;=0.5+Config!$B$8,"OVER",IF($I59&gt;=0.5+Config!$B$8,"UNDER","—")))</f>
        <v>—</v>
      </c>
      <c r="L59" s="8" t="n">
        <f aca="false">IFERROR(INDEX(CHOOSE(MATCH($Z59,{"K1","K12","K13"},0),Calc!$AE$2:$AE$71,Calc!$AF$2:$AF$71,Calc!$AG$2:$AG$71),MATCH($Y59,Calc!$A$2:$A$71,0)),"")</f>
        <v>4</v>
      </c>
      <c r="M59" s="7" t="n">
        <f aca="false">IF(OR($E59="",$L59="",N($G59)&lt;=0),"",1-NORMDIST(FLOOR($E59,1)+0.5,$L59,$G59*SQRT($L59/$F59),TRUE()))</f>
        <v>0.573577875753474</v>
      </c>
      <c r="N59" s="0" t="n">
        <v>2.42</v>
      </c>
      <c r="O59" s="7" t="n">
        <f aca="false">IFERROR(INDEX(Calc!$H$2:$H$71,MATCH($Y59,Calc!$A$2:$A$71,0)),"")</f>
        <v>0.6</v>
      </c>
      <c r="P59" s="7" t="n">
        <f aca="false">IFERROR(INDEX(Calc!$M$2:$M$71,MATCH($Y59,Calc!$A$2:$A$71,0)),"")</f>
        <v>0.2889</v>
      </c>
      <c r="Q59" s="0" t="n">
        <v>4.7</v>
      </c>
      <c r="R59" s="7" t="n">
        <v>1</v>
      </c>
      <c r="S59" s="7" t="n">
        <v>1</v>
      </c>
      <c r="T59" s="7" t="n">
        <v>0.93</v>
      </c>
      <c r="U59" s="6" t="s">
        <v>203</v>
      </c>
      <c r="V59" s="0" t="n">
        <v>13</v>
      </c>
      <c r="W59" s="0" t="n">
        <v>3</v>
      </c>
      <c r="X59" s="0" t="str">
        <f aca="false">IFERROR(INDEX(Calc!$AH$2:$AH$71,MATCH($Y59,Calc!$A$2:$A$71,0)),"")</f>
        <v>new roster: 0% of his recent games with these teammates</v>
      </c>
      <c r="Y59" s="6" t="s">
        <v>292</v>
      </c>
      <c r="Z59" s="6" t="s">
        <v>280</v>
      </c>
      <c r="AA59" s="0" t="str">
        <f aca="false">Y59&amp;"|"&amp;Z59</f>
        <v>tm30neozvsj19qw|LOL · HLE vs IG|K1</v>
      </c>
    </row>
    <row r="60" customFormat="false" ht="15" hidden="false" customHeight="false" outlineLevel="0" collapsed="false">
      <c r="A60" s="0" t="s">
        <v>92</v>
      </c>
      <c r="B60" s="0" t="s">
        <v>293</v>
      </c>
      <c r="C60" s="0" t="s">
        <v>98</v>
      </c>
      <c r="D60" s="0" t="s">
        <v>278</v>
      </c>
      <c r="E60" s="0" t="n">
        <v>2</v>
      </c>
      <c r="F60" s="8" t="n">
        <f aca="false">IFERROR(INDEX(CHOOSE(MATCH($Z60,{"K1","K12","K13"},0),Calc!$Y$2:$Y$71,Calc!$AA$2:$AA$71,Calc!$AC$2:$AC$71),MATCH($Y60,Calc!$A$2:$A$71,0)),"")</f>
        <v>1.83791953696873</v>
      </c>
      <c r="G60" s="8" t="n">
        <f aca="false">IFERROR(SQRT(INDEX(CHOOSE(MATCH($Z60,{"K1","K12","K13"},0),Calc!$Z$2:$Z$71,Calc!$AB$2:$AB$71,Calc!$AD$2:$AD$71),MATCH($Y60,Calc!$A$2:$A$71,0))),"")</f>
        <v>1.71672307265117</v>
      </c>
      <c r="H60" s="7" t="n">
        <f aca="false">IF(OR($E60="",$F60="",N($G60)&lt;=0),"",1-NORMDIST(FLOOR($E60,1)+0.5,$F60,$G60,TRUE()))</f>
        <v>0.349872294506103</v>
      </c>
      <c r="I60" s="7" t="n">
        <f aca="false">IF($H60="","",NORMDIST(CEILING($E60,1)-0.5,$F60,$G60,TRUE()))</f>
        <v>0.42197642700594</v>
      </c>
      <c r="J60" s="7" t="n">
        <f aca="false">IF($H60="","",MAX(0,1-$H60-$I60))</f>
        <v>0.228151278487957</v>
      </c>
      <c r="K60" s="0" t="str">
        <f aca="false">IF($H60="","",IF($H60&gt;=0.5+Config!$B$8,"OVER",IF($I60&gt;=0.5+Config!$B$8,"UNDER","—")))</f>
        <v>—</v>
      </c>
      <c r="L60" s="8" t="n">
        <f aca="false">IFERROR(INDEX(CHOOSE(MATCH($Z60,{"K1","K12","K13"},0),Calc!$AE$2:$AE$71,Calc!$AF$2:$AF$71,Calc!$AG$2:$AG$71),MATCH($Y60,Calc!$A$2:$A$71,0)),"")</f>
        <v>2.4</v>
      </c>
      <c r="M60" s="7" t="n">
        <f aca="false">IF(OR($E60="",$L60="",N($G60)&lt;=0),"",1-NORMDIST(FLOOR($E60,1)+0.5,$L60,$G60*SQRT($L60/$F60),TRUE()))</f>
        <v>0.479672713965289</v>
      </c>
      <c r="N60" s="0" t="n">
        <v>1.27</v>
      </c>
      <c r="O60" s="7" t="n">
        <f aca="false">IFERROR(INDEX(Calc!$H$2:$H$71,MATCH($Y60,Calc!$A$2:$A$71,0)),"")</f>
        <v>0.63</v>
      </c>
      <c r="P60" s="7" t="n">
        <f aca="false">IFERROR(INDEX(Calc!$M$2:$M$71,MATCH($Y60,Calc!$A$2:$A$71,0)),"")</f>
        <v>0.2889</v>
      </c>
      <c r="Q60" s="0" t="n">
        <v>2.7</v>
      </c>
      <c r="R60" s="7" t="n">
        <v>0.4</v>
      </c>
      <c r="S60" s="7" t="n">
        <v>0.6</v>
      </c>
      <c r="T60" s="7" t="n">
        <v>0.6</v>
      </c>
      <c r="U60" s="6" t="s">
        <v>203</v>
      </c>
      <c r="V60" s="0" t="n">
        <v>1</v>
      </c>
      <c r="W60" s="0" t="n">
        <v>3</v>
      </c>
      <c r="X60" s="0" t="str">
        <f aca="false">IFERROR(INDEX(Calc!$AH$2:$AH$71,MATCH($Y60,Calc!$A$2:$A$71,0)),"")</f>
        <v>new roster: 0% of his recent games with these teammates</v>
      </c>
      <c r="Y60" s="6" t="s">
        <v>294</v>
      </c>
      <c r="Z60" s="6" t="s">
        <v>280</v>
      </c>
      <c r="AA60" s="0" t="str">
        <f aca="false">Y60&amp;"|"&amp;Z60</f>
        <v>3vy8em8ahxc8dpm|LOL · HLE vs IG|K1</v>
      </c>
    </row>
    <row r="61" customFormat="false" ht="15" hidden="false" customHeight="false" outlineLevel="0" collapsed="false">
      <c r="A61" s="0" t="s">
        <v>92</v>
      </c>
      <c r="B61" s="0" t="s">
        <v>295</v>
      </c>
      <c r="C61" s="0" t="s">
        <v>98</v>
      </c>
      <c r="D61" s="0" t="s">
        <v>278</v>
      </c>
      <c r="E61" s="0" t="n">
        <v>2</v>
      </c>
      <c r="F61" s="8" t="n">
        <f aca="false">IFERROR(INDEX(CHOOSE(MATCH($Z61,{"K1","K12","K13"},0),Calc!$Y$2:$Y$71,Calc!$AA$2:$AA$71,Calc!$AC$2:$AC$71),MATCH($Y61,Calc!$A$2:$A$71,0)),"")</f>
        <v>2.58028835457706</v>
      </c>
      <c r="G61" s="8" t="n">
        <f aca="false">IFERROR(SQRT(INDEX(CHOOSE(MATCH($Z61,{"K1","K12","K13"},0),Calc!$Z$2:$Z$71,Calc!$AB$2:$AB$71,Calc!$AD$2:$AD$71),MATCH($Y61,Calc!$A$2:$A$71,0))),"")</f>
        <v>2.11042055590086</v>
      </c>
      <c r="H61" s="7" t="n">
        <f aca="false">IF(OR($E61="",$F61="",N($G61)&lt;=0),"",1-NORMDIST(FLOOR($E61,1)+0.5,$F61,$G61,TRUE()))</f>
        <v>0.515173608136724</v>
      </c>
      <c r="I61" s="7" t="n">
        <f aca="false">IF($H61="","",NORMDIST(CEILING($E61,1)-0.5,$F61,$G61,TRUE()))</f>
        <v>0.304366456725198</v>
      </c>
      <c r="J61" s="7" t="n">
        <f aca="false">IF($H61="","",MAX(0,1-$H61-$I61))</f>
        <v>0.180459935138078</v>
      </c>
      <c r="K61" s="0" t="str">
        <f aca="false">IF($H61="","",IF($H61&gt;=0.5+Config!$B$8,"OVER",IF($I61&gt;=0.5+Config!$B$8,"UNDER","—")))</f>
        <v>—</v>
      </c>
      <c r="L61" s="8" t="n">
        <f aca="false">IFERROR(INDEX(CHOOSE(MATCH($Z61,{"K1","K12","K13"},0),Calc!$AE$2:$AE$71,Calc!$AF$2:$AF$71,Calc!$AG$2:$AG$71),MATCH($Y61,Calc!$A$2:$A$71,0)),"")</f>
        <v>3.3</v>
      </c>
      <c r="M61" s="7" t="n">
        <f aca="false">IF(OR($E61="",$L61="",N($G61)&lt;=0),"",1-NORMDIST(FLOOR($E61,1)+0.5,$L61,$G61*SQRT($L61/$F61),TRUE()))</f>
        <v>0.631261177346892</v>
      </c>
      <c r="N61" s="0" t="n">
        <v>2.1</v>
      </c>
      <c r="O61" s="7" t="n">
        <f aca="false">IFERROR(INDEX(Calc!$H$2:$H$71,MATCH($Y61,Calc!$A$2:$A$71,0)),"")</f>
        <v>0.6</v>
      </c>
      <c r="P61" s="7" t="n">
        <f aca="false">IFERROR(INDEX(Calc!$M$2:$M$71,MATCH($Y61,Calc!$A$2:$A$71,0)),"")</f>
        <v>0.2889</v>
      </c>
      <c r="Q61" s="0" t="n">
        <v>3.5</v>
      </c>
      <c r="R61" s="7" t="n">
        <v>0.4</v>
      </c>
      <c r="S61" s="7" t="n">
        <v>0.7</v>
      </c>
      <c r="T61" s="7" t="n">
        <v>0.73</v>
      </c>
      <c r="U61" s="6" t="s">
        <v>203</v>
      </c>
      <c r="V61" s="0" t="n">
        <v>1</v>
      </c>
      <c r="W61" s="0" t="n">
        <v>2</v>
      </c>
      <c r="X61" s="0" t="str">
        <f aca="false">IFERROR(INDEX(Calc!$AH$2:$AH$71,MATCH($Y61,Calc!$A$2:$A$71,0)),"")</f>
        <v>new roster: 0% of his recent games with these teammates</v>
      </c>
      <c r="Y61" s="6" t="s">
        <v>296</v>
      </c>
      <c r="Z61" s="6" t="s">
        <v>280</v>
      </c>
      <c r="AA61" s="0" t="str">
        <f aca="false">Y61&amp;"|"&amp;Z61</f>
        <v>9frb6zd2hdy3jrk|LOL · HLE vs IG|K1</v>
      </c>
    </row>
    <row r="62" customFormat="false" ht="15" hidden="false" customHeight="false" outlineLevel="0" collapsed="false">
      <c r="A62" s="0" t="s">
        <v>104</v>
      </c>
      <c r="B62" s="0" t="s">
        <v>297</v>
      </c>
      <c r="C62" s="0" t="s">
        <v>109</v>
      </c>
      <c r="D62" s="0" t="s">
        <v>278</v>
      </c>
      <c r="E62" s="0" t="n">
        <v>2.5</v>
      </c>
      <c r="F62" s="8" t="n">
        <f aca="false">IFERROR(INDEX(CHOOSE(MATCH($Z62,{"K1","K12","K13"},0),Calc!$Y$2:$Y$71,Calc!$AA$2:$AA$71,Calc!$AC$2:$AC$71),MATCH($Y62,Calc!$A$2:$A$71,0)),"")</f>
        <v>2.86959645303457</v>
      </c>
      <c r="G62" s="8" t="n">
        <f aca="false">IFERROR(SQRT(INDEX(CHOOSE(MATCH($Z62,{"K1","K12","K13"},0),Calc!$Z$2:$Z$71,Calc!$AB$2:$AB$71,Calc!$AD$2:$AD$71),MATCH($Y62,Calc!$A$2:$A$71,0))),"")</f>
        <v>2.20250441721406</v>
      </c>
      <c r="H62" s="7" t="n">
        <f aca="false">IF(OR($E62="",$F62="",N($G62)&lt;=0),"",1-NORMDIST(FLOOR($E62,1)+0.5,$F62,$G62,TRUE()))</f>
        <v>0.566632584165038</v>
      </c>
      <c r="I62" s="7" t="n">
        <f aca="false">IF($H62="","",NORMDIST(CEILING($E62,1)-0.5,$F62,$G62,TRUE()))</f>
        <v>0.433367415834962</v>
      </c>
      <c r="J62" s="7" t="n">
        <f aca="false">IF($H62="","",MAX(0,1-$H62-$I62))</f>
        <v>0</v>
      </c>
      <c r="K62" s="0" t="str">
        <f aca="false">IF($H62="","",IF($H62&gt;=0.5+Config!$B$8,"OVER",IF($I62&gt;=0.5+Config!$B$8,"UNDER","—")))</f>
        <v>OVER</v>
      </c>
      <c r="L62" s="8" t="n">
        <f aca="false">IFERROR(INDEX(CHOOSE(MATCH($Z62,{"K1","K12","K13"},0),Calc!$AE$2:$AE$71,Calc!$AF$2:$AF$71,Calc!$AG$2:$AG$71),MATCH($Y62,Calc!$A$2:$A$71,0)),"")</f>
        <v>3.3</v>
      </c>
      <c r="M62" s="7" t="n">
        <f aca="false">IF(OR($E62="",$L62="",N($G62)&lt;=0),"",1-NORMDIST(FLOOR($E62,1)+0.5,$L62,$G62*SQRT($L62/$F62),TRUE()))</f>
        <v>0.632585492304896</v>
      </c>
      <c r="N62" s="0" t="n">
        <v>2.18</v>
      </c>
      <c r="O62" s="7" t="n">
        <f aca="false">IFERROR(INDEX(Calc!$H$2:$H$71,MATCH($Y62,Calc!$A$2:$A$71,0)),"")</f>
        <v>0.73</v>
      </c>
      <c r="P62" s="7" t="n">
        <f aca="false">IFERROR(INDEX(Calc!$M$2:$M$71,MATCH($Y62,Calc!$A$2:$A$71,0)),"")</f>
        <v>0.527</v>
      </c>
      <c r="Q62" s="0" t="n">
        <v>4</v>
      </c>
      <c r="R62" s="7" t="n">
        <v>0.6</v>
      </c>
      <c r="S62" s="7" t="n">
        <v>0.7</v>
      </c>
      <c r="T62" s="7" t="n">
        <v>0.67</v>
      </c>
      <c r="U62" s="6" t="s">
        <v>225</v>
      </c>
      <c r="V62" s="0" t="n">
        <v>1</v>
      </c>
      <c r="X62" s="0" t="str">
        <f aca="false">IFERROR(INDEX(Calc!$AH$2:$AH$71,MATCH($Y62,Calc!$A$2:$A$71,0)),"")</f>
        <v>new roster: 0% of his recent games with these teammates</v>
      </c>
      <c r="Y62" s="6" t="s">
        <v>298</v>
      </c>
      <c r="Z62" s="6" t="s">
        <v>280</v>
      </c>
      <c r="AA62" s="0" t="str">
        <f aca="false">Y62&amp;"|"&amp;Z62</f>
        <v>fcu6c9alckgkcdm|LOL · TES vs G2|K1</v>
      </c>
    </row>
    <row r="63" customFormat="false" ht="15" hidden="false" customHeight="false" outlineLevel="0" collapsed="false">
      <c r="A63" s="0" t="s">
        <v>104</v>
      </c>
      <c r="B63" s="0" t="s">
        <v>299</v>
      </c>
      <c r="C63" s="0" t="s">
        <v>109</v>
      </c>
      <c r="D63" s="0" t="s">
        <v>278</v>
      </c>
      <c r="E63" s="0" t="n">
        <v>3.5</v>
      </c>
      <c r="F63" s="8" t="n">
        <f aca="false">IFERROR(INDEX(CHOOSE(MATCH($Z63,{"K1","K12","K13"},0),Calc!$Y$2:$Y$71,Calc!$AA$2:$AA$71,Calc!$AC$2:$AC$71),MATCH($Y63,Calc!$A$2:$A$71,0)),"")</f>
        <v>3.47829873095099</v>
      </c>
      <c r="G63" s="8" t="n">
        <f aca="false">IFERROR(SQRT(INDEX(CHOOSE(MATCH($Z63,{"K1","K12","K13"},0),Calc!$Z$2:$Z$71,Calc!$AB$2:$AB$71,Calc!$AD$2:$AD$71),MATCH($Y63,Calc!$A$2:$A$71,0))),"")</f>
        <v>2.4835746963615</v>
      </c>
      <c r="H63" s="7" t="n">
        <f aca="false">IF(OR($E63="",$F63="",N($G63)&lt;=0),"",1-NORMDIST(FLOOR($E63,1)+0.5,$F63,$G63,TRUE()))</f>
        <v>0.496514119906732</v>
      </c>
      <c r="I63" s="7" t="n">
        <f aca="false">IF($H63="","",NORMDIST(CEILING($E63,1)-0.5,$F63,$G63,TRUE()))</f>
        <v>0.503485880093268</v>
      </c>
      <c r="J63" s="7" t="n">
        <f aca="false">IF($H63="","",MAX(0,1-$H63-$I63))</f>
        <v>0</v>
      </c>
      <c r="K63" s="0" t="str">
        <f aca="false">IF($H63="","",IF($H63&gt;=0.5+Config!$B$8,"OVER",IF($I63&gt;=0.5+Config!$B$8,"UNDER","—")))</f>
        <v>—</v>
      </c>
      <c r="L63" s="8" t="n">
        <f aca="false">IFERROR(INDEX(CHOOSE(MATCH($Z63,{"K1","K12","K13"},0),Calc!$AE$2:$AE$71,Calc!$AF$2:$AF$71,Calc!$AG$2:$AG$71),MATCH($Y63,Calc!$A$2:$A$71,0)),"")</f>
        <v>4</v>
      </c>
      <c r="M63" s="7" t="n">
        <f aca="false">IF(OR($E63="",$L63="",N($G63)&lt;=0),"",1-NORMDIST(FLOOR($E63,1)+0.5,$L63,$G63*SQRT($L63/$F63),TRUE()))</f>
        <v>0.574457969089682</v>
      </c>
      <c r="N63" s="0" t="n">
        <v>3.4</v>
      </c>
      <c r="O63" s="7" t="n">
        <f aca="false">IFERROR(INDEX(Calc!$H$2:$H$71,MATCH($Y63,Calc!$A$2:$A$71,0)),"")</f>
        <v>0.73</v>
      </c>
      <c r="P63" s="7" t="n">
        <f aca="false">IFERROR(INDEX(Calc!$M$2:$M$71,MATCH($Y63,Calc!$A$2:$A$71,0)),"")</f>
        <v>0.527</v>
      </c>
      <c r="Q63" s="0" t="n">
        <v>4.6</v>
      </c>
      <c r="R63" s="7" t="n">
        <v>0.6</v>
      </c>
      <c r="S63" s="7" t="n">
        <v>0.6</v>
      </c>
      <c r="T63" s="7" t="n">
        <v>0.53</v>
      </c>
      <c r="U63" s="6" t="s">
        <v>300</v>
      </c>
      <c r="V63" s="0" t="n">
        <v>1</v>
      </c>
      <c r="X63" s="0" t="str">
        <f aca="false">IFERROR(INDEX(Calc!$AH$2:$AH$71,MATCH($Y63,Calc!$A$2:$A$71,0)),"")</f>
        <v>new roster: 0% of his recent games with these teammates</v>
      </c>
      <c r="Y63" s="6" t="s">
        <v>301</v>
      </c>
      <c r="Z63" s="6" t="s">
        <v>280</v>
      </c>
      <c r="AA63" s="0" t="str">
        <f aca="false">Y63&amp;"|"&amp;Z63</f>
        <v>k04ep06dphq53i6|LOL · TES vs G2|K1</v>
      </c>
    </row>
    <row r="64" customFormat="false" ht="15" hidden="false" customHeight="false" outlineLevel="0" collapsed="false">
      <c r="A64" s="0" t="s">
        <v>104</v>
      </c>
      <c r="B64" s="0" t="s">
        <v>302</v>
      </c>
      <c r="C64" s="0" t="s">
        <v>109</v>
      </c>
      <c r="D64" s="0" t="s">
        <v>278</v>
      </c>
      <c r="E64" s="0" t="n">
        <v>3.5</v>
      </c>
      <c r="F64" s="8" t="n">
        <f aca="false">IFERROR(INDEX(CHOOSE(MATCH($Z64,{"K1","K12","K13"},0),Calc!$Y$2:$Y$71,Calc!$AA$2:$AA$71,Calc!$AC$2:$AC$71),MATCH($Y64,Calc!$A$2:$A$71,0)),"")</f>
        <v>4.00004354059364</v>
      </c>
      <c r="G64" s="8" t="n">
        <f aca="false">IFERROR(SQRT(INDEX(CHOOSE(MATCH($Z64,{"K1","K12","K13"},0),Calc!$Z$2:$Z$71,Calc!$AB$2:$AB$71,Calc!$AD$2:$AD$71),MATCH($Y64,Calc!$A$2:$A$71,0))),"")</f>
        <v>2.7161297810198</v>
      </c>
      <c r="H64" s="7" t="n">
        <f aca="false">IF(OR($E64="",$F64="",N($G64)&lt;=0),"",1-NORMDIST(FLOOR($E64,1)+0.5,$F64,$G64,TRUE()))</f>
        <v>0.573033081322171</v>
      </c>
      <c r="I64" s="7" t="n">
        <f aca="false">IF($H64="","",NORMDIST(CEILING($E64,1)-0.5,$F64,$G64,TRUE()))</f>
        <v>0.42696691867783</v>
      </c>
      <c r="J64" s="7" t="n">
        <f aca="false">IF($H64="","",MAX(0,1-$H64-$I64))</f>
        <v>0</v>
      </c>
      <c r="K64" s="0" t="str">
        <f aca="false">IF($H64="","",IF($H64&gt;=0.5+Config!$B$8,"OVER",IF($I64&gt;=0.5+Config!$B$8,"UNDER","—")))</f>
        <v>OVER</v>
      </c>
      <c r="L64" s="8" t="n">
        <f aca="false">IFERROR(INDEX(CHOOSE(MATCH($Z64,{"K1","K12","K13"},0),Calc!$AE$2:$AE$71,Calc!$AF$2:$AF$71,Calc!$AG$2:$AG$71),MATCH($Y64,Calc!$A$2:$A$71,0)),"")</f>
        <v>4.6</v>
      </c>
      <c r="M64" s="7" t="n">
        <f aca="false">IF(OR($E64="",$L64="",N($G64)&lt;=0),"",1-NORMDIST(FLOOR($E64,1)+0.5,$L64,$G64*SQRT($L64/$F64),TRUE()))</f>
        <v>0.647156669740929</v>
      </c>
      <c r="N64" s="0" t="n">
        <v>3.81</v>
      </c>
      <c r="O64" s="7" t="n">
        <f aca="false">IFERROR(INDEX(Calc!$H$2:$H$71,MATCH($Y64,Calc!$A$2:$A$71,0)),"")</f>
        <v>0.73</v>
      </c>
      <c r="P64" s="7" t="n">
        <f aca="false">IFERROR(INDEX(Calc!$M$2:$M$71,MATCH($Y64,Calc!$A$2:$A$71,0)),"")</f>
        <v>0.527</v>
      </c>
      <c r="Q64" s="0" t="n">
        <v>3.5</v>
      </c>
      <c r="R64" s="7" t="n">
        <v>0.4</v>
      </c>
      <c r="S64" s="7" t="n">
        <v>0.4</v>
      </c>
      <c r="T64" s="7" t="n">
        <v>0.33</v>
      </c>
      <c r="U64" s="6" t="s">
        <v>225</v>
      </c>
      <c r="V64" s="0" t="n">
        <v>-3</v>
      </c>
      <c r="X64" s="0" t="str">
        <f aca="false">IFERROR(INDEX(Calc!$AH$2:$AH$71,MATCH($Y64,Calc!$A$2:$A$71,0)),"")</f>
        <v>new roster: 0% of his recent games with these teammates</v>
      </c>
      <c r="Y64" s="6" t="s">
        <v>303</v>
      </c>
      <c r="Z64" s="6" t="s">
        <v>280</v>
      </c>
      <c r="AA64" s="0" t="str">
        <f aca="false">Y64&amp;"|"&amp;Z64</f>
        <v>igjqi725ffi2xyn|LOL · TES vs G2|K1</v>
      </c>
    </row>
    <row r="65" customFormat="false" ht="15" hidden="false" customHeight="false" outlineLevel="0" collapsed="false">
      <c r="A65" s="0" t="s">
        <v>104</v>
      </c>
      <c r="B65" s="0" t="s">
        <v>304</v>
      </c>
      <c r="C65" s="0" t="s">
        <v>109</v>
      </c>
      <c r="D65" s="0" t="s">
        <v>278</v>
      </c>
      <c r="E65" s="0" t="n">
        <v>0.5</v>
      </c>
      <c r="F65" s="8" t="n">
        <f aca="false">IFERROR(INDEX(CHOOSE(MATCH($Z65,{"K1","K12","K13"},0),Calc!$Y$2:$Y$71,Calc!$AA$2:$AA$71,Calc!$AC$2:$AC$71),MATCH($Y65,Calc!$A$2:$A$71,0)),"")</f>
        <v>0.695659746190198</v>
      </c>
      <c r="G65" s="8" t="n">
        <f aca="false">IFERROR(SQRT(INDEX(CHOOSE(MATCH($Z65,{"K1","K12","K13"},0),Calc!$Z$2:$Z$71,Calc!$AB$2:$AB$71,Calc!$AD$2:$AD$71),MATCH($Y65,Calc!$A$2:$A$71,0))),"")</f>
        <v>0.984993333446522</v>
      </c>
      <c r="H65" s="7" t="n">
        <f aca="false">IF(OR($E65="",$F65="",N($G65)&lt;=0),"",1-NORMDIST(FLOOR($E65,1)+0.5,$F65,$G65,TRUE()))</f>
        <v>0.57872808544028</v>
      </c>
      <c r="I65" s="7" t="n">
        <f aca="false">IF($H65="","",NORMDIST(CEILING($E65,1)-0.5,$F65,$G65,TRUE()))</f>
        <v>0.42127191455972</v>
      </c>
      <c r="J65" s="7" t="n">
        <f aca="false">IF($H65="","",MAX(0,1-$H65-$I65))</f>
        <v>0</v>
      </c>
      <c r="K65" s="0" t="str">
        <f aca="false">IF($H65="","",IF($H65&gt;=0.5+Config!$B$8,"OVER",IF($I65&gt;=0.5+Config!$B$8,"UNDER","—")))</f>
        <v>OVER</v>
      </c>
      <c r="L65" s="8" t="n">
        <f aca="false">IFERROR(INDEX(CHOOSE(MATCH($Z65,{"K1","K12","K13"},0),Calc!$AE$2:$AE$71,Calc!$AF$2:$AF$71,Calc!$AG$2:$AG$71),MATCH($Y65,Calc!$A$2:$A$71,0)),"")</f>
        <v>0.8</v>
      </c>
      <c r="M65" s="7" t="n">
        <f aca="false">IF(OR($E65="",$L65="",N($G65)&lt;=0),"",1-NORMDIST(FLOOR($E65,1)+0.5,$L65,$G65*SQRT($L65/$F65),TRUE()))</f>
        <v>0.611800589731719</v>
      </c>
      <c r="O65" s="7" t="n">
        <f aca="false">IFERROR(INDEX(Calc!$H$2:$H$71,MATCH($Y65,Calc!$A$2:$A$71,0)),"")</f>
        <v>0.73</v>
      </c>
      <c r="P65" s="7" t="n">
        <f aca="false">IFERROR(INDEX(Calc!$M$2:$M$71,MATCH($Y65,Calc!$A$2:$A$71,0)),"")</f>
        <v>0.527</v>
      </c>
      <c r="Q65" s="0" t="n">
        <v>0.6</v>
      </c>
      <c r="R65" s="7" t="n">
        <v>0.4</v>
      </c>
      <c r="S65" s="7" t="n">
        <v>0.4</v>
      </c>
      <c r="T65" s="7" t="n">
        <v>0.4</v>
      </c>
      <c r="U65" s="6" t="s">
        <v>170</v>
      </c>
      <c r="V65" s="0" t="n">
        <v>-2</v>
      </c>
      <c r="X65" s="0" t="str">
        <f aca="false">IFERROR(INDEX(Calc!$AH$2:$AH$71,MATCH($Y65,Calc!$A$2:$A$71,0)),"")</f>
        <v>new roster: 0% of his recent games with these teammates</v>
      </c>
      <c r="Y65" s="6" t="s">
        <v>305</v>
      </c>
      <c r="Z65" s="6" t="s">
        <v>280</v>
      </c>
      <c r="AA65" s="0" t="str">
        <f aca="false">Y65&amp;"|"&amp;Z65</f>
        <v>lymjra1xhf5edn3|LOL · TES vs G2|K1</v>
      </c>
    </row>
    <row r="66" customFormat="false" ht="15" hidden="false" customHeight="false" outlineLevel="0" collapsed="false">
      <c r="A66" s="0" t="s">
        <v>104</v>
      </c>
      <c r="B66" s="0" t="s">
        <v>306</v>
      </c>
      <c r="C66" s="0" t="s">
        <v>109</v>
      </c>
      <c r="D66" s="0" t="s">
        <v>278</v>
      </c>
      <c r="E66" s="0" t="n">
        <v>3.5</v>
      </c>
      <c r="F66" s="8" t="n">
        <f aca="false">IFERROR(INDEX(CHOOSE(MATCH($Z66,{"K1","K12","K13"},0),Calc!$Y$2:$Y$71,Calc!$AA$2:$AA$71,Calc!$AC$2:$AC$71),MATCH($Y66,Calc!$A$2:$A$71,0)),"")</f>
        <v>3.13046885785589</v>
      </c>
      <c r="G66" s="8" t="n">
        <f aca="false">IFERROR(SQRT(INDEX(CHOOSE(MATCH($Z66,{"K1","K12","K13"},0),Calc!$Z$2:$Z$71,Calc!$AB$2:$AB$71,Calc!$AD$2:$AD$71),MATCH($Y66,Calc!$A$2:$A$71,0))),"")</f>
        <v>2.32446918718469</v>
      </c>
      <c r="H66" s="7" t="n">
        <f aca="false">IF(OR($E66="",$F66="",N($G66)&lt;=0),"",1-NORMDIST(FLOOR($E66,1)+0.5,$F66,$G66,TRUE()))</f>
        <v>0.436844513475012</v>
      </c>
      <c r="I66" s="7" t="n">
        <f aca="false">IF($H66="","",NORMDIST(CEILING($E66,1)-0.5,$F66,$G66,TRUE()))</f>
        <v>0.563155486524988</v>
      </c>
      <c r="J66" s="7" t="n">
        <f aca="false">IF($H66="","",MAX(0,1-$H66-$I66))</f>
        <v>0</v>
      </c>
      <c r="K66" s="0" t="str">
        <f aca="false">IF($H66="","",IF($H66&gt;=0.5+Config!$B$8,"OVER",IF($I66&gt;=0.5+Config!$B$8,"UNDER","—")))</f>
        <v>UNDER</v>
      </c>
      <c r="L66" s="8" t="n">
        <f aca="false">IFERROR(INDEX(CHOOSE(MATCH($Z66,{"K1","K12","K13"},0),Calc!$AE$2:$AE$71,Calc!$AF$2:$AF$71,Calc!$AG$2:$AG$71),MATCH($Y66,Calc!$A$2:$A$71,0)),"")</f>
        <v>3.6</v>
      </c>
      <c r="M66" s="7" t="n">
        <f aca="false">IF(OR($E66="",$L66="",N($G66)&lt;=0),"",1-NORMDIST(FLOOR($E66,1)+0.5,$L66,$G66*SQRT($L66/$F66),TRUE()))</f>
        <v>0.516000119902207</v>
      </c>
      <c r="N66" s="0" t="n">
        <v>3.22</v>
      </c>
      <c r="O66" s="7" t="n">
        <f aca="false">IFERROR(INDEX(Calc!$H$2:$H$71,MATCH($Y66,Calc!$A$2:$A$71,0)),"")</f>
        <v>0.73</v>
      </c>
      <c r="P66" s="7" t="n">
        <f aca="false">IFERROR(INDEX(Calc!$M$2:$M$71,MATCH($Y66,Calc!$A$2:$A$71,0)),"")</f>
        <v>0.527</v>
      </c>
      <c r="Q66" s="0" t="n">
        <v>4</v>
      </c>
      <c r="R66" s="7" t="n">
        <v>0.6</v>
      </c>
      <c r="S66" s="7" t="n">
        <v>0.3</v>
      </c>
      <c r="T66" s="7" t="n">
        <v>0.27</v>
      </c>
      <c r="U66" s="6" t="s">
        <v>170</v>
      </c>
      <c r="V66" s="0" t="n">
        <v>1</v>
      </c>
      <c r="X66" s="0" t="str">
        <f aca="false">IFERROR(INDEX(Calc!$AH$2:$AH$71,MATCH($Y66,Calc!$A$2:$A$71,0)),"")</f>
        <v>new roster: 0% of his recent games with these teammates</v>
      </c>
      <c r="Y66" s="6" t="s">
        <v>307</v>
      </c>
      <c r="Z66" s="6" t="s">
        <v>280</v>
      </c>
      <c r="AA66" s="0" t="str">
        <f aca="false">Y66&amp;"|"&amp;Z66</f>
        <v>fiiuolpcyp1uifu|LOL · TES vs G2|K1</v>
      </c>
    </row>
    <row r="67" customFormat="false" ht="15" hidden="false" customHeight="false" outlineLevel="0" collapsed="false">
      <c r="A67" s="0" t="s">
        <v>104</v>
      </c>
      <c r="B67" s="0" t="s">
        <v>308</v>
      </c>
      <c r="C67" s="0" t="s">
        <v>108</v>
      </c>
      <c r="D67" s="0" t="s">
        <v>278</v>
      </c>
      <c r="E67" s="0" t="n">
        <v>2.5</v>
      </c>
      <c r="F67" s="8" t="n">
        <f aca="false">IFERROR(INDEX(CHOOSE(MATCH($Z67,{"K1","K12","K13"},0),Calc!$Y$2:$Y$71,Calc!$AA$2:$AA$71,Calc!$AC$2:$AC$71),MATCH($Y67,Calc!$A$2:$A$71,0)),"")</f>
        <v>2.39494607932736</v>
      </c>
      <c r="G67" s="8" t="n">
        <f aca="false">IFERROR(SQRT(INDEX(CHOOSE(MATCH($Z67,{"K1","K12","K13"},0),Calc!$Z$2:$Z$71,Calc!$AB$2:$AB$71,Calc!$AD$2:$AD$71),MATCH($Y67,Calc!$A$2:$A$71,0))),"")</f>
        <v>1.99001584830716</v>
      </c>
      <c r="H67" s="7" t="n">
        <f aca="false">IF(OR($E67="",$F67="",N($G67)&lt;=0),"",1-NORMDIST(FLOOR($E67,1)+0.5,$F67,$G67,TRUE()))</f>
        <v>0.478949417620146</v>
      </c>
      <c r="I67" s="7" t="n">
        <f aca="false">IF($H67="","",NORMDIST(CEILING($E67,1)-0.5,$F67,$G67,TRUE()))</f>
        <v>0.521050582379854</v>
      </c>
      <c r="J67" s="7" t="n">
        <f aca="false">IF($H67="","",MAX(0,1-$H67-$I67))</f>
        <v>0</v>
      </c>
      <c r="K67" s="0" t="str">
        <f aca="false">IF($H67="","",IF($H67&gt;=0.5+Config!$B$8,"OVER",IF($I67&gt;=0.5+Config!$B$8,"UNDER","—")))</f>
        <v>—</v>
      </c>
      <c r="L67" s="8" t="n">
        <f aca="false">IFERROR(INDEX(CHOOSE(MATCH($Z67,{"K1","K12","K13"},0),Calc!$AE$2:$AE$71,Calc!$AF$2:$AF$71,Calc!$AG$2:$AG$71),MATCH($Y67,Calc!$A$2:$A$71,0)),"")</f>
        <v>2.5</v>
      </c>
      <c r="M67" s="7" t="n">
        <f aca="false">IF(OR($E67="",$L67="",N($G67)&lt;=0),"",1-NORMDIST(FLOOR($E67,1)+0.5,$L67,$G67*SQRT($L67/$F67),TRUE()))</f>
        <v>0.5</v>
      </c>
      <c r="N67" s="0" t="n">
        <v>1.82</v>
      </c>
      <c r="O67" s="7" t="n">
        <f aca="false">IFERROR(INDEX(Calc!$H$2:$H$71,MATCH($Y67,Calc!$A$2:$A$71,0)),"")</f>
        <v>0.53</v>
      </c>
      <c r="P67" s="7" t="n">
        <f aca="false">IFERROR(INDEX(Calc!$M$2:$M$71,MATCH($Y67,Calc!$A$2:$A$71,0)),"")</f>
        <v>0.473</v>
      </c>
      <c r="Q67" s="0" t="n">
        <v>1.8</v>
      </c>
      <c r="R67" s="7" t="n">
        <v>0.4</v>
      </c>
      <c r="S67" s="7" t="n">
        <v>0.3</v>
      </c>
      <c r="T67" s="7" t="n">
        <v>0.33</v>
      </c>
      <c r="U67" s="6" t="s">
        <v>232</v>
      </c>
      <c r="V67" s="0" t="n">
        <v>-3</v>
      </c>
      <c r="X67" s="0" t="str">
        <f aca="false">IFERROR(INDEX(Calc!$AH$2:$AH$71,MATCH($Y67,Calc!$A$2:$A$71,0)),"")</f>
        <v>new roster: 0% of his recent games with these teammates</v>
      </c>
      <c r="Y67" s="6" t="s">
        <v>309</v>
      </c>
      <c r="Z67" s="6" t="s">
        <v>280</v>
      </c>
      <c r="AA67" s="0" t="str">
        <f aca="false">Y67&amp;"|"&amp;Z67</f>
        <v>d5dp09jubk87gzq|LOL · TES vs G2|K1</v>
      </c>
    </row>
    <row r="68" customFormat="false" ht="15" hidden="false" customHeight="false" outlineLevel="0" collapsed="false">
      <c r="A68" s="0" t="s">
        <v>104</v>
      </c>
      <c r="B68" s="0" t="s">
        <v>310</v>
      </c>
      <c r="C68" s="0" t="s">
        <v>108</v>
      </c>
      <c r="D68" s="0" t="s">
        <v>278</v>
      </c>
      <c r="E68" s="0" t="n">
        <v>3.5</v>
      </c>
      <c r="F68" s="8" t="n">
        <f aca="false">IFERROR(INDEX(CHOOSE(MATCH($Z68,{"K1","K12","K13"},0),Calc!$Y$2:$Y$71,Calc!$AA$2:$AA$71,Calc!$AC$2:$AC$71),MATCH($Y68,Calc!$A$2:$A$71,0)),"")</f>
        <v>4.03347168322042</v>
      </c>
      <c r="G68" s="8" t="n">
        <f aca="false">IFERROR(SQRT(INDEX(CHOOSE(MATCH($Z68,{"K1","K12","K13"},0),Calc!$Z$2:$Z$71,Calc!$AB$2:$AB$71,Calc!$AD$2:$AD$71),MATCH($Y68,Calc!$A$2:$A$71,0))),"")</f>
        <v>2.76499222551229</v>
      </c>
      <c r="H68" s="7" t="n">
        <f aca="false">IF(OR($E68="",$F68="",N($G68)&lt;=0),"",1-NORMDIST(FLOOR($E68,1)+0.5,$F68,$G68,TRUE()))</f>
        <v>0.576496183014182</v>
      </c>
      <c r="I68" s="7" t="n">
        <f aca="false">IF($H68="","",NORMDIST(CEILING($E68,1)-0.5,$F68,$G68,TRUE()))</f>
        <v>0.423503816985818</v>
      </c>
      <c r="J68" s="7" t="n">
        <f aca="false">IF($H68="","",MAX(0,1-$H68-$I68))</f>
        <v>0</v>
      </c>
      <c r="K68" s="0" t="str">
        <f aca="false">IF($H68="","",IF($H68&gt;=0.5+Config!$B$8,"OVER",IF($I68&gt;=0.5+Config!$B$8,"UNDER","—")))</f>
        <v>OVER</v>
      </c>
      <c r="L68" s="8" t="n">
        <f aca="false">IFERROR(INDEX(CHOOSE(MATCH($Z68,{"K1","K12","K13"},0),Calc!$AE$2:$AE$71,Calc!$AF$2:$AF$71,Calc!$AG$2:$AG$71),MATCH($Y68,Calc!$A$2:$A$71,0)),"")</f>
        <v>3.9</v>
      </c>
      <c r="M68" s="7" t="n">
        <f aca="false">IF(OR($E68="",$L68="",N($G68)&lt;=0),"",1-NORMDIST(FLOOR($E68,1)+0.5,$L68,$G68*SQRT($L68/$F68),TRUE()))</f>
        <v>0.558481557025384</v>
      </c>
      <c r="N68" s="0" t="n">
        <v>3.22</v>
      </c>
      <c r="O68" s="7" t="n">
        <f aca="false">IFERROR(INDEX(Calc!$H$2:$H$71,MATCH($Y68,Calc!$A$2:$A$71,0)),"")</f>
        <v>0.43</v>
      </c>
      <c r="P68" s="7" t="n">
        <f aca="false">IFERROR(INDEX(Calc!$M$2:$M$71,MATCH($Y68,Calc!$A$2:$A$71,0)),"")</f>
        <v>0.473</v>
      </c>
      <c r="Q68" s="0" t="n">
        <v>4</v>
      </c>
      <c r="R68" s="7" t="n">
        <v>0.4</v>
      </c>
      <c r="S68" s="7" t="n">
        <v>0.5</v>
      </c>
      <c r="T68" s="7" t="n">
        <v>0.6</v>
      </c>
      <c r="U68" s="6" t="s">
        <v>300</v>
      </c>
      <c r="V68" s="0" t="n">
        <v>1</v>
      </c>
      <c r="X68" s="0" t="str">
        <f aca="false">IFERROR(INDEX(Calc!$AH$2:$AH$71,MATCH($Y68,Calc!$A$2:$A$71,0)),"")</f>
        <v>new roster: 0% of his recent games with these teammates</v>
      </c>
      <c r="Y68" s="6" t="s">
        <v>311</v>
      </c>
      <c r="Z68" s="6" t="s">
        <v>280</v>
      </c>
      <c r="AA68" s="0" t="str">
        <f aca="false">Y68&amp;"|"&amp;Z68</f>
        <v>2lm5kmu2jy1q4aj|LOL · TES vs G2|K1</v>
      </c>
    </row>
    <row r="69" customFormat="false" ht="15" hidden="false" customHeight="false" outlineLevel="0" collapsed="false">
      <c r="A69" s="0" t="s">
        <v>104</v>
      </c>
      <c r="B69" s="0" t="s">
        <v>312</v>
      </c>
      <c r="C69" s="0" t="s">
        <v>108</v>
      </c>
      <c r="D69" s="0" t="s">
        <v>278</v>
      </c>
      <c r="E69" s="0" t="n">
        <v>4.5</v>
      </c>
      <c r="F69" s="8" t="n">
        <f aca="false">IFERROR(INDEX(CHOOSE(MATCH($Z69,{"K1","K12","K13"},0),Calc!$Y$2:$Y$71,Calc!$AA$2:$AA$71,Calc!$AC$2:$AC$71),MATCH($Y69,Calc!$A$2:$A$71,0)),"")</f>
        <v>3.82662698151681</v>
      </c>
      <c r="G69" s="8" t="n">
        <f aca="false">IFERROR(SQRT(INDEX(CHOOSE(MATCH($Z69,{"K1","K12","K13"},0),Calc!$Z$2:$Z$71,Calc!$AB$2:$AB$71,Calc!$AD$2:$AD$71),MATCH($Y69,Calc!$A$2:$A$71,0))),"")</f>
        <v>2.67138071297945</v>
      </c>
      <c r="H69" s="7" t="n">
        <f aca="false">IF(OR($E69="",$F69="",N($G69)&lt;=0),"",1-NORMDIST(FLOOR($E69,1)+0.5,$F69,$G69,TRUE()))</f>
        <v>0.400493756407806</v>
      </c>
      <c r="I69" s="7" t="n">
        <f aca="false">IF($H69="","",NORMDIST(CEILING($E69,1)-0.5,$F69,$G69,TRUE()))</f>
        <v>0.599506243592194</v>
      </c>
      <c r="J69" s="7" t="n">
        <f aca="false">IF($H69="","",MAX(0,1-$H69-$I69))</f>
        <v>0</v>
      </c>
      <c r="K69" s="0" t="str">
        <f aca="false">IF($H69="","",IF($H69&gt;=0.5+Config!$B$8,"OVER",IF($I69&gt;=0.5+Config!$B$8,"UNDER","—")))</f>
        <v>UNDER</v>
      </c>
      <c r="L69" s="8" t="n">
        <f aca="false">IFERROR(INDEX(CHOOSE(MATCH($Z69,{"K1","K12","K13"},0),Calc!$AE$2:$AE$71,Calc!$AF$2:$AF$71,Calc!$AG$2:$AG$71),MATCH($Y69,Calc!$A$2:$A$71,0)),"")</f>
        <v>3.7</v>
      </c>
      <c r="M69" s="7" t="n">
        <f aca="false">IF(OR($E69="",$L69="",N($G69)&lt;=0),"",1-NORMDIST(FLOOR($E69,1)+0.5,$L69,$G69*SQRT($L69/$F69),TRUE()))</f>
        <v>0.380353705290894</v>
      </c>
      <c r="N69" s="0" t="n">
        <v>3.57</v>
      </c>
      <c r="O69" s="7" t="n">
        <f aca="false">IFERROR(INDEX(Calc!$H$2:$H$71,MATCH($Y69,Calc!$A$2:$A$71,0)),"")</f>
        <v>0.43</v>
      </c>
      <c r="P69" s="7" t="n">
        <f aca="false">IFERROR(INDEX(Calc!$M$2:$M$71,MATCH($Y69,Calc!$A$2:$A$71,0)),"")</f>
        <v>0.473</v>
      </c>
      <c r="Q69" s="0" t="n">
        <v>2.7</v>
      </c>
      <c r="R69" s="7" t="n">
        <v>0.4</v>
      </c>
      <c r="S69" s="7" t="n">
        <v>0.4</v>
      </c>
      <c r="T69" s="7" t="n">
        <v>0.53</v>
      </c>
      <c r="U69" s="6" t="s">
        <v>155</v>
      </c>
      <c r="V69" s="0" t="n">
        <v>1</v>
      </c>
      <c r="X69" s="0" t="str">
        <f aca="false">IFERROR(INDEX(Calc!$AH$2:$AH$71,MATCH($Y69,Calc!$A$2:$A$71,0)),"")</f>
        <v>new roster: 0% of his recent games with these teammates</v>
      </c>
      <c r="Y69" s="6" t="s">
        <v>313</v>
      </c>
      <c r="Z69" s="6" t="s">
        <v>280</v>
      </c>
      <c r="AA69" s="0" t="str">
        <f aca="false">Y69&amp;"|"&amp;Z69</f>
        <v>0hu7hmd8ldnn97r|LOL · TES vs G2|K1</v>
      </c>
    </row>
    <row r="70" customFormat="false" ht="15" hidden="false" customHeight="false" outlineLevel="0" collapsed="false">
      <c r="A70" s="0" t="s">
        <v>104</v>
      </c>
      <c r="B70" s="0" t="s">
        <v>314</v>
      </c>
      <c r="C70" s="0" t="s">
        <v>108</v>
      </c>
      <c r="D70" s="0" t="s">
        <v>278</v>
      </c>
      <c r="E70" s="0" t="n">
        <v>3</v>
      </c>
      <c r="F70" s="8" t="n">
        <f aca="false">IFERROR(INDEX(CHOOSE(MATCH($Z70,{"K1","K12","K13"},0),Calc!$Y$2:$Y$71,Calc!$AA$2:$AA$71,Calc!$AC$2:$AC$71),MATCH($Y70,Calc!$A$2:$A$71,0)),"")</f>
        <v>3.51635992896139</v>
      </c>
      <c r="G70" s="8" t="n">
        <f aca="false">IFERROR(SQRT(INDEX(CHOOSE(MATCH($Z70,{"K1","K12","K13"},0),Calc!$Z$2:$Z$71,Calc!$AB$2:$AB$71,Calc!$AD$2:$AD$71),MATCH($Y70,Calc!$A$2:$A$71,0))),"")</f>
        <v>2.52914993037488</v>
      </c>
      <c r="H70" s="7" t="n">
        <f aca="false">IF(OR($E70="",$F70="",N($G70)&lt;=0),"",1-NORMDIST(FLOOR($E70,1)+0.5,$F70,$G70,TRUE()))</f>
        <v>0.502580559489191</v>
      </c>
      <c r="I70" s="7" t="n">
        <f aca="false">IF($H70="","",NORMDIST(CEILING($E70,1)-0.5,$F70,$G70,TRUE()))</f>
        <v>0.343894151210791</v>
      </c>
      <c r="J70" s="7" t="n">
        <f aca="false">IF($H70="","",MAX(0,1-$H70-$I70))</f>
        <v>0.153525289300018</v>
      </c>
      <c r="K70" s="0" t="str">
        <f aca="false">IF($H70="","",IF($H70&gt;=0.5+Config!$B$8,"OVER",IF($I70&gt;=0.5+Config!$B$8,"UNDER","—")))</f>
        <v>—</v>
      </c>
      <c r="L70" s="8" t="n">
        <f aca="false">IFERROR(INDEX(CHOOSE(MATCH($Z70,{"K1","K12","K13"},0),Calc!$AE$2:$AE$71,Calc!$AF$2:$AF$71,Calc!$AG$2:$AG$71),MATCH($Y70,Calc!$A$2:$A$71,0)),"")</f>
        <v>3.4</v>
      </c>
      <c r="M70" s="7" t="n">
        <f aca="false">IF(OR($E70="",$L70="",N($G70)&lt;=0),"",1-NORMDIST(FLOOR($E70,1)+0.5,$L70,$G70*SQRT($L70/$F70),TRUE()))</f>
        <v>0.483962905980952</v>
      </c>
      <c r="N70" s="0" t="n">
        <v>3</v>
      </c>
      <c r="O70" s="7" t="n">
        <f aca="false">IFERROR(INDEX(Calc!$H$2:$H$71,MATCH($Y70,Calc!$A$2:$A$71,0)),"")</f>
        <v>0.43</v>
      </c>
      <c r="P70" s="7" t="n">
        <f aca="false">IFERROR(INDEX(Calc!$M$2:$M$71,MATCH($Y70,Calc!$A$2:$A$71,0)),"")</f>
        <v>0.473</v>
      </c>
      <c r="Q70" s="0" t="n">
        <v>3.2</v>
      </c>
      <c r="R70" s="7" t="n">
        <v>0.4</v>
      </c>
      <c r="S70" s="7" t="n">
        <v>0.6</v>
      </c>
      <c r="T70" s="7" t="n">
        <v>0.6</v>
      </c>
      <c r="U70" s="6" t="s">
        <v>315</v>
      </c>
      <c r="V70" s="0" t="n">
        <v>1</v>
      </c>
      <c r="W70" s="0" t="n">
        <v>2</v>
      </c>
      <c r="X70" s="0" t="str">
        <f aca="false">IFERROR(INDEX(Calc!$AH$2:$AH$71,MATCH($Y70,Calc!$A$2:$A$71,0)),"")</f>
        <v>new roster: 0% of his recent games with these teammates</v>
      </c>
      <c r="Y70" s="6" t="s">
        <v>316</v>
      </c>
      <c r="Z70" s="6" t="s">
        <v>280</v>
      </c>
      <c r="AA70" s="0" t="str">
        <f aca="false">Y70&amp;"|"&amp;Z70</f>
        <v>fgtnfisj0lukgay|LOL · TES vs G2|K1</v>
      </c>
    </row>
    <row r="71" customFormat="false" ht="15" hidden="false" customHeight="false" outlineLevel="0" collapsed="false">
      <c r="A71" s="0" t="s">
        <v>104</v>
      </c>
      <c r="B71" s="0" t="s">
        <v>317</v>
      </c>
      <c r="C71" s="0" t="s">
        <v>108</v>
      </c>
      <c r="D71" s="0" t="s">
        <v>278</v>
      </c>
      <c r="E71" s="0" t="n">
        <v>0.5</v>
      </c>
      <c r="F71" s="8" t="n">
        <f aca="false">IFERROR(INDEX(CHOOSE(MATCH($Z71,{"K1","K12","K13"},0),Calc!$Y$2:$Y$71,Calc!$AA$2:$AA$71,Calc!$AC$2:$AC$71),MATCH($Y71,Calc!$A$2:$A$71,0)),"")</f>
        <v>0.723956455962639</v>
      </c>
      <c r="G71" s="8" t="n">
        <f aca="false">IFERROR(SQRT(INDEX(CHOOSE(MATCH($Z71,{"K1","K12","K13"},0),Calc!$Z$2:$Z$71,Calc!$AB$2:$AB$71,Calc!$AD$2:$AD$71),MATCH($Y71,Calc!$A$2:$A$71,0))),"")</f>
        <v>1.00921489737096</v>
      </c>
      <c r="H71" s="7" t="n">
        <f aca="false">IF(OR($E71="",$F71="",N($G71)&lt;=0),"",1-NORMDIST(FLOOR($E71,1)+0.5,$F71,$G71,TRUE()))</f>
        <v>0.587808635778208</v>
      </c>
      <c r="I71" s="7" t="n">
        <f aca="false">IF($H71="","",NORMDIST(CEILING($E71,1)-0.5,$F71,$G71,TRUE()))</f>
        <v>0.412191364221792</v>
      </c>
      <c r="J71" s="7" t="n">
        <f aca="false">IF($H71="","",MAX(0,1-$H71-$I71))</f>
        <v>0</v>
      </c>
      <c r="K71" s="0" t="str">
        <f aca="false">IF($H71="","",IF($H71&gt;=0.5+Config!$B$8,"OVER",IF($I71&gt;=0.5+Config!$B$8,"UNDER","—")))</f>
        <v>OVER</v>
      </c>
      <c r="L71" s="8" t="n">
        <f aca="false">IFERROR(INDEX(CHOOSE(MATCH($Z71,{"K1","K12","K13"},0),Calc!$AE$2:$AE$71,Calc!$AF$2:$AF$71,Calc!$AG$2:$AG$71),MATCH($Y71,Calc!$A$2:$A$71,0)),"")</f>
        <v>0.7</v>
      </c>
      <c r="M71" s="7" t="n">
        <f aca="false">IF(OR($E71="",$L71="",N($G71)&lt;=0),"",1-NORMDIST(FLOOR($E71,1)+0.5,$L71,$G71*SQRT($L71/$F71),TRUE()))</f>
        <v>0.579860423802727</v>
      </c>
      <c r="O71" s="7" t="n">
        <f aca="false">IFERROR(INDEX(Calc!$H$2:$H$71,MATCH($Y71,Calc!$A$2:$A$71,0)),"")</f>
        <v>0.43</v>
      </c>
      <c r="P71" s="7" t="n">
        <f aca="false">IFERROR(INDEX(Calc!$M$2:$M$71,MATCH($Y71,Calc!$A$2:$A$71,0)),"")</f>
        <v>0.473</v>
      </c>
      <c r="Q71" s="0" t="n">
        <v>0.6</v>
      </c>
      <c r="R71" s="7" t="n">
        <v>0.6</v>
      </c>
      <c r="S71" s="7" t="n">
        <v>0.5</v>
      </c>
      <c r="T71" s="7" t="n">
        <v>0.47</v>
      </c>
      <c r="U71" s="6" t="s">
        <v>203</v>
      </c>
      <c r="V71" s="0" t="n">
        <v>-2</v>
      </c>
      <c r="X71" s="0" t="str">
        <f aca="false">IFERROR(INDEX(Calc!$AH$2:$AH$71,MATCH($Y71,Calc!$A$2:$A$71,0)),"")</f>
        <v>new roster: 0% of his recent games with these teammates</v>
      </c>
      <c r="Y71" s="6" t="s">
        <v>318</v>
      </c>
      <c r="Z71" s="6" t="s">
        <v>280</v>
      </c>
      <c r="AA71" s="0" t="str">
        <f aca="false">Y71&amp;"|"&amp;Z71</f>
        <v>39ajy1cp6v3vhx1|LOL · TES vs G2|K1</v>
      </c>
    </row>
  </sheetData>
  <autoFilter ref="A1:AA71"/>
  <conditionalFormatting sqref="H2:H71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37" min="6" style="0" width="8"/>
  </cols>
  <sheetData>
    <row r="1" customFormat="false" ht="28.35" hidden="false" customHeight="false" outlineLevel="0" collapsed="false">
      <c r="A1" s="9" t="s">
        <v>319</v>
      </c>
      <c r="B1" s="9" t="s">
        <v>62</v>
      </c>
      <c r="C1" s="9" t="s">
        <v>40</v>
      </c>
      <c r="D1" s="9" t="s">
        <v>41</v>
      </c>
      <c r="E1" s="9" t="s">
        <v>320</v>
      </c>
      <c r="F1" s="9" t="s">
        <v>321</v>
      </c>
      <c r="G1" s="9" t="s">
        <v>322</v>
      </c>
      <c r="H1" s="9" t="s">
        <v>323</v>
      </c>
      <c r="I1" s="9" t="s">
        <v>43</v>
      </c>
      <c r="J1" s="9" t="s">
        <v>44</v>
      </c>
      <c r="K1" s="9" t="s">
        <v>45</v>
      </c>
      <c r="L1" s="9" t="s">
        <v>324</v>
      </c>
      <c r="M1" s="9" t="s">
        <v>325</v>
      </c>
      <c r="N1" s="9" t="s">
        <v>326</v>
      </c>
      <c r="O1" s="9" t="s">
        <v>327</v>
      </c>
      <c r="P1" s="9" t="s">
        <v>328</v>
      </c>
      <c r="Q1" s="9" t="s">
        <v>329</v>
      </c>
      <c r="R1" s="9" t="s">
        <v>330</v>
      </c>
      <c r="S1" s="9" t="s">
        <v>331</v>
      </c>
      <c r="T1" s="9" t="s">
        <v>332</v>
      </c>
      <c r="U1" s="9" t="s">
        <v>333</v>
      </c>
      <c r="V1" s="9" t="s">
        <v>334</v>
      </c>
      <c r="W1" s="9" t="s">
        <v>335</v>
      </c>
      <c r="X1" s="9" t="s">
        <v>336</v>
      </c>
      <c r="Y1" s="9" t="s">
        <v>280</v>
      </c>
      <c r="Z1" s="9" t="s">
        <v>337</v>
      </c>
      <c r="AA1" s="9" t="s">
        <v>147</v>
      </c>
      <c r="AB1" s="9" t="s">
        <v>338</v>
      </c>
      <c r="AC1" s="9" t="s">
        <v>339</v>
      </c>
      <c r="AD1" s="9" t="s">
        <v>340</v>
      </c>
      <c r="AE1" s="9" t="s">
        <v>341</v>
      </c>
      <c r="AF1" s="9" t="s">
        <v>342</v>
      </c>
      <c r="AG1" s="9" t="s">
        <v>343</v>
      </c>
      <c r="AH1" s="9" t="s">
        <v>57</v>
      </c>
      <c r="AI1" s="9" t="s">
        <v>344</v>
      </c>
      <c r="AJ1" s="9" t="s">
        <v>345</v>
      </c>
      <c r="AK1" s="9" t="s">
        <v>346</v>
      </c>
    </row>
    <row r="2" customFormat="false" ht="15" hidden="false" customHeight="false" outlineLevel="0" collapsed="false">
      <c r="A2" s="0" t="s">
        <v>146</v>
      </c>
      <c r="B2" s="0" t="s">
        <v>27</v>
      </c>
      <c r="C2" s="0" t="s">
        <v>79</v>
      </c>
      <c r="D2" s="0" t="s">
        <v>143</v>
      </c>
      <c r="E2" s="0" t="s">
        <v>347</v>
      </c>
      <c r="F2" s="0" t="str">
        <f aca="false">IFERROR(IF($C2=INDEX(Matches!$S$5:$S$12,MATCH($B2,Matches!$A$5:$A$12,0)),"A",IF($C2=INDEX(Matches!$T$5:$T$12,MATCH($B2,Matches!$A$5:$A$12,0)),"B","")),"")</f>
        <v>B</v>
      </c>
      <c r="G2" s="0" t="n">
        <f aca="false">IFERROR(INDEX(Players!$E$2:$E$71,MATCH($E2,Players!$A$2:$A$71,0)),0)</f>
        <v>30</v>
      </c>
      <c r="H2" s="7" t="n">
        <f aca="false">IFERROR(INDEX(Players!$F$2:$F$71,MATCH($E2,Players!$A$2:$A$71,0)),"")</f>
        <v>0.57</v>
      </c>
      <c r="I2" s="6" t="n">
        <f aca="false">IFERROR(INDEX(Players!$G$2:$G$71,MATCH($E2,Players!$A$2:$A$71,0)),"")</f>
        <v>7.5</v>
      </c>
      <c r="J2" s="12" t="n">
        <f aca="false">IF(OR($I2="",$H2=""),"",$I2*IF(LEFT($B2,4)="DOTA",Config!$B$5,Config!$B$4)/($H2*IF(LEFT($B2,4)="DOTA",Config!$B$5,Config!$B$4)+1-$H2))</f>
        <v>9.22579748418931</v>
      </c>
      <c r="K2" s="12" t="n">
        <f aca="false">IF(OR($I2="",$H2=""),"",$I2/($H2*IF(LEFT($B2,4)="DOTA",Config!$B$5,Config!$B$4)+1-$H2))</f>
        <v>5.21231496281882</v>
      </c>
      <c r="L2" s="6" t="n">
        <f aca="false">IFERROR(INDEX(Matches!$R$5:$R$12,MATCH($B2,Matches!$A$5:$A$12,0)),1)</f>
        <v>1</v>
      </c>
      <c r="M2" s="7" t="n">
        <f aca="false">IFERROR(IF(INDEX(Matches!$M$5:$M$12,MATCH($B2,Matches!$A$5:$A$12,0))="","",IF($F2="A",INDEX(Matches!$M$5:$M$12,MATCH($B2,Matches!$A$5:$A$12,0)),1-INDEX(Matches!$M$5:$M$12,MATCH($B2,Matches!$A$5:$A$12,0)))),"")</f>
        <v>0.4681</v>
      </c>
      <c r="N2" s="6" t="n">
        <f aca="false">1</f>
        <v>1</v>
      </c>
      <c r="O2" s="12" t="n">
        <f aca="false">IF(OR($M2="",$J2=""),"",$L2*($M2*$J2+(1-$M2)*$K2))</f>
        <v>7.09102613107235</v>
      </c>
      <c r="P2" s="6" t="n">
        <f aca="false">IF($O2="","",IF(LEFT($B2,4)="DOTA",Config!$B$7,Config!$B$6)*$O2+$L2^2*$M2*(1-$M2)*($J2-$K2)^2)</f>
        <v>17.0581068639417</v>
      </c>
      <c r="Q2" s="7" t="n">
        <f aca="false">IFERROR(IF(INDEX(Matches!$N$5:$N$12,MATCH($B2,Matches!$A$5:$A$12,0))="","",IF($F2="A",INDEX(Matches!$N$5:$N$12,MATCH($B2,Matches!$A$5:$A$12,0)),1-INDEX(Matches!$N$5:$N$12,MATCH($B2,Matches!$A$5:$A$12,0)))),"")</f>
        <v>0.4681</v>
      </c>
      <c r="R2" s="6" t="n">
        <f aca="false">IFERROR(N(INDEX(Matches!$P$5:$P$12,MATCH($B2,Matches!$A$5:$A$12,0))),0)</f>
        <v>1</v>
      </c>
      <c r="S2" s="12" t="n">
        <f aca="false">IF(OR($Q2="",$J2=""),"",$L2*($Q2*$J2+(1-$Q2)*$K2))</f>
        <v>7.09102613107235</v>
      </c>
      <c r="T2" s="6" t="n">
        <f aca="false">IF($S2="","",IF(LEFT($B2,4)="DOTA",Config!$B$7,Config!$B$6)*$S2+$L2^2*$Q2*(1-$Q2)*($J2-$K2)^2)</f>
        <v>17.0581068639417</v>
      </c>
      <c r="U2" s="7" t="n">
        <f aca="false">IFERROR(IF(INDEX(Matches!$O$5:$O$12,MATCH($B2,Matches!$A$5:$A$12,0))="","",IF($F2="A",INDEX(Matches!$O$5:$O$12,MATCH($B2,Matches!$A$5:$A$12,0)),1-INDEX(Matches!$O$5:$O$12,MATCH($B2,Matches!$A$5:$A$12,0)))),"")</f>
        <v>0.4524</v>
      </c>
      <c r="V2" s="6" t="n">
        <f aca="false">IFERROR(N(INDEX(Matches!$Q$5:$Q$12,MATCH($B2,Matches!$A$5:$A$12,0))),0)</f>
        <v>0.4963</v>
      </c>
      <c r="W2" s="12" t="n">
        <f aca="false">IF(OR($U2="",$J2=""),"",$L2*($U2*$J2+(1-$U2)*$K2))</f>
        <v>7.02801445548683</v>
      </c>
      <c r="X2" s="6" t="n">
        <f aca="false">IF($W2="","",IF(LEFT($B2,4)="DOTA",Config!$B$7,Config!$B$6)*$W2+$L2^2*$U2*(1-$U2)*($J2-$K2)^2)</f>
        <v>16.9220601283052</v>
      </c>
      <c r="Y2" s="12" t="n">
        <f aca="false">IF($O2="","",$O2)</f>
        <v>7.09102613107235</v>
      </c>
      <c r="Z2" s="6" t="n">
        <f aca="false">IF($P2="","",$P2)</f>
        <v>17.0581068639417</v>
      </c>
      <c r="AA2" s="12" t="n">
        <f aca="false">IF($O2="","",N($N2)*N($O2)+N($R2)*N($S2))</f>
        <v>14.1820522621447</v>
      </c>
      <c r="AB2" s="6" t="n">
        <f aca="false">IF($O2="","",(N($N2)*N($P2)+N($N2)*(1-N($N2))*N($O2)^2)+(N($R2)*N($T2)+N($R2)*(1-N($R2))*N($S2)^2))</f>
        <v>34.1162137278833</v>
      </c>
      <c r="AC2" s="12" t="n">
        <f aca="false">IF($O2="","",N($N2)*N($O2)+N($R2)*N($S2)+N($V2)*N($W2))</f>
        <v>17.6700558364028</v>
      </c>
      <c r="AD2" s="6" t="n">
        <f aca="false">IF($O2="","",(N($N2)*N($P2)+N($N2)*(1-N($N2))*N($O2)^2)+(N($R2)*N($T2)+N($R2)*(1-N($R2))*N($S2)^2)+(N($V2)*N($X2)+N($V2)*(1-N($V2))*N($W2)^2))</f>
        <v>54.8622027761996</v>
      </c>
      <c r="AE2" s="12" t="n">
        <f aca="false">IF($I2="","",$I2*$L2)</f>
        <v>7.5</v>
      </c>
      <c r="AF2" s="12" t="n">
        <f aca="false">IF($I2="","",$I2*$L2*(1+N($R2)))</f>
        <v>15</v>
      </c>
      <c r="AG2" s="12" t="n">
        <f aca="false">IF($I2="","",$I2*$L2*(1+N($R2)+N($V2)))</f>
        <v>18.72225</v>
      </c>
      <c r="AH2" s="0" t="str">
        <f aca="false">TRIM(IF($G2&lt;Config!$B$9,"thin sample ("&amp;$G2&amp;" maps) · ","")&amp;IF($I2="","no PickFinder stats · ","")&amp;IFERROR(IF(INDEX(Players!$T$2:$T$71,MATCH($E2,Players!$A$2:$A$71,0))&lt;0.5,"new roster: "&amp;TEXT(INDEX(Players!$T$2:$T$71,MATCH($E2,Players!$A$2:$A$71,0)),"0%")&amp;" of his recent games with these teammates",""),""))</f>
        <v>new roster: 0% of his recent games with these teammates</v>
      </c>
      <c r="AI2" s="6" t="n">
        <f aca="false">IF($B2=Board!$B$2,COUNTIFS($B$2:$B$71,Board!$B$2,$Y$2:$Y$71,"&gt;"&amp;$Y2)+COUNTIFS($B$1:$B1,Board!$B$2,$Y$1:$Y1,$Y2)+1,"")</f>
        <v>1</v>
      </c>
      <c r="AJ2" s="0" t="str">
        <f aca="false">IFERROR(IF(INDEX(Matches!$D$5:$D$12,MATCH($B2,Matches!$A$5:$A$12,0))=3,"K12","K13"),"K13")</f>
        <v>K12</v>
      </c>
      <c r="AK2" s="12" t="n">
        <f aca="false">IF($AJ2="K12",$AA2,$AC2)</f>
        <v>14.1820522621447</v>
      </c>
    </row>
    <row r="3" customFormat="false" ht="15" hidden="false" customHeight="false" outlineLevel="0" collapsed="false">
      <c r="A3" s="0" t="s">
        <v>150</v>
      </c>
      <c r="B3" s="0" t="s">
        <v>27</v>
      </c>
      <c r="C3" s="0" t="s">
        <v>79</v>
      </c>
      <c r="D3" s="0" t="s">
        <v>148</v>
      </c>
      <c r="E3" s="0" t="s">
        <v>348</v>
      </c>
      <c r="F3" s="0" t="str">
        <f aca="false">IFERROR(IF($C3=INDEX(Matches!$S$5:$S$12,MATCH($B3,Matches!$A$5:$A$12,0)),"A",IF($C3=INDEX(Matches!$T$5:$T$12,MATCH($B3,Matches!$A$5:$A$12,0)),"B","")),"")</f>
        <v>B</v>
      </c>
      <c r="G3" s="0" t="n">
        <f aca="false">IFERROR(INDEX(Players!$E$2:$E$71,MATCH($E3,Players!$A$2:$A$71,0)),0)</f>
        <v>30</v>
      </c>
      <c r="H3" s="7" t="n">
        <f aca="false">IFERROR(INDEX(Players!$F$2:$F$71,MATCH($E3,Players!$A$2:$A$71,0)),"")</f>
        <v>0.57</v>
      </c>
      <c r="I3" s="6" t="n">
        <f aca="false">IFERROR(INDEX(Players!$G$2:$G$71,MATCH($E3,Players!$A$2:$A$71,0)),"")</f>
        <v>3.9</v>
      </c>
      <c r="J3" s="12" t="n">
        <f aca="false">IF(OR($I3="",$H3=""),"",$I3*IF(LEFT($B3,4)="DOTA",Config!$B$5,Config!$B$4)/($H3*IF(LEFT($B3,4)="DOTA",Config!$B$5,Config!$B$4)+1-$H3))</f>
        <v>4.79741469177844</v>
      </c>
      <c r="K3" s="12" t="n">
        <f aca="false">IF(OR($I3="",$H3=""),"",$I3/($H3*IF(LEFT($B3,4)="DOTA",Config!$B$5,Config!$B$4)+1-$H3))</f>
        <v>2.71040378066579</v>
      </c>
      <c r="L3" s="6" t="n">
        <f aca="false">IFERROR(INDEX(Matches!$R$5:$R$12,MATCH($B3,Matches!$A$5:$A$12,0)),1)</f>
        <v>1</v>
      </c>
      <c r="M3" s="7" t="n">
        <f aca="false">IFERROR(IF(INDEX(Matches!$M$5:$M$12,MATCH($B3,Matches!$A$5:$A$12,0))="","",IF($F3="A",INDEX(Matches!$M$5:$M$12,MATCH($B3,Matches!$A$5:$A$12,0)),1-INDEX(Matches!$M$5:$M$12,MATCH($B3,Matches!$A$5:$A$12,0)))),"")</f>
        <v>0.4681</v>
      </c>
      <c r="N3" s="6" t="n">
        <f aca="false">1</f>
        <v>1</v>
      </c>
      <c r="O3" s="12" t="n">
        <f aca="false">IF(OR($M3="",$J3=""),"",$L3*($M3*$J3+(1-$M3)*$K3))</f>
        <v>3.68733358815762</v>
      </c>
      <c r="P3" s="6" t="n">
        <f aca="false">IF($O3="","",IF(LEFT($B3,4)="DOTA",Config!$B$7,Config!$B$6)*$O3+$L3^2*$M3*(1-$M3)*($J3-$K3)^2)</f>
        <v>7.86916512107063</v>
      </c>
      <c r="Q3" s="7" t="n">
        <f aca="false">IFERROR(IF(INDEX(Matches!$N$5:$N$12,MATCH($B3,Matches!$A$5:$A$12,0))="","",IF($F3="A",INDEX(Matches!$N$5:$N$12,MATCH($B3,Matches!$A$5:$A$12,0)),1-INDEX(Matches!$N$5:$N$12,MATCH($B3,Matches!$A$5:$A$12,0)))),"")</f>
        <v>0.4681</v>
      </c>
      <c r="R3" s="6" t="n">
        <f aca="false">IFERROR(N(INDEX(Matches!$P$5:$P$12,MATCH($B3,Matches!$A$5:$A$12,0))),0)</f>
        <v>1</v>
      </c>
      <c r="S3" s="12" t="n">
        <f aca="false">IF(OR($Q3="",$J3=""),"",$L3*($Q3*$J3+(1-$Q3)*$K3))</f>
        <v>3.68733358815762</v>
      </c>
      <c r="T3" s="6" t="n">
        <f aca="false">IF($S3="","",IF(LEFT($B3,4)="DOTA",Config!$B$7,Config!$B$6)*$S3+$L3^2*$Q3*(1-$Q3)*($J3-$K3)^2)</f>
        <v>7.86916512107063</v>
      </c>
      <c r="U3" s="7" t="n">
        <f aca="false">IFERROR(IF(INDEX(Matches!$O$5:$O$12,MATCH($B3,Matches!$A$5:$A$12,0))="","",IF($F3="A",INDEX(Matches!$O$5:$O$12,MATCH($B3,Matches!$A$5:$A$12,0)),1-INDEX(Matches!$O$5:$O$12,MATCH($B3,Matches!$A$5:$A$12,0)))),"")</f>
        <v>0.4524</v>
      </c>
      <c r="V3" s="6" t="n">
        <f aca="false">IFERROR(N(INDEX(Matches!$Q$5:$Q$12,MATCH($B3,Matches!$A$5:$A$12,0))),0)</f>
        <v>0.4963</v>
      </c>
      <c r="W3" s="12" t="n">
        <f aca="false">IF(OR($U3="",$J3=""),"",$L3*($U3*$J3+(1-$U3)*$K3))</f>
        <v>3.65456751685315</v>
      </c>
      <c r="X3" s="6" t="n">
        <f aca="false">IF($W3="","",IF(LEFT($B3,4)="DOTA",Config!$B$7,Config!$B$6)*$W3+$L3^2*$U3*(1-$U3)*($J3-$K3)^2)</f>
        <v>7.80343908957844</v>
      </c>
      <c r="Y3" s="12" t="n">
        <f aca="false">IF($O3="","",$O3)</f>
        <v>3.68733358815762</v>
      </c>
      <c r="Z3" s="6" t="n">
        <f aca="false">IF($P3="","",$P3)</f>
        <v>7.86916512107063</v>
      </c>
      <c r="AA3" s="12" t="n">
        <f aca="false">IF($O3="","",N($N3)*N($O3)+N($R3)*N($S3))</f>
        <v>7.37466717631524</v>
      </c>
      <c r="AB3" s="6" t="n">
        <f aca="false">IF($O3="","",(N($N3)*N($P3)+N($N3)*(1-N($N3))*N($O3)^2)+(N($R3)*N($T3)+N($R3)*(1-N($R3))*N($S3)^2))</f>
        <v>15.7383302421413</v>
      </c>
      <c r="AC3" s="12" t="n">
        <f aca="false">IF($O3="","",N($N3)*N($O3)+N($R3)*N($S3)+N($V3)*N($W3))</f>
        <v>9.18842903492946</v>
      </c>
      <c r="AD3" s="6" t="n">
        <f aca="false">IF($O3="","",(N($N3)*N($P3)+N($N3)*(1-N($N3))*N($O3)^2)+(N($R3)*N($T3)+N($R3)*(1-N($R3))*N($S3)^2)+(N($V3)*N($X3)+N($V3)*(1-N($V3))*N($W3)^2))</f>
        <v>22.9499601543341</v>
      </c>
      <c r="AE3" s="12" t="n">
        <f aca="false">IF($I3="","",$I3*$L3)</f>
        <v>3.9</v>
      </c>
      <c r="AF3" s="12" t="n">
        <f aca="false">IF($I3="","",$I3*$L3*(1+N($R3)))</f>
        <v>7.8</v>
      </c>
      <c r="AG3" s="12" t="n">
        <f aca="false">IF($I3="","",$I3*$L3*(1+N($R3)+N($V3)))</f>
        <v>9.73557</v>
      </c>
      <c r="AH3" s="0" t="str">
        <f aca="false">TRIM(IF($G3&lt;Config!$B$9,"thin sample ("&amp;$G3&amp;" maps) · ","")&amp;IF($I3="","no PickFinder stats · ","")&amp;IFERROR(IF(INDEX(Players!$T$2:$T$71,MATCH($E3,Players!$A$2:$A$71,0))&lt;0.5,"new roster: "&amp;TEXT(INDEX(Players!$T$2:$T$71,MATCH($E3,Players!$A$2:$A$71,0)),"0%")&amp;" of his recent games with these teammates",""),""))</f>
        <v>new roster: 0% of his recent games with these teammates</v>
      </c>
      <c r="AI3" s="6" t="n">
        <f aca="false">IF($B3=Board!$B$2,COUNTIFS($B$2:$B$71,Board!$B$2,$Y$2:$Y$71,"&gt;"&amp;$Y3)+COUNTIFS($B$1:$B2,Board!$B$2,$Y$1:$Y2,$Y3)+1,"")</f>
        <v>3</v>
      </c>
      <c r="AJ3" s="0" t="str">
        <f aca="false">IFERROR(IF(INDEX(Matches!$D$5:$D$12,MATCH($B3,Matches!$A$5:$A$12,0))=3,"K12","K13"),"K13")</f>
        <v>K12</v>
      </c>
      <c r="AK3" s="12" t="n">
        <f aca="false">IF($AJ3="K12",$AA3,$AC3)</f>
        <v>7.37466717631524</v>
      </c>
    </row>
    <row r="4" customFormat="false" ht="15" hidden="false" customHeight="false" outlineLevel="0" collapsed="false">
      <c r="A4" s="0" t="s">
        <v>153</v>
      </c>
      <c r="B4" s="0" t="s">
        <v>27</v>
      </c>
      <c r="C4" s="0" t="s">
        <v>79</v>
      </c>
      <c r="D4" s="0" t="s">
        <v>151</v>
      </c>
      <c r="E4" s="0" t="s">
        <v>349</v>
      </c>
      <c r="F4" s="0" t="str">
        <f aca="false">IFERROR(IF($C4=INDEX(Matches!$S$5:$S$12,MATCH($B4,Matches!$A$5:$A$12,0)),"A",IF($C4=INDEX(Matches!$T$5:$T$12,MATCH($B4,Matches!$A$5:$A$12,0)),"B","")),"")</f>
        <v>B</v>
      </c>
      <c r="G4" s="0" t="n">
        <f aca="false">IFERROR(INDEX(Players!$E$2:$E$71,MATCH($E4,Players!$A$2:$A$71,0)),0)</f>
        <v>30</v>
      </c>
      <c r="H4" s="7" t="n">
        <f aca="false">IFERROR(INDEX(Players!$F$2:$F$71,MATCH($E4,Players!$A$2:$A$71,0)),"")</f>
        <v>0.6</v>
      </c>
      <c r="I4" s="6" t="n">
        <f aca="false">IFERROR(INDEX(Players!$G$2:$G$71,MATCH($E4,Players!$A$2:$A$71,0)),"")</f>
        <v>3.6</v>
      </c>
      <c r="J4" s="12" t="n">
        <f aca="false">IF(OR($I4="",$H4=""),"",$I4*IF(LEFT($B4,4)="DOTA",Config!$B$5,Config!$B$4)/($H4*IF(LEFT($B4,4)="DOTA",Config!$B$5,Config!$B$4)+1-$H4))</f>
        <v>4.35841313269494</v>
      </c>
      <c r="K4" s="12" t="n">
        <f aca="false">IF(OR($I4="",$H4=""),"",$I4/($H4*IF(LEFT($B4,4)="DOTA",Config!$B$5,Config!$B$4)+1-$H4))</f>
        <v>2.46238030095759</v>
      </c>
      <c r="L4" s="6" t="n">
        <f aca="false">IFERROR(INDEX(Matches!$R$5:$R$12,MATCH($B4,Matches!$A$5:$A$12,0)),1)</f>
        <v>1</v>
      </c>
      <c r="M4" s="7" t="n">
        <f aca="false">IFERROR(IF(INDEX(Matches!$M$5:$M$12,MATCH($B4,Matches!$A$5:$A$12,0))="","",IF($F4="A",INDEX(Matches!$M$5:$M$12,MATCH($B4,Matches!$A$5:$A$12,0)),1-INDEX(Matches!$M$5:$M$12,MATCH($B4,Matches!$A$5:$A$12,0)))),"")</f>
        <v>0.4681</v>
      </c>
      <c r="N4" s="6" t="n">
        <f aca="false">1</f>
        <v>1</v>
      </c>
      <c r="O4" s="12" t="n">
        <f aca="false">IF(OR($M4="",$J4=""),"",$L4*($M4*$J4+(1-$M4)*$K4))</f>
        <v>3.34991326949384</v>
      </c>
      <c r="P4" s="6" t="n">
        <f aca="false">IF($O4="","",IF(LEFT($B4,4)="DOTA",Config!$B$7,Config!$B$6)*$O4+$L4^2*$M4*(1-$M4)*($J4-$K4)^2)</f>
        <v>7.05891729322394</v>
      </c>
      <c r="Q4" s="7" t="n">
        <f aca="false">IFERROR(IF(INDEX(Matches!$N$5:$N$12,MATCH($B4,Matches!$A$5:$A$12,0))="","",IF($F4="A",INDEX(Matches!$N$5:$N$12,MATCH($B4,Matches!$A$5:$A$12,0)),1-INDEX(Matches!$N$5:$N$12,MATCH($B4,Matches!$A$5:$A$12,0)))),"")</f>
        <v>0.4681</v>
      </c>
      <c r="R4" s="6" t="n">
        <f aca="false">IFERROR(N(INDEX(Matches!$P$5:$P$12,MATCH($B4,Matches!$A$5:$A$12,0))),0)</f>
        <v>1</v>
      </c>
      <c r="S4" s="12" t="n">
        <f aca="false">IF(OR($Q4="",$J4=""),"",$L4*($Q4*$J4+(1-$Q4)*$K4))</f>
        <v>3.34991326949384</v>
      </c>
      <c r="T4" s="6" t="n">
        <f aca="false">IF($S4="","",IF(LEFT($B4,4)="DOTA",Config!$B$7,Config!$B$6)*$S4+$L4^2*$Q4*(1-$Q4)*($J4-$K4)^2)</f>
        <v>7.05891729322394</v>
      </c>
      <c r="U4" s="7" t="n">
        <f aca="false">IFERROR(IF(INDEX(Matches!$O$5:$O$12,MATCH($B4,Matches!$A$5:$A$12,0))="","",IF($F4="A",INDEX(Matches!$O$5:$O$12,MATCH($B4,Matches!$A$5:$A$12,0)),1-INDEX(Matches!$O$5:$O$12,MATCH($B4,Matches!$A$5:$A$12,0)))),"")</f>
        <v>0.4524</v>
      </c>
      <c r="V4" s="6" t="n">
        <f aca="false">IFERROR(N(INDEX(Matches!$Q$5:$Q$12,MATCH($B4,Matches!$A$5:$A$12,0))),0)</f>
        <v>0.4963</v>
      </c>
      <c r="W4" s="12" t="n">
        <f aca="false">IF(OR($U4="",$J4=""),"",$L4*($U4*$J4+(1-$U4)*$K4))</f>
        <v>3.32014555403557</v>
      </c>
      <c r="X4" s="6" t="n">
        <f aca="false">IF($W4="","",IF(LEFT($B4,4)="DOTA",Config!$B$7,Config!$B$6)*$W4+$L4^2*$U4*(1-$U4)*($J4-$K4)^2)</f>
        <v>6.99965767179686</v>
      </c>
      <c r="Y4" s="12" t="n">
        <f aca="false">IF($O4="","",$O4)</f>
        <v>3.34991326949384</v>
      </c>
      <c r="Z4" s="6" t="n">
        <f aca="false">IF($P4="","",$P4)</f>
        <v>7.05891729322394</v>
      </c>
      <c r="AA4" s="12" t="n">
        <f aca="false">IF($O4="","",N($N4)*N($O4)+N($R4)*N($S4))</f>
        <v>6.69982653898769</v>
      </c>
      <c r="AB4" s="6" t="n">
        <f aca="false">IF($O4="","",(N($N4)*N($P4)+N($N4)*(1-N($N4))*N($O4)^2)+(N($R4)*N($T4)+N($R4)*(1-N($R4))*N($S4)^2))</f>
        <v>14.1178345864479</v>
      </c>
      <c r="AC4" s="12" t="n">
        <f aca="false">IF($O4="","",N($N4)*N($O4)+N($R4)*N($S4)+N($V4)*N($W4))</f>
        <v>8.34761477745554</v>
      </c>
      <c r="AD4" s="6" t="n">
        <f aca="false">IF($O4="","",(N($N4)*N($P4)+N($N4)*(1-N($N4))*N($O4)^2)+(N($R4)*N($T4)+N($R4)*(1-N($R4))*N($S4)^2)+(N($V4)*N($X4)+N($V4)*(1-N($V4))*N($W4)^2))</f>
        <v>20.3474554040688</v>
      </c>
      <c r="AE4" s="12" t="n">
        <f aca="false">IF($I4="","",$I4*$L4)</f>
        <v>3.6</v>
      </c>
      <c r="AF4" s="12" t="n">
        <f aca="false">IF($I4="","",$I4*$L4*(1+N($R4)))</f>
        <v>7.2</v>
      </c>
      <c r="AG4" s="12" t="n">
        <f aca="false">IF($I4="","",$I4*$L4*(1+N($R4)+N($V4)))</f>
        <v>8.98668</v>
      </c>
      <c r="AH4" s="0" t="str">
        <f aca="false">TRIM(IF($G4&lt;Config!$B$9,"thin sample ("&amp;$G4&amp;" maps) · ","")&amp;IF($I4="","no PickFinder stats · ","")&amp;IFERROR(IF(INDEX(Players!$T$2:$T$71,MATCH($E4,Players!$A$2:$A$71,0))&lt;0.5,"new roster: "&amp;TEXT(INDEX(Players!$T$2:$T$71,MATCH($E4,Players!$A$2:$A$71,0)),"0%")&amp;" of his recent games with these teammates",""),""))</f>
        <v>new roster: 0% of his recent games with these teammates</v>
      </c>
      <c r="AI4" s="6" t="n">
        <f aca="false">IF($B4=Board!$B$2,COUNTIFS($B$2:$B$71,Board!$B$2,$Y$2:$Y$71,"&gt;"&amp;$Y4)+COUNTIFS($B$1:$B3,Board!$B$2,$Y$1:$Y3,$Y4)+1,"")</f>
        <v>4</v>
      </c>
      <c r="AJ4" s="0" t="str">
        <f aca="false">IFERROR(IF(INDEX(Matches!$D$5:$D$12,MATCH($B4,Matches!$A$5:$A$12,0))=3,"K12","K13"),"K13")</f>
        <v>K12</v>
      </c>
      <c r="AK4" s="12" t="n">
        <f aca="false">IF($AJ4="K12",$AA4,$AC4)</f>
        <v>6.69982653898769</v>
      </c>
    </row>
    <row r="5" customFormat="false" ht="15" hidden="false" customHeight="false" outlineLevel="0" collapsed="false">
      <c r="A5" s="0" t="s">
        <v>156</v>
      </c>
      <c r="B5" s="0" t="s">
        <v>27</v>
      </c>
      <c r="C5" s="0" t="s">
        <v>79</v>
      </c>
      <c r="D5" s="0" t="s">
        <v>154</v>
      </c>
      <c r="E5" s="0" t="s">
        <v>350</v>
      </c>
      <c r="F5" s="0" t="str">
        <f aca="false">IFERROR(IF($C5=INDEX(Matches!$S$5:$S$12,MATCH($B5,Matches!$A$5:$A$12,0)),"A",IF($C5=INDEX(Matches!$T$5:$T$12,MATCH($B5,Matches!$A$5:$A$12,0)),"B","")),"")</f>
        <v>B</v>
      </c>
      <c r="G5" s="0" t="n">
        <f aca="false">IFERROR(INDEX(Players!$E$2:$E$71,MATCH($E5,Players!$A$2:$A$71,0)),0)</f>
        <v>30</v>
      </c>
      <c r="H5" s="7" t="n">
        <f aca="false">IFERROR(INDEX(Players!$F$2:$F$71,MATCH($E5,Players!$A$2:$A$71,0)),"")</f>
        <v>0.63</v>
      </c>
      <c r="I5" s="6" t="n">
        <f aca="false">IFERROR(INDEX(Players!$G$2:$G$71,MATCH($E5,Players!$A$2:$A$71,0)),"")</f>
        <v>7.3</v>
      </c>
      <c r="J5" s="12" t="n">
        <f aca="false">IF(OR($I5="",$H5=""),"",$I5*IF(LEFT($B5,4)="DOTA",Config!$B$5,Config!$B$4)/($H5*IF(LEFT($B5,4)="DOTA",Config!$B$5,Config!$B$4)+1-$H5))</f>
        <v>8.70042421385765</v>
      </c>
      <c r="K5" s="12" t="n">
        <f aca="false">IF(OR($I5="",$H5=""),"",$I5/($H5*IF(LEFT($B5,4)="DOTA",Config!$B$5,Config!$B$4)+1-$H5))</f>
        <v>4.91549390613427</v>
      </c>
      <c r="L5" s="6" t="n">
        <f aca="false">IFERROR(INDEX(Matches!$R$5:$R$12,MATCH($B5,Matches!$A$5:$A$12,0)),1)</f>
        <v>1</v>
      </c>
      <c r="M5" s="7" t="n">
        <f aca="false">IFERROR(IF(INDEX(Matches!$M$5:$M$12,MATCH($B5,Matches!$A$5:$A$12,0))="","",IF($F5="A",INDEX(Matches!$M$5:$M$12,MATCH($B5,Matches!$A$5:$A$12,0)),1-INDEX(Matches!$M$5:$M$12,MATCH($B5,Matches!$A$5:$A$12,0)))),"")</f>
        <v>0.4681</v>
      </c>
      <c r="N5" s="6" t="n">
        <f aca="false">1</f>
        <v>1</v>
      </c>
      <c r="O5" s="12" t="n">
        <f aca="false">IF(OR($M5="",$J5=""),"",$L5*($M5*$J5+(1-$M5)*$K5))</f>
        <v>6.68721978317958</v>
      </c>
      <c r="P5" s="6" t="n">
        <f aca="false">IF($O5="","",IF(LEFT($B5,4)="DOTA",Config!$B$7,Config!$B$6)*$O5+$L5^2*$M5*(1-$M5)*($J5-$K5)^2)</f>
        <v>15.8713307866651</v>
      </c>
      <c r="Q5" s="7" t="n">
        <f aca="false">IFERROR(IF(INDEX(Matches!$N$5:$N$12,MATCH($B5,Matches!$A$5:$A$12,0))="","",IF($F5="A",INDEX(Matches!$N$5:$N$12,MATCH($B5,Matches!$A$5:$A$12,0)),1-INDEX(Matches!$N$5:$N$12,MATCH($B5,Matches!$A$5:$A$12,0)))),"")</f>
        <v>0.4681</v>
      </c>
      <c r="R5" s="6" t="n">
        <f aca="false">IFERROR(N(INDEX(Matches!$P$5:$P$12,MATCH($B5,Matches!$A$5:$A$12,0))),0)</f>
        <v>1</v>
      </c>
      <c r="S5" s="12" t="n">
        <f aca="false">IF(OR($Q5="",$J5=""),"",$L5*($Q5*$J5+(1-$Q5)*$K5))</f>
        <v>6.68721978317958</v>
      </c>
      <c r="T5" s="6" t="n">
        <f aca="false">IF($S5="","",IF(LEFT($B5,4)="DOTA",Config!$B$7,Config!$B$6)*$S5+$L5^2*$Q5*(1-$Q5)*($J5-$K5)^2)</f>
        <v>15.8713307866651</v>
      </c>
      <c r="U5" s="7" t="n">
        <f aca="false">IFERROR(IF(INDEX(Matches!$O$5:$O$12,MATCH($B5,Matches!$A$5:$A$12,0))="","",IF($F5="A",INDEX(Matches!$O$5:$O$12,MATCH($B5,Matches!$A$5:$A$12,0)),1-INDEX(Matches!$O$5:$O$12,MATCH($B5,Matches!$A$5:$A$12,0)))),"")</f>
        <v>0.4524</v>
      </c>
      <c r="V5" s="6" t="n">
        <f aca="false">IFERROR(N(INDEX(Matches!$Q$5:$Q$12,MATCH($B5,Matches!$A$5:$A$12,0))),0)</f>
        <v>0.4963</v>
      </c>
      <c r="W5" s="12" t="n">
        <f aca="false">IF(OR($U5="",$J5=""),"",$L5*($U5*$J5+(1-$U5)*$K5))</f>
        <v>6.62779637734833</v>
      </c>
      <c r="X5" s="6" t="n">
        <f aca="false">IF($W5="","",IF(LEFT($B5,4)="DOTA",Config!$B$7,Config!$B$6)*$W5+$L5^2*$U5*(1-$U5)*($J5-$K5)^2)</f>
        <v>15.7441111006829</v>
      </c>
      <c r="Y5" s="12" t="n">
        <f aca="false">IF($O5="","",$O5)</f>
        <v>6.68721978317958</v>
      </c>
      <c r="Z5" s="6" t="n">
        <f aca="false">IF($P5="","",$P5)</f>
        <v>15.8713307866651</v>
      </c>
      <c r="AA5" s="12" t="n">
        <f aca="false">IF($O5="","",N($N5)*N($O5)+N($R5)*N($S5))</f>
        <v>13.3744395663592</v>
      </c>
      <c r="AB5" s="6" t="n">
        <f aca="false">IF($O5="","",(N($N5)*N($P5)+N($N5)*(1-N($N5))*N($O5)^2)+(N($R5)*N($T5)+N($R5)*(1-N($R5))*N($S5)^2))</f>
        <v>31.7426615733301</v>
      </c>
      <c r="AC5" s="12" t="n">
        <f aca="false">IF($O5="","",N($N5)*N($O5)+N($R5)*N($S5)+N($V5)*N($W5))</f>
        <v>16.6638149084371</v>
      </c>
      <c r="AD5" s="6" t="n">
        <f aca="false">IF($O5="","",(N($N5)*N($P5)+N($N5)*(1-N($N5))*N($O5)^2)+(N($R5)*N($T5)+N($R5)*(1-N($R5))*N($S5)^2)+(N($V5)*N($X5)+N($V5)*(1-N($V5))*N($W5)^2))</f>
        <v>50.5377837474917</v>
      </c>
      <c r="AE5" s="12" t="n">
        <f aca="false">IF($I5="","",$I5*$L5)</f>
        <v>7.3</v>
      </c>
      <c r="AF5" s="12" t="n">
        <f aca="false">IF($I5="","",$I5*$L5*(1+N($R5)))</f>
        <v>14.6</v>
      </c>
      <c r="AG5" s="12" t="n">
        <f aca="false">IF($I5="","",$I5*$L5*(1+N($R5)+N($V5)))</f>
        <v>18.22299</v>
      </c>
      <c r="AH5" s="0" t="str">
        <f aca="false">TRIM(IF($G5&lt;Config!$B$9,"thin sample ("&amp;$G5&amp;" maps) · ","")&amp;IF($I5="","no PickFinder stats · ","")&amp;IFERROR(IF(INDEX(Players!$T$2:$T$71,MATCH($E5,Players!$A$2:$A$71,0))&lt;0.5,"new roster: "&amp;TEXT(INDEX(Players!$T$2:$T$71,MATCH($E5,Players!$A$2:$A$71,0)),"0%")&amp;" of his recent games with these teammates",""),""))</f>
        <v>new roster: 0% of his recent games with these teammates</v>
      </c>
      <c r="AI5" s="6" t="n">
        <f aca="false">IF($B5=Board!$B$2,COUNTIFS($B$2:$B$71,Board!$B$2,$Y$2:$Y$71,"&gt;"&amp;$Y5)+COUNTIFS($B$1:$B4,Board!$B$2,$Y$1:$Y4,$Y5)+1,"")</f>
        <v>2</v>
      </c>
      <c r="AJ5" s="0" t="str">
        <f aca="false">IFERROR(IF(INDEX(Matches!$D$5:$D$12,MATCH($B5,Matches!$A$5:$A$12,0))=3,"K12","K13"),"K13")</f>
        <v>K12</v>
      </c>
      <c r="AK5" s="12" t="n">
        <f aca="false">IF($AJ5="K12",$AA5,$AC5)</f>
        <v>13.3744395663592</v>
      </c>
    </row>
    <row r="6" customFormat="false" ht="15" hidden="false" customHeight="false" outlineLevel="0" collapsed="false">
      <c r="A6" s="0" t="s">
        <v>159</v>
      </c>
      <c r="B6" s="0" t="s">
        <v>99</v>
      </c>
      <c r="C6" s="0" t="s">
        <v>103</v>
      </c>
      <c r="D6" s="0" t="s">
        <v>157</v>
      </c>
      <c r="E6" s="0" t="s">
        <v>351</v>
      </c>
      <c r="F6" s="0" t="str">
        <f aca="false">IFERROR(IF($C6=INDEX(Matches!$S$5:$S$12,MATCH($B6,Matches!$A$5:$A$12,0)),"A",IF($C6=INDEX(Matches!$T$5:$T$12,MATCH($B6,Matches!$A$5:$A$12,0)),"B","")),"")</f>
        <v>B</v>
      </c>
      <c r="G6" s="0" t="n">
        <f aca="false">IFERROR(INDEX(Players!$E$2:$E$71,MATCH($E6,Players!$A$2:$A$71,0)),0)</f>
        <v>30</v>
      </c>
      <c r="H6" s="7" t="n">
        <f aca="false">IFERROR(INDEX(Players!$F$2:$F$71,MATCH($E6,Players!$A$2:$A$71,0)),"")</f>
        <v>0.37</v>
      </c>
      <c r="I6" s="6" t="n">
        <f aca="false">IFERROR(INDEX(Players!$G$2:$G$71,MATCH($E6,Players!$A$2:$A$71,0)),"")</f>
        <v>2.2</v>
      </c>
      <c r="J6" s="12" t="n">
        <f aca="false">IF(OR($I6="",$H6=""),"",$I6*IF(LEFT($B6,4)="DOTA",Config!$B$5,Config!$B$4)/($H6*IF(LEFT($B6,4)="DOTA",Config!$B$5,Config!$B$4)+1-$H6))</f>
        <v>3.03058603782396</v>
      </c>
      <c r="K6" s="12" t="n">
        <f aca="false">IF(OR($I6="",$H6=""),"",$I6/($H6*IF(LEFT($B6,4)="DOTA",Config!$B$5,Config!$B$4)+1-$H6))</f>
        <v>1.71219550159546</v>
      </c>
      <c r="L6" s="6" t="n">
        <f aca="false">IFERROR(INDEX(Matches!$R$5:$R$12,MATCH($B6,Matches!$A$5:$A$12,0)),1)</f>
        <v>1</v>
      </c>
      <c r="M6" s="7" t="n">
        <f aca="false">IFERROR(IF(INDEX(Matches!$M$5:$M$12,MATCH($B6,Matches!$A$5:$A$12,0))="","",IF($F6="A",INDEX(Matches!$M$5:$M$12,MATCH($B6,Matches!$A$5:$A$12,0)),1-INDEX(Matches!$M$5:$M$12,MATCH($B6,Matches!$A$5:$A$12,0)))),"")</f>
        <v>0.221</v>
      </c>
      <c r="N6" s="6" t="n">
        <f aca="false">1</f>
        <v>1</v>
      </c>
      <c r="O6" s="12" t="n">
        <f aca="false">IF(OR($M6="",$J6=""),"",$L6*($M6*$J6+(1-$M6)*$K6))</f>
        <v>2.00355981010195</v>
      </c>
      <c r="P6" s="6" t="n">
        <f aca="false">IF($O6="","",IF(LEFT($B6,4)="DOTA",Config!$B$7,Config!$B$6)*$O6+$L6^2*$M6*(1-$M6)*($J6-$K6)^2)</f>
        <v>3.98578883724585</v>
      </c>
      <c r="Q6" s="7" t="n">
        <f aca="false">IFERROR(IF(INDEX(Matches!$N$5:$N$12,MATCH($B6,Matches!$A$5:$A$12,0))="","",IF($F6="A",INDEX(Matches!$N$5:$N$12,MATCH($B6,Matches!$A$5:$A$12,0)),1-INDEX(Matches!$N$5:$N$12,MATCH($B6,Matches!$A$5:$A$12,0)))),"")</f>
        <v>0.221</v>
      </c>
      <c r="R6" s="6" t="n">
        <f aca="false">IFERROR(N(INDEX(Matches!$P$5:$P$12,MATCH($B6,Matches!$A$5:$A$12,0))),0)</f>
        <v>1</v>
      </c>
      <c r="S6" s="12" t="n">
        <f aca="false">IF(OR($Q6="",$J6=""),"",$L6*($Q6*$J6+(1-$Q6)*$K6))</f>
        <v>2.00355981010195</v>
      </c>
      <c r="T6" s="6" t="n">
        <f aca="false">IF($S6="","",IF(LEFT($B6,4)="DOTA",Config!$B$7,Config!$B$6)*$S6+$L6^2*$Q6*(1-$Q6)*($J6-$K6)^2)</f>
        <v>3.98578883724585</v>
      </c>
      <c r="U6" s="7" t="n">
        <f aca="false">IFERROR(IF(INDEX(Matches!$O$5:$O$12,MATCH($B6,Matches!$A$5:$A$12,0))="","",IF($F6="A",INDEX(Matches!$O$5:$O$12,MATCH($B6,Matches!$A$5:$A$12,0)),1-INDEX(Matches!$O$5:$O$12,MATCH($B6,Matches!$A$5:$A$12,0)))),"")</f>
        <v>0.1353</v>
      </c>
      <c r="V6" s="6" t="n">
        <f aca="false">IFERROR(N(INDEX(Matches!$Q$5:$Q$12,MATCH($B6,Matches!$A$5:$A$12,0))),0)</f>
        <v>0.3419</v>
      </c>
      <c r="W6" s="12" t="n">
        <f aca="false">IF(OR($U6="",$J6=""),"",$L6*($U6*$J6+(1-$U6)*$K6))</f>
        <v>1.89057374114717</v>
      </c>
      <c r="X6" s="6" t="n">
        <f aca="false">IF($W6="","",IF(LEFT($B6,4)="DOTA",Config!$B$7,Config!$B$6)*$W6+$L6^2*$U6*(1-$U6)*($J6-$K6)^2)</f>
        <v>3.68200907025931</v>
      </c>
      <c r="Y6" s="12" t="n">
        <f aca="false">IF($O6="","",$O6)</f>
        <v>2.00355981010195</v>
      </c>
      <c r="Z6" s="6" t="n">
        <f aca="false">IF($P6="","",$P6)</f>
        <v>3.98578883724585</v>
      </c>
      <c r="AA6" s="12" t="n">
        <f aca="false">IF($O6="","",N($N6)*N($O6)+N($R6)*N($S6))</f>
        <v>4.00711962020391</v>
      </c>
      <c r="AB6" s="6" t="n">
        <f aca="false">IF($O6="","",(N($N6)*N($P6)+N($N6)*(1-N($N6))*N($O6)^2)+(N($R6)*N($T6)+N($R6)*(1-N($R6))*N($S6)^2))</f>
        <v>7.97157767449171</v>
      </c>
      <c r="AC6" s="12" t="n">
        <f aca="false">IF($O6="","",N($N6)*N($O6)+N($R6)*N($S6)+N($V6)*N($W6))</f>
        <v>4.65350678230213</v>
      </c>
      <c r="AD6" s="6" t="n">
        <f aca="false">IF($O6="","",(N($N6)*N($P6)+N($N6)*(1-N($N6))*N($O6)^2)+(N($R6)*N($T6)+N($R6)*(1-N($R6))*N($S6)^2)+(N($V6)*N($X6)+N($V6)*(1-N($V6))*N($W6)^2))</f>
        <v>10.0346828075655</v>
      </c>
      <c r="AE6" s="12" t="n">
        <f aca="false">IF($I6="","",$I6*$L6)</f>
        <v>2.2</v>
      </c>
      <c r="AF6" s="12" t="n">
        <f aca="false">IF($I6="","",$I6*$L6*(1+N($R6)))</f>
        <v>4.4</v>
      </c>
      <c r="AG6" s="12" t="n">
        <f aca="false">IF($I6="","",$I6*$L6*(1+N($R6)+N($V6)))</f>
        <v>5.15218</v>
      </c>
      <c r="AH6" s="0" t="str">
        <f aca="false">TRIM(IF($G6&lt;Config!$B$9,"thin sample ("&amp;$G6&amp;" maps) · ","")&amp;IF($I6="","no PickFinder stats · ","")&amp;IFERROR(IF(INDEX(Players!$T$2:$T$71,MATCH($E6,Players!$A$2:$A$71,0))&lt;0.5,"new roster: "&amp;TEXT(INDEX(Players!$T$2:$T$71,MATCH($E6,Players!$A$2:$A$71,0)),"0%")&amp;" of his recent games with these teammates",""),""))</f>
        <v>new roster: 0% of his recent games with these teammates</v>
      </c>
      <c r="AI6" s="0" t="str">
        <f aca="false">IF($B6=Board!$B$2,COUNTIFS($B$2:$B$71,Board!$B$2,$Y$2:$Y$71,"&gt;"&amp;$Y6)+COUNTIFS($B$1:$B5,Board!$B$2,$Y$1:$Y5,$Y6)+1,"")</f>
        <v/>
      </c>
      <c r="AJ6" s="0" t="str">
        <f aca="false">IFERROR(IF(INDEX(Matches!$D$5:$D$12,MATCH($B6,Matches!$A$5:$A$12,0))=3,"K12","K13"),"K13")</f>
        <v>K12</v>
      </c>
      <c r="AK6" s="12" t="n">
        <f aca="false">IF($AJ6="K12",$AA6,$AC6)</f>
        <v>4.00711962020391</v>
      </c>
    </row>
    <row r="7" customFormat="false" ht="15" hidden="false" customHeight="false" outlineLevel="0" collapsed="false">
      <c r="A7" s="0" t="s">
        <v>162</v>
      </c>
      <c r="B7" s="0" t="s">
        <v>99</v>
      </c>
      <c r="C7" s="0" t="s">
        <v>103</v>
      </c>
      <c r="D7" s="0" t="s">
        <v>160</v>
      </c>
      <c r="E7" s="0" t="s">
        <v>352</v>
      </c>
      <c r="F7" s="0" t="str">
        <f aca="false">IFERROR(IF($C7=INDEX(Matches!$S$5:$S$12,MATCH($B7,Matches!$A$5:$A$12,0)),"A",IF($C7=INDEX(Matches!$T$5:$T$12,MATCH($B7,Matches!$A$5:$A$12,0)),"B","")),"")</f>
        <v>B</v>
      </c>
      <c r="G7" s="0" t="n">
        <f aca="false">IFERROR(INDEX(Players!$E$2:$E$71,MATCH($E7,Players!$A$2:$A$71,0)),0)</f>
        <v>30</v>
      </c>
      <c r="H7" s="7" t="n">
        <f aca="false">IFERROR(INDEX(Players!$F$2:$F$71,MATCH($E7,Players!$A$2:$A$71,0)),"")</f>
        <v>0.37</v>
      </c>
      <c r="I7" s="6" t="n">
        <f aca="false">IFERROR(INDEX(Players!$G$2:$G$71,MATCH($E7,Players!$A$2:$A$71,0)),"")</f>
        <v>6.8</v>
      </c>
      <c r="J7" s="12" t="n">
        <f aca="false">IF(OR($I7="",$H7=""),"",$I7*IF(LEFT($B7,4)="DOTA",Config!$B$5,Config!$B$4)/($H7*IF(LEFT($B7,4)="DOTA",Config!$B$5,Config!$B$4)+1-$H7))</f>
        <v>9.36726593509223</v>
      </c>
      <c r="K7" s="12" t="n">
        <f aca="false">IF(OR($I7="",$H7=""),"",$I7/($H7*IF(LEFT($B7,4)="DOTA",Config!$B$5,Config!$B$4)+1-$H7))</f>
        <v>5.29224064129504</v>
      </c>
      <c r="L7" s="6" t="n">
        <f aca="false">IFERROR(INDEX(Matches!$R$5:$R$12,MATCH($B7,Matches!$A$5:$A$12,0)),1)</f>
        <v>1</v>
      </c>
      <c r="M7" s="7" t="n">
        <f aca="false">IFERROR(IF(INDEX(Matches!$M$5:$M$12,MATCH($B7,Matches!$A$5:$A$12,0))="","",IF($F7="A",INDEX(Matches!$M$5:$M$12,MATCH($B7,Matches!$A$5:$A$12,0)),1-INDEX(Matches!$M$5:$M$12,MATCH($B7,Matches!$A$5:$A$12,0)))),"")</f>
        <v>0.221</v>
      </c>
      <c r="N7" s="6" t="n">
        <f aca="false">1</f>
        <v>1</v>
      </c>
      <c r="O7" s="12" t="n">
        <f aca="false">IF(OR($M7="",$J7=""),"",$L7*($M7*$J7+(1-$M7)*$K7))</f>
        <v>6.19282123122422</v>
      </c>
      <c r="P7" s="6" t="n">
        <f aca="false">IF($O7="","",IF(LEFT($B7,4)="DOTA",Config!$B$7,Config!$B$6)*$O7+$L7^2*$M7*(1-$M7)*($J7-$K7)^2)</f>
        <v>14.2536343495596</v>
      </c>
      <c r="Q7" s="7" t="n">
        <f aca="false">IFERROR(IF(INDEX(Matches!$N$5:$N$12,MATCH($B7,Matches!$A$5:$A$12,0))="","",IF($F7="A",INDEX(Matches!$N$5:$N$12,MATCH($B7,Matches!$A$5:$A$12,0)),1-INDEX(Matches!$N$5:$N$12,MATCH($B7,Matches!$A$5:$A$12,0)))),"")</f>
        <v>0.221</v>
      </c>
      <c r="R7" s="6" t="n">
        <f aca="false">IFERROR(N(INDEX(Matches!$P$5:$P$12,MATCH($B7,Matches!$A$5:$A$12,0))),0)</f>
        <v>1</v>
      </c>
      <c r="S7" s="12" t="n">
        <f aca="false">IF(OR($Q7="",$J7=""),"",$L7*($Q7*$J7+(1-$Q7)*$K7))</f>
        <v>6.19282123122422</v>
      </c>
      <c r="T7" s="6" t="n">
        <f aca="false">IF($S7="","",IF(LEFT($B7,4)="DOTA",Config!$B$7,Config!$B$6)*$S7+$L7^2*$Q7*(1-$Q7)*($J7-$K7)^2)</f>
        <v>14.2536343495596</v>
      </c>
      <c r="U7" s="7" t="n">
        <f aca="false">IFERROR(IF(INDEX(Matches!$O$5:$O$12,MATCH($B7,Matches!$A$5:$A$12,0))="","",IF($F7="A",INDEX(Matches!$O$5:$O$12,MATCH($B7,Matches!$A$5:$A$12,0)),1-INDEX(Matches!$O$5:$O$12,MATCH($B7,Matches!$A$5:$A$12,0)))),"")</f>
        <v>0.1353</v>
      </c>
      <c r="V7" s="6" t="n">
        <f aca="false">IFERROR(N(INDEX(Matches!$Q$5:$Q$12,MATCH($B7,Matches!$A$5:$A$12,0))),0)</f>
        <v>0.3419</v>
      </c>
      <c r="W7" s="12" t="n">
        <f aca="false">IF(OR($U7="",$J7=""),"",$L7*($U7*$J7+(1-$U7)*$K7))</f>
        <v>5.8435915635458</v>
      </c>
      <c r="X7" s="6" t="n">
        <f aca="false">IF($W7="","",IF(LEFT($B7,4)="DOTA",Config!$B$7,Config!$B$6)*$W7+$L7^2*$U7*(1-$U7)*($J7-$K7)^2)</f>
        <v>12.6949895913878</v>
      </c>
      <c r="Y7" s="12" t="n">
        <f aca="false">IF($O7="","",$O7)</f>
        <v>6.19282123122422</v>
      </c>
      <c r="Z7" s="6" t="n">
        <f aca="false">IF($P7="","",$P7)</f>
        <v>14.2536343495596</v>
      </c>
      <c r="AA7" s="12" t="n">
        <f aca="false">IF($O7="","",N($N7)*N($O7)+N($R7)*N($S7))</f>
        <v>12.3856424624484</v>
      </c>
      <c r="AB7" s="6" t="n">
        <f aca="false">IF($O7="","",(N($N7)*N($P7)+N($N7)*(1-N($N7))*N($O7)^2)+(N($R7)*N($T7)+N($R7)*(1-N($R7))*N($S7)^2))</f>
        <v>28.5072686991191</v>
      </c>
      <c r="AC7" s="12" t="n">
        <f aca="false">IF($O7="","",N($N7)*N($O7)+N($R7)*N($S7)+N($V7)*N($W7))</f>
        <v>14.3835664180247</v>
      </c>
      <c r="AD7" s="6" t="n">
        <f aca="false">IF($O7="","",(N($N7)*N($P7)+N($N7)*(1-N($N7))*N($O7)^2)+(N($R7)*N($T7)+N($R7)*(1-N($R7))*N($S7)^2)+(N($V7)*N($X7)+N($V7)*(1-N($V7))*N($W7)^2))</f>
        <v>40.5310370795607</v>
      </c>
      <c r="AE7" s="12" t="n">
        <f aca="false">IF($I7="","",$I7*$L7)</f>
        <v>6.8</v>
      </c>
      <c r="AF7" s="12" t="n">
        <f aca="false">IF($I7="","",$I7*$L7*(1+N($R7)))</f>
        <v>13.6</v>
      </c>
      <c r="AG7" s="12" t="n">
        <f aca="false">IF($I7="","",$I7*$L7*(1+N($R7)+N($V7)))</f>
        <v>15.92492</v>
      </c>
      <c r="AH7" s="0" t="str">
        <f aca="false">TRIM(IF($G7&lt;Config!$B$9,"thin sample ("&amp;$G7&amp;" maps) · ","")&amp;IF($I7="","no PickFinder stats · ","")&amp;IFERROR(IF(INDEX(Players!$T$2:$T$71,MATCH($E7,Players!$A$2:$A$71,0))&lt;0.5,"new roster: "&amp;TEXT(INDEX(Players!$T$2:$T$71,MATCH($E7,Players!$A$2:$A$71,0)),"0%")&amp;" of his recent games with these teammates",""),""))</f>
        <v>new roster: 0% of his recent games with these teammates</v>
      </c>
      <c r="AI7" s="0" t="str">
        <f aca="false">IF($B7=Board!$B$2,COUNTIFS($B$2:$B$71,Board!$B$2,$Y$2:$Y$71,"&gt;"&amp;$Y7)+COUNTIFS($B$1:$B6,Board!$B$2,$Y$1:$Y6,$Y7)+1,"")</f>
        <v/>
      </c>
      <c r="AJ7" s="0" t="str">
        <f aca="false">IFERROR(IF(INDEX(Matches!$D$5:$D$12,MATCH($B7,Matches!$A$5:$A$12,0))=3,"K12","K13"),"K13")</f>
        <v>K12</v>
      </c>
      <c r="AK7" s="12" t="n">
        <f aca="false">IF($AJ7="K12",$AA7,$AC7)</f>
        <v>12.3856424624484</v>
      </c>
    </row>
    <row r="8" customFormat="false" ht="15" hidden="false" customHeight="false" outlineLevel="0" collapsed="false">
      <c r="A8" s="0" t="s">
        <v>165</v>
      </c>
      <c r="B8" s="0" t="s">
        <v>99</v>
      </c>
      <c r="C8" s="0" t="s">
        <v>103</v>
      </c>
      <c r="D8" s="0" t="s">
        <v>163</v>
      </c>
      <c r="E8" s="0" t="s">
        <v>353</v>
      </c>
      <c r="F8" s="0" t="str">
        <f aca="false">IFERROR(IF($C8=INDEX(Matches!$S$5:$S$12,MATCH($B8,Matches!$A$5:$A$12,0)),"A",IF($C8=INDEX(Matches!$T$5:$T$12,MATCH($B8,Matches!$A$5:$A$12,0)),"B","")),"")</f>
        <v>B</v>
      </c>
      <c r="G8" s="0" t="n">
        <f aca="false">IFERROR(INDEX(Players!$E$2:$E$71,MATCH($E8,Players!$A$2:$A$71,0)),0)</f>
        <v>30</v>
      </c>
      <c r="H8" s="7" t="n">
        <f aca="false">IFERROR(INDEX(Players!$F$2:$F$71,MATCH($E8,Players!$A$2:$A$71,0)),"")</f>
        <v>0.37</v>
      </c>
      <c r="I8" s="6" t="n">
        <f aca="false">IFERROR(INDEX(Players!$G$2:$G$71,MATCH($E8,Players!$A$2:$A$71,0)),"")</f>
        <v>4.3</v>
      </c>
      <c r="J8" s="12" t="n">
        <f aca="false">IF(OR($I8="",$H8=""),"",$I8*IF(LEFT($B8,4)="DOTA",Config!$B$5,Config!$B$4)/($H8*IF(LEFT($B8,4)="DOTA",Config!$B$5,Config!$B$4)+1-$H8))</f>
        <v>5.92341816483773</v>
      </c>
      <c r="K8" s="12" t="n">
        <f aca="false">IF(OR($I8="",$H8=""),"",$I8/($H8*IF(LEFT($B8,4)="DOTA",Config!$B$5,Config!$B$4)+1-$H8))</f>
        <v>3.34656393493657</v>
      </c>
      <c r="L8" s="6" t="n">
        <f aca="false">IFERROR(INDEX(Matches!$R$5:$R$12,MATCH($B8,Matches!$A$5:$A$12,0)),1)</f>
        <v>1</v>
      </c>
      <c r="M8" s="7" t="n">
        <f aca="false">IFERROR(IF(INDEX(Matches!$M$5:$M$12,MATCH($B8,Matches!$A$5:$A$12,0))="","",IF($F8="A",INDEX(Matches!$M$5:$M$12,MATCH($B8,Matches!$A$5:$A$12,0)),1-INDEX(Matches!$M$5:$M$12,MATCH($B8,Matches!$A$5:$A$12,0)))),"")</f>
        <v>0.221</v>
      </c>
      <c r="N8" s="6" t="n">
        <f aca="false">1</f>
        <v>1</v>
      </c>
      <c r="O8" s="12" t="n">
        <f aca="false">IF(OR($M8="",$J8=""),"",$L8*($M8*$J8+(1-$M8)*$K8))</f>
        <v>3.91604871974473</v>
      </c>
      <c r="P8" s="6" t="n">
        <f aca="false">IF($O8="","",IF(LEFT($B8,4)="DOTA",Config!$B$7,Config!$B$6)*$O8+$L8^2*$M8*(1-$M8)*($J8-$K8)^2)</f>
        <v>8.34869600079956</v>
      </c>
      <c r="Q8" s="7" t="n">
        <f aca="false">IFERROR(IF(INDEX(Matches!$N$5:$N$12,MATCH($B8,Matches!$A$5:$A$12,0))="","",IF($F8="A",INDEX(Matches!$N$5:$N$12,MATCH($B8,Matches!$A$5:$A$12,0)),1-INDEX(Matches!$N$5:$N$12,MATCH($B8,Matches!$A$5:$A$12,0)))),"")</f>
        <v>0.221</v>
      </c>
      <c r="R8" s="6" t="n">
        <f aca="false">IFERROR(N(INDEX(Matches!$P$5:$P$12,MATCH($B8,Matches!$A$5:$A$12,0))),0)</f>
        <v>1</v>
      </c>
      <c r="S8" s="12" t="n">
        <f aca="false">IF(OR($Q8="",$J8=""),"",$L8*($Q8*$J8+(1-$Q8)*$K8))</f>
        <v>3.91604871974473</v>
      </c>
      <c r="T8" s="6" t="n">
        <f aca="false">IF($S8="","",IF(LEFT($B8,4)="DOTA",Config!$B$7,Config!$B$6)*$S8+$L8^2*$Q8*(1-$Q8)*($J8-$K8)^2)</f>
        <v>8.34869600079956</v>
      </c>
      <c r="U8" s="7" t="n">
        <f aca="false">IFERROR(IF(INDEX(Matches!$O$5:$O$12,MATCH($B8,Matches!$A$5:$A$12,0))="","",IF($F8="A",INDEX(Matches!$O$5:$O$12,MATCH($B8,Matches!$A$5:$A$12,0)),1-INDEX(Matches!$O$5:$O$12,MATCH($B8,Matches!$A$5:$A$12,0)))),"")</f>
        <v>0.1353</v>
      </c>
      <c r="V8" s="6" t="n">
        <f aca="false">IFERROR(N(INDEX(Matches!$Q$5:$Q$12,MATCH($B8,Matches!$A$5:$A$12,0))),0)</f>
        <v>0.3419</v>
      </c>
      <c r="W8" s="12" t="n">
        <f aca="false">IF(OR($U8="",$J8=""),"",$L8*($U8*$J8+(1-$U8)*$K8))</f>
        <v>3.6952123122422</v>
      </c>
      <c r="X8" s="6" t="n">
        <f aca="false">IF($W8="","",IF(LEFT($B8,4)="DOTA",Config!$B$7,Config!$B$6)*$W8+$L8^2*$U8*(1-$U8)*($J8-$K8)^2)</f>
        <v>7.57605100933598</v>
      </c>
      <c r="Y8" s="12" t="n">
        <f aca="false">IF($O8="","",$O8)</f>
        <v>3.91604871974473</v>
      </c>
      <c r="Z8" s="6" t="n">
        <f aca="false">IF($P8="","",$P8)</f>
        <v>8.34869600079956</v>
      </c>
      <c r="AA8" s="12" t="n">
        <f aca="false">IF($O8="","",N($N8)*N($O8)+N($R8)*N($S8))</f>
        <v>7.83209743948945</v>
      </c>
      <c r="AB8" s="6" t="n">
        <f aca="false">IF($O8="","",(N($N8)*N($P8)+N($N8)*(1-N($N8))*N($O8)^2)+(N($R8)*N($T8)+N($R8)*(1-N($R8))*N($S8)^2))</f>
        <v>16.6973920015991</v>
      </c>
      <c r="AC8" s="12" t="n">
        <f aca="false">IF($O8="","",N($N8)*N($O8)+N($R8)*N($S8)+N($V8)*N($W8))</f>
        <v>9.09549052904506</v>
      </c>
      <c r="AD8" s="6" t="n">
        <f aca="false">IF($O8="","",(N($N8)*N($P8)+N($N8)*(1-N($N8))*N($O8)^2)+(N($R8)*N($T8)+N($R8)*(1-N($R8))*N($S8)^2)+(N($V8)*N($X8)+N($V8)*(1-N($V8))*N($W8)^2))</f>
        <v>22.3599874426818</v>
      </c>
      <c r="AE8" s="12" t="n">
        <f aca="false">IF($I8="","",$I8*$L8)</f>
        <v>4.3</v>
      </c>
      <c r="AF8" s="12" t="n">
        <f aca="false">IF($I8="","",$I8*$L8*(1+N($R8)))</f>
        <v>8.6</v>
      </c>
      <c r="AG8" s="12" t="n">
        <f aca="false">IF($I8="","",$I8*$L8*(1+N($R8)+N($V8)))</f>
        <v>10.07017</v>
      </c>
      <c r="AH8" s="0" t="str">
        <f aca="false">TRIM(IF($G8&lt;Config!$B$9,"thin sample ("&amp;$G8&amp;" maps) · ","")&amp;IF($I8="","no PickFinder stats · ","")&amp;IFERROR(IF(INDEX(Players!$T$2:$T$71,MATCH($E8,Players!$A$2:$A$71,0))&lt;0.5,"new roster: "&amp;TEXT(INDEX(Players!$T$2:$T$71,MATCH($E8,Players!$A$2:$A$71,0)),"0%")&amp;" of his recent games with these teammates",""),""))</f>
        <v>new roster: 0% of his recent games with these teammates</v>
      </c>
      <c r="AI8" s="0" t="str">
        <f aca="false">IF($B8=Board!$B$2,COUNTIFS($B$2:$B$71,Board!$B$2,$Y$2:$Y$71,"&gt;"&amp;$Y8)+COUNTIFS($B$1:$B7,Board!$B$2,$Y$1:$Y7,$Y8)+1,"")</f>
        <v/>
      </c>
      <c r="AJ8" s="0" t="str">
        <f aca="false">IFERROR(IF(INDEX(Matches!$D$5:$D$12,MATCH($B8,Matches!$A$5:$A$12,0))=3,"K12","K13"),"K13")</f>
        <v>K12</v>
      </c>
      <c r="AK8" s="12" t="n">
        <f aca="false">IF($AJ8="K12",$AA8,$AC8)</f>
        <v>7.83209743948945</v>
      </c>
    </row>
    <row r="9" customFormat="false" ht="15" hidden="false" customHeight="false" outlineLevel="0" collapsed="false">
      <c r="A9" s="0" t="s">
        <v>168</v>
      </c>
      <c r="B9" s="0" t="s">
        <v>99</v>
      </c>
      <c r="C9" s="0" t="s">
        <v>103</v>
      </c>
      <c r="D9" s="0" t="s">
        <v>166</v>
      </c>
      <c r="E9" s="0" t="s">
        <v>354</v>
      </c>
      <c r="F9" s="0" t="str">
        <f aca="false">IFERROR(IF($C9=INDEX(Matches!$S$5:$S$12,MATCH($B9,Matches!$A$5:$A$12,0)),"A",IF($C9=INDEX(Matches!$T$5:$T$12,MATCH($B9,Matches!$A$5:$A$12,0)),"B","")),"")</f>
        <v>B</v>
      </c>
      <c r="G9" s="0" t="n">
        <f aca="false">IFERROR(INDEX(Players!$E$2:$E$71,MATCH($E9,Players!$A$2:$A$71,0)),0)</f>
        <v>30</v>
      </c>
      <c r="H9" s="7" t="n">
        <f aca="false">IFERROR(INDEX(Players!$F$2:$F$71,MATCH($E9,Players!$A$2:$A$71,0)),"")</f>
        <v>0.37</v>
      </c>
      <c r="I9" s="6" t="n">
        <f aca="false">IFERROR(INDEX(Players!$G$2:$G$71,MATCH($E9,Players!$A$2:$A$71,0)),"")</f>
        <v>3.8</v>
      </c>
      <c r="J9" s="12" t="n">
        <f aca="false">IF(OR($I9="",$H9=""),"",$I9*IF(LEFT($B9,4)="DOTA",Config!$B$5,Config!$B$4)/($H9*IF(LEFT($B9,4)="DOTA",Config!$B$5,Config!$B$4)+1-$H9))</f>
        <v>5.23464861078683</v>
      </c>
      <c r="K9" s="12" t="n">
        <f aca="false">IF(OR($I9="",$H9=""),"",$I9/($H9*IF(LEFT($B9,4)="DOTA",Config!$B$5,Config!$B$4)+1-$H9))</f>
        <v>2.95742859366488</v>
      </c>
      <c r="L9" s="6" t="n">
        <f aca="false">IFERROR(INDEX(Matches!$R$5:$R$12,MATCH($B9,Matches!$A$5:$A$12,0)),1)</f>
        <v>1</v>
      </c>
      <c r="M9" s="7" t="n">
        <f aca="false">IFERROR(IF(INDEX(Matches!$M$5:$M$12,MATCH($B9,Matches!$A$5:$A$12,0))="","",IF($F9="A",INDEX(Matches!$M$5:$M$12,MATCH($B9,Matches!$A$5:$A$12,0)),1-INDEX(Matches!$M$5:$M$12,MATCH($B9,Matches!$A$5:$A$12,0)))),"")</f>
        <v>0.221</v>
      </c>
      <c r="N9" s="6" t="n">
        <f aca="false">1</f>
        <v>1</v>
      </c>
      <c r="O9" s="12" t="n">
        <f aca="false">IF(OR($M9="",$J9=""),"",$L9*($M9*$J9+(1-$M9)*$K9))</f>
        <v>3.46069421744883</v>
      </c>
      <c r="P9" s="6" t="n">
        <f aca="false">IF($O9="","",IF(LEFT($B9,4)="DOTA",Config!$B$7,Config!$B$6)*$O9+$L9^2*$M9*(1-$M9)*($J9-$K9)^2)</f>
        <v>7.26044762443338</v>
      </c>
      <c r="Q9" s="7" t="n">
        <f aca="false">IFERROR(IF(INDEX(Matches!$N$5:$N$12,MATCH($B9,Matches!$A$5:$A$12,0))="","",IF($F9="A",INDEX(Matches!$N$5:$N$12,MATCH($B9,Matches!$A$5:$A$12,0)),1-INDEX(Matches!$N$5:$N$12,MATCH($B9,Matches!$A$5:$A$12,0)))),"")</f>
        <v>0.221</v>
      </c>
      <c r="R9" s="6" t="n">
        <f aca="false">IFERROR(N(INDEX(Matches!$P$5:$P$12,MATCH($B9,Matches!$A$5:$A$12,0))),0)</f>
        <v>1</v>
      </c>
      <c r="S9" s="12" t="n">
        <f aca="false">IF(OR($Q9="",$J9=""),"",$L9*($Q9*$J9+(1-$Q9)*$K9))</f>
        <v>3.46069421744883</v>
      </c>
      <c r="T9" s="6" t="n">
        <f aca="false">IF($S9="","",IF(LEFT($B9,4)="DOTA",Config!$B$7,Config!$B$6)*$S9+$L9^2*$Q9*(1-$Q9)*($J9-$K9)^2)</f>
        <v>7.26044762443338</v>
      </c>
      <c r="U9" s="7" t="n">
        <f aca="false">IFERROR(IF(INDEX(Matches!$O$5:$O$12,MATCH($B9,Matches!$A$5:$A$12,0))="","",IF($F9="A",INDEX(Matches!$O$5:$O$12,MATCH($B9,Matches!$A$5:$A$12,0)),1-INDEX(Matches!$O$5:$O$12,MATCH($B9,Matches!$A$5:$A$12,0)))),"")</f>
        <v>0.1353</v>
      </c>
      <c r="V9" s="6" t="n">
        <f aca="false">IFERROR(N(INDEX(Matches!$Q$5:$Q$12,MATCH($B9,Matches!$A$5:$A$12,0))),0)</f>
        <v>0.3419</v>
      </c>
      <c r="W9" s="12" t="n">
        <f aca="false">IF(OR($U9="",$J9=""),"",$L9*($U9*$J9+(1-$U9)*$K9))</f>
        <v>3.26553646198148</v>
      </c>
      <c r="X9" s="6" t="n">
        <f aca="false">IF($W9="","",IF(LEFT($B9,4)="DOTA",Config!$B$7,Config!$B$6)*$W9+$L9^2*$U9*(1-$U9)*($J9-$K9)^2)</f>
        <v>6.61528603669066</v>
      </c>
      <c r="Y9" s="12" t="n">
        <f aca="false">IF($O9="","",$O9)</f>
        <v>3.46069421744883</v>
      </c>
      <c r="Z9" s="6" t="n">
        <f aca="false">IF($P9="","",$P9)</f>
        <v>7.26044762443338</v>
      </c>
      <c r="AA9" s="12" t="n">
        <f aca="false">IF($O9="","",N($N9)*N($O9)+N($R9)*N($S9))</f>
        <v>6.92138843489766</v>
      </c>
      <c r="AB9" s="6" t="n">
        <f aca="false">IF($O9="","",(N($N9)*N($P9)+N($N9)*(1-N($N9))*N($O9)^2)+(N($R9)*N($T9)+N($R9)*(1-N($R9))*N($S9)^2))</f>
        <v>14.5208952488668</v>
      </c>
      <c r="AC9" s="12" t="n">
        <f aca="false">IF($O9="","",N($N9)*N($O9)+N($R9)*N($S9)+N($V9)*N($W9))</f>
        <v>8.03787535124912</v>
      </c>
      <c r="AD9" s="6" t="n">
        <f aca="false">IF($O9="","",(N($N9)*N($P9)+N($N9)*(1-N($N9))*N($O9)^2)+(N($R9)*N($T9)+N($R9)*(1-N($R9))*N($S9)^2)+(N($V9)*N($X9)+N($V9)*(1-N($V9))*N($W9)^2))</f>
        <v>19.1820472450983</v>
      </c>
      <c r="AE9" s="12" t="n">
        <f aca="false">IF($I9="","",$I9*$L9)</f>
        <v>3.8</v>
      </c>
      <c r="AF9" s="12" t="n">
        <f aca="false">IF($I9="","",$I9*$L9*(1+N($R9)))</f>
        <v>7.6</v>
      </c>
      <c r="AG9" s="12" t="n">
        <f aca="false">IF($I9="","",$I9*$L9*(1+N($R9)+N($V9)))</f>
        <v>8.89922</v>
      </c>
      <c r="AH9" s="0" t="str">
        <f aca="false">TRIM(IF($G9&lt;Config!$B$9,"thin sample ("&amp;$G9&amp;" maps) · ","")&amp;IF($I9="","no PickFinder stats · ","")&amp;IFERROR(IF(INDEX(Players!$T$2:$T$71,MATCH($E9,Players!$A$2:$A$71,0))&lt;0.5,"new roster: "&amp;TEXT(INDEX(Players!$T$2:$T$71,MATCH($E9,Players!$A$2:$A$71,0)),"0%")&amp;" of his recent games with these teammates",""),""))</f>
        <v>new roster: 0% of his recent games with these teammates</v>
      </c>
      <c r="AI9" s="0" t="str">
        <f aca="false">IF($B9=Board!$B$2,COUNTIFS($B$2:$B$71,Board!$B$2,$Y$2:$Y$71,"&gt;"&amp;$Y9)+COUNTIFS($B$1:$B8,Board!$B$2,$Y$1:$Y8,$Y9)+1,"")</f>
        <v/>
      </c>
      <c r="AJ9" s="0" t="str">
        <f aca="false">IFERROR(IF(INDEX(Matches!$D$5:$D$12,MATCH($B9,Matches!$A$5:$A$12,0))=3,"K12","K13"),"K13")</f>
        <v>K12</v>
      </c>
      <c r="AK9" s="12" t="n">
        <f aca="false">IF($AJ9="K12",$AA9,$AC9)</f>
        <v>6.92138843489766</v>
      </c>
    </row>
    <row r="10" customFormat="false" ht="15" hidden="false" customHeight="false" outlineLevel="0" collapsed="false">
      <c r="A10" s="0" t="s">
        <v>171</v>
      </c>
      <c r="B10" s="0" t="s">
        <v>99</v>
      </c>
      <c r="C10" s="0" t="s">
        <v>103</v>
      </c>
      <c r="D10" s="0" t="s">
        <v>169</v>
      </c>
      <c r="E10" s="0" t="s">
        <v>355</v>
      </c>
      <c r="F10" s="0" t="str">
        <f aca="false">IFERROR(IF($C10=INDEX(Matches!$S$5:$S$12,MATCH($B10,Matches!$A$5:$A$12,0)),"A",IF($C10=INDEX(Matches!$T$5:$T$12,MATCH($B10,Matches!$A$5:$A$12,0)),"B","")),"")</f>
        <v>B</v>
      </c>
      <c r="G10" s="0" t="n">
        <f aca="false">IFERROR(INDEX(Players!$E$2:$E$71,MATCH($E10,Players!$A$2:$A$71,0)),0)</f>
        <v>30</v>
      </c>
      <c r="H10" s="7" t="n">
        <f aca="false">IFERROR(INDEX(Players!$F$2:$F$71,MATCH($E10,Players!$A$2:$A$71,0)),"")</f>
        <v>0.4</v>
      </c>
      <c r="I10" s="6" t="n">
        <f aca="false">IFERROR(INDEX(Players!$G$2:$G$71,MATCH($E10,Players!$A$2:$A$71,0)),"")</f>
        <v>2.5</v>
      </c>
      <c r="J10" s="12" t="n">
        <f aca="false">IF(OR($I10="",$H10=""),"",$I10*IF(LEFT($B10,4)="DOTA",Config!$B$5,Config!$B$4)/($H10*IF(LEFT($B10,4)="DOTA",Config!$B$5,Config!$B$4)+1-$H10))</f>
        <v>3.38302752293578</v>
      </c>
      <c r="K10" s="12" t="n">
        <f aca="false">IF(OR($I10="",$H10=""),"",$I10/($H10*IF(LEFT($B10,4)="DOTA",Config!$B$5,Config!$B$4)+1-$H10))</f>
        <v>1.91131498470948</v>
      </c>
      <c r="L10" s="6" t="n">
        <f aca="false">IFERROR(INDEX(Matches!$R$5:$R$12,MATCH($B10,Matches!$A$5:$A$12,0)),1)</f>
        <v>1</v>
      </c>
      <c r="M10" s="7" t="n">
        <f aca="false">IFERROR(IF(INDEX(Matches!$M$5:$M$12,MATCH($B10,Matches!$A$5:$A$12,0))="","",IF($F10="A",INDEX(Matches!$M$5:$M$12,MATCH($B10,Matches!$A$5:$A$12,0)),1-INDEX(Matches!$M$5:$M$12,MATCH($B10,Matches!$A$5:$A$12,0)))),"")</f>
        <v>0.221</v>
      </c>
      <c r="N10" s="6" t="n">
        <f aca="false">1</f>
        <v>1</v>
      </c>
      <c r="O10" s="12" t="n">
        <f aca="false">IF(OR($M10="",$J10=""),"",$L10*($M10*$J10+(1-$M10)*$K10))</f>
        <v>2.23656345565749</v>
      </c>
      <c r="P10" s="6" t="n">
        <f aca="false">IF($O10="","",IF(LEFT($B10,4)="DOTA",Config!$B$7,Config!$B$6)*$O10+$L10^2*$M10*(1-$M10)*($J10-$K10)^2)</f>
        <v>4.48816244328889</v>
      </c>
      <c r="Q10" s="7" t="n">
        <f aca="false">IFERROR(IF(INDEX(Matches!$N$5:$N$12,MATCH($B10,Matches!$A$5:$A$12,0))="","",IF($F10="A",INDEX(Matches!$N$5:$N$12,MATCH($B10,Matches!$A$5:$A$12,0)),1-INDEX(Matches!$N$5:$N$12,MATCH($B10,Matches!$A$5:$A$12,0)))),"")</f>
        <v>0.221</v>
      </c>
      <c r="R10" s="6" t="n">
        <f aca="false">IFERROR(N(INDEX(Matches!$P$5:$P$12,MATCH($B10,Matches!$A$5:$A$12,0))),0)</f>
        <v>1</v>
      </c>
      <c r="S10" s="12" t="n">
        <f aca="false">IF(OR($Q10="",$J10=""),"",$L10*($Q10*$J10+(1-$Q10)*$K10))</f>
        <v>2.23656345565749</v>
      </c>
      <c r="T10" s="6" t="n">
        <f aca="false">IF($S10="","",IF(LEFT($B10,4)="DOTA",Config!$B$7,Config!$B$6)*$S10+$L10^2*$Q10*(1-$Q10)*($J10-$K10)^2)</f>
        <v>4.48816244328889</v>
      </c>
      <c r="U10" s="7" t="n">
        <f aca="false">IFERROR(IF(INDEX(Matches!$O$5:$O$12,MATCH($B10,Matches!$A$5:$A$12,0))="","",IF($F10="A",INDEX(Matches!$O$5:$O$12,MATCH($B10,Matches!$A$5:$A$12,0)),1-INDEX(Matches!$O$5:$O$12,MATCH($B10,Matches!$A$5:$A$12,0)))),"")</f>
        <v>0.1353</v>
      </c>
      <c r="V10" s="6" t="n">
        <f aca="false">IFERROR(N(INDEX(Matches!$Q$5:$Q$12,MATCH($B10,Matches!$A$5:$A$12,0))),0)</f>
        <v>0.3419</v>
      </c>
      <c r="W10" s="12" t="n">
        <f aca="false">IF(OR($U10="",$J10=""),"",$L10*($U10*$J10+(1-$U10)*$K10))</f>
        <v>2.1104376911315</v>
      </c>
      <c r="X10" s="6" t="n">
        <f aca="false">IF($W10="","",IF(LEFT($B10,4)="DOTA",Config!$B$7,Config!$B$6)*$W10+$L10^2*$U10*(1-$U10)*($J10-$K10)^2)</f>
        <v>4.13660688315597</v>
      </c>
      <c r="Y10" s="12" t="n">
        <f aca="false">IF($O10="","",$O10)</f>
        <v>2.23656345565749</v>
      </c>
      <c r="Z10" s="6" t="n">
        <f aca="false">IF($P10="","",$P10)</f>
        <v>4.48816244328889</v>
      </c>
      <c r="AA10" s="12" t="n">
        <f aca="false">IF($O10="","",N($N10)*N($O10)+N($R10)*N($S10))</f>
        <v>4.47312691131498</v>
      </c>
      <c r="AB10" s="6" t="n">
        <f aca="false">IF($O10="","",(N($N10)*N($P10)+N($N10)*(1-N($N10))*N($O10)^2)+(N($R10)*N($T10)+N($R10)*(1-N($R10))*N($S10)^2))</f>
        <v>8.97632488657777</v>
      </c>
      <c r="AC10" s="12" t="n">
        <f aca="false">IF($O10="","",N($N10)*N($O10)+N($R10)*N($S10)+N($V10)*N($W10))</f>
        <v>5.19468555791284</v>
      </c>
      <c r="AD10" s="6" t="n">
        <f aca="false">IF($O10="","",(N($N10)*N($P10)+N($N10)*(1-N($N10))*N($O10)^2)+(N($R10)*N($T10)+N($R10)*(1-N($R10))*N($S10)^2)+(N($V10)*N($X10)+N($V10)*(1-N($V10))*N($W10)^2))</f>
        <v>11.3927884635906</v>
      </c>
      <c r="AE10" s="12" t="n">
        <f aca="false">IF($I10="","",$I10*$L10)</f>
        <v>2.5</v>
      </c>
      <c r="AF10" s="12" t="n">
        <f aca="false">IF($I10="","",$I10*$L10*(1+N($R10)))</f>
        <v>5</v>
      </c>
      <c r="AG10" s="12" t="n">
        <f aca="false">IF($I10="","",$I10*$L10*(1+N($R10)+N($V10)))</f>
        <v>5.85475</v>
      </c>
      <c r="AH10" s="0" t="str">
        <f aca="false">TRIM(IF($G10&lt;Config!$B$9,"thin sample ("&amp;$G10&amp;" maps) · ","")&amp;IF($I10="","no PickFinder stats · ","")&amp;IFERROR(IF(INDEX(Players!$T$2:$T$71,MATCH($E10,Players!$A$2:$A$71,0))&lt;0.5,"new roster: "&amp;TEXT(INDEX(Players!$T$2:$T$71,MATCH($E10,Players!$A$2:$A$71,0)),"0%")&amp;" of his recent games with these teammates",""),""))</f>
        <v>new roster: 0% of his recent games with these teammates</v>
      </c>
      <c r="AI10" s="0" t="str">
        <f aca="false">IF($B10=Board!$B$2,COUNTIFS($B$2:$B$71,Board!$B$2,$Y$2:$Y$71,"&gt;"&amp;$Y10)+COUNTIFS($B$1:$B9,Board!$B$2,$Y$1:$Y9,$Y10)+1,"")</f>
        <v/>
      </c>
      <c r="AJ10" s="0" t="str">
        <f aca="false">IFERROR(IF(INDEX(Matches!$D$5:$D$12,MATCH($B10,Matches!$A$5:$A$12,0))=3,"K12","K13"),"K13")</f>
        <v>K12</v>
      </c>
      <c r="AK10" s="12" t="n">
        <f aca="false">IF($AJ10="K12",$AA10,$AC10)</f>
        <v>4.47312691131498</v>
      </c>
    </row>
    <row r="11" customFormat="false" ht="15" hidden="false" customHeight="false" outlineLevel="0" collapsed="false">
      <c r="A11" s="0" t="s">
        <v>174</v>
      </c>
      <c r="B11" s="0" t="s">
        <v>99</v>
      </c>
      <c r="C11" s="0" t="s">
        <v>102</v>
      </c>
      <c r="D11" s="0" t="s">
        <v>172</v>
      </c>
      <c r="E11" s="0" t="s">
        <v>356</v>
      </c>
      <c r="F11" s="0" t="str">
        <f aca="false">IFERROR(IF($C11=INDEX(Matches!$S$5:$S$12,MATCH($B11,Matches!$A$5:$A$12,0)),"A",IF($C11=INDEX(Matches!$T$5:$T$12,MATCH($B11,Matches!$A$5:$A$12,0)),"B","")),"")</f>
        <v>A</v>
      </c>
      <c r="G11" s="0" t="n">
        <f aca="false">IFERROR(INDEX(Players!$E$2:$E$71,MATCH($E11,Players!$A$2:$A$71,0)),0)</f>
        <v>30</v>
      </c>
      <c r="H11" s="7" t="n">
        <f aca="false">IFERROR(INDEX(Players!$F$2:$F$71,MATCH($E11,Players!$A$2:$A$71,0)),"")</f>
        <v>0.7</v>
      </c>
      <c r="I11" s="6" t="n">
        <f aca="false">IFERROR(INDEX(Players!$G$2:$G$71,MATCH($E11,Players!$A$2:$A$71,0)),"")</f>
        <v>4.7</v>
      </c>
      <c r="J11" s="12" t="n">
        <f aca="false">IF(OR($I11="",$H11=""),"",$I11*IF(LEFT($B11,4)="DOTA",Config!$B$5,Config!$B$4)/($H11*IF(LEFT($B11,4)="DOTA",Config!$B$5,Config!$B$4)+1-$H11))</f>
        <v>5.40545808966862</v>
      </c>
      <c r="K11" s="12" t="n">
        <f aca="false">IF(OR($I11="",$H11=""),"",$I11/($H11*IF(LEFT($B11,4)="DOTA",Config!$B$5,Config!$B$4)+1-$H11))</f>
        <v>3.05393112410656</v>
      </c>
      <c r="L11" s="6" t="n">
        <f aca="false">IFERROR(INDEX(Matches!$R$5:$R$12,MATCH($B11,Matches!$A$5:$A$12,0)),1)</f>
        <v>1</v>
      </c>
      <c r="M11" s="7" t="n">
        <f aca="false">IFERROR(IF(INDEX(Matches!$M$5:$M$12,MATCH($B11,Matches!$A$5:$A$12,0))="","",IF($F11="A",INDEX(Matches!$M$5:$M$12,MATCH($B11,Matches!$A$5:$A$12,0)),1-INDEX(Matches!$M$5:$M$12,MATCH($B11,Matches!$A$5:$A$12,0)))),"")</f>
        <v>0.779</v>
      </c>
      <c r="N11" s="6" t="n">
        <f aca="false">1</f>
        <v>1</v>
      </c>
      <c r="O11" s="12" t="n">
        <f aca="false">IF(OR($M11="",$J11=""),"",$L11*($M11*$J11+(1-$M11)*$K11))</f>
        <v>4.8857706302794</v>
      </c>
      <c r="P11" s="6" t="n">
        <f aca="false">IF($O11="","",IF(LEFT($B11,4)="DOTA",Config!$B$7,Config!$B$6)*$O11+$L11^2*$M11*(1-$M11)*($J11-$K11)^2)</f>
        <v>9.94180197868586</v>
      </c>
      <c r="Q11" s="7" t="n">
        <f aca="false">IFERROR(IF(INDEX(Matches!$N$5:$N$12,MATCH($B11,Matches!$A$5:$A$12,0))="","",IF($F11="A",INDEX(Matches!$N$5:$N$12,MATCH($B11,Matches!$A$5:$A$12,0)),1-INDEX(Matches!$N$5:$N$12,MATCH($B11,Matches!$A$5:$A$12,0)))),"")</f>
        <v>0.779</v>
      </c>
      <c r="R11" s="6" t="n">
        <f aca="false">IFERROR(N(INDEX(Matches!$P$5:$P$12,MATCH($B11,Matches!$A$5:$A$12,0))),0)</f>
        <v>1</v>
      </c>
      <c r="S11" s="12" t="n">
        <f aca="false">IF(OR($Q11="",$J11=""),"",$L11*($Q11*$J11+(1-$Q11)*$K11))</f>
        <v>4.8857706302794</v>
      </c>
      <c r="T11" s="6" t="n">
        <f aca="false">IF($S11="","",IF(LEFT($B11,4)="DOTA",Config!$B$7,Config!$B$6)*$S11+$L11^2*$Q11*(1-$Q11)*($J11-$K11)^2)</f>
        <v>9.94180197868586</v>
      </c>
      <c r="U11" s="7" t="n">
        <f aca="false">IFERROR(IF(INDEX(Matches!$O$5:$O$12,MATCH($B11,Matches!$A$5:$A$12,0))="","",IF($F11="A",INDEX(Matches!$O$5:$O$12,MATCH($B11,Matches!$A$5:$A$12,0)),1-INDEX(Matches!$O$5:$O$12,MATCH($B11,Matches!$A$5:$A$12,0)))),"")</f>
        <v>0.8647</v>
      </c>
      <c r="V11" s="6" t="n">
        <f aca="false">IFERROR(N(INDEX(Matches!$Q$5:$Q$12,MATCH($B11,Matches!$A$5:$A$12,0))),0)</f>
        <v>0.3419</v>
      </c>
      <c r="W11" s="12" t="n">
        <f aca="false">IF(OR($U11="",$J11=""),"",$L11*($U11*$J11+(1-$U11)*$K11))</f>
        <v>5.08729649122807</v>
      </c>
      <c r="X11" s="6" t="n">
        <f aca="false">IF($W11="","",IF(LEFT($B11,4)="DOTA",Config!$B$7,Config!$B$6)*$W11+$L11^2*$U11*(1-$U11)*($J11-$K11)^2)</f>
        <v>10.0075643192767</v>
      </c>
      <c r="Y11" s="12" t="n">
        <f aca="false">IF($O11="","",$O11)</f>
        <v>4.8857706302794</v>
      </c>
      <c r="Z11" s="6" t="n">
        <f aca="false">IF($P11="","",$P11)</f>
        <v>9.94180197868586</v>
      </c>
      <c r="AA11" s="12" t="n">
        <f aca="false">IF($O11="","",N($N11)*N($O11)+N($R11)*N($S11))</f>
        <v>9.77154126055881</v>
      </c>
      <c r="AB11" s="6" t="n">
        <f aca="false">IF($O11="","",(N($N11)*N($P11)+N($N11)*(1-N($N11))*N($O11)^2)+(N($R11)*N($T11)+N($R11)*(1-N($R11))*N($S11)^2))</f>
        <v>19.8836039573717</v>
      </c>
      <c r="AC11" s="12" t="n">
        <f aca="false">IF($O11="","",N($N11)*N($O11)+N($R11)*N($S11)+N($V11)*N($W11))</f>
        <v>11.5108879309097</v>
      </c>
      <c r="AD11" s="6" t="n">
        <f aca="false">IF($O11="","",(N($N11)*N($P11)+N($N11)*(1-N($N11))*N($O11)^2)+(N($R11)*N($T11)+N($R11)*(1-N($R11))*N($S11)^2)+(N($V11)*N($X11)+N($V11)*(1-N($V11))*N($W11)^2))</f>
        <v>29.128435571577</v>
      </c>
      <c r="AE11" s="12" t="n">
        <f aca="false">IF($I11="","",$I11*$L11)</f>
        <v>4.7</v>
      </c>
      <c r="AF11" s="12" t="n">
        <f aca="false">IF($I11="","",$I11*$L11*(1+N($R11)))</f>
        <v>9.4</v>
      </c>
      <c r="AG11" s="12" t="n">
        <f aca="false">IF($I11="","",$I11*$L11*(1+N($R11)+N($V11)))</f>
        <v>11.00693</v>
      </c>
      <c r="AH11" s="0" t="str">
        <f aca="false">TRIM(IF($G11&lt;Config!$B$9,"thin sample ("&amp;$G11&amp;" maps) · ","")&amp;IF($I11="","no PickFinder stats · ","")&amp;IFERROR(IF(INDEX(Players!$T$2:$T$71,MATCH($E11,Players!$A$2:$A$71,0))&lt;0.5,"new roster: "&amp;TEXT(INDEX(Players!$T$2:$T$71,MATCH($E11,Players!$A$2:$A$71,0)),"0%")&amp;" of his recent games with these teammates",""),""))</f>
        <v>new roster: 0% of his recent games with these teammates</v>
      </c>
      <c r="AI11" s="0" t="str">
        <f aca="false">IF($B11=Board!$B$2,COUNTIFS($B$2:$B$71,Board!$B$2,$Y$2:$Y$71,"&gt;"&amp;$Y11)+COUNTIFS($B$1:$B10,Board!$B$2,$Y$1:$Y10,$Y11)+1,"")</f>
        <v/>
      </c>
      <c r="AJ11" s="0" t="str">
        <f aca="false">IFERROR(IF(INDEX(Matches!$D$5:$D$12,MATCH($B11,Matches!$A$5:$A$12,0))=3,"K12","K13"),"K13")</f>
        <v>K12</v>
      </c>
      <c r="AK11" s="12" t="n">
        <f aca="false">IF($AJ11="K12",$AA11,$AC11)</f>
        <v>9.77154126055881</v>
      </c>
    </row>
    <row r="12" customFormat="false" ht="15" hidden="false" customHeight="false" outlineLevel="0" collapsed="false">
      <c r="A12" s="0" t="s">
        <v>177</v>
      </c>
      <c r="B12" s="0" t="s">
        <v>99</v>
      </c>
      <c r="C12" s="0" t="s">
        <v>102</v>
      </c>
      <c r="D12" s="0" t="s">
        <v>175</v>
      </c>
      <c r="E12" s="0" t="s">
        <v>357</v>
      </c>
      <c r="F12" s="0" t="str">
        <f aca="false">IFERROR(IF($C12=INDEX(Matches!$S$5:$S$12,MATCH($B12,Matches!$A$5:$A$12,0)),"A",IF($C12=INDEX(Matches!$T$5:$T$12,MATCH($B12,Matches!$A$5:$A$12,0)),"B","")),"")</f>
        <v>A</v>
      </c>
      <c r="G12" s="0" t="n">
        <f aca="false">IFERROR(INDEX(Players!$E$2:$E$71,MATCH($E12,Players!$A$2:$A$71,0)),0)</f>
        <v>30</v>
      </c>
      <c r="H12" s="7" t="n">
        <f aca="false">IFERROR(INDEX(Players!$F$2:$F$71,MATCH($E12,Players!$A$2:$A$71,0)),"")</f>
        <v>0.7</v>
      </c>
      <c r="I12" s="6" t="n">
        <f aca="false">IFERROR(INDEX(Players!$G$2:$G$71,MATCH($E12,Players!$A$2:$A$71,0)),"")</f>
        <v>3.6</v>
      </c>
      <c r="J12" s="12" t="n">
        <f aca="false">IF(OR($I12="",$H12=""),"",$I12*IF(LEFT($B12,4)="DOTA",Config!$B$5,Config!$B$4)/($H12*IF(LEFT($B12,4)="DOTA",Config!$B$5,Config!$B$4)+1-$H12))</f>
        <v>4.14035087719298</v>
      </c>
      <c r="K12" s="12" t="n">
        <f aca="false">IF(OR($I12="",$H12=""),"",$I12/($H12*IF(LEFT($B12,4)="DOTA",Config!$B$5,Config!$B$4)+1-$H12))</f>
        <v>2.33918128654971</v>
      </c>
      <c r="L12" s="6" t="n">
        <f aca="false">IFERROR(INDEX(Matches!$R$5:$R$12,MATCH($B12,Matches!$A$5:$A$12,0)),1)</f>
        <v>1</v>
      </c>
      <c r="M12" s="7" t="n">
        <f aca="false">IFERROR(IF(INDEX(Matches!$M$5:$M$12,MATCH($B12,Matches!$A$5:$A$12,0))="","",IF($F12="A",INDEX(Matches!$M$5:$M$12,MATCH($B12,Matches!$A$5:$A$12,0)),1-INDEX(Matches!$M$5:$M$12,MATCH($B12,Matches!$A$5:$A$12,0)))),"")</f>
        <v>0.779</v>
      </c>
      <c r="N12" s="6" t="n">
        <f aca="false">1</f>
        <v>1</v>
      </c>
      <c r="O12" s="12" t="n">
        <f aca="false">IF(OR($M12="",$J12=""),"",$L12*($M12*$J12+(1-$M12)*$K12))</f>
        <v>3.74229239766082</v>
      </c>
      <c r="P12" s="6" t="n">
        <f aca="false">IF($O12="","",IF(LEFT($B12,4)="DOTA",Config!$B$7,Config!$B$6)*$O12+$L12^2*$M12*(1-$M12)*($J12-$K12)^2)</f>
        <v>7.44433828719948</v>
      </c>
      <c r="Q12" s="7" t="n">
        <f aca="false">IFERROR(IF(INDEX(Matches!$N$5:$N$12,MATCH($B12,Matches!$A$5:$A$12,0))="","",IF($F12="A",INDEX(Matches!$N$5:$N$12,MATCH($B12,Matches!$A$5:$A$12,0)),1-INDEX(Matches!$N$5:$N$12,MATCH($B12,Matches!$A$5:$A$12,0)))),"")</f>
        <v>0.779</v>
      </c>
      <c r="R12" s="6" t="n">
        <f aca="false">IFERROR(N(INDEX(Matches!$P$5:$P$12,MATCH($B12,Matches!$A$5:$A$12,0))),0)</f>
        <v>1</v>
      </c>
      <c r="S12" s="12" t="n">
        <f aca="false">IF(OR($Q12="",$J12=""),"",$L12*($Q12*$J12+(1-$Q12)*$K12))</f>
        <v>3.74229239766082</v>
      </c>
      <c r="T12" s="6" t="n">
        <f aca="false">IF($S12="","",IF(LEFT($B12,4)="DOTA",Config!$B$7,Config!$B$6)*$S12+$L12^2*$Q12*(1-$Q12)*($J12-$K12)^2)</f>
        <v>7.44433828719948</v>
      </c>
      <c r="U12" s="7" t="n">
        <f aca="false">IFERROR(IF(INDEX(Matches!$O$5:$O$12,MATCH($B12,Matches!$A$5:$A$12,0))="","",IF($F12="A",INDEX(Matches!$O$5:$O$12,MATCH($B12,Matches!$A$5:$A$12,0)),1-INDEX(Matches!$O$5:$O$12,MATCH($B12,Matches!$A$5:$A$12,0)))),"")</f>
        <v>0.8647</v>
      </c>
      <c r="V12" s="6" t="n">
        <f aca="false">IFERROR(N(INDEX(Matches!$Q$5:$Q$12,MATCH($B12,Matches!$A$5:$A$12,0))),0)</f>
        <v>0.3419</v>
      </c>
      <c r="W12" s="12" t="n">
        <f aca="false">IF(OR($U12="",$J12=""),"",$L12*($U12*$J12+(1-$U12)*$K12))</f>
        <v>3.89665263157895</v>
      </c>
      <c r="X12" s="6" t="n">
        <f aca="false">IF($W12="","",IF(LEFT($B12,4)="DOTA",Config!$B$7,Config!$B$6)*$W12+$L12^2*$U12*(1-$U12)*($J12-$K12)^2)</f>
        <v>7.54939387648302</v>
      </c>
      <c r="Y12" s="12" t="n">
        <f aca="false">IF($O12="","",$O12)</f>
        <v>3.74229239766082</v>
      </c>
      <c r="Z12" s="6" t="n">
        <f aca="false">IF($P12="","",$P12)</f>
        <v>7.44433828719948</v>
      </c>
      <c r="AA12" s="12" t="n">
        <f aca="false">IF($O12="","",N($N12)*N($O12)+N($R12)*N($S12))</f>
        <v>7.48458479532164</v>
      </c>
      <c r="AB12" s="6" t="n">
        <f aca="false">IF($O12="","",(N($N12)*N($P12)+N($N12)*(1-N($N12))*N($O12)^2)+(N($R12)*N($T12)+N($R12)*(1-N($R12))*N($S12)^2))</f>
        <v>14.888676574399</v>
      </c>
      <c r="AC12" s="12" t="n">
        <f aca="false">IF($O12="","",N($N12)*N($O12)+N($R12)*N($S12)+N($V12)*N($W12))</f>
        <v>8.81685033005848</v>
      </c>
      <c r="AD12" s="6" t="n">
        <f aca="false">IF($O12="","",(N($N12)*N($P12)+N($N12)*(1-N($N12))*N($O12)^2)+(N($R12)*N($T12)+N($R12)*(1-N($R12))*N($S12)^2)+(N($V12)*N($X12)+N($V12)*(1-N($V12))*N($W12)^2))</f>
        <v>20.8862588876151</v>
      </c>
      <c r="AE12" s="12" t="n">
        <f aca="false">IF($I12="","",$I12*$L12)</f>
        <v>3.6</v>
      </c>
      <c r="AF12" s="12" t="n">
        <f aca="false">IF($I12="","",$I12*$L12*(1+N($R12)))</f>
        <v>7.2</v>
      </c>
      <c r="AG12" s="12" t="n">
        <f aca="false">IF($I12="","",$I12*$L12*(1+N($R12)+N($V12)))</f>
        <v>8.43084</v>
      </c>
      <c r="AH12" s="0" t="str">
        <f aca="false">TRIM(IF($G12&lt;Config!$B$9,"thin sample ("&amp;$G12&amp;" maps) · ","")&amp;IF($I12="","no PickFinder stats · ","")&amp;IFERROR(IF(INDEX(Players!$T$2:$T$71,MATCH($E12,Players!$A$2:$A$71,0))&lt;0.5,"new roster: "&amp;TEXT(INDEX(Players!$T$2:$T$71,MATCH($E12,Players!$A$2:$A$71,0)),"0%")&amp;" of his recent games with these teammates",""),""))</f>
        <v>new roster: 0% of his recent games with these teammates</v>
      </c>
      <c r="AI12" s="0" t="str">
        <f aca="false">IF($B12=Board!$B$2,COUNTIFS($B$2:$B$71,Board!$B$2,$Y$2:$Y$71,"&gt;"&amp;$Y12)+COUNTIFS($B$1:$B11,Board!$B$2,$Y$1:$Y11,$Y12)+1,"")</f>
        <v/>
      </c>
      <c r="AJ12" s="0" t="str">
        <f aca="false">IFERROR(IF(INDEX(Matches!$D$5:$D$12,MATCH($B12,Matches!$A$5:$A$12,0))=3,"K12","K13"),"K13")</f>
        <v>K12</v>
      </c>
      <c r="AK12" s="12" t="n">
        <f aca="false">IF($AJ12="K12",$AA12,$AC12)</f>
        <v>7.48458479532164</v>
      </c>
    </row>
    <row r="13" customFormat="false" ht="15" hidden="false" customHeight="false" outlineLevel="0" collapsed="false">
      <c r="A13" s="0" t="s">
        <v>180</v>
      </c>
      <c r="B13" s="0" t="s">
        <v>99</v>
      </c>
      <c r="C13" s="0" t="s">
        <v>102</v>
      </c>
      <c r="D13" s="0" t="s">
        <v>178</v>
      </c>
      <c r="E13" s="0" t="s">
        <v>358</v>
      </c>
      <c r="F13" s="0" t="str">
        <f aca="false">IFERROR(IF($C13=INDEX(Matches!$S$5:$S$12,MATCH($B13,Matches!$A$5:$A$12,0)),"A",IF($C13=INDEX(Matches!$T$5:$T$12,MATCH($B13,Matches!$A$5:$A$12,0)),"B","")),"")</f>
        <v>A</v>
      </c>
      <c r="G13" s="0" t="n">
        <f aca="false">IFERROR(INDEX(Players!$E$2:$E$71,MATCH($E13,Players!$A$2:$A$71,0)),0)</f>
        <v>30</v>
      </c>
      <c r="H13" s="7" t="n">
        <f aca="false">IFERROR(INDEX(Players!$F$2:$F$71,MATCH($E13,Players!$A$2:$A$71,0)),"")</f>
        <v>0.7</v>
      </c>
      <c r="I13" s="6" t="n">
        <f aca="false">IFERROR(INDEX(Players!$G$2:$G$71,MATCH($E13,Players!$A$2:$A$71,0)),"")</f>
        <v>7.7</v>
      </c>
      <c r="J13" s="12" t="n">
        <f aca="false">IF(OR($I13="",$H13=""),"",$I13*IF(LEFT($B13,4)="DOTA",Config!$B$5,Config!$B$4)/($H13*IF(LEFT($B13,4)="DOTA",Config!$B$5,Config!$B$4)+1-$H13))</f>
        <v>8.85575048732944</v>
      </c>
      <c r="K13" s="12" t="n">
        <f aca="false">IF(OR($I13="",$H13=""),"",$I13/($H13*IF(LEFT($B13,4)="DOTA",Config!$B$5,Config!$B$4)+1-$H13))</f>
        <v>5.00324886289799</v>
      </c>
      <c r="L13" s="6" t="n">
        <f aca="false">IFERROR(INDEX(Matches!$R$5:$R$12,MATCH($B13,Matches!$A$5:$A$12,0)),1)</f>
        <v>1</v>
      </c>
      <c r="M13" s="7" t="n">
        <f aca="false">IFERROR(IF(INDEX(Matches!$M$5:$M$12,MATCH($B13,Matches!$A$5:$A$12,0))="","",IF($F13="A",INDEX(Matches!$M$5:$M$12,MATCH($B13,Matches!$A$5:$A$12,0)),1-INDEX(Matches!$M$5:$M$12,MATCH($B13,Matches!$A$5:$A$12,0)))),"")</f>
        <v>0.779</v>
      </c>
      <c r="N13" s="6" t="n">
        <f aca="false">1</f>
        <v>1</v>
      </c>
      <c r="O13" s="12" t="n">
        <f aca="false">IF(OR($M13="",$J13=""),"",$L13*($M13*$J13+(1-$M13)*$K13))</f>
        <v>8.00434762833009</v>
      </c>
      <c r="P13" s="6" t="n">
        <f aca="false">IF($O13="","",IF(LEFT($B13,4)="DOTA",Config!$B$7,Config!$B$6)*$O13+$L13^2*$M13*(1-$M13)*($J13-$K13)^2)</f>
        <v>17.2831437051557</v>
      </c>
      <c r="Q13" s="7" t="n">
        <f aca="false">IFERROR(IF(INDEX(Matches!$N$5:$N$12,MATCH($B13,Matches!$A$5:$A$12,0))="","",IF($F13="A",INDEX(Matches!$N$5:$N$12,MATCH($B13,Matches!$A$5:$A$12,0)),1-INDEX(Matches!$N$5:$N$12,MATCH($B13,Matches!$A$5:$A$12,0)))),"")</f>
        <v>0.779</v>
      </c>
      <c r="R13" s="6" t="n">
        <f aca="false">IFERROR(N(INDEX(Matches!$P$5:$P$12,MATCH($B13,Matches!$A$5:$A$12,0))),0)</f>
        <v>1</v>
      </c>
      <c r="S13" s="12" t="n">
        <f aca="false">IF(OR($Q13="",$J13=""),"",$L13*($Q13*$J13+(1-$Q13)*$K13))</f>
        <v>8.00434762833009</v>
      </c>
      <c r="T13" s="6" t="n">
        <f aca="false">IF($S13="","",IF(LEFT($B13,4)="DOTA",Config!$B$7,Config!$B$6)*$S13+$L13^2*$Q13*(1-$Q13)*($J13-$K13)^2)</f>
        <v>17.2831437051557</v>
      </c>
      <c r="U13" s="7" t="n">
        <f aca="false">IFERROR(IF(INDEX(Matches!$O$5:$O$12,MATCH($B13,Matches!$A$5:$A$12,0))="","",IF($F13="A",INDEX(Matches!$O$5:$O$12,MATCH($B13,Matches!$A$5:$A$12,0)),1-INDEX(Matches!$O$5:$O$12,MATCH($B13,Matches!$A$5:$A$12,0)))),"")</f>
        <v>0.8647</v>
      </c>
      <c r="V13" s="6" t="n">
        <f aca="false">IFERROR(N(INDEX(Matches!$Q$5:$Q$12,MATCH($B13,Matches!$A$5:$A$12,0))),0)</f>
        <v>0.3419</v>
      </c>
      <c r="W13" s="12" t="n">
        <f aca="false">IF(OR($U13="",$J13=""),"",$L13*($U13*$J13+(1-$U13)*$K13))</f>
        <v>8.33450701754386</v>
      </c>
      <c r="X13" s="6" t="n">
        <f aca="false">IF($W13="","",IF(LEFT($B13,4)="DOTA",Config!$B$7,Config!$B$6)*$W13+$L13^2*$U13*(1-$U13)*($J13-$K13)^2)</f>
        <v>17.0718894715598</v>
      </c>
      <c r="Y13" s="12" t="n">
        <f aca="false">IF($O13="","",$O13)</f>
        <v>8.00434762833009</v>
      </c>
      <c r="Z13" s="6" t="n">
        <f aca="false">IF($P13="","",$P13)</f>
        <v>17.2831437051557</v>
      </c>
      <c r="AA13" s="12" t="n">
        <f aca="false">IF($O13="","",N($N13)*N($O13)+N($R13)*N($S13))</f>
        <v>16.0086952566602</v>
      </c>
      <c r="AB13" s="6" t="n">
        <f aca="false">IF($O13="","",(N($N13)*N($P13)+N($N13)*(1-N($N13))*N($O13)^2)+(N($R13)*N($T13)+N($R13)*(1-N($R13))*N($S13)^2))</f>
        <v>34.5662874103113</v>
      </c>
      <c r="AC13" s="12" t="n">
        <f aca="false">IF($O13="","",N($N13)*N($O13)+N($R13)*N($S13)+N($V13)*N($W13))</f>
        <v>18.8582632059584</v>
      </c>
      <c r="AD13" s="6" t="n">
        <f aca="false">IF($O13="","",(N($N13)*N($P13)+N($N13)*(1-N($N13))*N($O13)^2)+(N($R13)*N($T13)+N($R13)*(1-N($R13))*N($S13)^2)+(N($V13)*N($X13)+N($V13)*(1-N($V13))*N($W13)^2))</f>
        <v>56.0328729933641</v>
      </c>
      <c r="AE13" s="12" t="n">
        <f aca="false">IF($I13="","",$I13*$L13)</f>
        <v>7.7</v>
      </c>
      <c r="AF13" s="12" t="n">
        <f aca="false">IF($I13="","",$I13*$L13*(1+N($R13)))</f>
        <v>15.4</v>
      </c>
      <c r="AG13" s="12" t="n">
        <f aca="false">IF($I13="","",$I13*$L13*(1+N($R13)+N($V13)))</f>
        <v>18.03263</v>
      </c>
      <c r="AH13" s="0" t="str">
        <f aca="false">TRIM(IF($G13&lt;Config!$B$9,"thin sample ("&amp;$G13&amp;" maps) · ","")&amp;IF($I13="","no PickFinder stats · ","")&amp;IFERROR(IF(INDEX(Players!$T$2:$T$71,MATCH($E13,Players!$A$2:$A$71,0))&lt;0.5,"new roster: "&amp;TEXT(INDEX(Players!$T$2:$T$71,MATCH($E13,Players!$A$2:$A$71,0)),"0%")&amp;" of his recent games with these teammates",""),""))</f>
        <v>new roster: 0% of his recent games with these teammates</v>
      </c>
      <c r="AI13" s="0" t="str">
        <f aca="false">IF($B13=Board!$B$2,COUNTIFS($B$2:$B$71,Board!$B$2,$Y$2:$Y$71,"&gt;"&amp;$Y13)+COUNTIFS($B$1:$B12,Board!$B$2,$Y$1:$Y12,$Y13)+1,"")</f>
        <v/>
      </c>
      <c r="AJ13" s="0" t="str">
        <f aca="false">IFERROR(IF(INDEX(Matches!$D$5:$D$12,MATCH($B13,Matches!$A$5:$A$12,0))=3,"K12","K13"),"K13")</f>
        <v>K12</v>
      </c>
      <c r="AK13" s="12" t="n">
        <f aca="false">IF($AJ13="K12",$AA13,$AC13)</f>
        <v>16.0086952566602</v>
      </c>
    </row>
    <row r="14" customFormat="false" ht="15" hidden="false" customHeight="false" outlineLevel="0" collapsed="false">
      <c r="A14" s="0" t="s">
        <v>183</v>
      </c>
      <c r="B14" s="0" t="s">
        <v>99</v>
      </c>
      <c r="C14" s="0" t="s">
        <v>102</v>
      </c>
      <c r="D14" s="0" t="s">
        <v>181</v>
      </c>
      <c r="E14" s="0" t="s">
        <v>359</v>
      </c>
      <c r="F14" s="0" t="str">
        <f aca="false">IFERROR(IF($C14=INDEX(Matches!$S$5:$S$12,MATCH($B14,Matches!$A$5:$A$12,0)),"A",IF($C14=INDEX(Matches!$T$5:$T$12,MATCH($B14,Matches!$A$5:$A$12,0)),"B","")),"")</f>
        <v>A</v>
      </c>
      <c r="G14" s="0" t="n">
        <f aca="false">IFERROR(INDEX(Players!$E$2:$E$71,MATCH($E14,Players!$A$2:$A$71,0)),0)</f>
        <v>30</v>
      </c>
      <c r="H14" s="7" t="n">
        <f aca="false">IFERROR(INDEX(Players!$F$2:$F$71,MATCH($E14,Players!$A$2:$A$71,0)),"")</f>
        <v>0.63</v>
      </c>
      <c r="I14" s="6" t="n">
        <f aca="false">IFERROR(INDEX(Players!$G$2:$G$71,MATCH($E14,Players!$A$2:$A$71,0)),"")</f>
        <v>6.2</v>
      </c>
      <c r="J14" s="12" t="n">
        <f aca="false">IF(OR($I14="",$H14=""),"",$I14*IF(LEFT($B14,4)="DOTA",Config!$B$5,Config!$B$4)/($H14*IF(LEFT($B14,4)="DOTA",Config!$B$5,Config!$B$4)+1-$H14))</f>
        <v>7.38940138711198</v>
      </c>
      <c r="K14" s="12" t="n">
        <f aca="false">IF(OR($I14="",$H14=""),"",$I14/($H14*IF(LEFT($B14,4)="DOTA",Config!$B$5,Config!$B$4)+1-$H14))</f>
        <v>4.17480304356609</v>
      </c>
      <c r="L14" s="6" t="n">
        <f aca="false">IFERROR(INDEX(Matches!$R$5:$R$12,MATCH($B14,Matches!$A$5:$A$12,0)),1)</f>
        <v>1</v>
      </c>
      <c r="M14" s="7" t="n">
        <f aca="false">IFERROR(IF(INDEX(Matches!$M$5:$M$12,MATCH($B14,Matches!$A$5:$A$12,0))="","",IF($F14="A",INDEX(Matches!$M$5:$M$12,MATCH($B14,Matches!$A$5:$A$12,0)),1-INDEX(Matches!$M$5:$M$12,MATCH($B14,Matches!$A$5:$A$12,0)))),"")</f>
        <v>0.779</v>
      </c>
      <c r="N14" s="6" t="n">
        <f aca="false">1</f>
        <v>1</v>
      </c>
      <c r="O14" s="12" t="n">
        <f aca="false">IF(OR($M14="",$J14=""),"",$L14*($M14*$J14+(1-$M14)*$K14))</f>
        <v>6.67897515318834</v>
      </c>
      <c r="P14" s="6" t="n">
        <f aca="false">IF($O14="","",IF(LEFT($B14,4)="DOTA",Config!$B$7,Config!$B$6)*$O14+$L14^2*$M14*(1-$M14)*($J14-$K14)^2)</f>
        <v>14.0683438428021</v>
      </c>
      <c r="Q14" s="7" t="n">
        <f aca="false">IFERROR(IF(INDEX(Matches!$N$5:$N$12,MATCH($B14,Matches!$A$5:$A$12,0))="","",IF($F14="A",INDEX(Matches!$N$5:$N$12,MATCH($B14,Matches!$A$5:$A$12,0)),1-INDEX(Matches!$N$5:$N$12,MATCH($B14,Matches!$A$5:$A$12,0)))),"")</f>
        <v>0.779</v>
      </c>
      <c r="R14" s="6" t="n">
        <f aca="false">IFERROR(N(INDEX(Matches!$P$5:$P$12,MATCH($B14,Matches!$A$5:$A$12,0))),0)</f>
        <v>1</v>
      </c>
      <c r="S14" s="12" t="n">
        <f aca="false">IF(OR($Q14="",$J14=""),"",$L14*($Q14*$J14+(1-$Q14)*$K14))</f>
        <v>6.67897515318834</v>
      </c>
      <c r="T14" s="6" t="n">
        <f aca="false">IF($S14="","",IF(LEFT($B14,4)="DOTA",Config!$B$7,Config!$B$6)*$S14+$L14^2*$Q14*(1-$Q14)*($J14-$K14)^2)</f>
        <v>14.0683438428021</v>
      </c>
      <c r="U14" s="7" t="n">
        <f aca="false">IFERROR(IF(INDEX(Matches!$O$5:$O$12,MATCH($B14,Matches!$A$5:$A$12,0))="","",IF($F14="A",INDEX(Matches!$O$5:$O$12,MATCH($B14,Matches!$A$5:$A$12,0)),1-INDEX(Matches!$O$5:$O$12,MATCH($B14,Matches!$A$5:$A$12,0)))),"")</f>
        <v>0.8647</v>
      </c>
      <c r="V14" s="6" t="n">
        <f aca="false">IFERROR(N(INDEX(Matches!$Q$5:$Q$12,MATCH($B14,Matches!$A$5:$A$12,0))),0)</f>
        <v>0.3419</v>
      </c>
      <c r="W14" s="12" t="n">
        <f aca="false">IF(OR($U14="",$J14=""),"",$L14*($U14*$J14+(1-$U14)*$K14))</f>
        <v>6.95446623123022</v>
      </c>
      <c r="X14" s="6" t="n">
        <f aca="false">IF($W14="","",IF(LEFT($B14,4)="DOTA",Config!$B$7,Config!$B$6)*$W14+$L14^2*$U14*(1-$U14)*($J14-$K14)^2)</f>
        <v>14.0051911072891</v>
      </c>
      <c r="Y14" s="12" t="n">
        <f aca="false">IF($O14="","",$O14)</f>
        <v>6.67897515318834</v>
      </c>
      <c r="Z14" s="6" t="n">
        <f aca="false">IF($P14="","",$P14)</f>
        <v>14.0683438428021</v>
      </c>
      <c r="AA14" s="12" t="n">
        <f aca="false">IF($O14="","",N($N14)*N($O14)+N($R14)*N($S14))</f>
        <v>13.3579503063767</v>
      </c>
      <c r="AB14" s="6" t="n">
        <f aca="false">IF($O14="","",(N($N14)*N($P14)+N($N14)*(1-N($N14))*N($O14)^2)+(N($R14)*N($T14)+N($R14)*(1-N($R14))*N($S14)^2))</f>
        <v>28.1366876856042</v>
      </c>
      <c r="AC14" s="12" t="n">
        <f aca="false">IF($O14="","",N($N14)*N($O14)+N($R14)*N($S14)+N($V14)*N($W14))</f>
        <v>15.7356823108343</v>
      </c>
      <c r="AD14" s="6" t="n">
        <f aca="false">IF($O14="","",(N($N14)*N($P14)+N($N14)*(1-N($N14))*N($O14)^2)+(N($R14)*N($T14)+N($R14)*(1-N($R14))*N($S14)^2)+(N($V14)*N($X14)+N($V14)*(1-N($V14))*N($W14)^2))</f>
        <v>43.8073099720801</v>
      </c>
      <c r="AE14" s="12" t="n">
        <f aca="false">IF($I14="","",$I14*$L14)</f>
        <v>6.2</v>
      </c>
      <c r="AF14" s="12" t="n">
        <f aca="false">IF($I14="","",$I14*$L14*(1+N($R14)))</f>
        <v>12.4</v>
      </c>
      <c r="AG14" s="12" t="n">
        <f aca="false">IF($I14="","",$I14*$L14*(1+N($R14)+N($V14)))</f>
        <v>14.51978</v>
      </c>
      <c r="AH14" s="0" t="str">
        <f aca="false">TRIM(IF($G14&lt;Config!$B$9,"thin sample ("&amp;$G14&amp;" maps) · ","")&amp;IF($I14="","no PickFinder stats · ","")&amp;IFERROR(IF(INDEX(Players!$T$2:$T$71,MATCH($E14,Players!$A$2:$A$71,0))&lt;0.5,"new roster: "&amp;TEXT(INDEX(Players!$T$2:$T$71,MATCH($E14,Players!$A$2:$A$71,0)),"0%")&amp;" of his recent games with these teammates",""),""))</f>
        <v>new roster: 0% of his recent games with these teammates</v>
      </c>
      <c r="AI14" s="0" t="str">
        <f aca="false">IF($B14=Board!$B$2,COUNTIFS($B$2:$B$71,Board!$B$2,$Y$2:$Y$71,"&gt;"&amp;$Y14)+COUNTIFS($B$1:$B13,Board!$B$2,$Y$1:$Y13,$Y14)+1,"")</f>
        <v/>
      </c>
      <c r="AJ14" s="0" t="str">
        <f aca="false">IFERROR(IF(INDEX(Matches!$D$5:$D$12,MATCH($B14,Matches!$A$5:$A$12,0))=3,"K12","K13"),"K13")</f>
        <v>K12</v>
      </c>
      <c r="AK14" s="12" t="n">
        <f aca="false">IF($AJ14="K12",$AA14,$AC14)</f>
        <v>13.3579503063767</v>
      </c>
    </row>
    <row r="15" customFormat="false" ht="15" hidden="false" customHeight="false" outlineLevel="0" collapsed="false">
      <c r="A15" s="0" t="s">
        <v>186</v>
      </c>
      <c r="B15" s="0" t="s">
        <v>99</v>
      </c>
      <c r="C15" s="0" t="s">
        <v>102</v>
      </c>
      <c r="D15" s="0" t="s">
        <v>184</v>
      </c>
      <c r="E15" s="0" t="s">
        <v>360</v>
      </c>
      <c r="F15" s="0" t="str">
        <f aca="false">IFERROR(IF($C15=INDEX(Matches!$S$5:$S$12,MATCH($B15,Matches!$A$5:$A$12,0)),"A",IF($C15=INDEX(Matches!$T$5:$T$12,MATCH($B15,Matches!$A$5:$A$12,0)),"B","")),"")</f>
        <v>A</v>
      </c>
      <c r="G15" s="0" t="n">
        <f aca="false">IFERROR(INDEX(Players!$E$2:$E$71,MATCH($E15,Players!$A$2:$A$71,0)),0)</f>
        <v>30</v>
      </c>
      <c r="H15" s="7" t="n">
        <f aca="false">IFERROR(INDEX(Players!$F$2:$F$71,MATCH($E15,Players!$A$2:$A$71,0)),"")</f>
        <v>0.63</v>
      </c>
      <c r="I15" s="6" t="n">
        <f aca="false">IFERROR(INDEX(Players!$G$2:$G$71,MATCH($E15,Players!$A$2:$A$71,0)),"")</f>
        <v>10.9</v>
      </c>
      <c r="J15" s="12" t="n">
        <f aca="false">IF(OR($I15="",$H15=""),"",$I15*IF(LEFT($B15,4)="DOTA",Config!$B$5,Config!$B$4)/($H15*IF(LEFT($B15,4)="DOTA",Config!$B$5,Config!$B$4)+1-$H15))</f>
        <v>12.9910443741162</v>
      </c>
      <c r="K15" s="12" t="n">
        <f aca="false">IF(OR($I15="",$H15=""),"",$I15/($H15*IF(LEFT($B15,4)="DOTA",Config!$B$5,Config!$B$4)+1-$H15))</f>
        <v>7.33957309272103</v>
      </c>
      <c r="L15" s="6" t="n">
        <f aca="false">IFERROR(INDEX(Matches!$R$5:$R$12,MATCH($B15,Matches!$A$5:$A$12,0)),1)</f>
        <v>1</v>
      </c>
      <c r="M15" s="7" t="n">
        <f aca="false">IFERROR(IF(INDEX(Matches!$M$5:$M$12,MATCH($B15,Matches!$A$5:$A$12,0))="","",IF($F15="A",INDEX(Matches!$M$5:$M$12,MATCH($B15,Matches!$A$5:$A$12,0)),1-INDEX(Matches!$M$5:$M$12,MATCH($B15,Matches!$A$5:$A$12,0)))),"")</f>
        <v>0.779</v>
      </c>
      <c r="N15" s="6" t="n">
        <f aca="false">1</f>
        <v>1</v>
      </c>
      <c r="O15" s="12" t="n">
        <f aca="false">IF(OR($M15="",$J15=""),"",$L15*($M15*$J15+(1-$M15)*$K15))</f>
        <v>11.7420692209279</v>
      </c>
      <c r="P15" s="6" t="n">
        <f aca="false">IF($O15="","",IF(LEFT($B15,4)="DOTA",Config!$B$7,Config!$B$6)*$O15+$L15^2*$M15*(1-$M15)*($J15-$K15)^2)</f>
        <v>27.1040156426455</v>
      </c>
      <c r="Q15" s="7" t="n">
        <f aca="false">IFERROR(IF(INDEX(Matches!$N$5:$N$12,MATCH($B15,Matches!$A$5:$A$12,0))="","",IF($F15="A",INDEX(Matches!$N$5:$N$12,MATCH($B15,Matches!$A$5:$A$12,0)),1-INDEX(Matches!$N$5:$N$12,MATCH($B15,Matches!$A$5:$A$12,0)))),"")</f>
        <v>0.779</v>
      </c>
      <c r="R15" s="6" t="n">
        <f aca="false">IFERROR(N(INDEX(Matches!$P$5:$P$12,MATCH($B15,Matches!$A$5:$A$12,0))),0)</f>
        <v>1</v>
      </c>
      <c r="S15" s="12" t="n">
        <f aca="false">IF(OR($Q15="",$J15=""),"",$L15*($Q15*$J15+(1-$Q15)*$K15))</f>
        <v>11.7420692209279</v>
      </c>
      <c r="T15" s="6" t="n">
        <f aca="false">IF($S15="","",IF(LEFT($B15,4)="DOTA",Config!$B$7,Config!$B$6)*$S15+$L15^2*$Q15*(1-$Q15)*($J15-$K15)^2)</f>
        <v>27.1040156426455</v>
      </c>
      <c r="U15" s="7" t="n">
        <f aca="false">IFERROR(IF(INDEX(Matches!$O$5:$O$12,MATCH($B15,Matches!$A$5:$A$12,0))="","",IF($F15="A",INDEX(Matches!$O$5:$O$12,MATCH($B15,Matches!$A$5:$A$12,0)),1-INDEX(Matches!$O$5:$O$12,MATCH($B15,Matches!$A$5:$A$12,0)))),"")</f>
        <v>0.8647</v>
      </c>
      <c r="V15" s="6" t="n">
        <f aca="false">IFERROR(N(INDEX(Matches!$Q$5:$Q$12,MATCH($B15,Matches!$A$5:$A$12,0))),0)</f>
        <v>0.3419</v>
      </c>
      <c r="W15" s="12" t="n">
        <f aca="false">IF(OR($U15="",$J15=""),"",$L15*($U15*$J15+(1-$U15)*$K15))</f>
        <v>12.2264003097435</v>
      </c>
      <c r="X15" s="6" t="n">
        <f aca="false">IF($W15="","",IF(LEFT($B15,4)="DOTA",Config!$B$7,Config!$B$6)*$W15+$L15^2*$U15*(1-$U15)*($J15-$K15)^2)</f>
        <v>26.2332599950394</v>
      </c>
      <c r="Y15" s="12" t="n">
        <f aca="false">IF($O15="","",$O15)</f>
        <v>11.7420692209279</v>
      </c>
      <c r="Z15" s="6" t="n">
        <f aca="false">IF($P15="","",$P15)</f>
        <v>27.1040156426455</v>
      </c>
      <c r="AA15" s="12" t="n">
        <f aca="false">IF($O15="","",N($N15)*N($O15)+N($R15)*N($S15))</f>
        <v>23.4841384418558</v>
      </c>
      <c r="AB15" s="6" t="n">
        <f aca="false">IF($O15="","",(N($N15)*N($P15)+N($N15)*(1-N($N15))*N($O15)^2)+(N($R15)*N($T15)+N($R15)*(1-N($R15))*N($S15)^2))</f>
        <v>54.208031285291</v>
      </c>
      <c r="AC15" s="12" t="n">
        <f aca="false">IF($O15="","",N($N15)*N($O15)+N($R15)*N($S15)+N($V15)*N($W15))</f>
        <v>27.664344707757</v>
      </c>
      <c r="AD15" s="6" t="n">
        <f aca="false">IF($O15="","",(N($N15)*N($P15)+N($N15)*(1-N($N15))*N($O15)^2)+(N($R15)*N($T15)+N($R15)*(1-N($R15))*N($S15)^2)+(N($V15)*N($X15)+N($V15)*(1-N($V15))*N($W15)^2))</f>
        <v>96.8119336363216</v>
      </c>
      <c r="AE15" s="12" t="n">
        <f aca="false">IF($I15="","",$I15*$L15)</f>
        <v>10.9</v>
      </c>
      <c r="AF15" s="12" t="n">
        <f aca="false">IF($I15="","",$I15*$L15*(1+N($R15)))</f>
        <v>21.8</v>
      </c>
      <c r="AG15" s="12" t="n">
        <f aca="false">IF($I15="","",$I15*$L15*(1+N($R15)+N($V15)))</f>
        <v>25.52671</v>
      </c>
      <c r="AH15" s="0" t="str">
        <f aca="false">TRIM(IF($G15&lt;Config!$B$9,"thin sample ("&amp;$G15&amp;" maps) · ","")&amp;IF($I15="","no PickFinder stats · ","")&amp;IFERROR(IF(INDEX(Players!$T$2:$T$71,MATCH($E15,Players!$A$2:$A$71,0))&lt;0.5,"new roster: "&amp;TEXT(INDEX(Players!$T$2:$T$71,MATCH($E15,Players!$A$2:$A$71,0)),"0%")&amp;" of his recent games with these teammates",""),""))</f>
        <v>new roster: 0% of his recent games with these teammates</v>
      </c>
      <c r="AI15" s="0" t="str">
        <f aca="false">IF($B15=Board!$B$2,COUNTIFS($B$2:$B$71,Board!$B$2,$Y$2:$Y$71,"&gt;"&amp;$Y15)+COUNTIFS($B$1:$B14,Board!$B$2,$Y$1:$Y14,$Y15)+1,"")</f>
        <v/>
      </c>
      <c r="AJ15" s="0" t="str">
        <f aca="false">IFERROR(IF(INDEX(Matches!$D$5:$D$12,MATCH($B15,Matches!$A$5:$A$12,0))=3,"K12","K13"),"K13")</f>
        <v>K12</v>
      </c>
      <c r="AK15" s="12" t="n">
        <f aca="false">IF($AJ15="K12",$AA15,$AC15)</f>
        <v>23.4841384418558</v>
      </c>
    </row>
    <row r="16" customFormat="false" ht="15" hidden="false" customHeight="false" outlineLevel="0" collapsed="false">
      <c r="A16" s="0" t="s">
        <v>189</v>
      </c>
      <c r="B16" s="0" t="s">
        <v>86</v>
      </c>
      <c r="C16" s="0" t="s">
        <v>91</v>
      </c>
      <c r="D16" s="0" t="s">
        <v>187</v>
      </c>
      <c r="E16" s="0" t="s">
        <v>361</v>
      </c>
      <c r="F16" s="0" t="str">
        <f aca="false">IFERROR(IF($C16=INDEX(Matches!$S$5:$S$12,MATCH($B16,Matches!$A$5:$A$12,0)),"A",IF($C16=INDEX(Matches!$T$5:$T$12,MATCH($B16,Matches!$A$5:$A$12,0)),"B","")),"")</f>
        <v>B</v>
      </c>
      <c r="G16" s="0" t="n">
        <f aca="false">IFERROR(INDEX(Players!$E$2:$E$71,MATCH($E16,Players!$A$2:$A$71,0)),0)</f>
        <v>30</v>
      </c>
      <c r="H16" s="7" t="n">
        <f aca="false">IFERROR(INDEX(Players!$F$2:$F$71,MATCH($E16,Players!$A$2:$A$71,0)),"")</f>
        <v>0.47</v>
      </c>
      <c r="I16" s="6" t="n">
        <f aca="false">IFERROR(INDEX(Players!$G$2:$G$71,MATCH($E16,Players!$A$2:$A$71,0)),"")</f>
        <v>5.2</v>
      </c>
      <c r="J16" s="12" t="n">
        <f aca="false">IF(OR($I16="",$H16=""),"",$I16*IF(LEFT($B16,4)="DOTA",Config!$B$5,Config!$B$4)/($H16*IF(LEFT($B16,4)="DOTA",Config!$B$5,Config!$B$4)+1-$H16))</f>
        <v>6.7582054482708</v>
      </c>
      <c r="K16" s="12" t="n">
        <f aca="false">IF(OR($I16="",$H16=""),"",$I16/($H16*IF(LEFT($B16,4)="DOTA",Config!$B$5,Config!$B$4)+1-$H16))</f>
        <v>3.81819516851458</v>
      </c>
      <c r="L16" s="6" t="n">
        <f aca="false">IFERROR(INDEX(Matches!$R$5:$R$12,MATCH($B16,Matches!$A$5:$A$12,0)),1)</f>
        <v>1</v>
      </c>
      <c r="M16" s="7" t="n">
        <f aca="false">IFERROR(IF(INDEX(Matches!$M$5:$M$12,MATCH($B16,Matches!$A$5:$A$12,0))="","",IF($F16="A",INDEX(Matches!$M$5:$M$12,MATCH($B16,Matches!$A$5:$A$12,0)),1-INDEX(Matches!$M$5:$M$12,MATCH($B16,Matches!$A$5:$A$12,0)))),"")</f>
        <v>0.2975</v>
      </c>
      <c r="N16" s="6" t="n">
        <f aca="false">1</f>
        <v>1</v>
      </c>
      <c r="O16" s="12" t="n">
        <f aca="false">IF(OR($M16="",$J16=""),"",$L16*($M16*$J16+(1-$M16)*$K16))</f>
        <v>4.69284822674205</v>
      </c>
      <c r="P16" s="6" t="n">
        <f aca="false">IF($O16="","",IF(LEFT($B16,4)="DOTA",Config!$B$7,Config!$B$6)*$O16+$L16^2*$M16*(1-$M16)*($J16-$K16)^2)</f>
        <v>10.4413117473477</v>
      </c>
      <c r="Q16" s="7" t="n">
        <f aca="false">IFERROR(IF(INDEX(Matches!$N$5:$N$12,MATCH($B16,Matches!$A$5:$A$12,0))="","",IF($F16="A",INDEX(Matches!$N$5:$N$12,MATCH($B16,Matches!$A$5:$A$12,0)),1-INDEX(Matches!$N$5:$N$12,MATCH($B16,Matches!$A$5:$A$12,0)))),"")</f>
        <v>0.2975</v>
      </c>
      <c r="R16" s="6" t="n">
        <f aca="false">IFERROR(N(INDEX(Matches!$P$5:$P$12,MATCH($B16,Matches!$A$5:$A$12,0))),0)</f>
        <v>1</v>
      </c>
      <c r="S16" s="12" t="n">
        <f aca="false">IF(OR($Q16="",$J16=""),"",$L16*($Q16*$J16+(1-$Q16)*$K16))</f>
        <v>4.69284822674205</v>
      </c>
      <c r="T16" s="6" t="n">
        <f aca="false">IF($S16="","",IF(LEFT($B16,4)="DOTA",Config!$B$7,Config!$B$6)*$S16+$L16^2*$Q16*(1-$Q16)*($J16-$K16)^2)</f>
        <v>10.4413117473477</v>
      </c>
      <c r="U16" s="7" t="n">
        <f aca="false">IFERROR(IF(INDEX(Matches!$O$5:$O$12,MATCH($B16,Matches!$A$5:$A$12,0))="","",IF($F16="A",INDEX(Matches!$O$5:$O$12,MATCH($B16,Matches!$A$5:$A$12,0)),1-INDEX(Matches!$O$5:$O$12,MATCH($B16,Matches!$A$5:$A$12,0)))),"")</f>
        <v>0.2164</v>
      </c>
      <c r="V16" s="6" t="n">
        <f aca="false">IFERROR(N(INDEX(Matches!$Q$5:$Q$12,MATCH($B16,Matches!$A$5:$A$12,0))),0)</f>
        <v>0.4156</v>
      </c>
      <c r="W16" s="12" t="n">
        <f aca="false">IF(OR($U16="",$J16=""),"",$L16*($U16*$J16+(1-$U16)*$K16))</f>
        <v>4.45441339305382</v>
      </c>
      <c r="X16" s="6" t="n">
        <f aca="false">IF($W16="","",IF(LEFT($B16,4)="DOTA",Config!$B$7,Config!$B$6)*$W16+$L16^2*$U16*(1-$U16)*($J16-$K16)^2)</f>
        <v>9.6618351342968</v>
      </c>
      <c r="Y16" s="12" t="n">
        <f aca="false">IF($O16="","",$O16)</f>
        <v>4.69284822674205</v>
      </c>
      <c r="Z16" s="6" t="n">
        <f aca="false">IF($P16="","",$P16)</f>
        <v>10.4413117473477</v>
      </c>
      <c r="AA16" s="12" t="n">
        <f aca="false">IF($O16="","",N($N16)*N($O16)+N($R16)*N($S16))</f>
        <v>9.3856964534841</v>
      </c>
      <c r="AB16" s="6" t="n">
        <f aca="false">IF($O16="","",(N($N16)*N($P16)+N($N16)*(1-N($N16))*N($O16)^2)+(N($R16)*N($T16)+N($R16)*(1-N($R16))*N($S16)^2))</f>
        <v>20.8826234946954</v>
      </c>
      <c r="AC16" s="12" t="n">
        <f aca="false">IF($O16="","",N($N16)*N($O16)+N($R16)*N($S16)+N($V16)*N($W16))</f>
        <v>11.2369506596373</v>
      </c>
      <c r="AD16" s="6" t="n">
        <f aca="false">IF($O16="","",(N($N16)*N($P16)+N($N16)*(1-N($N16))*N($O16)^2)+(N($R16)*N($T16)+N($R16)*(1-N($R16))*N($S16)^2)+(N($V16)*N($X16)+N($V16)*(1-N($V16))*N($W16)^2))</f>
        <v>29.7171915705452</v>
      </c>
      <c r="AE16" s="12" t="n">
        <f aca="false">IF($I16="","",$I16*$L16)</f>
        <v>5.2</v>
      </c>
      <c r="AF16" s="12" t="n">
        <f aca="false">IF($I16="","",$I16*$L16*(1+N($R16)))</f>
        <v>10.4</v>
      </c>
      <c r="AG16" s="12" t="n">
        <f aca="false">IF($I16="","",$I16*$L16*(1+N($R16)+N($V16)))</f>
        <v>12.56112</v>
      </c>
      <c r="AH16" s="0" t="str">
        <f aca="false">TRIM(IF($G16&lt;Config!$B$9,"thin sample ("&amp;$G16&amp;" maps) · ","")&amp;IF($I16="","no PickFinder stats · ","")&amp;IFERROR(IF(INDEX(Players!$T$2:$T$71,MATCH($E16,Players!$A$2:$A$71,0))&lt;0.5,"new roster: "&amp;TEXT(INDEX(Players!$T$2:$T$71,MATCH($E16,Players!$A$2:$A$71,0)),"0%")&amp;" of his recent games with these teammates",""),""))</f>
        <v>new roster: 0% of his recent games with these teammates</v>
      </c>
      <c r="AI16" s="0" t="str">
        <f aca="false">IF($B16=Board!$B$2,COUNTIFS($B$2:$B$71,Board!$B$2,$Y$2:$Y$71,"&gt;"&amp;$Y16)+COUNTIFS($B$1:$B15,Board!$B$2,$Y$1:$Y15,$Y16)+1,"")</f>
        <v/>
      </c>
      <c r="AJ16" s="0" t="str">
        <f aca="false">IFERROR(IF(INDEX(Matches!$D$5:$D$12,MATCH($B16,Matches!$A$5:$A$12,0))=3,"K12","K13"),"K13")</f>
        <v>K12</v>
      </c>
      <c r="AK16" s="12" t="n">
        <f aca="false">IF($AJ16="K12",$AA16,$AC16)</f>
        <v>9.3856964534841</v>
      </c>
    </row>
    <row r="17" customFormat="false" ht="15" hidden="false" customHeight="false" outlineLevel="0" collapsed="false">
      <c r="A17" s="0" t="s">
        <v>192</v>
      </c>
      <c r="B17" s="0" t="s">
        <v>86</v>
      </c>
      <c r="C17" s="0" t="s">
        <v>91</v>
      </c>
      <c r="D17" s="0" t="s">
        <v>190</v>
      </c>
      <c r="E17" s="0" t="s">
        <v>362</v>
      </c>
      <c r="F17" s="0" t="str">
        <f aca="false">IFERROR(IF($C17=INDEX(Matches!$S$5:$S$12,MATCH($B17,Matches!$A$5:$A$12,0)),"A",IF($C17=INDEX(Matches!$T$5:$T$12,MATCH($B17,Matches!$A$5:$A$12,0)),"B","")),"")</f>
        <v>B</v>
      </c>
      <c r="G17" s="0" t="n">
        <f aca="false">IFERROR(INDEX(Players!$E$2:$E$71,MATCH($E17,Players!$A$2:$A$71,0)),0)</f>
        <v>30</v>
      </c>
      <c r="H17" s="7" t="n">
        <f aca="false">IFERROR(INDEX(Players!$F$2:$F$71,MATCH($E17,Players!$A$2:$A$71,0)),"")</f>
        <v>0.53</v>
      </c>
      <c r="I17" s="6" t="n">
        <f aca="false">IFERROR(INDEX(Players!$G$2:$G$71,MATCH($E17,Players!$A$2:$A$71,0)),"")</f>
        <v>1.8</v>
      </c>
      <c r="J17" s="12" t="n">
        <f aca="false">IF(OR($I17="",$H17=""),"",$I17*IF(LEFT($B17,4)="DOTA",Config!$B$5,Config!$B$4)/($H17*IF(LEFT($B17,4)="DOTA",Config!$B$5,Config!$B$4)+1-$H17))</f>
        <v>2.26262339322491</v>
      </c>
      <c r="K17" s="12" t="n">
        <f aca="false">IF(OR($I17="",$H17=""),"",$I17/($H17*IF(LEFT($B17,4)="DOTA",Config!$B$5,Config!$B$4)+1-$H17))</f>
        <v>1.27831830125701</v>
      </c>
      <c r="L17" s="6" t="n">
        <f aca="false">IFERROR(INDEX(Matches!$R$5:$R$12,MATCH($B17,Matches!$A$5:$A$12,0)),1)</f>
        <v>1</v>
      </c>
      <c r="M17" s="7" t="n">
        <f aca="false">IFERROR(IF(INDEX(Matches!$M$5:$M$12,MATCH($B17,Matches!$A$5:$A$12,0))="","",IF($F17="A",INDEX(Matches!$M$5:$M$12,MATCH($B17,Matches!$A$5:$A$12,0)),1-INDEX(Matches!$M$5:$M$12,MATCH($B17,Matches!$A$5:$A$12,0)))),"")</f>
        <v>0.2975</v>
      </c>
      <c r="N17" s="6" t="n">
        <f aca="false">1</f>
        <v>1</v>
      </c>
      <c r="O17" s="12" t="n">
        <f aca="false">IF(OR($M17="",$J17=""),"",$L17*($M17*$J17+(1-$M17)*$K17))</f>
        <v>1.57114906611746</v>
      </c>
      <c r="P17" s="6" t="n">
        <f aca="false">IF($O17="","",IF(LEFT($B17,4)="DOTA",Config!$B$7,Config!$B$6)*$O17+$L17^2*$M17*(1-$M17)*($J17-$K17)^2)</f>
        <v>3.09339923774437</v>
      </c>
      <c r="Q17" s="7" t="n">
        <f aca="false">IFERROR(IF(INDEX(Matches!$N$5:$N$12,MATCH($B17,Matches!$A$5:$A$12,0))="","",IF($F17="A",INDEX(Matches!$N$5:$N$12,MATCH($B17,Matches!$A$5:$A$12,0)),1-INDEX(Matches!$N$5:$N$12,MATCH($B17,Matches!$A$5:$A$12,0)))),"")</f>
        <v>0.2975</v>
      </c>
      <c r="R17" s="6" t="n">
        <f aca="false">IFERROR(N(INDEX(Matches!$P$5:$P$12,MATCH($B17,Matches!$A$5:$A$12,0))),0)</f>
        <v>1</v>
      </c>
      <c r="S17" s="12" t="n">
        <f aca="false">IF(OR($Q17="",$J17=""),"",$L17*($Q17*$J17+(1-$Q17)*$K17))</f>
        <v>1.57114906611746</v>
      </c>
      <c r="T17" s="6" t="n">
        <f aca="false">IF($S17="","",IF(LEFT($B17,4)="DOTA",Config!$B$7,Config!$B$6)*$S17+$L17^2*$Q17*(1-$Q17)*($J17-$K17)^2)</f>
        <v>3.09339923774437</v>
      </c>
      <c r="U17" s="7" t="n">
        <f aca="false">IFERROR(IF(INDEX(Matches!$O$5:$O$12,MATCH($B17,Matches!$A$5:$A$12,0))="","",IF($F17="A",INDEX(Matches!$O$5:$O$12,MATCH($B17,Matches!$A$5:$A$12,0)),1-INDEX(Matches!$O$5:$O$12,MATCH($B17,Matches!$A$5:$A$12,0)))),"")</f>
        <v>0.2164</v>
      </c>
      <c r="V17" s="6" t="n">
        <f aca="false">IFERROR(N(INDEX(Matches!$Q$5:$Q$12,MATCH($B17,Matches!$A$5:$A$12,0))),0)</f>
        <v>0.4156</v>
      </c>
      <c r="W17" s="12" t="n">
        <f aca="false">IF(OR($U17="",$J17=""),"",$L17*($U17*$J17+(1-$U17)*$K17))</f>
        <v>1.49132192315887</v>
      </c>
      <c r="X17" s="6" t="n">
        <f aca="false">IF($W17="","",IF(LEFT($B17,4)="DOTA",Config!$B$7,Config!$B$6)*$W17+$L17^2*$U17*(1-$U17)*($J17-$K17)^2)</f>
        <v>2.90832234531461</v>
      </c>
      <c r="Y17" s="12" t="n">
        <f aca="false">IF($O17="","",$O17)</f>
        <v>1.57114906611746</v>
      </c>
      <c r="Z17" s="6" t="n">
        <f aca="false">IF($P17="","",$P17)</f>
        <v>3.09339923774437</v>
      </c>
      <c r="AA17" s="12" t="n">
        <f aca="false">IF($O17="","",N($N17)*N($O17)+N($R17)*N($S17))</f>
        <v>3.14229813223493</v>
      </c>
      <c r="AB17" s="6" t="n">
        <f aca="false">IF($O17="","",(N($N17)*N($P17)+N($N17)*(1-N($N17))*N($O17)^2)+(N($R17)*N($T17)+N($R17)*(1-N($R17))*N($S17)^2))</f>
        <v>6.18679847548875</v>
      </c>
      <c r="AC17" s="12" t="n">
        <f aca="false">IF($O17="","",N($N17)*N($O17)+N($R17)*N($S17)+N($V17)*N($W17))</f>
        <v>3.76209152349975</v>
      </c>
      <c r="AD17" s="6" t="n">
        <f aca="false">IF($O17="","",(N($N17)*N($P17)+N($N17)*(1-N($N17))*N($O17)^2)+(N($R17)*N($T17)+N($R17)*(1-N($R17))*N($S17)^2)+(N($V17)*N($X17)+N($V17)*(1-N($V17))*N($W17)^2))</f>
        <v>7.93566486656816</v>
      </c>
      <c r="AE17" s="12" t="n">
        <f aca="false">IF($I17="","",$I17*$L17)</f>
        <v>1.8</v>
      </c>
      <c r="AF17" s="12" t="n">
        <f aca="false">IF($I17="","",$I17*$L17*(1+N($R17)))</f>
        <v>3.6</v>
      </c>
      <c r="AG17" s="12" t="n">
        <f aca="false">IF($I17="","",$I17*$L17*(1+N($R17)+N($V17)))</f>
        <v>4.34808</v>
      </c>
      <c r="AH17" s="0" t="str">
        <f aca="false">TRIM(IF($G17&lt;Config!$B$9,"thin sample ("&amp;$G17&amp;" maps) · ","")&amp;IF($I17="","no PickFinder stats · ","")&amp;IFERROR(IF(INDEX(Players!$T$2:$T$71,MATCH($E17,Players!$A$2:$A$71,0))&lt;0.5,"new roster: "&amp;TEXT(INDEX(Players!$T$2:$T$71,MATCH($E17,Players!$A$2:$A$71,0)),"0%")&amp;" of his recent games with these teammates",""),""))</f>
        <v>new roster: 0% of his recent games with these teammates</v>
      </c>
      <c r="AI17" s="0" t="str">
        <f aca="false">IF($B17=Board!$B$2,COUNTIFS($B$2:$B$71,Board!$B$2,$Y$2:$Y$71,"&gt;"&amp;$Y17)+COUNTIFS($B$1:$B16,Board!$B$2,$Y$1:$Y16,$Y17)+1,"")</f>
        <v/>
      </c>
      <c r="AJ17" s="0" t="str">
        <f aca="false">IFERROR(IF(INDEX(Matches!$D$5:$D$12,MATCH($B17,Matches!$A$5:$A$12,0))=3,"K12","K13"),"K13")</f>
        <v>K12</v>
      </c>
      <c r="AK17" s="12" t="n">
        <f aca="false">IF($AJ17="K12",$AA17,$AC17)</f>
        <v>3.14229813223493</v>
      </c>
    </row>
    <row r="18" customFormat="false" ht="15" hidden="false" customHeight="false" outlineLevel="0" collapsed="false">
      <c r="A18" s="0" t="s">
        <v>195</v>
      </c>
      <c r="B18" s="0" t="s">
        <v>86</v>
      </c>
      <c r="C18" s="0" t="s">
        <v>91</v>
      </c>
      <c r="D18" s="0" t="s">
        <v>193</v>
      </c>
      <c r="E18" s="0" t="s">
        <v>363</v>
      </c>
      <c r="F18" s="0" t="str">
        <f aca="false">IFERROR(IF($C18=INDEX(Matches!$S$5:$S$12,MATCH($B18,Matches!$A$5:$A$12,0)),"A",IF($C18=INDEX(Matches!$T$5:$T$12,MATCH($B18,Matches!$A$5:$A$12,0)),"B","")),"")</f>
        <v>B</v>
      </c>
      <c r="G18" s="0" t="n">
        <f aca="false">IFERROR(INDEX(Players!$E$2:$E$71,MATCH($E18,Players!$A$2:$A$71,0)),0)</f>
        <v>30</v>
      </c>
      <c r="H18" s="7" t="n">
        <f aca="false">IFERROR(INDEX(Players!$F$2:$F$71,MATCH($E18,Players!$A$2:$A$71,0)),"")</f>
        <v>0.47</v>
      </c>
      <c r="I18" s="6" t="n">
        <f aca="false">IFERROR(INDEX(Players!$G$2:$G$71,MATCH($E18,Players!$A$2:$A$71,0)),"")</f>
        <v>8.9</v>
      </c>
      <c r="J18" s="12" t="n">
        <f aca="false">IF(OR($I18="",$H18=""),"",$I18*IF(LEFT($B18,4)="DOTA",Config!$B$5,Config!$B$4)/($H18*IF(LEFT($B18,4)="DOTA",Config!$B$5,Config!$B$4)+1-$H18))</f>
        <v>11.5669285556943</v>
      </c>
      <c r="K18" s="12" t="n">
        <f aca="false">IF(OR($I18="",$H18=""),"",$I18/($H18*IF(LEFT($B18,4)="DOTA",Config!$B$5,Config!$B$4)+1-$H18))</f>
        <v>6.53498788457302</v>
      </c>
      <c r="L18" s="6" t="n">
        <f aca="false">IFERROR(INDEX(Matches!$R$5:$R$12,MATCH($B18,Matches!$A$5:$A$12,0)),1)</f>
        <v>1</v>
      </c>
      <c r="M18" s="7" t="n">
        <f aca="false">IFERROR(IF(INDEX(Matches!$M$5:$M$12,MATCH($B18,Matches!$A$5:$A$12,0))="","",IF($F18="A",INDEX(Matches!$M$5:$M$12,MATCH($B18,Matches!$A$5:$A$12,0)),1-INDEX(Matches!$M$5:$M$12,MATCH($B18,Matches!$A$5:$A$12,0)))),"")</f>
        <v>0.2975</v>
      </c>
      <c r="N18" s="6" t="n">
        <f aca="false">1</f>
        <v>1</v>
      </c>
      <c r="O18" s="12" t="n">
        <f aca="false">IF(OR($M18="",$J18=""),"",$L18*($M18*$J18+(1-$M18)*$K18))</f>
        <v>8.03199023423159</v>
      </c>
      <c r="P18" s="6" t="n">
        <f aca="false">IF($O18="","",IF(LEFT($B18,4)="DOTA",Config!$B$7,Config!$B$6)*$O18+$L18^2*$M18*(1-$M18)*($J18-$K18)^2)</f>
        <v>20.0706730041138</v>
      </c>
      <c r="Q18" s="7" t="n">
        <f aca="false">IFERROR(IF(INDEX(Matches!$N$5:$N$12,MATCH($B18,Matches!$A$5:$A$12,0))="","",IF($F18="A",INDEX(Matches!$N$5:$N$12,MATCH($B18,Matches!$A$5:$A$12,0)),1-INDEX(Matches!$N$5:$N$12,MATCH($B18,Matches!$A$5:$A$12,0)))),"")</f>
        <v>0.2975</v>
      </c>
      <c r="R18" s="6" t="n">
        <f aca="false">IFERROR(N(INDEX(Matches!$P$5:$P$12,MATCH($B18,Matches!$A$5:$A$12,0))),0)</f>
        <v>1</v>
      </c>
      <c r="S18" s="12" t="n">
        <f aca="false">IF(OR($Q18="",$J18=""),"",$L18*($Q18*$J18+(1-$Q18)*$K18))</f>
        <v>8.03199023423159</v>
      </c>
      <c r="T18" s="6" t="n">
        <f aca="false">IF($S18="","",IF(LEFT($B18,4)="DOTA",Config!$B$7,Config!$B$6)*$S18+$L18^2*$Q18*(1-$Q18)*($J18-$K18)^2)</f>
        <v>20.0706730041138</v>
      </c>
      <c r="U18" s="7" t="n">
        <f aca="false">IFERROR(IF(INDEX(Matches!$O$5:$O$12,MATCH($B18,Matches!$A$5:$A$12,0))="","",IF($F18="A",INDEX(Matches!$O$5:$O$12,MATCH($B18,Matches!$A$5:$A$12,0)),1-INDEX(Matches!$O$5:$O$12,MATCH($B18,Matches!$A$5:$A$12,0)))),"")</f>
        <v>0.2164</v>
      </c>
      <c r="V18" s="6" t="n">
        <f aca="false">IFERROR(N(INDEX(Matches!$Q$5:$Q$12,MATCH($B18,Matches!$A$5:$A$12,0))),0)</f>
        <v>0.4156</v>
      </c>
      <c r="W18" s="12" t="n">
        <f aca="false">IF(OR($U18="",$J18=""),"",$L18*($U18*$J18+(1-$U18)*$K18))</f>
        <v>7.62389984580366</v>
      </c>
      <c r="X18" s="6" t="n">
        <f aca="false">IF($W18="","",IF(LEFT($B18,4)="DOTA",Config!$B$7,Config!$B$6)*$W18+$L18^2*$U18*(1-$U18)*($J18-$K18)^2)</f>
        <v>18.3215868419544</v>
      </c>
      <c r="Y18" s="12" t="n">
        <f aca="false">IF($O18="","",$O18)</f>
        <v>8.03199023423159</v>
      </c>
      <c r="Z18" s="6" t="n">
        <f aca="false">IF($P18="","",$P18)</f>
        <v>20.0706730041138</v>
      </c>
      <c r="AA18" s="12" t="n">
        <f aca="false">IF($O18="","",N($N18)*N($O18)+N($R18)*N($S18))</f>
        <v>16.0639804684632</v>
      </c>
      <c r="AB18" s="6" t="n">
        <f aca="false">IF($O18="","",(N($N18)*N($P18)+N($N18)*(1-N($N18))*N($O18)^2)+(N($R18)*N($T18)+N($R18)*(1-N($R18))*N($S18)^2))</f>
        <v>40.1413460082277</v>
      </c>
      <c r="AC18" s="12" t="n">
        <f aca="false">IF($O18="","",N($N18)*N($O18)+N($R18)*N($S18)+N($V18)*N($W18))</f>
        <v>19.2324732443792</v>
      </c>
      <c r="AD18" s="6" t="n">
        <f aca="false">IF($O18="","",(N($N18)*N($P18)+N($N18)*(1-N($N18))*N($O18)^2)+(N($R18)*N($T18)+N($R18)*(1-N($R18))*N($S18)^2)+(N($V18)*N($X18)+N($V18)*(1-N($V18))*N($W18)^2))</f>
        <v>61.872722614448</v>
      </c>
      <c r="AE18" s="12" t="n">
        <f aca="false">IF($I18="","",$I18*$L18)</f>
        <v>8.9</v>
      </c>
      <c r="AF18" s="12" t="n">
        <f aca="false">IF($I18="","",$I18*$L18*(1+N($R18)))</f>
        <v>17.8</v>
      </c>
      <c r="AG18" s="12" t="n">
        <f aca="false">IF($I18="","",$I18*$L18*(1+N($R18)+N($V18)))</f>
        <v>21.49884</v>
      </c>
      <c r="AH18" s="0" t="str">
        <f aca="false">TRIM(IF($G18&lt;Config!$B$9,"thin sample ("&amp;$G18&amp;" maps) · ","")&amp;IF($I18="","no PickFinder stats · ","")&amp;IFERROR(IF(INDEX(Players!$T$2:$T$71,MATCH($E18,Players!$A$2:$A$71,0))&lt;0.5,"new roster: "&amp;TEXT(INDEX(Players!$T$2:$T$71,MATCH($E18,Players!$A$2:$A$71,0)),"0%")&amp;" of his recent games with these teammates",""),""))</f>
        <v>new roster: 0% of his recent games with these teammates</v>
      </c>
      <c r="AI18" s="0" t="str">
        <f aca="false">IF($B18=Board!$B$2,COUNTIFS($B$2:$B$71,Board!$B$2,$Y$2:$Y$71,"&gt;"&amp;$Y18)+COUNTIFS($B$1:$B17,Board!$B$2,$Y$1:$Y17,$Y18)+1,"")</f>
        <v/>
      </c>
      <c r="AJ18" s="0" t="str">
        <f aca="false">IFERROR(IF(INDEX(Matches!$D$5:$D$12,MATCH($B18,Matches!$A$5:$A$12,0))=3,"K12","K13"),"K13")</f>
        <v>K12</v>
      </c>
      <c r="AK18" s="12" t="n">
        <f aca="false">IF($AJ18="K12",$AA18,$AC18)</f>
        <v>16.0639804684632</v>
      </c>
    </row>
    <row r="19" customFormat="false" ht="15" hidden="false" customHeight="false" outlineLevel="0" collapsed="false">
      <c r="A19" s="0" t="s">
        <v>198</v>
      </c>
      <c r="B19" s="0" t="s">
        <v>86</v>
      </c>
      <c r="C19" s="0" t="s">
        <v>91</v>
      </c>
      <c r="D19" s="0" t="s">
        <v>196</v>
      </c>
      <c r="E19" s="0" t="s">
        <v>364</v>
      </c>
      <c r="F19" s="0" t="str">
        <f aca="false">IFERROR(IF($C19=INDEX(Matches!$S$5:$S$12,MATCH($B19,Matches!$A$5:$A$12,0)),"A",IF($C19=INDEX(Matches!$T$5:$T$12,MATCH($B19,Matches!$A$5:$A$12,0)),"B","")),"")</f>
        <v>B</v>
      </c>
      <c r="G19" s="0" t="n">
        <f aca="false">IFERROR(INDEX(Players!$E$2:$E$71,MATCH($E19,Players!$A$2:$A$71,0)),0)</f>
        <v>30</v>
      </c>
      <c r="H19" s="7" t="n">
        <f aca="false">IFERROR(INDEX(Players!$F$2:$F$71,MATCH($E19,Players!$A$2:$A$71,0)),"")</f>
        <v>0.5</v>
      </c>
      <c r="I19" s="6" t="n">
        <f aca="false">IFERROR(INDEX(Players!$G$2:$G$71,MATCH($E19,Players!$A$2:$A$71,0)),"")</f>
        <v>7.2</v>
      </c>
      <c r="J19" s="12" t="n">
        <f aca="false">IF(OR($I19="",$H19=""),"",$I19*IF(LEFT($B19,4)="DOTA",Config!$B$5,Config!$B$4)/($H19*IF(LEFT($B19,4)="DOTA",Config!$B$5,Config!$B$4)+1-$H19))</f>
        <v>9.2014440433213</v>
      </c>
      <c r="K19" s="12" t="n">
        <f aca="false">IF(OR($I19="",$H19=""),"",$I19/($H19*IF(LEFT($B19,4)="DOTA",Config!$B$5,Config!$B$4)+1-$H19))</f>
        <v>5.1985559566787</v>
      </c>
      <c r="L19" s="6" t="n">
        <f aca="false">IFERROR(INDEX(Matches!$R$5:$R$12,MATCH($B19,Matches!$A$5:$A$12,0)),1)</f>
        <v>1</v>
      </c>
      <c r="M19" s="7" t="n">
        <f aca="false">IFERROR(IF(INDEX(Matches!$M$5:$M$12,MATCH($B19,Matches!$A$5:$A$12,0))="","",IF($F19="A",INDEX(Matches!$M$5:$M$12,MATCH($B19,Matches!$A$5:$A$12,0)),1-INDEX(Matches!$M$5:$M$12,MATCH($B19,Matches!$A$5:$A$12,0)))),"")</f>
        <v>0.2975</v>
      </c>
      <c r="N19" s="6" t="n">
        <f aca="false">1</f>
        <v>1</v>
      </c>
      <c r="O19" s="12" t="n">
        <f aca="false">IF(OR($M19="",$J19=""),"",$L19*($M19*$J19+(1-$M19)*$K19))</f>
        <v>6.38941516245487</v>
      </c>
      <c r="P19" s="6" t="n">
        <f aca="false">IF($O19="","",IF(LEFT($B19,4)="DOTA",Config!$B$7,Config!$B$6)*$O19+$L19^2*$M19*(1-$M19)*($J19-$K19)^2)</f>
        <v>15.1052543786052</v>
      </c>
      <c r="Q19" s="7" t="n">
        <f aca="false">IFERROR(IF(INDEX(Matches!$N$5:$N$12,MATCH($B19,Matches!$A$5:$A$12,0))="","",IF($F19="A",INDEX(Matches!$N$5:$N$12,MATCH($B19,Matches!$A$5:$A$12,0)),1-INDEX(Matches!$N$5:$N$12,MATCH($B19,Matches!$A$5:$A$12,0)))),"")</f>
        <v>0.2975</v>
      </c>
      <c r="R19" s="6" t="n">
        <f aca="false">IFERROR(N(INDEX(Matches!$P$5:$P$12,MATCH($B19,Matches!$A$5:$A$12,0))),0)</f>
        <v>1</v>
      </c>
      <c r="S19" s="12" t="n">
        <f aca="false">IF(OR($Q19="",$J19=""),"",$L19*($Q19*$J19+(1-$Q19)*$K19))</f>
        <v>6.38941516245487</v>
      </c>
      <c r="T19" s="6" t="n">
        <f aca="false">IF($S19="","",IF(LEFT($B19,4)="DOTA",Config!$B$7,Config!$B$6)*$S19+$L19^2*$Q19*(1-$Q19)*($J19-$K19)^2)</f>
        <v>15.1052543786052</v>
      </c>
      <c r="U19" s="7" t="n">
        <f aca="false">IFERROR(IF(INDEX(Matches!$O$5:$O$12,MATCH($B19,Matches!$A$5:$A$12,0))="","",IF($F19="A",INDEX(Matches!$O$5:$O$12,MATCH($B19,Matches!$A$5:$A$12,0)),1-INDEX(Matches!$O$5:$O$12,MATCH($B19,Matches!$A$5:$A$12,0)))),"")</f>
        <v>0.2164</v>
      </c>
      <c r="V19" s="6" t="n">
        <f aca="false">IFERROR(N(INDEX(Matches!$Q$5:$Q$12,MATCH($B19,Matches!$A$5:$A$12,0))),0)</f>
        <v>0.4156</v>
      </c>
      <c r="W19" s="12" t="n">
        <f aca="false">IF(OR($U19="",$J19=""),"",$L19*($U19*$J19+(1-$U19)*$K19))</f>
        <v>6.06478093862816</v>
      </c>
      <c r="X19" s="6" t="n">
        <f aca="false">IF($W19="","",IF(LEFT($B19,4)="DOTA",Config!$B$7,Config!$B$6)*$W19+$L19^2*$U19*(1-$U19)*($J19-$K19)^2)</f>
        <v>13.8762528683202</v>
      </c>
      <c r="Y19" s="12" t="n">
        <f aca="false">IF($O19="","",$O19)</f>
        <v>6.38941516245487</v>
      </c>
      <c r="Z19" s="6" t="n">
        <f aca="false">IF($P19="","",$P19)</f>
        <v>15.1052543786052</v>
      </c>
      <c r="AA19" s="12" t="n">
        <f aca="false">IF($O19="","",N($N19)*N($O19)+N($R19)*N($S19))</f>
        <v>12.7788303249097</v>
      </c>
      <c r="AB19" s="6" t="n">
        <f aca="false">IF($O19="","",(N($N19)*N($P19)+N($N19)*(1-N($N19))*N($O19)^2)+(N($R19)*N($T19)+N($R19)*(1-N($R19))*N($S19)^2))</f>
        <v>30.2105087572104</v>
      </c>
      <c r="AC19" s="12" t="n">
        <f aca="false">IF($O19="","",N($N19)*N($O19)+N($R19)*N($S19)+N($V19)*N($W19))</f>
        <v>15.2993532830036</v>
      </c>
      <c r="AD19" s="6" t="n">
        <f aca="false">IF($O19="","",(N($N19)*N($P19)+N($N19)*(1-N($N19))*N($O19)^2)+(N($R19)*N($T19)+N($R19)*(1-N($R19))*N($S19)^2)+(N($V19)*N($X19)+N($V19)*(1-N($V19))*N($W19)^2))</f>
        <v>44.9108630586284</v>
      </c>
      <c r="AE19" s="12" t="n">
        <f aca="false">IF($I19="","",$I19*$L19)</f>
        <v>7.2</v>
      </c>
      <c r="AF19" s="12" t="n">
        <f aca="false">IF($I19="","",$I19*$L19*(1+N($R19)))</f>
        <v>14.4</v>
      </c>
      <c r="AG19" s="12" t="n">
        <f aca="false">IF($I19="","",$I19*$L19*(1+N($R19)+N($V19)))</f>
        <v>17.39232</v>
      </c>
      <c r="AH19" s="0" t="str">
        <f aca="false">TRIM(IF($G19&lt;Config!$B$9,"thin sample ("&amp;$G19&amp;" maps) · ","")&amp;IF($I19="","no PickFinder stats · ","")&amp;IFERROR(IF(INDEX(Players!$T$2:$T$71,MATCH($E19,Players!$A$2:$A$71,0))&lt;0.5,"new roster: "&amp;TEXT(INDEX(Players!$T$2:$T$71,MATCH($E19,Players!$A$2:$A$71,0)),"0%")&amp;" of his recent games with these teammates",""),""))</f>
        <v>new roster: 0% of his recent games with these teammates</v>
      </c>
      <c r="AI19" s="0" t="str">
        <f aca="false">IF($B19=Board!$B$2,COUNTIFS($B$2:$B$71,Board!$B$2,$Y$2:$Y$71,"&gt;"&amp;$Y19)+COUNTIFS($B$1:$B18,Board!$B$2,$Y$1:$Y18,$Y19)+1,"")</f>
        <v/>
      </c>
      <c r="AJ19" s="0" t="str">
        <f aca="false">IFERROR(IF(INDEX(Matches!$D$5:$D$12,MATCH($B19,Matches!$A$5:$A$12,0))=3,"K12","K13"),"K13")</f>
        <v>K12</v>
      </c>
      <c r="AK19" s="12" t="n">
        <f aca="false">IF($AJ19="K12",$AA19,$AC19)</f>
        <v>12.7788303249097</v>
      </c>
    </row>
    <row r="20" customFormat="false" ht="15" hidden="false" customHeight="false" outlineLevel="0" collapsed="false">
      <c r="A20" s="0" t="s">
        <v>201</v>
      </c>
      <c r="B20" s="0" t="s">
        <v>86</v>
      </c>
      <c r="C20" s="0" t="s">
        <v>91</v>
      </c>
      <c r="D20" s="0" t="s">
        <v>199</v>
      </c>
      <c r="E20" s="0" t="s">
        <v>365</v>
      </c>
      <c r="F20" s="0" t="str">
        <f aca="false">IFERROR(IF($C20=INDEX(Matches!$S$5:$S$12,MATCH($B20,Matches!$A$5:$A$12,0)),"A",IF($C20=INDEX(Matches!$T$5:$T$12,MATCH($B20,Matches!$A$5:$A$12,0)),"B","")),"")</f>
        <v>B</v>
      </c>
      <c r="G20" s="0" t="n">
        <f aca="false">IFERROR(INDEX(Players!$E$2:$E$71,MATCH($E20,Players!$A$2:$A$71,0)),0)</f>
        <v>30</v>
      </c>
      <c r="H20" s="7" t="n">
        <f aca="false">IFERROR(INDEX(Players!$F$2:$F$71,MATCH($E20,Players!$A$2:$A$71,0)),"")</f>
        <v>0.47</v>
      </c>
      <c r="I20" s="6" t="n">
        <f aca="false">IFERROR(INDEX(Players!$G$2:$G$71,MATCH($E20,Players!$A$2:$A$71,0)),"")</f>
        <v>3.5</v>
      </c>
      <c r="J20" s="12" t="n">
        <f aca="false">IF(OR($I20="",$H20=""),"",$I20*IF(LEFT($B20,4)="DOTA",Config!$B$5,Config!$B$4)/($H20*IF(LEFT($B20,4)="DOTA",Config!$B$5,Config!$B$4)+1-$H20))</f>
        <v>4.54879212864381</v>
      </c>
      <c r="K20" s="12" t="n">
        <f aca="false">IF(OR($I20="",$H20=""),"",$I20/($H20*IF(LEFT($B20,4)="DOTA",Config!$B$5,Config!$B$4)+1-$H20))</f>
        <v>2.56993905573096</v>
      </c>
      <c r="L20" s="6" t="n">
        <f aca="false">IFERROR(INDEX(Matches!$R$5:$R$12,MATCH($B20,Matches!$A$5:$A$12,0)),1)</f>
        <v>1</v>
      </c>
      <c r="M20" s="7" t="n">
        <f aca="false">IFERROR(IF(INDEX(Matches!$M$5:$M$12,MATCH($B20,Matches!$A$5:$A$12,0))="","",IF($F20="A",INDEX(Matches!$M$5:$M$12,MATCH($B20,Matches!$A$5:$A$12,0)),1-INDEX(Matches!$M$5:$M$12,MATCH($B20,Matches!$A$5:$A$12,0)))),"")</f>
        <v>0.2975</v>
      </c>
      <c r="N20" s="6" t="n">
        <f aca="false">1</f>
        <v>1</v>
      </c>
      <c r="O20" s="12" t="n">
        <f aca="false">IF(OR($M20="",$J20=""),"",$L20*($M20*$J20+(1-$M20)*$K20))</f>
        <v>3.15864784492254</v>
      </c>
      <c r="P20" s="6" t="n">
        <f aca="false">IF($O20="","",IF(LEFT($B20,4)="DOTA",Config!$B$7,Config!$B$6)*$O20+$L20^2*$M20*(1-$M20)*($J20-$K20)^2)</f>
        <v>6.6303021927286</v>
      </c>
      <c r="Q20" s="7" t="n">
        <f aca="false">IFERROR(IF(INDEX(Matches!$N$5:$N$12,MATCH($B20,Matches!$A$5:$A$12,0))="","",IF($F20="A",INDEX(Matches!$N$5:$N$12,MATCH($B20,Matches!$A$5:$A$12,0)),1-INDEX(Matches!$N$5:$N$12,MATCH($B20,Matches!$A$5:$A$12,0)))),"")</f>
        <v>0.2975</v>
      </c>
      <c r="R20" s="6" t="n">
        <f aca="false">IFERROR(N(INDEX(Matches!$P$5:$P$12,MATCH($B20,Matches!$A$5:$A$12,0))),0)</f>
        <v>1</v>
      </c>
      <c r="S20" s="12" t="n">
        <f aca="false">IF(OR($Q20="",$J20=""),"",$L20*($Q20*$J20+(1-$Q20)*$K20))</f>
        <v>3.15864784492254</v>
      </c>
      <c r="T20" s="6" t="n">
        <f aca="false">IF($S20="","",IF(LEFT($B20,4)="DOTA",Config!$B$7,Config!$B$6)*$S20+$L20^2*$Q20*(1-$Q20)*($J20-$K20)^2)</f>
        <v>6.6303021927286</v>
      </c>
      <c r="U20" s="7" t="n">
        <f aca="false">IFERROR(IF(INDEX(Matches!$O$5:$O$12,MATCH($B20,Matches!$A$5:$A$12,0))="","",IF($F20="A",INDEX(Matches!$O$5:$O$12,MATCH($B20,Matches!$A$5:$A$12,0)),1-INDEX(Matches!$O$5:$O$12,MATCH($B20,Matches!$A$5:$A$12,0)))),"")</f>
        <v>0.2164</v>
      </c>
      <c r="V20" s="6" t="n">
        <f aca="false">IFERROR(N(INDEX(Matches!$Q$5:$Q$12,MATCH($B20,Matches!$A$5:$A$12,0))),0)</f>
        <v>0.4156</v>
      </c>
      <c r="W20" s="12" t="n">
        <f aca="false">IF(OR($U20="",$J20=""),"",$L20*($U20*$J20+(1-$U20)*$K20))</f>
        <v>2.9981628607093</v>
      </c>
      <c r="X20" s="6" t="n">
        <f aca="false">IF($W20="","",IF(LEFT($B20,4)="DOTA",Config!$B$7,Config!$B$6)*$W20+$L20^2*$U20*(1-$U20)*($J20-$K20)^2)</f>
        <v>6.18063602893081</v>
      </c>
      <c r="Y20" s="12" t="n">
        <f aca="false">IF($O20="","",$O20)</f>
        <v>3.15864784492254</v>
      </c>
      <c r="Z20" s="6" t="n">
        <f aca="false">IF($P20="","",$P20)</f>
        <v>6.6303021927286</v>
      </c>
      <c r="AA20" s="12" t="n">
        <f aca="false">IF($O20="","",N($N20)*N($O20)+N($R20)*N($S20))</f>
        <v>6.31729568984507</v>
      </c>
      <c r="AB20" s="6" t="n">
        <f aca="false">IF($O20="","",(N($N20)*N($P20)+N($N20)*(1-N($N20))*N($O20)^2)+(N($R20)*N($T20)+N($R20)*(1-N($R20))*N($S20)^2))</f>
        <v>13.2606043854572</v>
      </c>
      <c r="AC20" s="12" t="n">
        <f aca="false">IF($O20="","",N($N20)*N($O20)+N($R20)*N($S20)+N($V20)*N($W20))</f>
        <v>7.56333217475586</v>
      </c>
      <c r="AD20" s="6" t="n">
        <f aca="false">IF($O20="","",(N($N20)*N($P20)+N($N20)*(1-N($N20))*N($O20)^2)+(N($R20)*N($T20)+N($R20)*(1-N($R20))*N($S20)^2)+(N($V20)*N($X20)+N($V20)*(1-N($V20))*N($W20)^2))</f>
        <v>18.0124901095003</v>
      </c>
      <c r="AE20" s="12" t="n">
        <f aca="false">IF($I20="","",$I20*$L20)</f>
        <v>3.5</v>
      </c>
      <c r="AF20" s="12" t="n">
        <f aca="false">IF($I20="","",$I20*$L20*(1+N($R20)))</f>
        <v>7</v>
      </c>
      <c r="AG20" s="12" t="n">
        <f aca="false">IF($I20="","",$I20*$L20*(1+N($R20)+N($V20)))</f>
        <v>8.4546</v>
      </c>
      <c r="AH20" s="0" t="str">
        <f aca="false">TRIM(IF($G20&lt;Config!$B$9,"thin sample ("&amp;$G20&amp;" maps) · ","")&amp;IF($I20="","no PickFinder stats · ","")&amp;IFERROR(IF(INDEX(Players!$T$2:$T$71,MATCH($E20,Players!$A$2:$A$71,0))&lt;0.5,"new roster: "&amp;TEXT(INDEX(Players!$T$2:$T$71,MATCH($E20,Players!$A$2:$A$71,0)),"0%")&amp;" of his recent games with these teammates",""),""))</f>
        <v>new roster: 0% of his recent games with these teammates</v>
      </c>
      <c r="AI20" s="0" t="str">
        <f aca="false">IF($B20=Board!$B$2,COUNTIFS($B$2:$B$71,Board!$B$2,$Y$2:$Y$71,"&gt;"&amp;$Y20)+COUNTIFS($B$1:$B19,Board!$B$2,$Y$1:$Y19,$Y20)+1,"")</f>
        <v/>
      </c>
      <c r="AJ20" s="0" t="str">
        <f aca="false">IFERROR(IF(INDEX(Matches!$D$5:$D$12,MATCH($B20,Matches!$A$5:$A$12,0))=3,"K12","K13"),"K13")</f>
        <v>K12</v>
      </c>
      <c r="AK20" s="12" t="n">
        <f aca="false">IF($AJ20="K12",$AA20,$AC20)</f>
        <v>6.31729568984507</v>
      </c>
    </row>
    <row r="21" customFormat="false" ht="15" hidden="false" customHeight="false" outlineLevel="0" collapsed="false">
      <c r="A21" s="0" t="s">
        <v>204</v>
      </c>
      <c r="B21" s="0" t="s">
        <v>86</v>
      </c>
      <c r="C21" s="0" t="s">
        <v>90</v>
      </c>
      <c r="D21" s="0" t="s">
        <v>202</v>
      </c>
      <c r="E21" s="0" t="s">
        <v>366</v>
      </c>
      <c r="F21" s="0" t="str">
        <f aca="false">IFERROR(IF($C21=INDEX(Matches!$S$5:$S$12,MATCH($B21,Matches!$A$5:$A$12,0)),"A",IF($C21=INDEX(Matches!$T$5:$T$12,MATCH($B21,Matches!$A$5:$A$12,0)),"B","")),"")</f>
        <v>A</v>
      </c>
      <c r="G21" s="0" t="n">
        <f aca="false">IFERROR(INDEX(Players!$E$2:$E$71,MATCH($E21,Players!$A$2:$A$71,0)),0)</f>
        <v>30</v>
      </c>
      <c r="H21" s="7" t="n">
        <f aca="false">IFERROR(INDEX(Players!$F$2:$F$71,MATCH($E21,Players!$A$2:$A$71,0)),"")</f>
        <v>0.63</v>
      </c>
      <c r="I21" s="6" t="n">
        <f aca="false">IFERROR(INDEX(Players!$G$2:$G$71,MATCH($E21,Players!$A$2:$A$71,0)),"")</f>
        <v>8.5</v>
      </c>
      <c r="J21" s="12" t="n">
        <f aca="false">IF(OR($I21="",$H21=""),"",$I21*IF(LEFT($B21,4)="DOTA",Config!$B$5,Config!$B$4)/($H21*IF(LEFT($B21,4)="DOTA",Config!$B$5,Config!$B$4)+1-$H21))</f>
        <v>10.1306309339438</v>
      </c>
      <c r="K21" s="12" t="n">
        <f aca="false">IF(OR($I21="",$H21=""),"",$I21/($H21*IF(LEFT($B21,4)="DOTA",Config!$B$5,Config!$B$4)+1-$H21))</f>
        <v>5.72352030166319</v>
      </c>
      <c r="L21" s="6" t="n">
        <f aca="false">IFERROR(INDEX(Matches!$R$5:$R$12,MATCH($B21,Matches!$A$5:$A$12,0)),1)</f>
        <v>1</v>
      </c>
      <c r="M21" s="7" t="n">
        <f aca="false">IFERROR(IF(INDEX(Matches!$M$5:$M$12,MATCH($B21,Matches!$A$5:$A$12,0))="","",IF($F21="A",INDEX(Matches!$M$5:$M$12,MATCH($B21,Matches!$A$5:$A$12,0)),1-INDEX(Matches!$M$5:$M$12,MATCH($B21,Matches!$A$5:$A$12,0)))),"")</f>
        <v>0.7025</v>
      </c>
      <c r="N21" s="6" t="n">
        <f aca="false">1</f>
        <v>1</v>
      </c>
      <c r="O21" s="12" t="n">
        <f aca="false">IF(OR($M21="",$J21=""),"",$L21*($M21*$J21+(1-$M21)*$K21))</f>
        <v>8.81951552084035</v>
      </c>
      <c r="P21" s="6" t="n">
        <f aca="false">IF($O21="","",IF(LEFT($B21,4)="DOTA",Config!$B$7,Config!$B$6)*$O21+$L21^2*$M21*(1-$M21)*($J21-$K21)^2)</f>
        <v>20.2871156091041</v>
      </c>
      <c r="Q21" s="7" t="n">
        <f aca="false">IFERROR(IF(INDEX(Matches!$N$5:$N$12,MATCH($B21,Matches!$A$5:$A$12,0))="","",IF($F21="A",INDEX(Matches!$N$5:$N$12,MATCH($B21,Matches!$A$5:$A$12,0)),1-INDEX(Matches!$N$5:$N$12,MATCH($B21,Matches!$A$5:$A$12,0)))),"")</f>
        <v>0.7025</v>
      </c>
      <c r="R21" s="6" t="n">
        <f aca="false">IFERROR(N(INDEX(Matches!$P$5:$P$12,MATCH($B21,Matches!$A$5:$A$12,0))),0)</f>
        <v>1</v>
      </c>
      <c r="S21" s="12" t="n">
        <f aca="false">IF(OR($Q21="",$J21=""),"",$L21*($Q21*$J21+(1-$Q21)*$K21))</f>
        <v>8.81951552084035</v>
      </c>
      <c r="T21" s="6" t="n">
        <f aca="false">IF($S21="","",IF(LEFT($B21,4)="DOTA",Config!$B$7,Config!$B$6)*$S21+$L21^2*$Q21*(1-$Q21)*($J21-$K21)^2)</f>
        <v>20.2871156091041</v>
      </c>
      <c r="U21" s="7" t="n">
        <f aca="false">IFERROR(IF(INDEX(Matches!$O$5:$O$12,MATCH($B21,Matches!$A$5:$A$12,0))="","",IF($F21="A",INDEX(Matches!$O$5:$O$12,MATCH($B21,Matches!$A$5:$A$12,0)),1-INDEX(Matches!$O$5:$O$12,MATCH($B21,Matches!$A$5:$A$12,0)))),"")</f>
        <v>0.7836</v>
      </c>
      <c r="V21" s="6" t="n">
        <f aca="false">IFERROR(N(INDEX(Matches!$Q$5:$Q$12,MATCH($B21,Matches!$A$5:$A$12,0))),0)</f>
        <v>0.4156</v>
      </c>
      <c r="W21" s="12" t="n">
        <f aca="false">IF(OR($U21="",$J21=""),"",$L21*($U21*$J21+(1-$U21)*$K21))</f>
        <v>9.17693219311831</v>
      </c>
      <c r="X21" s="6" t="n">
        <f aca="false">IF($W21="","",IF(LEFT($B21,4)="DOTA",Config!$B$7,Config!$B$6)*$W21+$L21^2*$U21*(1-$U21)*($J21-$K21)^2)</f>
        <v>20.1790698077704</v>
      </c>
      <c r="Y21" s="12" t="n">
        <f aca="false">IF($O21="","",$O21)</f>
        <v>8.81951552084035</v>
      </c>
      <c r="Z21" s="6" t="n">
        <f aca="false">IF($P21="","",$P21)</f>
        <v>20.2871156091041</v>
      </c>
      <c r="AA21" s="12" t="n">
        <f aca="false">IF($O21="","",N($N21)*N($O21)+N($R21)*N($S21))</f>
        <v>17.6390310416807</v>
      </c>
      <c r="AB21" s="6" t="n">
        <f aca="false">IF($O21="","",(N($N21)*N($P21)+N($N21)*(1-N($N21))*N($O21)^2)+(N($R21)*N($T21)+N($R21)*(1-N($R21))*N($S21)^2))</f>
        <v>40.5742312182083</v>
      </c>
      <c r="AC21" s="12" t="n">
        <f aca="false">IF($O21="","",N($N21)*N($O21)+N($R21)*N($S21)+N($V21)*N($W21))</f>
        <v>21.4529640611407</v>
      </c>
      <c r="AD21" s="6" t="n">
        <f aca="false">IF($O21="","",(N($N21)*N($P21)+N($N21)*(1-N($N21))*N($O21)^2)+(N($R21)*N($T21)+N($R21)*(1-N($R21))*N($S21)^2)+(N($V21)*N($X21)+N($V21)*(1-N($V21))*N($W21)^2))</f>
        <v>69.4147722620697</v>
      </c>
      <c r="AE21" s="12" t="n">
        <f aca="false">IF($I21="","",$I21*$L21)</f>
        <v>8.5</v>
      </c>
      <c r="AF21" s="12" t="n">
        <f aca="false">IF($I21="","",$I21*$L21*(1+N($R21)))</f>
        <v>17</v>
      </c>
      <c r="AG21" s="12" t="n">
        <f aca="false">IF($I21="","",$I21*$L21*(1+N($R21)+N($V21)))</f>
        <v>20.5326</v>
      </c>
      <c r="AH21" s="0" t="str">
        <f aca="false">TRIM(IF($G21&lt;Config!$B$9,"thin sample ("&amp;$G21&amp;" maps) · ","")&amp;IF($I21="","no PickFinder stats · ","")&amp;IFERROR(IF(INDEX(Players!$T$2:$T$71,MATCH($E21,Players!$A$2:$A$71,0))&lt;0.5,"new roster: "&amp;TEXT(INDEX(Players!$T$2:$T$71,MATCH($E21,Players!$A$2:$A$71,0)),"0%")&amp;" of his recent games with these teammates",""),""))</f>
        <v>new roster: 0% of his recent games with these teammates</v>
      </c>
      <c r="AI21" s="0" t="str">
        <f aca="false">IF($B21=Board!$B$2,COUNTIFS($B$2:$B$71,Board!$B$2,$Y$2:$Y$71,"&gt;"&amp;$Y21)+COUNTIFS($B$1:$B20,Board!$B$2,$Y$1:$Y20,$Y21)+1,"")</f>
        <v/>
      </c>
      <c r="AJ21" s="0" t="str">
        <f aca="false">IFERROR(IF(INDEX(Matches!$D$5:$D$12,MATCH($B21,Matches!$A$5:$A$12,0))=3,"K12","K13"),"K13")</f>
        <v>K12</v>
      </c>
      <c r="AK21" s="12" t="n">
        <f aca="false">IF($AJ21="K12",$AA21,$AC21)</f>
        <v>17.6390310416807</v>
      </c>
    </row>
    <row r="22" customFormat="false" ht="15" hidden="false" customHeight="false" outlineLevel="0" collapsed="false">
      <c r="A22" s="0" t="s">
        <v>206</v>
      </c>
      <c r="B22" s="0" t="s">
        <v>86</v>
      </c>
      <c r="C22" s="0" t="s">
        <v>90</v>
      </c>
      <c r="D22" s="0" t="s">
        <v>205</v>
      </c>
      <c r="E22" s="0" t="s">
        <v>367</v>
      </c>
      <c r="F22" s="0" t="str">
        <f aca="false">IFERROR(IF($C22=INDEX(Matches!$S$5:$S$12,MATCH($B22,Matches!$A$5:$A$12,0)),"A",IF($C22=INDEX(Matches!$T$5:$T$12,MATCH($B22,Matches!$A$5:$A$12,0)),"B","")),"")</f>
        <v>A</v>
      </c>
      <c r="G22" s="0" t="n">
        <f aca="false">IFERROR(INDEX(Players!$E$2:$E$71,MATCH($E22,Players!$A$2:$A$71,0)),0)</f>
        <v>30</v>
      </c>
      <c r="H22" s="7" t="n">
        <f aca="false">IFERROR(INDEX(Players!$F$2:$F$71,MATCH($E22,Players!$A$2:$A$71,0)),"")</f>
        <v>0.57</v>
      </c>
      <c r="I22" s="6" t="n">
        <f aca="false">IFERROR(INDEX(Players!$G$2:$G$71,MATCH($E22,Players!$A$2:$A$71,0)),"")</f>
        <v>5.6</v>
      </c>
      <c r="J22" s="12" t="n">
        <f aca="false">IF(OR($I22="",$H22=""),"",$I22*IF(LEFT($B22,4)="DOTA",Config!$B$5,Config!$B$4)/($H22*IF(LEFT($B22,4)="DOTA",Config!$B$5,Config!$B$4)+1-$H22))</f>
        <v>6.88859545486135</v>
      </c>
      <c r="K22" s="12" t="n">
        <f aca="false">IF(OR($I22="",$H22=""),"",$I22/($H22*IF(LEFT($B22,4)="DOTA",Config!$B$5,Config!$B$4)+1-$H22))</f>
        <v>3.89186183890472</v>
      </c>
      <c r="L22" s="6" t="n">
        <f aca="false">IFERROR(INDEX(Matches!$R$5:$R$12,MATCH($B22,Matches!$A$5:$A$12,0)),1)</f>
        <v>1</v>
      </c>
      <c r="M22" s="7" t="n">
        <f aca="false">IFERROR(IF(INDEX(Matches!$M$5:$M$12,MATCH($B22,Matches!$A$5:$A$12,0))="","",IF($F22="A",INDEX(Matches!$M$5:$M$12,MATCH($B22,Matches!$A$5:$A$12,0)),1-INDEX(Matches!$M$5:$M$12,MATCH($B22,Matches!$A$5:$A$12,0)))),"")</f>
        <v>0.7025</v>
      </c>
      <c r="N22" s="6" t="n">
        <f aca="false">1</f>
        <v>1</v>
      </c>
      <c r="O22" s="12" t="n">
        <f aca="false">IF(OR($M22="",$J22=""),"",$L22*($M22*$J22+(1-$M22)*$K22))</f>
        <v>5.99706720411425</v>
      </c>
      <c r="P22" s="6" t="n">
        <f aca="false">IF($O22="","",IF(LEFT($B22,4)="DOTA",Config!$B$7,Config!$B$6)*$O22+$L22^2*$M22*(1-$M22)*($J22-$K22)^2)</f>
        <v>12.9114537122789</v>
      </c>
      <c r="Q22" s="7" t="n">
        <f aca="false">IFERROR(IF(INDEX(Matches!$N$5:$N$12,MATCH($B22,Matches!$A$5:$A$12,0))="","",IF($F22="A",INDEX(Matches!$N$5:$N$12,MATCH($B22,Matches!$A$5:$A$12,0)),1-INDEX(Matches!$N$5:$N$12,MATCH($B22,Matches!$A$5:$A$12,0)))),"")</f>
        <v>0.7025</v>
      </c>
      <c r="R22" s="6" t="n">
        <f aca="false">IFERROR(N(INDEX(Matches!$P$5:$P$12,MATCH($B22,Matches!$A$5:$A$12,0))),0)</f>
        <v>1</v>
      </c>
      <c r="S22" s="12" t="n">
        <f aca="false">IF(OR($Q22="",$J22=""),"",$L22*($Q22*$J22+(1-$Q22)*$K22))</f>
        <v>5.99706720411425</v>
      </c>
      <c r="T22" s="6" t="n">
        <f aca="false">IF($S22="","",IF(LEFT($B22,4)="DOTA",Config!$B$7,Config!$B$6)*$S22+$L22^2*$Q22*(1-$Q22)*($J22-$K22)^2)</f>
        <v>12.9114537122789</v>
      </c>
      <c r="U22" s="7" t="n">
        <f aca="false">IFERROR(IF(INDEX(Matches!$O$5:$O$12,MATCH($B22,Matches!$A$5:$A$12,0))="","",IF($F22="A",INDEX(Matches!$O$5:$O$12,MATCH($B22,Matches!$A$5:$A$12,0)),1-INDEX(Matches!$O$5:$O$12,MATCH($B22,Matches!$A$5:$A$12,0)))),"")</f>
        <v>0.7836</v>
      </c>
      <c r="V22" s="6" t="n">
        <f aca="false">IFERROR(N(INDEX(Matches!$Q$5:$Q$12,MATCH($B22,Matches!$A$5:$A$12,0))),0)</f>
        <v>0.4156</v>
      </c>
      <c r="W22" s="12" t="n">
        <f aca="false">IF(OR($U22="",$J22=""),"",$L22*($U22*$J22+(1-$U22)*$K22))</f>
        <v>6.24010230036834</v>
      </c>
      <c r="X22" s="6" t="n">
        <f aca="false">IF($W22="","",IF(LEFT($B22,4)="DOTA",Config!$B$7,Config!$B$6)*$W22+$L22^2*$U22*(1-$U22)*($J22-$K22)^2)</f>
        <v>13.0046060970404</v>
      </c>
      <c r="Y22" s="12" t="n">
        <f aca="false">IF($O22="","",$O22)</f>
        <v>5.99706720411425</v>
      </c>
      <c r="Z22" s="6" t="n">
        <f aca="false">IF($P22="","",$P22)</f>
        <v>12.9114537122789</v>
      </c>
      <c r="AA22" s="12" t="n">
        <f aca="false">IF($O22="","",N($N22)*N($O22)+N($R22)*N($S22))</f>
        <v>11.9941344082285</v>
      </c>
      <c r="AB22" s="6" t="n">
        <f aca="false">IF($O22="","",(N($N22)*N($P22)+N($N22)*(1-N($N22))*N($O22)^2)+(N($R22)*N($T22)+N($R22)*(1-N($R22))*N($S22)^2))</f>
        <v>25.8229074245578</v>
      </c>
      <c r="AC22" s="12" t="n">
        <f aca="false">IF($O22="","",N($N22)*N($O22)+N($R22)*N($S22)+N($V22)*N($W22))</f>
        <v>14.5875209242616</v>
      </c>
      <c r="AD22" s="6" t="n">
        <f aca="false">IF($O22="","",(N($N22)*N($P22)+N($N22)*(1-N($N22))*N($O22)^2)+(N($R22)*N($T22)+N($R22)*(1-N($R22))*N($S22)^2)+(N($V22)*N($X22)+N($V22)*(1-N($V22))*N($W22)^2))</f>
        <v>40.6849652613878</v>
      </c>
      <c r="AE22" s="12" t="n">
        <f aca="false">IF($I22="","",$I22*$L22)</f>
        <v>5.6</v>
      </c>
      <c r="AF22" s="12" t="n">
        <f aca="false">IF($I22="","",$I22*$L22*(1+N($R22)))</f>
        <v>11.2</v>
      </c>
      <c r="AG22" s="12" t="n">
        <f aca="false">IF($I22="","",$I22*$L22*(1+N($R22)+N($V22)))</f>
        <v>13.52736</v>
      </c>
      <c r="AH22" s="0" t="str">
        <f aca="false">TRIM(IF($G22&lt;Config!$B$9,"thin sample ("&amp;$G22&amp;" maps) · ","")&amp;IF($I22="","no PickFinder stats · ","")&amp;IFERROR(IF(INDEX(Players!$T$2:$T$71,MATCH($E22,Players!$A$2:$A$71,0))&lt;0.5,"new roster: "&amp;TEXT(INDEX(Players!$T$2:$T$71,MATCH($E22,Players!$A$2:$A$71,0)),"0%")&amp;" of his recent games with these teammates",""),""))</f>
        <v>new roster: 0% of his recent games with these teammates</v>
      </c>
      <c r="AI22" s="0" t="str">
        <f aca="false">IF($B22=Board!$B$2,COUNTIFS($B$2:$B$71,Board!$B$2,$Y$2:$Y$71,"&gt;"&amp;$Y22)+COUNTIFS($B$1:$B21,Board!$B$2,$Y$1:$Y21,$Y22)+1,"")</f>
        <v/>
      </c>
      <c r="AJ22" s="0" t="str">
        <f aca="false">IFERROR(IF(INDEX(Matches!$D$5:$D$12,MATCH($B22,Matches!$A$5:$A$12,0))=3,"K12","K13"),"K13")</f>
        <v>K12</v>
      </c>
      <c r="AK22" s="12" t="n">
        <f aca="false">IF($AJ22="K12",$AA22,$AC22)</f>
        <v>11.9941344082285</v>
      </c>
    </row>
    <row r="23" customFormat="false" ht="15" hidden="false" customHeight="false" outlineLevel="0" collapsed="false">
      <c r="A23" s="0" t="s">
        <v>208</v>
      </c>
      <c r="B23" s="0" t="s">
        <v>86</v>
      </c>
      <c r="C23" s="0" t="s">
        <v>90</v>
      </c>
      <c r="D23" s="0" t="s">
        <v>207</v>
      </c>
      <c r="E23" s="0" t="s">
        <v>368</v>
      </c>
      <c r="F23" s="0" t="str">
        <f aca="false">IFERROR(IF($C23=INDEX(Matches!$S$5:$S$12,MATCH($B23,Matches!$A$5:$A$12,0)),"A",IF($C23=INDEX(Matches!$T$5:$T$12,MATCH($B23,Matches!$A$5:$A$12,0)),"B","")),"")</f>
        <v>A</v>
      </c>
      <c r="G23" s="0" t="n">
        <f aca="false">IFERROR(INDEX(Players!$E$2:$E$71,MATCH($E23,Players!$A$2:$A$71,0)),0)</f>
        <v>30</v>
      </c>
      <c r="H23" s="7" t="n">
        <f aca="false">IFERROR(INDEX(Players!$F$2:$F$71,MATCH($E23,Players!$A$2:$A$71,0)),"")</f>
        <v>0.63</v>
      </c>
      <c r="I23" s="6" t="n">
        <f aca="false">IFERROR(INDEX(Players!$G$2:$G$71,MATCH($E23,Players!$A$2:$A$71,0)),"")</f>
        <v>2.9</v>
      </c>
      <c r="J23" s="12" t="n">
        <f aca="false">IF(OR($I23="",$H23=""),"",$I23*IF(LEFT($B23,4)="DOTA",Config!$B$5,Config!$B$4)/($H23*IF(LEFT($B23,4)="DOTA",Config!$B$5,Config!$B$4)+1-$H23))</f>
        <v>3.45633290687496</v>
      </c>
      <c r="K23" s="12" t="n">
        <f aca="false">IF(OR($I23="",$H23=""),"",$I23/($H23*IF(LEFT($B23,4)="DOTA",Config!$B$5,Config!$B$4)+1-$H23))</f>
        <v>1.95273045586156</v>
      </c>
      <c r="L23" s="6" t="n">
        <f aca="false">IFERROR(INDEX(Matches!$R$5:$R$12,MATCH($B23,Matches!$A$5:$A$12,0)),1)</f>
        <v>1</v>
      </c>
      <c r="M23" s="7" t="n">
        <f aca="false">IFERROR(IF(INDEX(Matches!$M$5:$M$12,MATCH($B23,Matches!$A$5:$A$12,0))="","",IF($F23="A",INDEX(Matches!$M$5:$M$12,MATCH($B23,Matches!$A$5:$A$12,0)),1-INDEX(Matches!$M$5:$M$12,MATCH($B23,Matches!$A$5:$A$12,0)))),"")</f>
        <v>0.7025</v>
      </c>
      <c r="N23" s="6" t="n">
        <f aca="false">1</f>
        <v>1</v>
      </c>
      <c r="O23" s="12" t="n">
        <f aca="false">IF(OR($M23="",$J23=""),"",$L23*($M23*$J23+(1-$M23)*$K23))</f>
        <v>3.00901117769847</v>
      </c>
      <c r="P23" s="6" t="n">
        <f aca="false">IF($O23="","",IF(LEFT($B23,4)="DOTA",Config!$B$7,Config!$B$6)*$O23+$L23^2*$M23*(1-$M23)*($J23-$K23)^2)</f>
        <v>6.00907788595306</v>
      </c>
      <c r="Q23" s="7" t="n">
        <f aca="false">IFERROR(IF(INDEX(Matches!$N$5:$N$12,MATCH($B23,Matches!$A$5:$A$12,0))="","",IF($F23="A",INDEX(Matches!$N$5:$N$12,MATCH($B23,Matches!$A$5:$A$12,0)),1-INDEX(Matches!$N$5:$N$12,MATCH($B23,Matches!$A$5:$A$12,0)))),"")</f>
        <v>0.7025</v>
      </c>
      <c r="R23" s="6" t="n">
        <f aca="false">IFERROR(N(INDEX(Matches!$P$5:$P$12,MATCH($B23,Matches!$A$5:$A$12,0))),0)</f>
        <v>1</v>
      </c>
      <c r="S23" s="12" t="n">
        <f aca="false">IF(OR($Q23="",$J23=""),"",$L23*($Q23*$J23+(1-$Q23)*$K23))</f>
        <v>3.00901117769847</v>
      </c>
      <c r="T23" s="6" t="n">
        <f aca="false">IF($S23="","",IF(LEFT($B23,4)="DOTA",Config!$B$7,Config!$B$6)*$S23+$L23^2*$Q23*(1-$Q23)*($J23-$K23)^2)</f>
        <v>6.00907788595306</v>
      </c>
      <c r="U23" s="7" t="n">
        <f aca="false">IFERROR(IF(INDEX(Matches!$O$5:$O$12,MATCH($B23,Matches!$A$5:$A$12,0))="","",IF($F23="A",INDEX(Matches!$O$5:$O$12,MATCH($B23,Matches!$A$5:$A$12,0)),1-INDEX(Matches!$O$5:$O$12,MATCH($B23,Matches!$A$5:$A$12,0)))),"")</f>
        <v>0.7836</v>
      </c>
      <c r="V23" s="6" t="n">
        <f aca="false">IFERROR(N(INDEX(Matches!$Q$5:$Q$12,MATCH($B23,Matches!$A$5:$A$12,0))),0)</f>
        <v>0.4156</v>
      </c>
      <c r="W23" s="12" t="n">
        <f aca="false">IF(OR($U23="",$J23=""),"",$L23*($U23*$J23+(1-$U23)*$K23))</f>
        <v>3.13095333647566</v>
      </c>
      <c r="X23" s="6" t="n">
        <f aca="false">IF($W23="","",IF(LEFT($B23,4)="DOTA",Config!$B$7,Config!$B$6)*$W23+$L23^2*$U23*(1-$U23)*($J23-$K23)^2)</f>
        <v>6.14432379384405</v>
      </c>
      <c r="Y23" s="12" t="n">
        <f aca="false">IF($O23="","",$O23)</f>
        <v>3.00901117769847</v>
      </c>
      <c r="Z23" s="6" t="n">
        <f aca="false">IF($P23="","",$P23)</f>
        <v>6.00907788595306</v>
      </c>
      <c r="AA23" s="12" t="n">
        <f aca="false">IF($O23="","",N($N23)*N($O23)+N($R23)*N($S23))</f>
        <v>6.01802235539694</v>
      </c>
      <c r="AB23" s="6" t="n">
        <f aca="false">IF($O23="","",(N($N23)*N($P23)+N($N23)*(1-N($N23))*N($O23)^2)+(N($R23)*N($T23)+N($R23)*(1-N($R23))*N($S23)^2))</f>
        <v>12.0181557719061</v>
      </c>
      <c r="AC23" s="12" t="n">
        <f aca="false">IF($O23="","",N($N23)*N($O23)+N($R23)*N($S23)+N($V23)*N($W23))</f>
        <v>7.31924656203623</v>
      </c>
      <c r="AD23" s="6" t="n">
        <f aca="false">IF($O23="","",(N($N23)*N($P23)+N($N23)*(1-N($N23))*N($O23)^2)+(N($R23)*N($T23)+N($R23)*(1-N($R23))*N($S23)^2)+(N($V23)*N($X23)+N($V23)*(1-N($V23))*N($W23)^2))</f>
        <v>16.9526245759638</v>
      </c>
      <c r="AE23" s="12" t="n">
        <f aca="false">IF($I23="","",$I23*$L23)</f>
        <v>2.9</v>
      </c>
      <c r="AF23" s="12" t="n">
        <f aca="false">IF($I23="","",$I23*$L23*(1+N($R23)))</f>
        <v>5.8</v>
      </c>
      <c r="AG23" s="12" t="n">
        <f aca="false">IF($I23="","",$I23*$L23*(1+N($R23)+N($V23)))</f>
        <v>7.00524</v>
      </c>
      <c r="AH23" s="0" t="str">
        <f aca="false">TRIM(IF($G23&lt;Config!$B$9,"thin sample ("&amp;$G23&amp;" maps) · ","")&amp;IF($I23="","no PickFinder stats · ","")&amp;IFERROR(IF(INDEX(Players!$T$2:$T$71,MATCH($E23,Players!$A$2:$A$71,0))&lt;0.5,"new roster: "&amp;TEXT(INDEX(Players!$T$2:$T$71,MATCH($E23,Players!$A$2:$A$71,0)),"0%")&amp;" of his recent games with these teammates",""),""))</f>
        <v>new roster: 0% of his recent games with these teammates</v>
      </c>
      <c r="AI23" s="0" t="str">
        <f aca="false">IF($B23=Board!$B$2,COUNTIFS($B$2:$B$71,Board!$B$2,$Y$2:$Y$71,"&gt;"&amp;$Y23)+COUNTIFS($B$1:$B22,Board!$B$2,$Y$1:$Y22,$Y23)+1,"")</f>
        <v/>
      </c>
      <c r="AJ23" s="0" t="str">
        <f aca="false">IFERROR(IF(INDEX(Matches!$D$5:$D$12,MATCH($B23,Matches!$A$5:$A$12,0))=3,"K12","K13"),"K13")</f>
        <v>K12</v>
      </c>
      <c r="AK23" s="12" t="n">
        <f aca="false">IF($AJ23="K12",$AA23,$AC23)</f>
        <v>6.01802235539694</v>
      </c>
    </row>
    <row r="24" customFormat="false" ht="15" hidden="false" customHeight="false" outlineLevel="0" collapsed="false">
      <c r="A24" s="0" t="s">
        <v>210</v>
      </c>
      <c r="B24" s="0" t="s">
        <v>86</v>
      </c>
      <c r="C24" s="0" t="s">
        <v>90</v>
      </c>
      <c r="D24" s="0" t="s">
        <v>209</v>
      </c>
      <c r="E24" s="0" t="s">
        <v>369</v>
      </c>
      <c r="F24" s="0" t="str">
        <f aca="false">IFERROR(IF($C24=INDEX(Matches!$S$5:$S$12,MATCH($B24,Matches!$A$5:$A$12,0)),"A",IF($C24=INDEX(Matches!$T$5:$T$12,MATCH($B24,Matches!$A$5:$A$12,0)),"B","")),"")</f>
        <v>A</v>
      </c>
      <c r="G24" s="0" t="n">
        <f aca="false">IFERROR(INDEX(Players!$E$2:$E$71,MATCH($E24,Players!$A$2:$A$71,0)),0)</f>
        <v>30</v>
      </c>
      <c r="H24" s="7" t="n">
        <f aca="false">IFERROR(INDEX(Players!$F$2:$F$71,MATCH($E24,Players!$A$2:$A$71,0)),"")</f>
        <v>0.57</v>
      </c>
      <c r="I24" s="6" t="n">
        <f aca="false">IFERROR(INDEX(Players!$G$2:$G$71,MATCH($E24,Players!$A$2:$A$71,0)),"")</f>
        <v>8.4</v>
      </c>
      <c r="J24" s="12" t="n">
        <f aca="false">IF(OR($I24="",$H24=""),"",$I24*IF(LEFT($B24,4)="DOTA",Config!$B$5,Config!$B$4)/($H24*IF(LEFT($B24,4)="DOTA",Config!$B$5,Config!$B$4)+1-$H24))</f>
        <v>10.332893182292</v>
      </c>
      <c r="K24" s="12" t="n">
        <f aca="false">IF(OR($I24="",$H24=""),"",$I24/($H24*IF(LEFT($B24,4)="DOTA",Config!$B$5,Config!$B$4)+1-$H24))</f>
        <v>5.83779275835708</v>
      </c>
      <c r="L24" s="6" t="n">
        <f aca="false">IFERROR(INDEX(Matches!$R$5:$R$12,MATCH($B24,Matches!$A$5:$A$12,0)),1)</f>
        <v>1</v>
      </c>
      <c r="M24" s="7" t="n">
        <f aca="false">IFERROR(IF(INDEX(Matches!$M$5:$M$12,MATCH($B24,Matches!$A$5:$A$12,0))="","",IF($F24="A",INDEX(Matches!$M$5:$M$12,MATCH($B24,Matches!$A$5:$A$12,0)),1-INDEX(Matches!$M$5:$M$12,MATCH($B24,Matches!$A$5:$A$12,0)))),"")</f>
        <v>0.7025</v>
      </c>
      <c r="N24" s="6" t="n">
        <f aca="false">1</f>
        <v>1</v>
      </c>
      <c r="O24" s="12" t="n">
        <f aca="false">IF(OR($M24="",$J24=""),"",$L24*($M24*$J24+(1-$M24)*$K24))</f>
        <v>8.99560080617138</v>
      </c>
      <c r="P24" s="6" t="n">
        <f aca="false">IF($O24="","",IF(LEFT($B24,4)="DOTA",Config!$B$7,Config!$B$6)*$O24+$L24^2*$M24*(1-$M24)*($J24-$K24)^2)</f>
        <v>20.7748181109498</v>
      </c>
      <c r="Q24" s="7" t="n">
        <f aca="false">IFERROR(IF(INDEX(Matches!$N$5:$N$12,MATCH($B24,Matches!$A$5:$A$12,0))="","",IF($F24="A",INDEX(Matches!$N$5:$N$12,MATCH($B24,Matches!$A$5:$A$12,0)),1-INDEX(Matches!$N$5:$N$12,MATCH($B24,Matches!$A$5:$A$12,0)))),"")</f>
        <v>0.7025</v>
      </c>
      <c r="R24" s="6" t="n">
        <f aca="false">IFERROR(N(INDEX(Matches!$P$5:$P$12,MATCH($B24,Matches!$A$5:$A$12,0))),0)</f>
        <v>1</v>
      </c>
      <c r="S24" s="12" t="n">
        <f aca="false">IF(OR($Q24="",$J24=""),"",$L24*($Q24*$J24+(1-$Q24)*$K24))</f>
        <v>8.99560080617138</v>
      </c>
      <c r="T24" s="6" t="n">
        <f aca="false">IF($S24="","",IF(LEFT($B24,4)="DOTA",Config!$B$7,Config!$B$6)*$S24+$L24^2*$Q24*(1-$Q24)*($J24-$K24)^2)</f>
        <v>20.7748181109498</v>
      </c>
      <c r="U24" s="7" t="n">
        <f aca="false">IFERROR(IF(INDEX(Matches!$O$5:$O$12,MATCH($B24,Matches!$A$5:$A$12,0))="","",IF($F24="A",INDEX(Matches!$O$5:$O$12,MATCH($B24,Matches!$A$5:$A$12,0)),1-INDEX(Matches!$O$5:$O$12,MATCH($B24,Matches!$A$5:$A$12,0)))),"")</f>
        <v>0.7836</v>
      </c>
      <c r="V24" s="6" t="n">
        <f aca="false">IFERROR(N(INDEX(Matches!$Q$5:$Q$12,MATCH($B24,Matches!$A$5:$A$12,0))),0)</f>
        <v>0.4156</v>
      </c>
      <c r="W24" s="12" t="n">
        <f aca="false">IF(OR($U24="",$J24=""),"",$L24*($U24*$J24+(1-$U24)*$K24))</f>
        <v>9.36015345055251</v>
      </c>
      <c r="X24" s="6" t="n">
        <f aca="false">IF($W24="","",IF(LEFT($B24,4)="DOTA",Config!$B$7,Config!$B$6)*$W24+$L24^2*$U24*(1-$U24)*($J24-$K24)^2)</f>
        <v>20.6490225438326</v>
      </c>
      <c r="Y24" s="12" t="n">
        <f aca="false">IF($O24="","",$O24)</f>
        <v>8.99560080617138</v>
      </c>
      <c r="Z24" s="6" t="n">
        <f aca="false">IF($P24="","",$P24)</f>
        <v>20.7748181109498</v>
      </c>
      <c r="AA24" s="12" t="n">
        <f aca="false">IF($O24="","",N($N24)*N($O24)+N($R24)*N($S24))</f>
        <v>17.9912016123428</v>
      </c>
      <c r="AB24" s="6" t="n">
        <f aca="false">IF($O24="","",(N($N24)*N($P24)+N($N24)*(1-N($N24))*N($O24)^2)+(N($R24)*N($T24)+N($R24)*(1-N($R24))*N($S24)^2))</f>
        <v>41.5496362218997</v>
      </c>
      <c r="AC24" s="12" t="n">
        <f aca="false">IF($O24="","",N($N24)*N($O24)+N($R24)*N($S24)+N($V24)*N($W24))</f>
        <v>21.8812813863924</v>
      </c>
      <c r="AD24" s="6" t="n">
        <f aca="false">IF($O24="","",(N($N24)*N($P24)+N($N24)*(1-N($N24))*N($O24)^2)+(N($R24)*N($T24)+N($R24)*(1-N($R24))*N($S24)^2)+(N($V24)*N($X24)+N($V24)*(1-N($V24))*N($W24)^2))</f>
        <v>71.4103929626417</v>
      </c>
      <c r="AE24" s="12" t="n">
        <f aca="false">IF($I24="","",$I24*$L24)</f>
        <v>8.4</v>
      </c>
      <c r="AF24" s="12" t="n">
        <f aca="false">IF($I24="","",$I24*$L24*(1+N($R24)))</f>
        <v>16.8</v>
      </c>
      <c r="AG24" s="12" t="n">
        <f aca="false">IF($I24="","",$I24*$L24*(1+N($R24)+N($V24)))</f>
        <v>20.29104</v>
      </c>
      <c r="AH24" s="0" t="str">
        <f aca="false">TRIM(IF($G24&lt;Config!$B$9,"thin sample ("&amp;$G24&amp;" maps) · ","")&amp;IF($I24="","no PickFinder stats · ","")&amp;IFERROR(IF(INDEX(Players!$T$2:$T$71,MATCH($E24,Players!$A$2:$A$71,0))&lt;0.5,"new roster: "&amp;TEXT(INDEX(Players!$T$2:$T$71,MATCH($E24,Players!$A$2:$A$71,0)),"0%")&amp;" of his recent games with these teammates",""),""))</f>
        <v>new roster: 0% of his recent games with these teammates</v>
      </c>
      <c r="AI24" s="0" t="str">
        <f aca="false">IF($B24=Board!$B$2,COUNTIFS($B$2:$B$71,Board!$B$2,$Y$2:$Y$71,"&gt;"&amp;$Y24)+COUNTIFS($B$1:$B23,Board!$B$2,$Y$1:$Y23,$Y24)+1,"")</f>
        <v/>
      </c>
      <c r="AJ24" s="0" t="str">
        <f aca="false">IFERROR(IF(INDEX(Matches!$D$5:$D$12,MATCH($B24,Matches!$A$5:$A$12,0))=3,"K12","K13"),"K13")</f>
        <v>K12</v>
      </c>
      <c r="AK24" s="12" t="n">
        <f aca="false">IF($AJ24="K12",$AA24,$AC24)</f>
        <v>17.9912016123428</v>
      </c>
    </row>
    <row r="25" customFormat="false" ht="15" hidden="false" customHeight="false" outlineLevel="0" collapsed="false">
      <c r="A25" s="0" t="s">
        <v>213</v>
      </c>
      <c r="B25" s="0" t="s">
        <v>80</v>
      </c>
      <c r="C25" s="0" t="s">
        <v>85</v>
      </c>
      <c r="D25" s="0" t="s">
        <v>211</v>
      </c>
      <c r="E25" s="0" t="s">
        <v>370</v>
      </c>
      <c r="F25" s="0" t="str">
        <f aca="false">IFERROR(IF($C25=INDEX(Matches!$S$5:$S$12,MATCH($B25,Matches!$A$5:$A$12,0)),"A",IF($C25=INDEX(Matches!$T$5:$T$12,MATCH($B25,Matches!$A$5:$A$12,0)),"B","")),"")</f>
        <v>B</v>
      </c>
      <c r="G25" s="0" t="n">
        <f aca="false">IFERROR(INDEX(Players!$E$2:$E$71,MATCH($E25,Players!$A$2:$A$71,0)),0)</f>
        <v>30</v>
      </c>
      <c r="H25" s="7" t="n">
        <f aca="false">IFERROR(INDEX(Players!$F$2:$F$71,MATCH($E25,Players!$A$2:$A$71,0)),"")</f>
        <v>0.33</v>
      </c>
      <c r="I25" s="6" t="n">
        <f aca="false">IFERROR(INDEX(Players!$G$2:$G$71,MATCH($E25,Players!$A$2:$A$71,0)),"")</f>
        <v>4.9</v>
      </c>
      <c r="J25" s="12" t="n">
        <f aca="false">IF(OR($I25="",$H25=""),"",$I25*IF(LEFT($B25,4)="DOTA",Config!$B$5,Config!$B$4)/($H25*IF(LEFT($B25,4)="DOTA",Config!$B$5,Config!$B$4)+1-$H25))</f>
        <v>6.91571645004386</v>
      </c>
      <c r="K25" s="12" t="n">
        <f aca="false">IF(OR($I25="",$H25=""),"",$I25/($H25*IF(LEFT($B25,4)="DOTA",Config!$B$5,Config!$B$4)+1-$H25))</f>
        <v>3.90718443505303</v>
      </c>
      <c r="L25" s="6" t="n">
        <f aca="false">IFERROR(INDEX(Matches!$R$5:$R$12,MATCH($B25,Matches!$A$5:$A$12,0)),1)</f>
        <v>1</v>
      </c>
      <c r="M25" s="7" t="n">
        <f aca="false">IFERROR(IF(INDEX(Matches!$M$5:$M$12,MATCH($B25,Matches!$A$5:$A$12,0))="","",IF($F25="A",INDEX(Matches!$M$5:$M$12,MATCH($B25,Matches!$A$5:$A$12,0)),1-INDEX(Matches!$M$5:$M$12,MATCH($B25,Matches!$A$5:$A$12,0)))),"")</f>
        <v>0.1876</v>
      </c>
      <c r="N25" s="6" t="n">
        <f aca="false">1</f>
        <v>1</v>
      </c>
      <c r="O25" s="12" t="n">
        <f aca="false">IF(OR($M25="",$J25=""),"",$L25*($M25*$J25+(1-$M25)*$K25))</f>
        <v>4.47158504106531</v>
      </c>
      <c r="P25" s="6" t="n">
        <f aca="false">IF($O25="","",IF(LEFT($B25,4)="DOTA",Config!$B$7,Config!$B$6)*$O25+$L25^2*$M25*(1-$M25)*($J25-$K25)^2)</f>
        <v>9.6071857239613</v>
      </c>
      <c r="Q25" s="7" t="n">
        <f aca="false">IFERROR(IF(INDEX(Matches!$N$5:$N$12,MATCH($B25,Matches!$A$5:$A$12,0))="","",IF($F25="A",INDEX(Matches!$N$5:$N$12,MATCH($B25,Matches!$A$5:$A$12,0)),1-INDEX(Matches!$N$5:$N$12,MATCH($B25,Matches!$A$5:$A$12,0)))),"")</f>
        <v>0.1876</v>
      </c>
      <c r="R25" s="6" t="n">
        <f aca="false">IFERROR(N(INDEX(Matches!$P$5:$P$12,MATCH($B25,Matches!$A$5:$A$12,0))),0)</f>
        <v>1</v>
      </c>
      <c r="S25" s="12" t="n">
        <f aca="false">IF(OR($Q25="",$J25=""),"",$L25*($Q25*$J25+(1-$Q25)*$K25))</f>
        <v>4.47158504106531</v>
      </c>
      <c r="T25" s="6" t="n">
        <f aca="false">IF($S25="","",IF(LEFT($B25,4)="DOTA",Config!$B$7,Config!$B$6)*$S25+$L25^2*$Q25*(1-$Q25)*($J25-$K25)^2)</f>
        <v>9.6071857239613</v>
      </c>
      <c r="U25" s="7" t="n">
        <f aca="false">IFERROR(IF(INDEX(Matches!$O$5:$O$12,MATCH($B25,Matches!$A$5:$A$12,0))="","",IF($F25="A",INDEX(Matches!$O$5:$O$12,MATCH($B25,Matches!$A$5:$A$12,0)),1-INDEX(Matches!$O$5:$O$12,MATCH($B25,Matches!$A$5:$A$12,0)))),"")</f>
        <v>0.1077</v>
      </c>
      <c r="V25" s="6" t="n">
        <f aca="false">IFERROR(N(INDEX(Matches!$Q$5:$Q$12,MATCH($B25,Matches!$A$5:$A$12,0))),0)</f>
        <v>0.3058</v>
      </c>
      <c r="W25" s="12" t="n">
        <f aca="false">IF(OR($U25="",$J25=""),"",$L25*($U25*$J25+(1-$U25)*$K25))</f>
        <v>4.23120333306754</v>
      </c>
      <c r="X25" s="6" t="n">
        <f aca="false">IF($W25="","",IF(LEFT($B25,4)="DOTA",Config!$B$7,Config!$B$6)*$W25+$L25^2*$U25*(1-$U25)*($J25-$K25)^2)</f>
        <v>8.65524711471244</v>
      </c>
      <c r="Y25" s="12" t="n">
        <f aca="false">IF($O25="","",$O25)</f>
        <v>4.47158504106531</v>
      </c>
      <c r="Z25" s="6" t="n">
        <f aca="false">IF($P25="","",$P25)</f>
        <v>9.6071857239613</v>
      </c>
      <c r="AA25" s="12" t="n">
        <f aca="false">IF($O25="","",N($N25)*N($O25)+N($R25)*N($S25))</f>
        <v>8.94317008213061</v>
      </c>
      <c r="AB25" s="6" t="n">
        <f aca="false">IF($O25="","",(N($N25)*N($P25)+N($N25)*(1-N($N25))*N($O25)^2)+(N($R25)*N($T25)+N($R25)*(1-N($R25))*N($S25)^2))</f>
        <v>19.2143714479226</v>
      </c>
      <c r="AC25" s="12" t="n">
        <f aca="false">IF($O25="","",N($N25)*N($O25)+N($R25)*N($S25)+N($V25)*N($W25))</f>
        <v>10.2370720613827</v>
      </c>
      <c r="AD25" s="6" t="n">
        <f aca="false">IF($O25="","",(N($N25)*N($P25)+N($N25)*(1-N($N25))*N($O25)^2)+(N($R25)*N($T25)+N($R25)*(1-N($R25))*N($S25)^2)+(N($V25)*N($X25)+N($V25)*(1-N($V25))*N($W25)^2))</f>
        <v>25.6617260509633</v>
      </c>
      <c r="AE25" s="12" t="n">
        <f aca="false">IF($I25="","",$I25*$L25)</f>
        <v>4.9</v>
      </c>
      <c r="AF25" s="12" t="n">
        <f aca="false">IF($I25="","",$I25*$L25*(1+N($R25)))</f>
        <v>9.8</v>
      </c>
      <c r="AG25" s="12" t="n">
        <f aca="false">IF($I25="","",$I25*$L25*(1+N($R25)+N($V25)))</f>
        <v>11.29842</v>
      </c>
      <c r="AH25" s="0" t="str">
        <f aca="false">TRIM(IF($G25&lt;Config!$B$9,"thin sample ("&amp;$G25&amp;" maps) · ","")&amp;IF($I25="","no PickFinder stats · ","")&amp;IFERROR(IF(INDEX(Players!$T$2:$T$71,MATCH($E25,Players!$A$2:$A$71,0))&lt;0.5,"new roster: "&amp;TEXT(INDEX(Players!$T$2:$T$71,MATCH($E25,Players!$A$2:$A$71,0)),"0%")&amp;" of his recent games with these teammates",""),""))</f>
        <v>new roster: 0% of his recent games with these teammates</v>
      </c>
      <c r="AI25" s="0" t="str">
        <f aca="false">IF($B25=Board!$B$2,COUNTIFS($B$2:$B$71,Board!$B$2,$Y$2:$Y$71,"&gt;"&amp;$Y25)+COUNTIFS($B$1:$B24,Board!$B$2,$Y$1:$Y24,$Y25)+1,"")</f>
        <v/>
      </c>
      <c r="AJ25" s="0" t="str">
        <f aca="false">IFERROR(IF(INDEX(Matches!$D$5:$D$12,MATCH($B25,Matches!$A$5:$A$12,0))=3,"K12","K13"),"K13")</f>
        <v>K12</v>
      </c>
      <c r="AK25" s="12" t="n">
        <f aca="false">IF($AJ25="K12",$AA25,$AC25)</f>
        <v>8.94317008213061</v>
      </c>
    </row>
    <row r="26" customFormat="false" ht="15" hidden="false" customHeight="false" outlineLevel="0" collapsed="false">
      <c r="A26" s="0" t="s">
        <v>216</v>
      </c>
      <c r="B26" s="0" t="s">
        <v>80</v>
      </c>
      <c r="C26" s="0" t="s">
        <v>85</v>
      </c>
      <c r="D26" s="0" t="s">
        <v>214</v>
      </c>
      <c r="E26" s="0" t="s">
        <v>371</v>
      </c>
      <c r="F26" s="0" t="str">
        <f aca="false">IFERROR(IF($C26=INDEX(Matches!$S$5:$S$12,MATCH($B26,Matches!$A$5:$A$12,0)),"A",IF($C26=INDEX(Matches!$T$5:$T$12,MATCH($B26,Matches!$A$5:$A$12,0)),"B","")),"")</f>
        <v>B</v>
      </c>
      <c r="G26" s="0" t="n">
        <f aca="false">IFERROR(INDEX(Players!$E$2:$E$71,MATCH($E26,Players!$A$2:$A$71,0)),0)</f>
        <v>30</v>
      </c>
      <c r="H26" s="7" t="n">
        <f aca="false">IFERROR(INDEX(Players!$F$2:$F$71,MATCH($E26,Players!$A$2:$A$71,0)),"")</f>
        <v>0.33</v>
      </c>
      <c r="I26" s="6" t="n">
        <f aca="false">IFERROR(INDEX(Players!$G$2:$G$71,MATCH($E26,Players!$A$2:$A$71,0)),"")</f>
        <v>3.2</v>
      </c>
      <c r="J26" s="12" t="n">
        <f aca="false">IF(OR($I26="",$H26=""),"",$I26*IF(LEFT($B26,4)="DOTA",Config!$B$5,Config!$B$4)/($H26*IF(LEFT($B26,4)="DOTA",Config!$B$5,Config!$B$4)+1-$H26))</f>
        <v>4.51638625308987</v>
      </c>
      <c r="K26" s="12" t="n">
        <f aca="false">IF(OR($I26="",$H26=""),"",$I26/($H26*IF(LEFT($B26,4)="DOTA",Config!$B$5,Config!$B$4)+1-$H26))</f>
        <v>2.5516306514632</v>
      </c>
      <c r="L26" s="6" t="n">
        <f aca="false">IFERROR(INDEX(Matches!$R$5:$R$12,MATCH($B26,Matches!$A$5:$A$12,0)),1)</f>
        <v>1</v>
      </c>
      <c r="M26" s="7" t="n">
        <f aca="false">IFERROR(IF(INDEX(Matches!$M$5:$M$12,MATCH($B26,Matches!$A$5:$A$12,0))="","",IF($F26="A",INDEX(Matches!$M$5:$M$12,MATCH($B26,Matches!$A$5:$A$12,0)),1-INDEX(Matches!$M$5:$M$12,MATCH($B26,Matches!$A$5:$A$12,0)))),"")</f>
        <v>0.1876</v>
      </c>
      <c r="N26" s="6" t="n">
        <f aca="false">1</f>
        <v>1</v>
      </c>
      <c r="O26" s="12" t="n">
        <f aca="false">IF(OR($M26="",$J26=""),"",$L26*($M26*$J26+(1-$M26)*$K26))</f>
        <v>2.92021880232836</v>
      </c>
      <c r="P26" s="6" t="n">
        <f aca="false">IF($O26="","",IF(LEFT($B26,4)="DOTA",Config!$B$7,Config!$B$6)*$O26+$L26^2*$M26*(1-$M26)*($J26-$K26)^2)</f>
        <v>5.96153100543153</v>
      </c>
      <c r="Q26" s="7" t="n">
        <f aca="false">IFERROR(IF(INDEX(Matches!$N$5:$N$12,MATCH($B26,Matches!$A$5:$A$12,0))="","",IF($F26="A",INDEX(Matches!$N$5:$N$12,MATCH($B26,Matches!$A$5:$A$12,0)),1-INDEX(Matches!$N$5:$N$12,MATCH($B26,Matches!$A$5:$A$12,0)))),"")</f>
        <v>0.1876</v>
      </c>
      <c r="R26" s="6" t="n">
        <f aca="false">IFERROR(N(INDEX(Matches!$P$5:$P$12,MATCH($B26,Matches!$A$5:$A$12,0))),0)</f>
        <v>1</v>
      </c>
      <c r="S26" s="12" t="n">
        <f aca="false">IF(OR($Q26="",$J26=""),"",$L26*($Q26*$J26+(1-$Q26)*$K26))</f>
        <v>2.92021880232836</v>
      </c>
      <c r="T26" s="6" t="n">
        <f aca="false">IF($S26="","",IF(LEFT($B26,4)="DOTA",Config!$B$7,Config!$B$6)*$S26+$L26^2*$Q26*(1-$Q26)*($J26-$K26)^2)</f>
        <v>5.96153100543153</v>
      </c>
      <c r="U26" s="7" t="n">
        <f aca="false">IFERROR(IF(INDEX(Matches!$O$5:$O$12,MATCH($B26,Matches!$A$5:$A$12,0))="","",IF($F26="A",INDEX(Matches!$O$5:$O$12,MATCH($B26,Matches!$A$5:$A$12,0)),1-INDEX(Matches!$O$5:$O$12,MATCH($B26,Matches!$A$5:$A$12,0)))),"")</f>
        <v>0.1077</v>
      </c>
      <c r="V26" s="6" t="n">
        <f aca="false">IFERROR(N(INDEX(Matches!$Q$5:$Q$12,MATCH($B26,Matches!$A$5:$A$12,0))),0)</f>
        <v>0.3058</v>
      </c>
      <c r="W26" s="12" t="n">
        <f aca="false">IF(OR($U26="",$J26=""),"",$L26*($U26*$J26+(1-$U26)*$K26))</f>
        <v>2.76323482975839</v>
      </c>
      <c r="X26" s="6" t="n">
        <f aca="false">IF($W26="","",IF(LEFT($B26,4)="DOTA",Config!$B$7,Config!$B$6)*$W26+$L26^2*$U26*(1-$U26)*($J26-$K26)^2)</f>
        <v>5.45532625311655</v>
      </c>
      <c r="Y26" s="12" t="n">
        <f aca="false">IF($O26="","",$O26)</f>
        <v>2.92021880232836</v>
      </c>
      <c r="Z26" s="6" t="n">
        <f aca="false">IF($P26="","",$P26)</f>
        <v>5.96153100543153</v>
      </c>
      <c r="AA26" s="12" t="n">
        <f aca="false">IF($O26="","",N($N26)*N($O26)+N($R26)*N($S26))</f>
        <v>5.84043760465673</v>
      </c>
      <c r="AB26" s="6" t="n">
        <f aca="false">IF($O26="","",(N($N26)*N($P26)+N($N26)*(1-N($N26))*N($O26)^2)+(N($R26)*N($T26)+N($R26)*(1-N($R26))*N($S26)^2))</f>
        <v>11.9230620108631</v>
      </c>
      <c r="AC26" s="12" t="n">
        <f aca="false">IF($O26="","",N($N26)*N($O26)+N($R26)*N($S26)+N($V26)*N($W26))</f>
        <v>6.68543481559684</v>
      </c>
      <c r="AD26" s="6" t="n">
        <f aca="false">IF($O26="","",(N($N26)*N($P26)+N($N26)*(1-N($N26))*N($O26)^2)+(N($R26)*N($T26)+N($R26)*(1-N($R26))*N($S26)^2)+(N($V26)*N($X26)+N($V26)*(1-N($V26))*N($W26)^2))</f>
        <v>15.212206216888</v>
      </c>
      <c r="AE26" s="12" t="n">
        <f aca="false">IF($I26="","",$I26*$L26)</f>
        <v>3.2</v>
      </c>
      <c r="AF26" s="12" t="n">
        <f aca="false">IF($I26="","",$I26*$L26*(1+N($R26)))</f>
        <v>6.4</v>
      </c>
      <c r="AG26" s="12" t="n">
        <f aca="false">IF($I26="","",$I26*$L26*(1+N($R26)+N($V26)))</f>
        <v>7.37856</v>
      </c>
      <c r="AH26" s="0" t="str">
        <f aca="false">TRIM(IF($G26&lt;Config!$B$9,"thin sample ("&amp;$G26&amp;" maps) · ","")&amp;IF($I26="","no PickFinder stats · ","")&amp;IFERROR(IF(INDEX(Players!$T$2:$T$71,MATCH($E26,Players!$A$2:$A$71,0))&lt;0.5,"new roster: "&amp;TEXT(INDEX(Players!$T$2:$T$71,MATCH($E26,Players!$A$2:$A$71,0)),"0%")&amp;" of his recent games with these teammates",""),""))</f>
        <v>new roster: 0% of his recent games with these teammates</v>
      </c>
      <c r="AI26" s="0" t="str">
        <f aca="false">IF($B26=Board!$B$2,COUNTIFS($B$2:$B$71,Board!$B$2,$Y$2:$Y$71,"&gt;"&amp;$Y26)+COUNTIFS($B$1:$B25,Board!$B$2,$Y$1:$Y25,$Y26)+1,"")</f>
        <v/>
      </c>
      <c r="AJ26" s="0" t="str">
        <f aca="false">IFERROR(IF(INDEX(Matches!$D$5:$D$12,MATCH($B26,Matches!$A$5:$A$12,0))=3,"K12","K13"),"K13")</f>
        <v>K12</v>
      </c>
      <c r="AK26" s="12" t="n">
        <f aca="false">IF($AJ26="K12",$AA26,$AC26)</f>
        <v>5.84043760465673</v>
      </c>
    </row>
    <row r="27" customFormat="false" ht="15" hidden="false" customHeight="false" outlineLevel="0" collapsed="false">
      <c r="A27" s="0" t="s">
        <v>218</v>
      </c>
      <c r="B27" s="0" t="s">
        <v>80</v>
      </c>
      <c r="C27" s="0" t="s">
        <v>85</v>
      </c>
      <c r="D27" s="0" t="s">
        <v>217</v>
      </c>
      <c r="E27" s="0" t="s">
        <v>372</v>
      </c>
      <c r="F27" s="0" t="str">
        <f aca="false">IFERROR(IF($C27=INDEX(Matches!$S$5:$S$12,MATCH($B27,Matches!$A$5:$A$12,0)),"A",IF($C27=INDEX(Matches!$T$5:$T$12,MATCH($B27,Matches!$A$5:$A$12,0)),"B","")),"")</f>
        <v>B</v>
      </c>
      <c r="G27" s="0" t="n">
        <f aca="false">IFERROR(INDEX(Players!$E$2:$E$71,MATCH($E27,Players!$A$2:$A$71,0)),0)</f>
        <v>30</v>
      </c>
      <c r="H27" s="7" t="n">
        <f aca="false">IFERROR(INDEX(Players!$F$2:$F$71,MATCH($E27,Players!$A$2:$A$71,0)),"")</f>
        <v>0.4</v>
      </c>
      <c r="I27" s="6" t="n">
        <f aca="false">IFERROR(INDEX(Players!$G$2:$G$71,MATCH($E27,Players!$A$2:$A$71,0)),"")</f>
        <v>7.4</v>
      </c>
      <c r="J27" s="12" t="n">
        <f aca="false">IF(OR($I27="",$H27=""),"",$I27*IF(LEFT($B27,4)="DOTA",Config!$B$5,Config!$B$4)/($H27*IF(LEFT($B27,4)="DOTA",Config!$B$5,Config!$B$4)+1-$H27))</f>
        <v>10.0137614678899</v>
      </c>
      <c r="K27" s="12" t="n">
        <f aca="false">IF(OR($I27="",$H27=""),"",$I27/($H27*IF(LEFT($B27,4)="DOTA",Config!$B$5,Config!$B$4)+1-$H27))</f>
        <v>5.65749235474006</v>
      </c>
      <c r="L27" s="6" t="n">
        <f aca="false">IFERROR(INDEX(Matches!$R$5:$R$12,MATCH($B27,Matches!$A$5:$A$12,0)),1)</f>
        <v>1</v>
      </c>
      <c r="M27" s="7" t="n">
        <f aca="false">IFERROR(IF(INDEX(Matches!$M$5:$M$12,MATCH($B27,Matches!$A$5:$A$12,0))="","",IF($F27="A",INDEX(Matches!$M$5:$M$12,MATCH($B27,Matches!$A$5:$A$12,0)),1-INDEX(Matches!$M$5:$M$12,MATCH($B27,Matches!$A$5:$A$12,0)))),"")</f>
        <v>0.1876</v>
      </c>
      <c r="N27" s="6" t="n">
        <f aca="false">1</f>
        <v>1</v>
      </c>
      <c r="O27" s="12" t="n">
        <f aca="false">IF(OR($M27="",$J27=""),"",$L27*($M27*$J27+(1-$M27)*$K27))</f>
        <v>6.47472844036697</v>
      </c>
      <c r="P27" s="6" t="n">
        <f aca="false">IF($O27="","",IF(LEFT($B27,4)="DOTA",Config!$B$7,Config!$B$6)*$O27+$L27^2*$M27*(1-$M27)*($J27-$K27)^2)</f>
        <v>14.8057258285924</v>
      </c>
      <c r="Q27" s="7" t="n">
        <f aca="false">IFERROR(IF(INDEX(Matches!$N$5:$N$12,MATCH($B27,Matches!$A$5:$A$12,0))="","",IF($F27="A",INDEX(Matches!$N$5:$N$12,MATCH($B27,Matches!$A$5:$A$12,0)),1-INDEX(Matches!$N$5:$N$12,MATCH($B27,Matches!$A$5:$A$12,0)))),"")</f>
        <v>0.1876</v>
      </c>
      <c r="R27" s="6" t="n">
        <f aca="false">IFERROR(N(INDEX(Matches!$P$5:$P$12,MATCH($B27,Matches!$A$5:$A$12,0))),0)</f>
        <v>1</v>
      </c>
      <c r="S27" s="12" t="n">
        <f aca="false">IF(OR($Q27="",$J27=""),"",$L27*($Q27*$J27+(1-$Q27)*$K27))</f>
        <v>6.47472844036697</v>
      </c>
      <c r="T27" s="6" t="n">
        <f aca="false">IF($S27="","",IF(LEFT($B27,4)="DOTA",Config!$B$7,Config!$B$6)*$S27+$L27^2*$Q27*(1-$Q27)*($J27-$K27)^2)</f>
        <v>14.8057258285924</v>
      </c>
      <c r="U27" s="7" t="n">
        <f aca="false">IFERROR(IF(INDEX(Matches!$O$5:$O$12,MATCH($B27,Matches!$A$5:$A$12,0))="","",IF($F27="A",INDEX(Matches!$O$5:$O$12,MATCH($B27,Matches!$A$5:$A$12,0)),1-INDEX(Matches!$O$5:$O$12,MATCH($B27,Matches!$A$5:$A$12,0)))),"")</f>
        <v>0.1077</v>
      </c>
      <c r="V27" s="6" t="n">
        <f aca="false">IFERROR(N(INDEX(Matches!$Q$5:$Q$12,MATCH($B27,Matches!$A$5:$A$12,0))),0)</f>
        <v>0.3058</v>
      </c>
      <c r="W27" s="12" t="n">
        <f aca="false">IF(OR($U27="",$J27=""),"",$L27*($U27*$J27+(1-$U27)*$K27))</f>
        <v>6.1266625382263</v>
      </c>
      <c r="X27" s="6" t="n">
        <f aca="false">IF($W27="","",IF(LEFT($B27,4)="DOTA",Config!$B$7,Config!$B$6)*$W27+$L27^2*$U27*(1-$U27)*($J27-$K27)^2)</f>
        <v>13.0967699883958</v>
      </c>
      <c r="Y27" s="12" t="n">
        <f aca="false">IF($O27="","",$O27)</f>
        <v>6.47472844036697</v>
      </c>
      <c r="Z27" s="6" t="n">
        <f aca="false">IF($P27="","",$P27)</f>
        <v>14.8057258285924</v>
      </c>
      <c r="AA27" s="12" t="n">
        <f aca="false">IF($O27="","",N($N27)*N($O27)+N($R27)*N($S27))</f>
        <v>12.9494568807339</v>
      </c>
      <c r="AB27" s="6" t="n">
        <f aca="false">IF($O27="","",(N($N27)*N($P27)+N($N27)*(1-N($N27))*N($O27)^2)+(N($R27)*N($T27)+N($R27)*(1-N($R27))*N($S27)^2))</f>
        <v>29.6114516571849</v>
      </c>
      <c r="AC27" s="12" t="n">
        <f aca="false">IF($O27="","",N($N27)*N($O27)+N($R27)*N($S27)+N($V27)*N($W27))</f>
        <v>14.8229902849235</v>
      </c>
      <c r="AD27" s="6" t="n">
        <f aca="false">IF($O27="","",(N($N27)*N($P27)+N($N27)*(1-N($N27))*N($O27)^2)+(N($R27)*N($T27)+N($R27)*(1-N($R27))*N($S27)^2)+(N($V27)*N($X27)+N($V27)*(1-N($V27))*N($W27)^2))</f>
        <v>41.5848234245861</v>
      </c>
      <c r="AE27" s="12" t="n">
        <f aca="false">IF($I27="","",$I27*$L27)</f>
        <v>7.4</v>
      </c>
      <c r="AF27" s="12" t="n">
        <f aca="false">IF($I27="","",$I27*$L27*(1+N($R27)))</f>
        <v>14.8</v>
      </c>
      <c r="AG27" s="12" t="n">
        <f aca="false">IF($I27="","",$I27*$L27*(1+N($R27)+N($V27)))</f>
        <v>17.06292</v>
      </c>
      <c r="AH27" s="0" t="str">
        <f aca="false">TRIM(IF($G27&lt;Config!$B$9,"thin sample ("&amp;$G27&amp;" maps) · ","")&amp;IF($I27="","no PickFinder stats · ","")&amp;IFERROR(IF(INDEX(Players!$T$2:$T$71,MATCH($E27,Players!$A$2:$A$71,0))&lt;0.5,"new roster: "&amp;TEXT(INDEX(Players!$T$2:$T$71,MATCH($E27,Players!$A$2:$A$71,0)),"0%")&amp;" of his recent games with these teammates",""),""))</f>
        <v>new roster: 0% of his recent games with these teammates</v>
      </c>
      <c r="AI27" s="0" t="str">
        <f aca="false">IF($B27=Board!$B$2,COUNTIFS($B$2:$B$71,Board!$B$2,$Y$2:$Y$71,"&gt;"&amp;$Y27)+COUNTIFS($B$1:$B26,Board!$B$2,$Y$1:$Y26,$Y27)+1,"")</f>
        <v/>
      </c>
      <c r="AJ27" s="0" t="str">
        <f aca="false">IFERROR(IF(INDEX(Matches!$D$5:$D$12,MATCH($B27,Matches!$A$5:$A$12,0))=3,"K12","K13"),"K13")</f>
        <v>K12</v>
      </c>
      <c r="AK27" s="12" t="n">
        <f aca="false">IF($AJ27="K12",$AA27,$AC27)</f>
        <v>12.9494568807339</v>
      </c>
    </row>
    <row r="28" customFormat="false" ht="15" hidden="false" customHeight="false" outlineLevel="0" collapsed="false">
      <c r="A28" s="0" t="s">
        <v>221</v>
      </c>
      <c r="B28" s="0" t="s">
        <v>80</v>
      </c>
      <c r="C28" s="0" t="s">
        <v>85</v>
      </c>
      <c r="D28" s="0" t="s">
        <v>219</v>
      </c>
      <c r="E28" s="0" t="s">
        <v>373</v>
      </c>
      <c r="F28" s="0" t="str">
        <f aca="false">IFERROR(IF($C28=INDEX(Matches!$S$5:$S$12,MATCH($B28,Matches!$A$5:$A$12,0)),"A",IF($C28=INDEX(Matches!$T$5:$T$12,MATCH($B28,Matches!$A$5:$A$12,0)),"B","")),"")</f>
        <v>B</v>
      </c>
      <c r="G28" s="0" t="n">
        <f aca="false">IFERROR(INDEX(Players!$E$2:$E$71,MATCH($E28,Players!$A$2:$A$71,0)),0)</f>
        <v>30</v>
      </c>
      <c r="H28" s="7" t="n">
        <f aca="false">IFERROR(INDEX(Players!$F$2:$F$71,MATCH($E28,Players!$A$2:$A$71,0)),"")</f>
        <v>0.37</v>
      </c>
      <c r="I28" s="6" t="n">
        <f aca="false">IFERROR(INDEX(Players!$G$2:$G$71,MATCH($E28,Players!$A$2:$A$71,0)),"")</f>
        <v>7.4</v>
      </c>
      <c r="J28" s="12" t="n">
        <f aca="false">IF(OR($I28="",$H28=""),"",$I28*IF(LEFT($B28,4)="DOTA",Config!$B$5,Config!$B$4)/($H28*IF(LEFT($B28,4)="DOTA",Config!$B$5,Config!$B$4)+1-$H28))</f>
        <v>10.1937893999533</v>
      </c>
      <c r="K28" s="12" t="n">
        <f aca="false">IF(OR($I28="",$H28=""),"",$I28/($H28*IF(LEFT($B28,4)="DOTA",Config!$B$5,Config!$B$4)+1-$H28))</f>
        <v>5.75920305082108</v>
      </c>
      <c r="L28" s="6" t="n">
        <f aca="false">IFERROR(INDEX(Matches!$R$5:$R$12,MATCH($B28,Matches!$A$5:$A$12,0)),1)</f>
        <v>1</v>
      </c>
      <c r="M28" s="7" t="n">
        <f aca="false">IFERROR(IF(INDEX(Matches!$M$5:$M$12,MATCH($B28,Matches!$A$5:$A$12,0))="","",IF($F28="A",INDEX(Matches!$M$5:$M$12,MATCH($B28,Matches!$A$5:$A$12,0)),1-INDEX(Matches!$M$5:$M$12,MATCH($B28,Matches!$A$5:$A$12,0)))),"")</f>
        <v>0.1876</v>
      </c>
      <c r="N28" s="6" t="n">
        <f aca="false">1</f>
        <v>1</v>
      </c>
      <c r="O28" s="12" t="n">
        <f aca="false">IF(OR($M28="",$J28=""),"",$L28*($M28*$J28+(1-$M28)*$K28))</f>
        <v>6.59113144991828</v>
      </c>
      <c r="P28" s="6" t="n">
        <f aca="false">IF($O28="","",IF(LEFT($B28,4)="DOTA",Config!$B$7,Config!$B$6)*$O28+$L28^2*$M28*(1-$M28)*($J28-$K28)^2)</f>
        <v>15.1248353287171</v>
      </c>
      <c r="Q28" s="7" t="n">
        <f aca="false">IFERROR(IF(INDEX(Matches!$N$5:$N$12,MATCH($B28,Matches!$A$5:$A$12,0))="","",IF($F28="A",INDEX(Matches!$N$5:$N$12,MATCH($B28,Matches!$A$5:$A$12,0)),1-INDEX(Matches!$N$5:$N$12,MATCH($B28,Matches!$A$5:$A$12,0)))),"")</f>
        <v>0.1876</v>
      </c>
      <c r="R28" s="6" t="n">
        <f aca="false">IFERROR(N(INDEX(Matches!$P$5:$P$12,MATCH($B28,Matches!$A$5:$A$12,0))),0)</f>
        <v>1</v>
      </c>
      <c r="S28" s="12" t="n">
        <f aca="false">IF(OR($Q28="",$J28=""),"",$L28*($Q28*$J28+(1-$Q28)*$K28))</f>
        <v>6.59113144991828</v>
      </c>
      <c r="T28" s="6" t="n">
        <f aca="false">IF($S28="","",IF(LEFT($B28,4)="DOTA",Config!$B$7,Config!$B$6)*$S28+$L28^2*$Q28*(1-$Q28)*($J28-$K28)^2)</f>
        <v>15.1248353287171</v>
      </c>
      <c r="U28" s="7" t="n">
        <f aca="false">IFERROR(IF(INDEX(Matches!$O$5:$O$12,MATCH($B28,Matches!$A$5:$A$12,0))="","",IF($F28="A",INDEX(Matches!$O$5:$O$12,MATCH($B28,Matches!$A$5:$A$12,0)),1-INDEX(Matches!$O$5:$O$12,MATCH($B28,Matches!$A$5:$A$12,0)))),"")</f>
        <v>0.1077</v>
      </c>
      <c r="V28" s="6" t="n">
        <f aca="false">IFERROR(N(INDEX(Matches!$Q$5:$Q$12,MATCH($B28,Matches!$A$5:$A$12,0))),0)</f>
        <v>0.3058</v>
      </c>
      <c r="W28" s="12" t="n">
        <f aca="false">IF(OR($U28="",$J28=""),"",$L28*($U28*$J28+(1-$U28)*$K28))</f>
        <v>6.23680800062262</v>
      </c>
      <c r="X28" s="6" t="n">
        <f aca="false">IF($W28="","",IF(LEFT($B28,4)="DOTA",Config!$B$7,Config!$B$6)*$W28+$L28^2*$U28*(1-$U28)*($J28-$K28)^2)</f>
        <v>13.3656006237386</v>
      </c>
      <c r="Y28" s="12" t="n">
        <f aca="false">IF($O28="","",$O28)</f>
        <v>6.59113144991828</v>
      </c>
      <c r="Z28" s="6" t="n">
        <f aca="false">IF($P28="","",$P28)</f>
        <v>15.1248353287171</v>
      </c>
      <c r="AA28" s="12" t="n">
        <f aca="false">IF($O28="","",N($N28)*N($O28)+N($R28)*N($S28))</f>
        <v>13.1822628998366</v>
      </c>
      <c r="AB28" s="6" t="n">
        <f aca="false">IF($O28="","",(N($N28)*N($P28)+N($N28)*(1-N($N28))*N($O28)^2)+(N($R28)*N($T28)+N($R28)*(1-N($R28))*N($S28)^2))</f>
        <v>30.2496706574342</v>
      </c>
      <c r="AC28" s="12" t="n">
        <f aca="false">IF($O28="","",N($N28)*N($O28)+N($R28)*N($S28)+N($V28)*N($W28))</f>
        <v>15.089478786427</v>
      </c>
      <c r="AD28" s="6" t="n">
        <f aca="false">IF($O28="","",(N($N28)*N($P28)+N($N28)*(1-N($N28))*N($O28)^2)+(N($R28)*N($T28)+N($R28)*(1-N($R28))*N($S28)^2)+(N($V28)*N($X28)+N($V28)*(1-N($V28))*N($W28)^2))</f>
        <v>42.5943381905122</v>
      </c>
      <c r="AE28" s="12" t="n">
        <f aca="false">IF($I28="","",$I28*$L28)</f>
        <v>7.4</v>
      </c>
      <c r="AF28" s="12" t="n">
        <f aca="false">IF($I28="","",$I28*$L28*(1+N($R28)))</f>
        <v>14.8</v>
      </c>
      <c r="AG28" s="12" t="n">
        <f aca="false">IF($I28="","",$I28*$L28*(1+N($R28)+N($V28)))</f>
        <v>17.06292</v>
      </c>
      <c r="AH28" s="0" t="str">
        <f aca="false">TRIM(IF($G28&lt;Config!$B$9,"thin sample ("&amp;$G28&amp;" maps) · ","")&amp;IF($I28="","no PickFinder stats · ","")&amp;IFERROR(IF(INDEX(Players!$T$2:$T$71,MATCH($E28,Players!$A$2:$A$71,0))&lt;0.5,"new roster: "&amp;TEXT(INDEX(Players!$T$2:$T$71,MATCH($E28,Players!$A$2:$A$71,0)),"0%")&amp;" of his recent games with these teammates",""),""))</f>
        <v>new roster: 0% of his recent games with these teammates</v>
      </c>
      <c r="AI28" s="0" t="str">
        <f aca="false">IF($B28=Board!$B$2,COUNTIFS($B$2:$B$71,Board!$B$2,$Y$2:$Y$71,"&gt;"&amp;$Y28)+COUNTIFS($B$1:$B27,Board!$B$2,$Y$1:$Y27,$Y28)+1,"")</f>
        <v/>
      </c>
      <c r="AJ28" s="0" t="str">
        <f aca="false">IFERROR(IF(INDEX(Matches!$D$5:$D$12,MATCH($B28,Matches!$A$5:$A$12,0))=3,"K12","K13"),"K13")</f>
        <v>K12</v>
      </c>
      <c r="AK28" s="12" t="n">
        <f aca="false">IF($AJ28="K12",$AA28,$AC28)</f>
        <v>13.1822628998366</v>
      </c>
    </row>
    <row r="29" customFormat="false" ht="15" hidden="false" customHeight="false" outlineLevel="0" collapsed="false">
      <c r="A29" s="0" t="s">
        <v>223</v>
      </c>
      <c r="B29" s="0" t="s">
        <v>80</v>
      </c>
      <c r="C29" s="0" t="s">
        <v>85</v>
      </c>
      <c r="D29" s="0" t="s">
        <v>222</v>
      </c>
      <c r="E29" s="0" t="s">
        <v>374</v>
      </c>
      <c r="F29" s="0" t="str">
        <f aca="false">IFERROR(IF($C29=INDEX(Matches!$S$5:$S$12,MATCH($B29,Matches!$A$5:$A$12,0)),"A",IF($C29=INDEX(Matches!$T$5:$T$12,MATCH($B29,Matches!$A$5:$A$12,0)),"B","")),"")</f>
        <v>B</v>
      </c>
      <c r="G29" s="0" t="n">
        <f aca="false">IFERROR(INDEX(Players!$E$2:$E$71,MATCH($E29,Players!$A$2:$A$71,0)),0)</f>
        <v>30</v>
      </c>
      <c r="H29" s="7" t="n">
        <f aca="false">IFERROR(INDEX(Players!$F$2:$F$71,MATCH($E29,Players!$A$2:$A$71,0)),"")</f>
        <v>0.33</v>
      </c>
      <c r="I29" s="6" t="n">
        <f aca="false">IFERROR(INDEX(Players!$G$2:$G$71,MATCH($E29,Players!$A$2:$A$71,0)),"")</f>
        <v>3.2</v>
      </c>
      <c r="J29" s="12" t="n">
        <f aca="false">IF(OR($I29="",$H29=""),"",$I29*IF(LEFT($B29,4)="DOTA",Config!$B$5,Config!$B$4)/($H29*IF(LEFT($B29,4)="DOTA",Config!$B$5,Config!$B$4)+1-$H29))</f>
        <v>4.51638625308987</v>
      </c>
      <c r="K29" s="12" t="n">
        <f aca="false">IF(OR($I29="",$H29=""),"",$I29/($H29*IF(LEFT($B29,4)="DOTA",Config!$B$5,Config!$B$4)+1-$H29))</f>
        <v>2.5516306514632</v>
      </c>
      <c r="L29" s="6" t="n">
        <f aca="false">IFERROR(INDEX(Matches!$R$5:$R$12,MATCH($B29,Matches!$A$5:$A$12,0)),1)</f>
        <v>1</v>
      </c>
      <c r="M29" s="7" t="n">
        <f aca="false">IFERROR(IF(INDEX(Matches!$M$5:$M$12,MATCH($B29,Matches!$A$5:$A$12,0))="","",IF($F29="A",INDEX(Matches!$M$5:$M$12,MATCH($B29,Matches!$A$5:$A$12,0)),1-INDEX(Matches!$M$5:$M$12,MATCH($B29,Matches!$A$5:$A$12,0)))),"")</f>
        <v>0.1876</v>
      </c>
      <c r="N29" s="6" t="n">
        <f aca="false">1</f>
        <v>1</v>
      </c>
      <c r="O29" s="12" t="n">
        <f aca="false">IF(OR($M29="",$J29=""),"",$L29*($M29*$J29+(1-$M29)*$K29))</f>
        <v>2.92021880232836</v>
      </c>
      <c r="P29" s="6" t="n">
        <f aca="false">IF($O29="","",IF(LEFT($B29,4)="DOTA",Config!$B$7,Config!$B$6)*$O29+$L29^2*$M29*(1-$M29)*($J29-$K29)^2)</f>
        <v>5.96153100543153</v>
      </c>
      <c r="Q29" s="7" t="n">
        <f aca="false">IFERROR(IF(INDEX(Matches!$N$5:$N$12,MATCH($B29,Matches!$A$5:$A$12,0))="","",IF($F29="A",INDEX(Matches!$N$5:$N$12,MATCH($B29,Matches!$A$5:$A$12,0)),1-INDEX(Matches!$N$5:$N$12,MATCH($B29,Matches!$A$5:$A$12,0)))),"")</f>
        <v>0.1876</v>
      </c>
      <c r="R29" s="6" t="n">
        <f aca="false">IFERROR(N(INDEX(Matches!$P$5:$P$12,MATCH($B29,Matches!$A$5:$A$12,0))),0)</f>
        <v>1</v>
      </c>
      <c r="S29" s="12" t="n">
        <f aca="false">IF(OR($Q29="",$J29=""),"",$L29*($Q29*$J29+(1-$Q29)*$K29))</f>
        <v>2.92021880232836</v>
      </c>
      <c r="T29" s="6" t="n">
        <f aca="false">IF($S29="","",IF(LEFT($B29,4)="DOTA",Config!$B$7,Config!$B$6)*$S29+$L29^2*$Q29*(1-$Q29)*($J29-$K29)^2)</f>
        <v>5.96153100543153</v>
      </c>
      <c r="U29" s="7" t="n">
        <f aca="false">IFERROR(IF(INDEX(Matches!$O$5:$O$12,MATCH($B29,Matches!$A$5:$A$12,0))="","",IF($F29="A",INDEX(Matches!$O$5:$O$12,MATCH($B29,Matches!$A$5:$A$12,0)),1-INDEX(Matches!$O$5:$O$12,MATCH($B29,Matches!$A$5:$A$12,0)))),"")</f>
        <v>0.1077</v>
      </c>
      <c r="V29" s="6" t="n">
        <f aca="false">IFERROR(N(INDEX(Matches!$Q$5:$Q$12,MATCH($B29,Matches!$A$5:$A$12,0))),0)</f>
        <v>0.3058</v>
      </c>
      <c r="W29" s="12" t="n">
        <f aca="false">IF(OR($U29="",$J29=""),"",$L29*($U29*$J29+(1-$U29)*$K29))</f>
        <v>2.76323482975839</v>
      </c>
      <c r="X29" s="6" t="n">
        <f aca="false">IF($W29="","",IF(LEFT($B29,4)="DOTA",Config!$B$7,Config!$B$6)*$W29+$L29^2*$U29*(1-$U29)*($J29-$K29)^2)</f>
        <v>5.45532625311655</v>
      </c>
      <c r="Y29" s="12" t="n">
        <f aca="false">IF($O29="","",$O29)</f>
        <v>2.92021880232836</v>
      </c>
      <c r="Z29" s="6" t="n">
        <f aca="false">IF($P29="","",$P29)</f>
        <v>5.96153100543153</v>
      </c>
      <c r="AA29" s="12" t="n">
        <f aca="false">IF($O29="","",N($N29)*N($O29)+N($R29)*N($S29))</f>
        <v>5.84043760465673</v>
      </c>
      <c r="AB29" s="6" t="n">
        <f aca="false">IF($O29="","",(N($N29)*N($P29)+N($N29)*(1-N($N29))*N($O29)^2)+(N($R29)*N($T29)+N($R29)*(1-N($R29))*N($S29)^2))</f>
        <v>11.9230620108631</v>
      </c>
      <c r="AC29" s="12" t="n">
        <f aca="false">IF($O29="","",N($N29)*N($O29)+N($R29)*N($S29)+N($V29)*N($W29))</f>
        <v>6.68543481559684</v>
      </c>
      <c r="AD29" s="6" t="n">
        <f aca="false">IF($O29="","",(N($N29)*N($P29)+N($N29)*(1-N($N29))*N($O29)^2)+(N($R29)*N($T29)+N($R29)*(1-N($R29))*N($S29)^2)+(N($V29)*N($X29)+N($V29)*(1-N($V29))*N($W29)^2))</f>
        <v>15.212206216888</v>
      </c>
      <c r="AE29" s="12" t="n">
        <f aca="false">IF($I29="","",$I29*$L29)</f>
        <v>3.2</v>
      </c>
      <c r="AF29" s="12" t="n">
        <f aca="false">IF($I29="","",$I29*$L29*(1+N($R29)))</f>
        <v>6.4</v>
      </c>
      <c r="AG29" s="12" t="n">
        <f aca="false">IF($I29="","",$I29*$L29*(1+N($R29)+N($V29)))</f>
        <v>7.37856</v>
      </c>
      <c r="AH29" s="0" t="str">
        <f aca="false">TRIM(IF($G29&lt;Config!$B$9,"thin sample ("&amp;$G29&amp;" maps) · ","")&amp;IF($I29="","no PickFinder stats · ","")&amp;IFERROR(IF(INDEX(Players!$T$2:$T$71,MATCH($E29,Players!$A$2:$A$71,0))&lt;0.5,"new roster: "&amp;TEXT(INDEX(Players!$T$2:$T$71,MATCH($E29,Players!$A$2:$A$71,0)),"0%")&amp;" of his recent games with these teammates",""),""))</f>
        <v>new roster: 0% of his recent games with these teammates</v>
      </c>
      <c r="AI29" s="0" t="str">
        <f aca="false">IF($B29=Board!$B$2,COUNTIFS($B$2:$B$71,Board!$B$2,$Y$2:$Y$71,"&gt;"&amp;$Y29)+COUNTIFS($B$1:$B28,Board!$B$2,$Y$1:$Y28,$Y29)+1,"")</f>
        <v/>
      </c>
      <c r="AJ29" s="0" t="str">
        <f aca="false">IFERROR(IF(INDEX(Matches!$D$5:$D$12,MATCH($B29,Matches!$A$5:$A$12,0))=3,"K12","K13"),"K13")</f>
        <v>K12</v>
      </c>
      <c r="AK29" s="12" t="n">
        <f aca="false">IF($AJ29="K12",$AA29,$AC29)</f>
        <v>5.84043760465673</v>
      </c>
    </row>
    <row r="30" customFormat="false" ht="15" hidden="false" customHeight="false" outlineLevel="0" collapsed="false">
      <c r="A30" s="0" t="s">
        <v>226</v>
      </c>
      <c r="B30" s="0" t="s">
        <v>80</v>
      </c>
      <c r="C30" s="0" t="s">
        <v>84</v>
      </c>
      <c r="D30" s="0" t="s">
        <v>224</v>
      </c>
      <c r="E30" s="0" t="s">
        <v>375</v>
      </c>
      <c r="F30" s="0" t="str">
        <f aca="false">IFERROR(IF($C30=INDEX(Matches!$S$5:$S$12,MATCH($B30,Matches!$A$5:$A$12,0)),"A",IF($C30=INDEX(Matches!$T$5:$T$12,MATCH($B30,Matches!$A$5:$A$12,0)),"B","")),"")</f>
        <v>A</v>
      </c>
      <c r="G30" s="0" t="n">
        <f aca="false">IFERROR(INDEX(Players!$E$2:$E$71,MATCH($E30,Players!$A$2:$A$71,0)),0)</f>
        <v>30</v>
      </c>
      <c r="H30" s="7" t="n">
        <f aca="false">IFERROR(INDEX(Players!$F$2:$F$71,MATCH($E30,Players!$A$2:$A$71,0)),"")</f>
        <v>0.83</v>
      </c>
      <c r="I30" s="6" t="n">
        <f aca="false">IFERROR(INDEX(Players!$G$2:$G$71,MATCH($E30,Players!$A$2:$A$71,0)),"")</f>
        <v>9.5</v>
      </c>
      <c r="J30" s="12" t="n">
        <f aca="false">IF(OR($I30="",$H30=""),"",$I30*IF(LEFT($B30,4)="DOTA",Config!$B$5,Config!$B$4)/($H30*IF(LEFT($B30,4)="DOTA",Config!$B$5,Config!$B$4)+1-$H30))</f>
        <v>10.2586785431029</v>
      </c>
      <c r="K30" s="12" t="n">
        <f aca="false">IF(OR($I30="",$H30=""),"",$I30/($H30*IF(LEFT($B30,4)="DOTA",Config!$B$5,Config!$B$4)+1-$H30))</f>
        <v>5.79586358367397</v>
      </c>
      <c r="L30" s="6" t="n">
        <f aca="false">IFERROR(INDEX(Matches!$R$5:$R$12,MATCH($B30,Matches!$A$5:$A$12,0)),1)</f>
        <v>1</v>
      </c>
      <c r="M30" s="7" t="n">
        <f aca="false">IFERROR(IF(INDEX(Matches!$M$5:$M$12,MATCH($B30,Matches!$A$5:$A$12,0))="","",IF($F30="A",INDEX(Matches!$M$5:$M$12,MATCH($B30,Matches!$A$5:$A$12,0)),1-INDEX(Matches!$M$5:$M$12,MATCH($B30,Matches!$A$5:$A$12,0)))),"")</f>
        <v>0.8124</v>
      </c>
      <c r="N30" s="6" t="n">
        <f aca="false">1</f>
        <v>1</v>
      </c>
      <c r="O30" s="12" t="n">
        <f aca="false">IF(OR($M30="",$J30=""),"",$L30*($M30*$J30+(1-$M30)*$K30))</f>
        <v>9.42145445671405</v>
      </c>
      <c r="P30" s="6" t="n">
        <f aca="false">IF($O30="","",IF(LEFT($B30,4)="DOTA",Config!$B$7,Config!$B$6)*$O30+$L30^2*$M30*(1-$M30)*($J30-$K30)^2)</f>
        <v>20.3709082066547</v>
      </c>
      <c r="Q30" s="7" t="n">
        <f aca="false">IFERROR(IF(INDEX(Matches!$N$5:$N$12,MATCH($B30,Matches!$A$5:$A$12,0))="","",IF($F30="A",INDEX(Matches!$N$5:$N$12,MATCH($B30,Matches!$A$5:$A$12,0)),1-INDEX(Matches!$N$5:$N$12,MATCH($B30,Matches!$A$5:$A$12,0)))),"")</f>
        <v>0.8124</v>
      </c>
      <c r="R30" s="6" t="n">
        <f aca="false">IFERROR(N(INDEX(Matches!$P$5:$P$12,MATCH($B30,Matches!$A$5:$A$12,0))),0)</f>
        <v>1</v>
      </c>
      <c r="S30" s="12" t="n">
        <f aca="false">IF(OR($Q30="",$J30=""),"",$L30*($Q30*$J30+(1-$Q30)*$K30))</f>
        <v>9.42145445671405</v>
      </c>
      <c r="T30" s="6" t="n">
        <f aca="false">IF($S30="","",IF(LEFT($B30,4)="DOTA",Config!$B$7,Config!$B$6)*$S30+$L30^2*$Q30*(1-$Q30)*($J30-$K30)^2)</f>
        <v>20.3709082066547</v>
      </c>
      <c r="U30" s="7" t="n">
        <f aca="false">IFERROR(IF(INDEX(Matches!$O$5:$O$12,MATCH($B30,Matches!$A$5:$A$12,0))="","",IF($F30="A",INDEX(Matches!$O$5:$O$12,MATCH($B30,Matches!$A$5:$A$12,0)),1-INDEX(Matches!$O$5:$O$12,MATCH($B30,Matches!$A$5:$A$12,0)))),"")</f>
        <v>0.8923</v>
      </c>
      <c r="V30" s="6" t="n">
        <f aca="false">IFERROR(N(INDEX(Matches!$Q$5:$Q$12,MATCH($B30,Matches!$A$5:$A$12,0))),0)</f>
        <v>0.3058</v>
      </c>
      <c r="W30" s="12" t="n">
        <f aca="false">IF(OR($U30="",$J30=""),"",$L30*($U30*$J30+(1-$U30)*$K30))</f>
        <v>9.77803337197243</v>
      </c>
      <c r="X30" s="6" t="n">
        <f aca="false">IF($W30="","",IF(LEFT($B30,4)="DOTA",Config!$B$7,Config!$B$6)*$W30+$L30^2*$U30*(1-$U30)*($J30-$K30)^2)</f>
        <v>19.9055920837967</v>
      </c>
      <c r="Y30" s="12" t="n">
        <f aca="false">IF($O30="","",$O30)</f>
        <v>9.42145445671405</v>
      </c>
      <c r="Z30" s="6" t="n">
        <f aca="false">IF($P30="","",$P30)</f>
        <v>20.3709082066547</v>
      </c>
      <c r="AA30" s="12" t="n">
        <f aca="false">IF($O30="","",N($N30)*N($O30)+N($R30)*N($S30))</f>
        <v>18.8429089134281</v>
      </c>
      <c r="AB30" s="6" t="n">
        <f aca="false">IF($O30="","",(N($N30)*N($P30)+N($N30)*(1-N($N30))*N($O30)^2)+(N($R30)*N($T30)+N($R30)*(1-N($R30))*N($S30)^2))</f>
        <v>40.7418164133093</v>
      </c>
      <c r="AC30" s="12" t="n">
        <f aca="false">IF($O30="","",N($N30)*N($O30)+N($R30)*N($S30)+N($V30)*N($W30))</f>
        <v>21.8330315185773</v>
      </c>
      <c r="AD30" s="6" t="n">
        <f aca="false">IF($O30="","",(N($N30)*N($P30)+N($N30)*(1-N($N30))*N($O30)^2)+(N($R30)*N($T30)+N($R30)*(1-N($R30))*N($S30)^2)+(N($V30)*N($X30)+N($V30)*(1-N($V30))*N($W30)^2))</f>
        <v>67.125631898148</v>
      </c>
      <c r="AE30" s="12" t="n">
        <f aca="false">IF($I30="","",$I30*$L30)</f>
        <v>9.5</v>
      </c>
      <c r="AF30" s="12" t="n">
        <f aca="false">IF($I30="","",$I30*$L30*(1+N($R30)))</f>
        <v>19</v>
      </c>
      <c r="AG30" s="12" t="n">
        <f aca="false">IF($I30="","",$I30*$L30*(1+N($R30)+N($V30)))</f>
        <v>21.9051</v>
      </c>
      <c r="AH30" s="0" t="str">
        <f aca="false">TRIM(IF($G30&lt;Config!$B$9,"thin sample ("&amp;$G30&amp;" maps) · ","")&amp;IF($I30="","no PickFinder stats · ","")&amp;IFERROR(IF(INDEX(Players!$T$2:$T$71,MATCH($E30,Players!$A$2:$A$71,0))&lt;0.5,"new roster: "&amp;TEXT(INDEX(Players!$T$2:$T$71,MATCH($E30,Players!$A$2:$A$71,0)),"0%")&amp;" of his recent games with these teammates",""),""))</f>
        <v>new roster: 0% of his recent games with these teammates</v>
      </c>
      <c r="AI30" s="0" t="str">
        <f aca="false">IF($B30=Board!$B$2,COUNTIFS($B$2:$B$71,Board!$B$2,$Y$2:$Y$71,"&gt;"&amp;$Y30)+COUNTIFS($B$1:$B29,Board!$B$2,$Y$1:$Y29,$Y30)+1,"")</f>
        <v/>
      </c>
      <c r="AJ30" s="0" t="str">
        <f aca="false">IFERROR(IF(INDEX(Matches!$D$5:$D$12,MATCH($B30,Matches!$A$5:$A$12,0))=3,"K12","K13"),"K13")</f>
        <v>K12</v>
      </c>
      <c r="AK30" s="12" t="n">
        <f aca="false">IF($AJ30="K12",$AA30,$AC30)</f>
        <v>18.8429089134281</v>
      </c>
    </row>
    <row r="31" customFormat="false" ht="15" hidden="false" customHeight="false" outlineLevel="0" collapsed="false">
      <c r="A31" s="0" t="s">
        <v>228</v>
      </c>
      <c r="B31" s="0" t="s">
        <v>80</v>
      </c>
      <c r="C31" s="0" t="s">
        <v>84</v>
      </c>
      <c r="D31" s="0" t="s">
        <v>227</v>
      </c>
      <c r="E31" s="0" t="s">
        <v>376</v>
      </c>
      <c r="F31" s="0" t="str">
        <f aca="false">IFERROR(IF($C31=INDEX(Matches!$S$5:$S$12,MATCH($B31,Matches!$A$5:$A$12,0)),"A",IF($C31=INDEX(Matches!$T$5:$T$12,MATCH($B31,Matches!$A$5:$A$12,0)),"B","")),"")</f>
        <v>A</v>
      </c>
      <c r="G31" s="0" t="n">
        <f aca="false">IFERROR(INDEX(Players!$E$2:$E$71,MATCH($E31,Players!$A$2:$A$71,0)),0)</f>
        <v>30</v>
      </c>
      <c r="H31" s="7" t="n">
        <f aca="false">IFERROR(INDEX(Players!$F$2:$F$71,MATCH($E31,Players!$A$2:$A$71,0)),"")</f>
        <v>0.83</v>
      </c>
      <c r="I31" s="6" t="n">
        <f aca="false">IFERROR(INDEX(Players!$G$2:$G$71,MATCH($E31,Players!$A$2:$A$71,0)),"")</f>
        <v>7.9</v>
      </c>
      <c r="J31" s="12" t="n">
        <f aca="false">IF(OR($I31="",$H31=""),"",$I31*IF(LEFT($B31,4)="DOTA",Config!$B$5,Config!$B$4)/($H31*IF(LEFT($B31,4)="DOTA",Config!$B$5,Config!$B$4)+1-$H31))</f>
        <v>8.53090110426454</v>
      </c>
      <c r="K31" s="12" t="n">
        <f aca="false">IF(OR($I31="",$H31=""),"",$I31/($H31*IF(LEFT($B31,4)="DOTA",Config!$B$5,Config!$B$4)+1-$H31))</f>
        <v>4.81971813800256</v>
      </c>
      <c r="L31" s="6" t="n">
        <f aca="false">IFERROR(INDEX(Matches!$R$5:$R$12,MATCH($B31,Matches!$A$5:$A$12,0)),1)</f>
        <v>1</v>
      </c>
      <c r="M31" s="7" t="n">
        <f aca="false">IFERROR(IF(INDEX(Matches!$M$5:$M$12,MATCH($B31,Matches!$A$5:$A$12,0))="","",IF($F31="A",INDEX(Matches!$M$5:$M$12,MATCH($B31,Matches!$A$5:$A$12,0)),1-INDEX(Matches!$M$5:$M$12,MATCH($B31,Matches!$A$5:$A$12,0)))),"")</f>
        <v>0.8124</v>
      </c>
      <c r="N31" s="6" t="n">
        <f aca="false">1</f>
        <v>1</v>
      </c>
      <c r="O31" s="12" t="n">
        <f aca="false">IF(OR($M31="",$J31=""),"",$L31*($M31*$J31+(1-$M31)*$K31))</f>
        <v>7.83468317979379</v>
      </c>
      <c r="P31" s="6" t="n">
        <f aca="false">IF($O31="","",IF(LEFT($B31,4)="DOTA",Config!$B$7,Config!$B$6)*$O31+$L31^2*$M31*(1-$M31)*($J31-$K31)^2)</f>
        <v>16.5148897545683</v>
      </c>
      <c r="Q31" s="7" t="n">
        <f aca="false">IFERROR(IF(INDEX(Matches!$N$5:$N$12,MATCH($B31,Matches!$A$5:$A$12,0))="","",IF($F31="A",INDEX(Matches!$N$5:$N$12,MATCH($B31,Matches!$A$5:$A$12,0)),1-INDEX(Matches!$N$5:$N$12,MATCH($B31,Matches!$A$5:$A$12,0)))),"")</f>
        <v>0.8124</v>
      </c>
      <c r="R31" s="6" t="n">
        <f aca="false">IFERROR(N(INDEX(Matches!$P$5:$P$12,MATCH($B31,Matches!$A$5:$A$12,0))),0)</f>
        <v>1</v>
      </c>
      <c r="S31" s="12" t="n">
        <f aca="false">IF(OR($Q31="",$J31=""),"",$L31*($Q31*$J31+(1-$Q31)*$K31))</f>
        <v>7.83468317979379</v>
      </c>
      <c r="T31" s="6" t="n">
        <f aca="false">IF($S31="","",IF(LEFT($B31,4)="DOTA",Config!$B$7,Config!$B$6)*$S31+$L31^2*$Q31*(1-$Q31)*($J31-$K31)^2)</f>
        <v>16.5148897545683</v>
      </c>
      <c r="U31" s="7" t="n">
        <f aca="false">IFERROR(IF(INDEX(Matches!$O$5:$O$12,MATCH($B31,Matches!$A$5:$A$12,0))="","",IF($F31="A",INDEX(Matches!$O$5:$O$12,MATCH($B31,Matches!$A$5:$A$12,0)),1-INDEX(Matches!$O$5:$O$12,MATCH($B31,Matches!$A$5:$A$12,0)))),"")</f>
        <v>0.8923</v>
      </c>
      <c r="V31" s="6" t="n">
        <f aca="false">IFERROR(N(INDEX(Matches!$Q$5:$Q$12,MATCH($B31,Matches!$A$5:$A$12,0))),0)</f>
        <v>0.3058</v>
      </c>
      <c r="W31" s="12" t="n">
        <f aca="false">IF(OR($U31="",$J31=""),"",$L31*($U31*$J31+(1-$U31)*$K31))</f>
        <v>8.13120669879812</v>
      </c>
      <c r="X31" s="6" t="n">
        <f aca="false">IF($W31="","",IF(LEFT($B31,4)="DOTA",Config!$B$7,Config!$B$6)*$W31+$L31^2*$U31*(1-$U31)*($J31-$K31)^2)</f>
        <v>16.2850037773046</v>
      </c>
      <c r="Y31" s="12" t="n">
        <f aca="false">IF($O31="","",$O31)</f>
        <v>7.83468317979379</v>
      </c>
      <c r="Z31" s="6" t="n">
        <f aca="false">IF($P31="","",$P31)</f>
        <v>16.5148897545683</v>
      </c>
      <c r="AA31" s="12" t="n">
        <f aca="false">IF($O31="","",N($N31)*N($O31)+N($R31)*N($S31))</f>
        <v>15.6693663595876</v>
      </c>
      <c r="AB31" s="6" t="n">
        <f aca="false">IF($O31="","",(N($N31)*N($P31)+N($N31)*(1-N($N31))*N($O31)^2)+(N($R31)*N($T31)+N($R31)*(1-N($R31))*N($S31)^2))</f>
        <v>33.0297795091366</v>
      </c>
      <c r="AC31" s="12" t="n">
        <f aca="false">IF($O31="","",N($N31)*N($O31)+N($R31)*N($S31)+N($V31)*N($W31))</f>
        <v>18.15588936808</v>
      </c>
      <c r="AD31" s="6" t="n">
        <f aca="false">IF($O31="","",(N($N31)*N($P31)+N($N31)*(1-N($N31))*N($O31)^2)+(N($R31)*N($T31)+N($R31)*(1-N($R31))*N($S31)^2)+(N($V31)*N($X31)+N($V31)*(1-N($V31))*N($W31)^2))</f>
        <v>52.0453695358435</v>
      </c>
      <c r="AE31" s="12" t="n">
        <f aca="false">IF($I31="","",$I31*$L31)</f>
        <v>7.9</v>
      </c>
      <c r="AF31" s="12" t="n">
        <f aca="false">IF($I31="","",$I31*$L31*(1+N($R31)))</f>
        <v>15.8</v>
      </c>
      <c r="AG31" s="12" t="n">
        <f aca="false">IF($I31="","",$I31*$L31*(1+N($R31)+N($V31)))</f>
        <v>18.21582</v>
      </c>
      <c r="AH31" s="0" t="str">
        <f aca="false">TRIM(IF($G31&lt;Config!$B$9,"thin sample ("&amp;$G31&amp;" maps) · ","")&amp;IF($I31="","no PickFinder stats · ","")&amp;IFERROR(IF(INDEX(Players!$T$2:$T$71,MATCH($E31,Players!$A$2:$A$71,0))&lt;0.5,"new roster: "&amp;TEXT(INDEX(Players!$T$2:$T$71,MATCH($E31,Players!$A$2:$A$71,0)),"0%")&amp;" of his recent games with these teammates",""),""))</f>
        <v>new roster: 0% of his recent games with these teammates</v>
      </c>
      <c r="AI31" s="0" t="str">
        <f aca="false">IF($B31=Board!$B$2,COUNTIFS($B$2:$B$71,Board!$B$2,$Y$2:$Y$71,"&gt;"&amp;$Y31)+COUNTIFS($B$1:$B30,Board!$B$2,$Y$1:$Y30,$Y31)+1,"")</f>
        <v/>
      </c>
      <c r="AJ31" s="0" t="str">
        <f aca="false">IFERROR(IF(INDEX(Matches!$D$5:$D$12,MATCH($B31,Matches!$A$5:$A$12,0))=3,"K12","K13"),"K13")</f>
        <v>K12</v>
      </c>
      <c r="AK31" s="12" t="n">
        <f aca="false">IF($AJ31="K12",$AA31,$AC31)</f>
        <v>15.6693663595876</v>
      </c>
    </row>
    <row r="32" customFormat="false" ht="15" hidden="false" customHeight="false" outlineLevel="0" collapsed="false">
      <c r="A32" s="0" t="s">
        <v>230</v>
      </c>
      <c r="B32" s="0" t="s">
        <v>80</v>
      </c>
      <c r="C32" s="0" t="s">
        <v>84</v>
      </c>
      <c r="D32" s="0" t="s">
        <v>229</v>
      </c>
      <c r="E32" s="0" t="s">
        <v>377</v>
      </c>
      <c r="F32" s="0" t="str">
        <f aca="false">IFERROR(IF($C32=INDEX(Matches!$S$5:$S$12,MATCH($B32,Matches!$A$5:$A$12,0)),"A",IF($C32=INDEX(Matches!$T$5:$T$12,MATCH($B32,Matches!$A$5:$A$12,0)),"B","")),"")</f>
        <v>A</v>
      </c>
      <c r="G32" s="0" t="n">
        <f aca="false">IFERROR(INDEX(Players!$E$2:$E$71,MATCH($E32,Players!$A$2:$A$71,0)),0)</f>
        <v>30</v>
      </c>
      <c r="H32" s="7" t="n">
        <f aca="false">IFERROR(INDEX(Players!$F$2:$F$71,MATCH($E32,Players!$A$2:$A$71,0)),"")</f>
        <v>0.83</v>
      </c>
      <c r="I32" s="6" t="n">
        <f aca="false">IFERROR(INDEX(Players!$G$2:$G$71,MATCH($E32,Players!$A$2:$A$71,0)),"")</f>
        <v>3.7</v>
      </c>
      <c r="J32" s="12" t="n">
        <f aca="false">IF(OR($I32="",$H32=""),"",$I32*IF(LEFT($B32,4)="DOTA",Config!$B$5,Config!$B$4)/($H32*IF(LEFT($B32,4)="DOTA",Config!$B$5,Config!$B$4)+1-$H32))</f>
        <v>3.99548532731377</v>
      </c>
      <c r="K32" s="12" t="n">
        <f aca="false">IF(OR($I32="",$H32=""),"",$I32/($H32*IF(LEFT($B32,4)="DOTA",Config!$B$5,Config!$B$4)+1-$H32))</f>
        <v>2.25733634311512</v>
      </c>
      <c r="L32" s="6" t="n">
        <f aca="false">IFERROR(INDEX(Matches!$R$5:$R$12,MATCH($B32,Matches!$A$5:$A$12,0)),1)</f>
        <v>1</v>
      </c>
      <c r="M32" s="7" t="n">
        <f aca="false">IFERROR(IF(INDEX(Matches!$M$5:$M$12,MATCH($B32,Matches!$A$5:$A$12,0))="","",IF($F32="A",INDEX(Matches!$M$5:$M$12,MATCH($B32,Matches!$A$5:$A$12,0)),1-INDEX(Matches!$M$5:$M$12,MATCH($B32,Matches!$A$5:$A$12,0)))),"")</f>
        <v>0.8124</v>
      </c>
      <c r="N32" s="6" t="n">
        <f aca="false">1</f>
        <v>1</v>
      </c>
      <c r="O32" s="12" t="n">
        <f aca="false">IF(OR($M32="",$J32=""),"",$L32*($M32*$J32+(1-$M32)*$K32))</f>
        <v>3.6694085778781</v>
      </c>
      <c r="P32" s="6" t="n">
        <f aca="false">IF($O32="","",IF(LEFT($B32,4)="DOTA",Config!$B$7,Config!$B$6)*$O32+$L32^2*$M32*(1-$M32)*($J32-$K32)^2)</f>
        <v>7.21215570757558</v>
      </c>
      <c r="Q32" s="7" t="n">
        <f aca="false">IFERROR(IF(INDEX(Matches!$N$5:$N$12,MATCH($B32,Matches!$A$5:$A$12,0))="","",IF($F32="A",INDEX(Matches!$N$5:$N$12,MATCH($B32,Matches!$A$5:$A$12,0)),1-INDEX(Matches!$N$5:$N$12,MATCH($B32,Matches!$A$5:$A$12,0)))),"")</f>
        <v>0.8124</v>
      </c>
      <c r="R32" s="6" t="n">
        <f aca="false">IFERROR(N(INDEX(Matches!$P$5:$P$12,MATCH($B32,Matches!$A$5:$A$12,0))),0)</f>
        <v>1</v>
      </c>
      <c r="S32" s="12" t="n">
        <f aca="false">IF(OR($Q32="",$J32=""),"",$L32*($Q32*$J32+(1-$Q32)*$K32))</f>
        <v>3.6694085778781</v>
      </c>
      <c r="T32" s="6" t="n">
        <f aca="false">IF($S32="","",IF(LEFT($B32,4)="DOTA",Config!$B$7,Config!$B$6)*$S32+$L32^2*$Q32*(1-$Q32)*($J32-$K32)^2)</f>
        <v>7.21215570757558</v>
      </c>
      <c r="U32" s="7" t="n">
        <f aca="false">IFERROR(IF(INDEX(Matches!$O$5:$O$12,MATCH($B32,Matches!$A$5:$A$12,0))="","",IF($F32="A",INDEX(Matches!$O$5:$O$12,MATCH($B32,Matches!$A$5:$A$12,0)),1-INDEX(Matches!$O$5:$O$12,MATCH($B32,Matches!$A$5:$A$12,0)))),"")</f>
        <v>0.8923</v>
      </c>
      <c r="V32" s="6" t="n">
        <f aca="false">IFERROR(N(INDEX(Matches!$Q$5:$Q$12,MATCH($B32,Matches!$A$5:$A$12,0))),0)</f>
        <v>0.3058</v>
      </c>
      <c r="W32" s="12" t="n">
        <f aca="false">IF(OR($U32="",$J32=""),"",$L32*($U32*$J32+(1-$U32)*$K32))</f>
        <v>3.80828668171558</v>
      </c>
      <c r="X32" s="6" t="n">
        <f aca="false">IF($W32="","",IF(LEFT($B32,4)="DOTA",Config!$B$7,Config!$B$6)*$W32+$L32^2*$U32*(1-$U32)*($J32-$K32)^2)</f>
        <v>7.29758329713273</v>
      </c>
      <c r="Y32" s="12" t="n">
        <f aca="false">IF($O32="","",$O32)</f>
        <v>3.6694085778781</v>
      </c>
      <c r="Z32" s="6" t="n">
        <f aca="false">IF($P32="","",$P32)</f>
        <v>7.21215570757558</v>
      </c>
      <c r="AA32" s="12" t="n">
        <f aca="false">IF($O32="","",N($N32)*N($O32)+N($R32)*N($S32))</f>
        <v>7.33881715575621</v>
      </c>
      <c r="AB32" s="6" t="n">
        <f aca="false">IF($O32="","",(N($N32)*N($P32)+N($N32)*(1-N($N32))*N($O32)^2)+(N($R32)*N($T32)+N($R32)*(1-N($R32))*N($S32)^2))</f>
        <v>14.4243114151512</v>
      </c>
      <c r="AC32" s="12" t="n">
        <f aca="false">IF($O32="","",N($N32)*N($O32)+N($R32)*N($S32)+N($V32)*N($W32))</f>
        <v>8.50339122302483</v>
      </c>
      <c r="AD32" s="6" t="n">
        <f aca="false">IF($O32="","",(N($N32)*N($P32)+N($N32)*(1-N($N32))*N($O32)^2)+(N($R32)*N($T32)+N($R32)*(1-N($R32))*N($S32)^2)+(N($V32)*N($X32)+N($V32)*(1-N($V32))*N($W32)^2))</f>
        <v>19.7347115395102</v>
      </c>
      <c r="AE32" s="12" t="n">
        <f aca="false">IF($I32="","",$I32*$L32)</f>
        <v>3.7</v>
      </c>
      <c r="AF32" s="12" t="n">
        <f aca="false">IF($I32="","",$I32*$L32*(1+N($R32)))</f>
        <v>7.4</v>
      </c>
      <c r="AG32" s="12" t="n">
        <f aca="false">IF($I32="","",$I32*$L32*(1+N($R32)+N($V32)))</f>
        <v>8.53146</v>
      </c>
      <c r="AH32" s="0" t="str">
        <f aca="false">TRIM(IF($G32&lt;Config!$B$9,"thin sample ("&amp;$G32&amp;" maps) · ","")&amp;IF($I32="","no PickFinder stats · ","")&amp;IFERROR(IF(INDEX(Players!$T$2:$T$71,MATCH($E32,Players!$A$2:$A$71,0))&lt;0.5,"new roster: "&amp;TEXT(INDEX(Players!$T$2:$T$71,MATCH($E32,Players!$A$2:$A$71,0)),"0%")&amp;" of his recent games with these teammates",""),""))</f>
        <v>new roster: 0% of his recent games with these teammates</v>
      </c>
      <c r="AI32" s="0" t="str">
        <f aca="false">IF($B32=Board!$B$2,COUNTIFS($B$2:$B$71,Board!$B$2,$Y$2:$Y$71,"&gt;"&amp;$Y32)+COUNTIFS($B$1:$B31,Board!$B$2,$Y$1:$Y31,$Y32)+1,"")</f>
        <v/>
      </c>
      <c r="AJ32" s="0" t="str">
        <f aca="false">IFERROR(IF(INDEX(Matches!$D$5:$D$12,MATCH($B32,Matches!$A$5:$A$12,0))=3,"K12","K13"),"K13")</f>
        <v>K12</v>
      </c>
      <c r="AK32" s="12" t="n">
        <f aca="false">IF($AJ32="K12",$AA32,$AC32)</f>
        <v>7.33881715575621</v>
      </c>
    </row>
    <row r="33" customFormat="false" ht="15" hidden="false" customHeight="false" outlineLevel="0" collapsed="false">
      <c r="A33" s="0" t="s">
        <v>233</v>
      </c>
      <c r="B33" s="0" t="s">
        <v>80</v>
      </c>
      <c r="C33" s="0" t="s">
        <v>84</v>
      </c>
      <c r="D33" s="0" t="s">
        <v>231</v>
      </c>
      <c r="E33" s="0" t="s">
        <v>378</v>
      </c>
      <c r="F33" s="0" t="str">
        <f aca="false">IFERROR(IF($C33=INDEX(Matches!$S$5:$S$12,MATCH($B33,Matches!$A$5:$A$12,0)),"A",IF($C33=INDEX(Matches!$T$5:$T$12,MATCH($B33,Matches!$A$5:$A$12,0)),"B","")),"")</f>
        <v>A</v>
      </c>
      <c r="G33" s="0" t="n">
        <f aca="false">IFERROR(INDEX(Players!$E$2:$E$71,MATCH($E33,Players!$A$2:$A$71,0)),0)</f>
        <v>30</v>
      </c>
      <c r="H33" s="7" t="n">
        <f aca="false">IFERROR(INDEX(Players!$F$2:$F$71,MATCH($E33,Players!$A$2:$A$71,0)),"")</f>
        <v>0.83</v>
      </c>
      <c r="I33" s="6" t="n">
        <f aca="false">IFERROR(INDEX(Players!$G$2:$G$71,MATCH($E33,Players!$A$2:$A$71,0)),"")</f>
        <v>3.9</v>
      </c>
      <c r="J33" s="12" t="n">
        <f aca="false">IF(OR($I33="",$H33=""),"",$I33*IF(LEFT($B33,4)="DOTA",Config!$B$5,Config!$B$4)/($H33*IF(LEFT($B33,4)="DOTA",Config!$B$5,Config!$B$4)+1-$H33))</f>
        <v>4.21145750716857</v>
      </c>
      <c r="K33" s="12" t="n">
        <f aca="false">IF(OR($I33="",$H33=""),"",$I33/($H33*IF(LEFT($B33,4)="DOTA",Config!$B$5,Config!$B$4)+1-$H33))</f>
        <v>2.37935452382405</v>
      </c>
      <c r="L33" s="6" t="n">
        <f aca="false">IFERROR(INDEX(Matches!$R$5:$R$12,MATCH($B33,Matches!$A$5:$A$12,0)),1)</f>
        <v>1</v>
      </c>
      <c r="M33" s="7" t="n">
        <f aca="false">IFERROR(IF(INDEX(Matches!$M$5:$M$12,MATCH($B33,Matches!$A$5:$A$12,0))="","",IF($F33="A",INDEX(Matches!$M$5:$M$12,MATCH($B33,Matches!$A$5:$A$12,0)),1-INDEX(Matches!$M$5:$M$12,MATCH($B33,Matches!$A$5:$A$12,0)))),"")</f>
        <v>0.8124</v>
      </c>
      <c r="N33" s="6" t="n">
        <f aca="false">1</f>
        <v>1</v>
      </c>
      <c r="O33" s="12" t="n">
        <f aca="false">IF(OR($M33="",$J33=""),"",$L33*($M33*$J33+(1-$M33)*$K33))</f>
        <v>3.86775498749314</v>
      </c>
      <c r="P33" s="6" t="n">
        <f aca="false">IF($O33="","",IF(LEFT($B33,4)="DOTA",Config!$B$7,Config!$B$6)*$O33+$L33^2*$M33*(1-$M33)*($J33-$K33)^2)</f>
        <v>7.62823616663652</v>
      </c>
      <c r="Q33" s="7" t="n">
        <f aca="false">IFERROR(IF(INDEX(Matches!$N$5:$N$12,MATCH($B33,Matches!$A$5:$A$12,0))="","",IF($F33="A",INDEX(Matches!$N$5:$N$12,MATCH($B33,Matches!$A$5:$A$12,0)),1-INDEX(Matches!$N$5:$N$12,MATCH($B33,Matches!$A$5:$A$12,0)))),"")</f>
        <v>0.8124</v>
      </c>
      <c r="R33" s="6" t="n">
        <f aca="false">IFERROR(N(INDEX(Matches!$P$5:$P$12,MATCH($B33,Matches!$A$5:$A$12,0))),0)</f>
        <v>1</v>
      </c>
      <c r="S33" s="12" t="n">
        <f aca="false">IF(OR($Q33="",$J33=""),"",$L33*($Q33*$J33+(1-$Q33)*$K33))</f>
        <v>3.86775498749314</v>
      </c>
      <c r="T33" s="6" t="n">
        <f aca="false">IF($S33="","",IF(LEFT($B33,4)="DOTA",Config!$B$7,Config!$B$6)*$S33+$L33^2*$Q33*(1-$Q33)*($J33-$K33)^2)</f>
        <v>7.62823616663652</v>
      </c>
      <c r="U33" s="7" t="n">
        <f aca="false">IFERROR(IF(INDEX(Matches!$O$5:$O$12,MATCH($B33,Matches!$A$5:$A$12,0))="","",IF($F33="A",INDEX(Matches!$O$5:$O$12,MATCH($B33,Matches!$A$5:$A$12,0)),1-INDEX(Matches!$O$5:$O$12,MATCH($B33,Matches!$A$5:$A$12,0)))),"")</f>
        <v>0.8923</v>
      </c>
      <c r="V33" s="6" t="n">
        <f aca="false">IFERROR(N(INDEX(Matches!$Q$5:$Q$12,MATCH($B33,Matches!$A$5:$A$12,0))),0)</f>
        <v>0.3058</v>
      </c>
      <c r="W33" s="12" t="n">
        <f aca="false">IF(OR($U33="",$J33=""),"",$L33*($U33*$J33+(1-$U33)*$K33))</f>
        <v>4.01414001586236</v>
      </c>
      <c r="X33" s="6" t="n">
        <f aca="false">IF($W33="","",IF(LEFT($B33,4)="DOTA",Config!$B$7,Config!$B$6)*$W33+$L33^2*$U33*(1-$U33)*($J33-$K33)^2)</f>
        <v>7.70858940129953</v>
      </c>
      <c r="Y33" s="12" t="n">
        <f aca="false">IF($O33="","",$O33)</f>
        <v>3.86775498749314</v>
      </c>
      <c r="Z33" s="6" t="n">
        <f aca="false">IF($P33="","",$P33)</f>
        <v>7.62823616663652</v>
      </c>
      <c r="AA33" s="12" t="n">
        <f aca="false">IF($O33="","",N($N33)*N($O33)+N($R33)*N($S33))</f>
        <v>7.73550997498627</v>
      </c>
      <c r="AB33" s="6" t="n">
        <f aca="false">IF($O33="","",(N($N33)*N($P33)+N($N33)*(1-N($N33))*N($O33)^2)+(N($R33)*N($T33)+N($R33)*(1-N($R33))*N($S33)^2))</f>
        <v>15.256472333273</v>
      </c>
      <c r="AC33" s="12" t="n">
        <f aca="false">IF($O33="","",N($N33)*N($O33)+N($R33)*N($S33)+N($V33)*N($W33))</f>
        <v>8.96303399183698</v>
      </c>
      <c r="AD33" s="6" t="n">
        <f aca="false">IF($O33="","",(N($N33)*N($P33)+N($N33)*(1-N($N33))*N($O33)^2)+(N($R33)*N($T33)+N($R33)*(1-N($R33))*N($S33)^2)+(N($V33)*N($X33)+N($V33)*(1-N($V33))*N($W33)^2))</f>
        <v>21.0343970367177</v>
      </c>
      <c r="AE33" s="12" t="n">
        <f aca="false">IF($I33="","",$I33*$L33)</f>
        <v>3.9</v>
      </c>
      <c r="AF33" s="12" t="n">
        <f aca="false">IF($I33="","",$I33*$L33*(1+N($R33)))</f>
        <v>7.8</v>
      </c>
      <c r="AG33" s="12" t="n">
        <f aca="false">IF($I33="","",$I33*$L33*(1+N($R33)+N($V33)))</f>
        <v>8.99262</v>
      </c>
      <c r="AH33" s="0" t="str">
        <f aca="false">TRIM(IF($G33&lt;Config!$B$9,"thin sample ("&amp;$G33&amp;" maps) · ","")&amp;IF($I33="","no PickFinder stats · ","")&amp;IFERROR(IF(INDEX(Players!$T$2:$T$71,MATCH($E33,Players!$A$2:$A$71,0))&lt;0.5,"new roster: "&amp;TEXT(INDEX(Players!$T$2:$T$71,MATCH($E33,Players!$A$2:$A$71,0)),"0%")&amp;" of his recent games with these teammates",""),""))</f>
        <v>new roster: 0% of his recent games with these teammates</v>
      </c>
      <c r="AI33" s="0" t="str">
        <f aca="false">IF($B33=Board!$B$2,COUNTIFS($B$2:$B$71,Board!$B$2,$Y$2:$Y$71,"&gt;"&amp;$Y33)+COUNTIFS($B$1:$B32,Board!$B$2,$Y$1:$Y32,$Y33)+1,"")</f>
        <v/>
      </c>
      <c r="AJ33" s="0" t="str">
        <f aca="false">IFERROR(IF(INDEX(Matches!$D$5:$D$12,MATCH($B33,Matches!$A$5:$A$12,0))=3,"K12","K13"),"K13")</f>
        <v>K12</v>
      </c>
      <c r="AK33" s="12" t="n">
        <f aca="false">IF($AJ33="K12",$AA33,$AC33)</f>
        <v>7.73550997498627</v>
      </c>
    </row>
    <row r="34" customFormat="false" ht="15" hidden="false" customHeight="false" outlineLevel="0" collapsed="false">
      <c r="A34" s="0" t="s">
        <v>236</v>
      </c>
      <c r="B34" s="0" t="s">
        <v>80</v>
      </c>
      <c r="C34" s="0" t="s">
        <v>84</v>
      </c>
      <c r="D34" s="0" t="s">
        <v>234</v>
      </c>
      <c r="E34" s="0" t="s">
        <v>379</v>
      </c>
      <c r="F34" s="0" t="str">
        <f aca="false">IFERROR(IF($C34=INDEX(Matches!$S$5:$S$12,MATCH($B34,Matches!$A$5:$A$12,0)),"A",IF($C34=INDEX(Matches!$T$5:$T$12,MATCH($B34,Matches!$A$5:$A$12,0)),"B","")),"")</f>
        <v>A</v>
      </c>
      <c r="G34" s="0" t="n">
        <f aca="false">IFERROR(INDEX(Players!$E$2:$E$71,MATCH($E34,Players!$A$2:$A$71,0)),0)</f>
        <v>30</v>
      </c>
      <c r="H34" s="7" t="n">
        <f aca="false">IFERROR(INDEX(Players!$F$2:$F$71,MATCH($E34,Players!$A$2:$A$71,0)),"")</f>
        <v>0.83</v>
      </c>
      <c r="I34" s="6" t="n">
        <f aca="false">IFERROR(INDEX(Players!$G$2:$G$71,MATCH($E34,Players!$A$2:$A$71,0)),"")</f>
        <v>11.1</v>
      </c>
      <c r="J34" s="12" t="n">
        <f aca="false">IF(OR($I34="",$H34=""),"",$I34*IF(LEFT($B34,4)="DOTA",Config!$B$5,Config!$B$4)/($H34*IF(LEFT($B34,4)="DOTA",Config!$B$5,Config!$B$4)+1-$H34))</f>
        <v>11.9864559819413</v>
      </c>
      <c r="K34" s="12" t="n">
        <f aca="false">IF(OR($I34="",$H34=""),"",$I34/($H34*IF(LEFT($B34,4)="DOTA",Config!$B$5,Config!$B$4)+1-$H34))</f>
        <v>6.77200902934537</v>
      </c>
      <c r="L34" s="6" t="n">
        <f aca="false">IFERROR(INDEX(Matches!$R$5:$R$12,MATCH($B34,Matches!$A$5:$A$12,0)),1)</f>
        <v>1</v>
      </c>
      <c r="M34" s="7" t="n">
        <f aca="false">IFERROR(IF(INDEX(Matches!$M$5:$M$12,MATCH($B34,Matches!$A$5:$A$12,0))="","",IF($F34="A",INDEX(Matches!$M$5:$M$12,MATCH($B34,Matches!$A$5:$A$12,0)),1-INDEX(Matches!$M$5:$M$12,MATCH($B34,Matches!$A$5:$A$12,0)))),"")</f>
        <v>0.8124</v>
      </c>
      <c r="N34" s="6" t="n">
        <f aca="false">1</f>
        <v>1</v>
      </c>
      <c r="O34" s="12" t="n">
        <f aca="false">IF(OR($M34="",$J34=""),"",$L34*($M34*$J34+(1-$M34)*$K34))</f>
        <v>11.0082257336343</v>
      </c>
      <c r="P34" s="6" t="n">
        <f aca="false">IF($O34="","",IF(LEFT($B34,4)="DOTA",Config!$B$7,Config!$B$6)*$O34+$L34^2*$M34*(1-$M34)*($J34-$K34)^2)</f>
        <v>24.399130668406</v>
      </c>
      <c r="Q34" s="7" t="n">
        <f aca="false">IFERROR(IF(INDEX(Matches!$N$5:$N$12,MATCH($B34,Matches!$A$5:$A$12,0))="","",IF($F34="A",INDEX(Matches!$N$5:$N$12,MATCH($B34,Matches!$A$5:$A$12,0)),1-INDEX(Matches!$N$5:$N$12,MATCH($B34,Matches!$A$5:$A$12,0)))),"")</f>
        <v>0.8124</v>
      </c>
      <c r="R34" s="6" t="n">
        <f aca="false">IFERROR(N(INDEX(Matches!$P$5:$P$12,MATCH($B34,Matches!$A$5:$A$12,0))),0)</f>
        <v>1</v>
      </c>
      <c r="S34" s="12" t="n">
        <f aca="false">IF(OR($Q34="",$J34=""),"",$L34*($Q34*$J34+(1-$Q34)*$K34))</f>
        <v>11.0082257336343</v>
      </c>
      <c r="T34" s="6" t="n">
        <f aca="false">IF($S34="","",IF(LEFT($B34,4)="DOTA",Config!$B$7,Config!$B$6)*$S34+$L34^2*$Q34*(1-$Q34)*($J34-$K34)^2)</f>
        <v>24.399130668406</v>
      </c>
      <c r="U34" s="7" t="n">
        <f aca="false">IFERROR(IF(INDEX(Matches!$O$5:$O$12,MATCH($B34,Matches!$A$5:$A$12,0))="","",IF($F34="A",INDEX(Matches!$O$5:$O$12,MATCH($B34,Matches!$A$5:$A$12,0)),1-INDEX(Matches!$O$5:$O$12,MATCH($B34,Matches!$A$5:$A$12,0)))),"")</f>
        <v>0.8923</v>
      </c>
      <c r="V34" s="6" t="n">
        <f aca="false">IFERROR(N(INDEX(Matches!$Q$5:$Q$12,MATCH($B34,Matches!$A$5:$A$12,0))),0)</f>
        <v>0.3058</v>
      </c>
      <c r="W34" s="12" t="n">
        <f aca="false">IF(OR($U34="",$J34=""),"",$L34*($U34*$J34+(1-$U34)*$K34))</f>
        <v>11.4248600451467</v>
      </c>
      <c r="X34" s="6" t="n">
        <f aca="false">IF($W34="","",IF(LEFT($B34,4)="DOTA",Config!$B$7,Config!$B$6)*$W34+$L34^2*$U34*(1-$U34)*($J34-$K34)^2)</f>
        <v>23.6347647080546</v>
      </c>
      <c r="Y34" s="12" t="n">
        <f aca="false">IF($O34="","",$O34)</f>
        <v>11.0082257336343</v>
      </c>
      <c r="Z34" s="6" t="n">
        <f aca="false">IF($P34="","",$P34)</f>
        <v>24.399130668406</v>
      </c>
      <c r="AA34" s="12" t="n">
        <f aca="false">IF($O34="","",N($N34)*N($O34)+N($R34)*N($S34))</f>
        <v>22.0164514672686</v>
      </c>
      <c r="AB34" s="6" t="n">
        <f aca="false">IF($O34="","",(N($N34)*N($P34)+N($N34)*(1-N($N34))*N($O34)^2)+(N($R34)*N($T34)+N($R34)*(1-N($R34))*N($S34)^2))</f>
        <v>48.7982613368119</v>
      </c>
      <c r="AC34" s="12" t="n">
        <f aca="false">IF($O34="","",N($N34)*N($O34)+N($R34)*N($S34)+N($V34)*N($W34))</f>
        <v>25.5101736690745</v>
      </c>
      <c r="AD34" s="6" t="n">
        <f aca="false">IF($O34="","",(N($N34)*N($P34)+N($N34)*(1-N($N34))*N($O34)^2)+(N($R34)*N($T34)+N($R34)*(1-N($R34))*N($S34)^2)+(N($V34)*N($X34)+N($V34)*(1-N($V34))*N($W34)^2))</f>
        <v>83.7349647533977</v>
      </c>
      <c r="AE34" s="12" t="n">
        <f aca="false">IF($I34="","",$I34*$L34)</f>
        <v>11.1</v>
      </c>
      <c r="AF34" s="12" t="n">
        <f aca="false">IF($I34="","",$I34*$L34*(1+N($R34)))</f>
        <v>22.2</v>
      </c>
      <c r="AG34" s="12" t="n">
        <f aca="false">IF($I34="","",$I34*$L34*(1+N($R34)+N($V34)))</f>
        <v>25.59438</v>
      </c>
      <c r="AH34" s="0" t="str">
        <f aca="false">TRIM(IF($G34&lt;Config!$B$9,"thin sample ("&amp;$G34&amp;" maps) · ","")&amp;IF($I34="","no PickFinder stats · ","")&amp;IFERROR(IF(INDEX(Players!$T$2:$T$71,MATCH($E34,Players!$A$2:$A$71,0))&lt;0.5,"new roster: "&amp;TEXT(INDEX(Players!$T$2:$T$71,MATCH($E34,Players!$A$2:$A$71,0)),"0%")&amp;" of his recent games with these teammates",""),""))</f>
        <v>new roster: 0% of his recent games with these teammates</v>
      </c>
      <c r="AI34" s="0" t="str">
        <f aca="false">IF($B34=Board!$B$2,COUNTIFS($B$2:$B$71,Board!$B$2,$Y$2:$Y$71,"&gt;"&amp;$Y34)+COUNTIFS($B$1:$B33,Board!$B$2,$Y$1:$Y33,$Y34)+1,"")</f>
        <v/>
      </c>
      <c r="AJ34" s="0" t="str">
        <f aca="false">IFERROR(IF(INDEX(Matches!$D$5:$D$12,MATCH($B34,Matches!$A$5:$A$12,0))=3,"K12","K13"),"K13")</f>
        <v>K12</v>
      </c>
      <c r="AK34" s="12" t="n">
        <f aca="false">IF($AJ34="K12",$AA34,$AC34)</f>
        <v>22.0164514672686</v>
      </c>
    </row>
    <row r="35" customFormat="false" ht="15" hidden="false" customHeight="false" outlineLevel="0" collapsed="false">
      <c r="A35" s="0" t="s">
        <v>238</v>
      </c>
      <c r="B35" s="0" t="s">
        <v>110</v>
      </c>
      <c r="C35" s="0" t="s">
        <v>114</v>
      </c>
      <c r="D35" s="0" t="s">
        <v>237</v>
      </c>
      <c r="E35" s="0" t="s">
        <v>380</v>
      </c>
      <c r="F35" s="0" t="str">
        <f aca="false">IFERROR(IF($C35=INDEX(Matches!$S$5:$S$12,MATCH($B35,Matches!$A$5:$A$12,0)),"A",IF($C35=INDEX(Matches!$T$5:$T$12,MATCH($B35,Matches!$A$5:$A$12,0)),"B","")),"")</f>
        <v>A</v>
      </c>
      <c r="G35" s="0" t="n">
        <f aca="false">IFERROR(INDEX(Players!$E$2:$E$71,MATCH($E35,Players!$A$2:$A$71,0)),0)</f>
        <v>30</v>
      </c>
      <c r="H35" s="7" t="n">
        <f aca="false">IFERROR(INDEX(Players!$F$2:$F$71,MATCH($E35,Players!$A$2:$A$71,0)),"")</f>
        <v>0.57</v>
      </c>
      <c r="I35" s="6" t="n">
        <f aca="false">IFERROR(INDEX(Players!$G$2:$G$71,MATCH($E35,Players!$A$2:$A$71,0)),"")</f>
        <v>0.7</v>
      </c>
      <c r="J35" s="12" t="n">
        <f aca="false">IF(OR($I35="",$H35=""),"",$I35*IF(LEFT($B35,4)="DOTA",Config!$B$5,Config!$B$4)/($H35*IF(LEFT($B35,4)="DOTA",Config!$B$5,Config!$B$4)+1-$H35))</f>
        <v>0.915547138545304</v>
      </c>
      <c r="K35" s="12" t="n">
        <f aca="false">IF(OR($I35="",$H35=""),"",$I35/($H35*IF(LEFT($B35,4)="DOTA",Config!$B$5,Config!$B$4)+1-$H35))</f>
        <v>0.414274723323667</v>
      </c>
      <c r="L35" s="6" t="n">
        <f aca="false">IFERROR(INDEX(Matches!$R$5:$R$12,MATCH($B35,Matches!$A$5:$A$12,0)),1)</f>
        <v>1</v>
      </c>
      <c r="M35" s="7" t="n">
        <f aca="false">IFERROR(IF(INDEX(Matches!$M$5:$M$12,MATCH($B35,Matches!$A$5:$A$12,0))="","",IF($F35="A",INDEX(Matches!$M$5:$M$12,MATCH($B35,Matches!$A$5:$A$12,0)),1-INDEX(Matches!$M$5:$M$12,MATCH($B35,Matches!$A$5:$A$12,0)))),"")</f>
        <v>0.6699</v>
      </c>
      <c r="N35" s="6" t="n">
        <f aca="false">1</f>
        <v>1</v>
      </c>
      <c r="O35" s="12" t="n">
        <f aca="false">IF(OR($M35="",$J35=""),"",$L35*($M35*$J35+(1-$M35)*$K35))</f>
        <v>0.750077114280642</v>
      </c>
      <c r="P35" s="6" t="n">
        <f aca="false">IF($O35="","",IF(LEFT($B35,4)="DOTA",Config!$B$7,Config!$B$6)*$O35+$L35^2*$M35*(1-$M35)*($J35-$K35)^2)</f>
        <v>1.03066547834462</v>
      </c>
      <c r="Q35" s="7" t="n">
        <f aca="false">IFERROR(IF(INDEX(Matches!$N$5:$N$12,MATCH($B35,Matches!$A$5:$A$12,0))="","",IF($F35="A",INDEX(Matches!$N$5:$N$12,MATCH($B35,Matches!$A$5:$A$12,0)),1-INDEX(Matches!$N$5:$N$12,MATCH($B35,Matches!$A$5:$A$12,0)))),"")</f>
        <v>0.6699</v>
      </c>
      <c r="R35" s="6" t="n">
        <f aca="false">IFERROR(N(INDEX(Matches!$P$5:$P$12,MATCH($B35,Matches!$A$5:$A$12,0))),0)</f>
        <v>1</v>
      </c>
      <c r="S35" s="12" t="n">
        <f aca="false">IF(OR($Q35="",$J35=""),"",$L35*($Q35*$J35+(1-$Q35)*$K35))</f>
        <v>0.750077114280642</v>
      </c>
      <c r="T35" s="6" t="n">
        <f aca="false">IF($S35="","",IF(LEFT($B35,4)="DOTA",Config!$B$7,Config!$B$6)*$S35+$L35^2*$Q35*(1-$Q35)*($J35-$K35)^2)</f>
        <v>1.03066547834462</v>
      </c>
      <c r="U35" s="7" t="n">
        <f aca="false">IFERROR(IF(INDEX(Matches!$O$5:$O$12,MATCH($B35,Matches!$A$5:$A$12,0))="","",IF($F35="A",INDEX(Matches!$O$5:$O$12,MATCH($B35,Matches!$A$5:$A$12,0)),1-INDEX(Matches!$O$5:$O$12,MATCH($B35,Matches!$A$5:$A$12,0)))),"")</f>
        <v>0.6154</v>
      </c>
      <c r="V35" s="6" t="n">
        <f aca="false">IFERROR(N(INDEX(Matches!$Q$5:$Q$12,MATCH($B35,Matches!$A$5:$A$12,0))),0)</f>
        <v>0.4114</v>
      </c>
      <c r="W35" s="12" t="n">
        <f aca="false">IF(OR($U35="",$J35=""),"",$L35*($U35*$J35+(1-$U35)*$K35))</f>
        <v>0.722757767651062</v>
      </c>
      <c r="X35" s="6" t="n">
        <f aca="false">IF($W35="","",IF(LEFT($B35,4)="DOTA",Config!$B$7,Config!$B$6)*$W35+$L35^2*$U35*(1-$U35)*($J35-$K35)^2)</f>
        <v>0.9990573499938</v>
      </c>
      <c r="Y35" s="12" t="n">
        <f aca="false">IF($O35="","",$O35)</f>
        <v>0.750077114280642</v>
      </c>
      <c r="Z35" s="6" t="n">
        <f aca="false">IF($P35="","",$P35)</f>
        <v>1.03066547834462</v>
      </c>
      <c r="AA35" s="12" t="n">
        <f aca="false">IF($O35="","",N($N35)*N($O35)+N($R35)*N($S35))</f>
        <v>1.50015422856128</v>
      </c>
      <c r="AB35" s="6" t="n">
        <f aca="false">IF($O35="","",(N($N35)*N($P35)+N($N35)*(1-N($N35))*N($O35)^2)+(N($R35)*N($T35)+N($R35)*(1-N($R35))*N($S35)^2))</f>
        <v>2.06133095668923</v>
      </c>
      <c r="AC35" s="12" t="n">
        <f aca="false">IF($O35="","",N($N35)*N($O35)+N($R35)*N($S35)+N($V35)*N($W35))</f>
        <v>1.79749677417293</v>
      </c>
      <c r="AD35" s="6" t="n">
        <f aca="false">IF($O35="","",(N($N35)*N($P35)+N($N35)*(1-N($N35))*N($O35)^2)+(N($R35)*N($T35)+N($R35)*(1-N($R35))*N($S35)^2)+(N($V35)*N($X35)+N($V35)*(1-N($V35))*N($W35)^2))</f>
        <v>2.59883719553983</v>
      </c>
      <c r="AE35" s="12" t="n">
        <f aca="false">IF($I35="","",$I35*$L35)</f>
        <v>0.7</v>
      </c>
      <c r="AF35" s="12" t="n">
        <f aca="false">IF($I35="","",$I35*$L35*(1+N($R35)))</f>
        <v>1.4</v>
      </c>
      <c r="AG35" s="12" t="n">
        <f aca="false">IF($I35="","",$I35*$L35*(1+N($R35)+N($V35)))</f>
        <v>1.68798</v>
      </c>
      <c r="AH35" s="0" t="str">
        <f aca="false">TRIM(IF($G35&lt;Config!$B$9,"thin sample ("&amp;$G35&amp;" maps) · ","")&amp;IF($I35="","no PickFinder stats · ","")&amp;IFERROR(IF(INDEX(Players!$T$2:$T$71,MATCH($E35,Players!$A$2:$A$71,0))&lt;0.5,"new roster: "&amp;TEXT(INDEX(Players!$T$2:$T$71,MATCH($E35,Players!$A$2:$A$71,0)),"0%")&amp;" of his recent games with these teammates",""),""))</f>
        <v>new roster: 0% of his recent games with these teammates</v>
      </c>
      <c r="AI35" s="0" t="str">
        <f aca="false">IF($B35=Board!$B$2,COUNTIFS($B$2:$B$71,Board!$B$2,$Y$2:$Y$71,"&gt;"&amp;$Y35)+COUNTIFS($B$1:$B34,Board!$B$2,$Y$1:$Y34,$Y35)+1,"")</f>
        <v/>
      </c>
      <c r="AJ35" s="0" t="str">
        <f aca="false">IFERROR(IF(INDEX(Matches!$D$5:$D$12,MATCH($B35,Matches!$A$5:$A$12,0))=3,"K12","K13"),"K13")</f>
        <v>K12</v>
      </c>
      <c r="AK35" s="12" t="n">
        <f aca="false">IF($AJ35="K12",$AA35,$AC35)</f>
        <v>1.50015422856128</v>
      </c>
    </row>
    <row r="36" customFormat="false" ht="15" hidden="false" customHeight="false" outlineLevel="0" collapsed="false">
      <c r="A36" s="0" t="s">
        <v>240</v>
      </c>
      <c r="B36" s="0" t="s">
        <v>110</v>
      </c>
      <c r="C36" s="0" t="s">
        <v>114</v>
      </c>
      <c r="D36" s="0" t="s">
        <v>239</v>
      </c>
      <c r="E36" s="0" t="s">
        <v>381</v>
      </c>
      <c r="F36" s="0" t="str">
        <f aca="false">IFERROR(IF($C36=INDEX(Matches!$S$5:$S$12,MATCH($B36,Matches!$A$5:$A$12,0)),"A",IF($C36=INDEX(Matches!$T$5:$T$12,MATCH($B36,Matches!$A$5:$A$12,0)),"B","")),"")</f>
        <v>A</v>
      </c>
      <c r="G36" s="0" t="n">
        <f aca="false">IFERROR(INDEX(Players!$E$2:$E$71,MATCH($E36,Players!$A$2:$A$71,0)),0)</f>
        <v>30</v>
      </c>
      <c r="H36" s="7" t="n">
        <f aca="false">IFERROR(INDEX(Players!$F$2:$F$71,MATCH($E36,Players!$A$2:$A$71,0)),"")</f>
        <v>0.57</v>
      </c>
      <c r="I36" s="6" t="n">
        <f aca="false">IFERROR(INDEX(Players!$G$2:$G$71,MATCH($E36,Players!$A$2:$A$71,0)),"")</f>
        <v>2.7</v>
      </c>
      <c r="J36" s="12" t="n">
        <f aca="false">IF(OR($I36="",$H36=""),"",$I36*IF(LEFT($B36,4)="DOTA",Config!$B$5,Config!$B$4)/($H36*IF(LEFT($B36,4)="DOTA",Config!$B$5,Config!$B$4)+1-$H36))</f>
        <v>3.5313961058176</v>
      </c>
      <c r="K36" s="12" t="n">
        <f aca="false">IF(OR($I36="",$H36=""),"",$I36/($H36*IF(LEFT($B36,4)="DOTA",Config!$B$5,Config!$B$4)+1-$H36))</f>
        <v>1.59791678996272</v>
      </c>
      <c r="L36" s="6" t="n">
        <f aca="false">IFERROR(INDEX(Matches!$R$5:$R$12,MATCH($B36,Matches!$A$5:$A$12,0)),1)</f>
        <v>1</v>
      </c>
      <c r="M36" s="7" t="n">
        <f aca="false">IFERROR(IF(INDEX(Matches!$M$5:$M$12,MATCH($B36,Matches!$A$5:$A$12,0))="","",IF($F36="A",INDEX(Matches!$M$5:$M$12,MATCH($B36,Matches!$A$5:$A$12,0)),1-INDEX(Matches!$M$5:$M$12,MATCH($B36,Matches!$A$5:$A$12,0)))),"")</f>
        <v>0.6699</v>
      </c>
      <c r="N36" s="6" t="n">
        <f aca="false">1</f>
        <v>1</v>
      </c>
      <c r="O36" s="12" t="n">
        <f aca="false">IF(OR($M36="",$J36=""),"",$L36*($M36*$J36+(1-$M36)*$K36))</f>
        <v>2.8931545836539</v>
      </c>
      <c r="P36" s="6" t="n">
        <f aca="false">IF($O36="","",IF(LEFT($B36,4)="DOTA",Config!$B$7,Config!$B$6)*$O36+$L36^2*$M36*(1-$M36)*($J36-$K36)^2)</f>
        <v>4.58777549975949</v>
      </c>
      <c r="Q36" s="7" t="n">
        <f aca="false">IFERROR(IF(INDEX(Matches!$N$5:$N$12,MATCH($B36,Matches!$A$5:$A$12,0))="","",IF($F36="A",INDEX(Matches!$N$5:$N$12,MATCH($B36,Matches!$A$5:$A$12,0)),1-INDEX(Matches!$N$5:$N$12,MATCH($B36,Matches!$A$5:$A$12,0)))),"")</f>
        <v>0.6699</v>
      </c>
      <c r="R36" s="6" t="n">
        <f aca="false">IFERROR(N(INDEX(Matches!$P$5:$P$12,MATCH($B36,Matches!$A$5:$A$12,0))),0)</f>
        <v>1</v>
      </c>
      <c r="S36" s="12" t="n">
        <f aca="false">IF(OR($Q36="",$J36=""),"",$L36*($Q36*$J36+(1-$Q36)*$K36))</f>
        <v>2.8931545836539</v>
      </c>
      <c r="T36" s="6" t="n">
        <f aca="false">IF($S36="","",IF(LEFT($B36,4)="DOTA",Config!$B$7,Config!$B$6)*$S36+$L36^2*$Q36*(1-$Q36)*($J36-$K36)^2)</f>
        <v>4.58777549975949</v>
      </c>
      <c r="U36" s="7" t="n">
        <f aca="false">IFERROR(IF(INDEX(Matches!$O$5:$O$12,MATCH($B36,Matches!$A$5:$A$12,0))="","",IF($F36="A",INDEX(Matches!$O$5:$O$12,MATCH($B36,Matches!$A$5:$A$12,0)),1-INDEX(Matches!$O$5:$O$12,MATCH($B36,Matches!$A$5:$A$12,0)))),"")</f>
        <v>0.6154</v>
      </c>
      <c r="V36" s="6" t="n">
        <f aca="false">IFERROR(N(INDEX(Matches!$Q$5:$Q$12,MATCH($B36,Matches!$A$5:$A$12,0))),0)</f>
        <v>0.4114</v>
      </c>
      <c r="W36" s="12" t="n">
        <f aca="false">IF(OR($U36="",$J36=""),"",$L36*($U36*$J36+(1-$U36)*$K36))</f>
        <v>2.78777996093981</v>
      </c>
      <c r="X36" s="6" t="n">
        <f aca="false">IF($W36="","",IF(LEFT($B36,4)="DOTA",Config!$B$7,Config!$B$6)*$W36+$L36^2*$U36*(1-$U36)*($J36-$K36)^2)</f>
        <v>4.50891541335581</v>
      </c>
      <c r="Y36" s="12" t="n">
        <f aca="false">IF($O36="","",$O36)</f>
        <v>2.8931545836539</v>
      </c>
      <c r="Z36" s="6" t="n">
        <f aca="false">IF($P36="","",$P36)</f>
        <v>4.58777549975949</v>
      </c>
      <c r="AA36" s="12" t="n">
        <f aca="false">IF($O36="","",N($N36)*N($O36)+N($R36)*N($S36))</f>
        <v>5.78630916730781</v>
      </c>
      <c r="AB36" s="6" t="n">
        <f aca="false">IF($O36="","",(N($N36)*N($P36)+N($N36)*(1-N($N36))*N($O36)^2)+(N($R36)*N($T36)+N($R36)*(1-N($R36))*N($S36)^2))</f>
        <v>9.17555099951898</v>
      </c>
      <c r="AC36" s="12" t="n">
        <f aca="false">IF($O36="","",N($N36)*N($O36)+N($R36)*N($S36)+N($V36)*N($W36))</f>
        <v>6.93320184323845</v>
      </c>
      <c r="AD36" s="6" t="n">
        <f aca="false">IF($O36="","",(N($N36)*N($P36)+N($N36)*(1-N($N36))*N($O36)^2)+(N($R36)*N($T36)+N($R36)*(1-N($R36))*N($S36)^2)+(N($V36)*N($X36)+N($V36)*(1-N($V36))*N($W36)^2))</f>
        <v>12.9124404097783</v>
      </c>
      <c r="AE36" s="12" t="n">
        <f aca="false">IF($I36="","",$I36*$L36)</f>
        <v>2.7</v>
      </c>
      <c r="AF36" s="12" t="n">
        <f aca="false">IF($I36="","",$I36*$L36*(1+N($R36)))</f>
        <v>5.4</v>
      </c>
      <c r="AG36" s="12" t="n">
        <f aca="false">IF($I36="","",$I36*$L36*(1+N($R36)+N($V36)))</f>
        <v>6.51078</v>
      </c>
      <c r="AH36" s="0" t="str">
        <f aca="false">TRIM(IF($G36&lt;Config!$B$9,"thin sample ("&amp;$G36&amp;" maps) · ","")&amp;IF($I36="","no PickFinder stats · ","")&amp;IFERROR(IF(INDEX(Players!$T$2:$T$71,MATCH($E36,Players!$A$2:$A$71,0))&lt;0.5,"new roster: "&amp;TEXT(INDEX(Players!$T$2:$T$71,MATCH($E36,Players!$A$2:$A$71,0)),"0%")&amp;" of his recent games with these teammates",""),""))</f>
        <v>new roster: 0% of his recent games with these teammates</v>
      </c>
      <c r="AI36" s="0" t="str">
        <f aca="false">IF($B36=Board!$B$2,COUNTIFS($B$2:$B$71,Board!$B$2,$Y$2:$Y$71,"&gt;"&amp;$Y36)+COUNTIFS($B$1:$B35,Board!$B$2,$Y$1:$Y35,$Y36)+1,"")</f>
        <v/>
      </c>
      <c r="AJ36" s="0" t="str">
        <f aca="false">IFERROR(IF(INDEX(Matches!$D$5:$D$12,MATCH($B36,Matches!$A$5:$A$12,0))=3,"K12","K13"),"K13")</f>
        <v>K12</v>
      </c>
      <c r="AK36" s="12" t="n">
        <f aca="false">IF($AJ36="K12",$AA36,$AC36)</f>
        <v>5.78630916730781</v>
      </c>
    </row>
    <row r="37" customFormat="false" ht="15" hidden="false" customHeight="false" outlineLevel="0" collapsed="false">
      <c r="A37" s="0" t="s">
        <v>242</v>
      </c>
      <c r="B37" s="0" t="s">
        <v>110</v>
      </c>
      <c r="C37" s="0" t="s">
        <v>114</v>
      </c>
      <c r="D37" s="0" t="s">
        <v>241</v>
      </c>
      <c r="E37" s="0" t="s">
        <v>382</v>
      </c>
      <c r="F37" s="0" t="str">
        <f aca="false">IFERROR(IF($C37=INDEX(Matches!$S$5:$S$12,MATCH($B37,Matches!$A$5:$A$12,0)),"A",IF($C37=INDEX(Matches!$T$5:$T$12,MATCH($B37,Matches!$A$5:$A$12,0)),"B","")),"")</f>
        <v>A</v>
      </c>
      <c r="G37" s="0" t="n">
        <f aca="false">IFERROR(INDEX(Players!$E$2:$E$71,MATCH($E37,Players!$A$2:$A$71,0)),0)</f>
        <v>30</v>
      </c>
      <c r="H37" s="7" t="n">
        <f aca="false">IFERROR(INDEX(Players!$F$2:$F$71,MATCH($E37,Players!$A$2:$A$71,0)),"")</f>
        <v>0.57</v>
      </c>
      <c r="I37" s="6" t="n">
        <f aca="false">IFERROR(INDEX(Players!$G$2:$G$71,MATCH($E37,Players!$A$2:$A$71,0)),"")</f>
        <v>3.7</v>
      </c>
      <c r="J37" s="12" t="n">
        <f aca="false">IF(OR($I37="",$H37=""),"",$I37*IF(LEFT($B37,4)="DOTA",Config!$B$5,Config!$B$4)/($H37*IF(LEFT($B37,4)="DOTA",Config!$B$5,Config!$B$4)+1-$H37))</f>
        <v>4.83932058945375</v>
      </c>
      <c r="K37" s="12" t="n">
        <f aca="false">IF(OR($I37="",$H37=""),"",$I37/($H37*IF(LEFT($B37,4)="DOTA",Config!$B$5,Config!$B$4)+1-$H37))</f>
        <v>2.18973782328224</v>
      </c>
      <c r="L37" s="6" t="n">
        <f aca="false">IFERROR(INDEX(Matches!$R$5:$R$12,MATCH($B37,Matches!$A$5:$A$12,0)),1)</f>
        <v>1</v>
      </c>
      <c r="M37" s="7" t="n">
        <f aca="false">IFERROR(IF(INDEX(Matches!$M$5:$M$12,MATCH($B37,Matches!$A$5:$A$12,0))="","",IF($F37="A",INDEX(Matches!$M$5:$M$12,MATCH($B37,Matches!$A$5:$A$12,0)),1-INDEX(Matches!$M$5:$M$12,MATCH($B37,Matches!$A$5:$A$12,0)))),"")</f>
        <v>0.6699</v>
      </c>
      <c r="N37" s="6" t="n">
        <f aca="false">1</f>
        <v>1</v>
      </c>
      <c r="O37" s="12" t="n">
        <f aca="false">IF(OR($M37="",$J37=""),"",$L37*($M37*$J37+(1-$M37)*$K37))</f>
        <v>3.96469331834054</v>
      </c>
      <c r="P37" s="6" t="n">
        <f aca="false">IF($O37="","",IF(LEFT($B37,4)="DOTA",Config!$B$7,Config!$B$6)*$O37+$L37^2*$M37*(1-$M37)*($J37-$K37)^2)</f>
        <v>6.70652579483294</v>
      </c>
      <c r="Q37" s="7" t="n">
        <f aca="false">IFERROR(IF(INDEX(Matches!$N$5:$N$12,MATCH($B37,Matches!$A$5:$A$12,0))="","",IF($F37="A",INDEX(Matches!$N$5:$N$12,MATCH($B37,Matches!$A$5:$A$12,0)),1-INDEX(Matches!$N$5:$N$12,MATCH($B37,Matches!$A$5:$A$12,0)))),"")</f>
        <v>0.6699</v>
      </c>
      <c r="R37" s="6" t="n">
        <f aca="false">IFERROR(N(INDEX(Matches!$P$5:$P$12,MATCH($B37,Matches!$A$5:$A$12,0))),0)</f>
        <v>1</v>
      </c>
      <c r="S37" s="12" t="n">
        <f aca="false">IF(OR($Q37="",$J37=""),"",$L37*($Q37*$J37+(1-$Q37)*$K37))</f>
        <v>3.96469331834054</v>
      </c>
      <c r="T37" s="6" t="n">
        <f aca="false">IF($S37="","",IF(LEFT($B37,4)="DOTA",Config!$B$7,Config!$B$6)*$S37+$L37^2*$Q37*(1-$Q37)*($J37-$K37)^2)</f>
        <v>6.70652579483294</v>
      </c>
      <c r="U37" s="7" t="n">
        <f aca="false">IFERROR(IF(INDEX(Matches!$O$5:$O$12,MATCH($B37,Matches!$A$5:$A$12,0))="","",IF($F37="A",INDEX(Matches!$O$5:$O$12,MATCH($B37,Matches!$A$5:$A$12,0)),1-INDEX(Matches!$O$5:$O$12,MATCH($B37,Matches!$A$5:$A$12,0)))),"")</f>
        <v>0.6154</v>
      </c>
      <c r="V37" s="6" t="n">
        <f aca="false">IFERROR(N(INDEX(Matches!$Q$5:$Q$12,MATCH($B37,Matches!$A$5:$A$12,0))),0)</f>
        <v>0.4114</v>
      </c>
      <c r="W37" s="12" t="n">
        <f aca="false">IF(OR($U37="",$J37=""),"",$L37*($U37*$J37+(1-$U37)*$K37))</f>
        <v>3.82029105758419</v>
      </c>
      <c r="X37" s="6" t="n">
        <f aca="false">IF($W37="","",IF(LEFT($B37,4)="DOTA",Config!$B$7,Config!$B$6)*$W37+$L37^2*$U37*(1-$U37)*($J37-$K37)^2)</f>
        <v>6.62796027389856</v>
      </c>
      <c r="Y37" s="12" t="n">
        <f aca="false">IF($O37="","",$O37)</f>
        <v>3.96469331834054</v>
      </c>
      <c r="Z37" s="6" t="n">
        <f aca="false">IF($P37="","",$P37)</f>
        <v>6.70652579483294</v>
      </c>
      <c r="AA37" s="12" t="n">
        <f aca="false">IF($O37="","",N($N37)*N($O37)+N($R37)*N($S37))</f>
        <v>7.92938663668107</v>
      </c>
      <c r="AB37" s="6" t="n">
        <f aca="false">IF($O37="","",(N($N37)*N($P37)+N($N37)*(1-N($N37))*N($O37)^2)+(N($R37)*N($T37)+N($R37)*(1-N($R37))*N($S37)^2))</f>
        <v>13.4130515896659</v>
      </c>
      <c r="AC37" s="12" t="n">
        <f aca="false">IF($O37="","",N($N37)*N($O37)+N($R37)*N($S37)+N($V37)*N($W37))</f>
        <v>9.5010543777712</v>
      </c>
      <c r="AD37" s="6" t="n">
        <f aca="false">IF($O37="","",(N($N37)*N($P37)+N($N37)*(1-N($N37))*N($O37)^2)+(N($R37)*N($T37)+N($R37)*(1-N($R37))*N($S37)^2)+(N($V37)*N($X37)+N($V37)*(1-N($V37))*N($W37)^2))</f>
        <v>19.6738831747446</v>
      </c>
      <c r="AE37" s="12" t="n">
        <f aca="false">IF($I37="","",$I37*$L37)</f>
        <v>3.7</v>
      </c>
      <c r="AF37" s="12" t="n">
        <f aca="false">IF($I37="","",$I37*$L37*(1+N($R37)))</f>
        <v>7.4</v>
      </c>
      <c r="AG37" s="12" t="n">
        <f aca="false">IF($I37="","",$I37*$L37*(1+N($R37)+N($V37)))</f>
        <v>8.92218</v>
      </c>
      <c r="AH37" s="0" t="str">
        <f aca="false">TRIM(IF($G37&lt;Config!$B$9,"thin sample ("&amp;$G37&amp;" maps) · ","")&amp;IF($I37="","no PickFinder stats · ","")&amp;IFERROR(IF(INDEX(Players!$T$2:$T$71,MATCH($E37,Players!$A$2:$A$71,0))&lt;0.5,"new roster: "&amp;TEXT(INDEX(Players!$T$2:$T$71,MATCH($E37,Players!$A$2:$A$71,0)),"0%")&amp;" of his recent games with these teammates",""),""))</f>
        <v>new roster: 0% of his recent games with these teammates</v>
      </c>
      <c r="AI37" s="0" t="str">
        <f aca="false">IF($B37=Board!$B$2,COUNTIFS($B$2:$B$71,Board!$B$2,$Y$2:$Y$71,"&gt;"&amp;$Y37)+COUNTIFS($B$1:$B36,Board!$B$2,$Y$1:$Y36,$Y37)+1,"")</f>
        <v/>
      </c>
      <c r="AJ37" s="0" t="str">
        <f aca="false">IFERROR(IF(INDEX(Matches!$D$5:$D$12,MATCH($B37,Matches!$A$5:$A$12,0))=3,"K12","K13"),"K13")</f>
        <v>K12</v>
      </c>
      <c r="AK37" s="12" t="n">
        <f aca="false">IF($AJ37="K12",$AA37,$AC37)</f>
        <v>7.92938663668107</v>
      </c>
    </row>
    <row r="38" customFormat="false" ht="15" hidden="false" customHeight="false" outlineLevel="0" collapsed="false">
      <c r="A38" s="0" t="s">
        <v>244</v>
      </c>
      <c r="B38" s="0" t="s">
        <v>110</v>
      </c>
      <c r="C38" s="0" t="s">
        <v>114</v>
      </c>
      <c r="D38" s="0" t="s">
        <v>243</v>
      </c>
      <c r="E38" s="0" t="s">
        <v>383</v>
      </c>
      <c r="F38" s="0" t="str">
        <f aca="false">IFERROR(IF($C38=INDEX(Matches!$S$5:$S$12,MATCH($B38,Matches!$A$5:$A$12,0)),"A",IF($C38=INDEX(Matches!$T$5:$T$12,MATCH($B38,Matches!$A$5:$A$12,0)),"B","")),"")</f>
        <v>A</v>
      </c>
      <c r="G38" s="0" t="n">
        <f aca="false">IFERROR(INDEX(Players!$E$2:$E$71,MATCH($E38,Players!$A$2:$A$71,0)),0)</f>
        <v>30</v>
      </c>
      <c r="H38" s="7" t="n">
        <f aca="false">IFERROR(INDEX(Players!$F$2:$F$71,MATCH($E38,Players!$A$2:$A$71,0)),"")</f>
        <v>0.53</v>
      </c>
      <c r="I38" s="6" t="n">
        <f aca="false">IFERROR(INDEX(Players!$G$2:$G$71,MATCH($E38,Players!$A$2:$A$71,0)),"")</f>
        <v>2.3</v>
      </c>
      <c r="J38" s="12" t="n">
        <f aca="false">IF(OR($I38="",$H38=""),"",$I38*IF(LEFT($B38,4)="DOTA",Config!$B$5,Config!$B$4)/($H38*IF(LEFT($B38,4)="DOTA",Config!$B$5,Config!$B$4)+1-$H38))</f>
        <v>3.09693535612015</v>
      </c>
      <c r="K38" s="12" t="n">
        <f aca="false">IF(OR($I38="",$H38=""),"",$I38/($H38*IF(LEFT($B38,4)="DOTA",Config!$B$5,Config!$B$4)+1-$H38))</f>
        <v>1.40132821543898</v>
      </c>
      <c r="L38" s="6" t="n">
        <f aca="false">IFERROR(INDEX(Matches!$R$5:$R$12,MATCH($B38,Matches!$A$5:$A$12,0)),1)</f>
        <v>1</v>
      </c>
      <c r="M38" s="7" t="n">
        <f aca="false">IFERROR(IF(INDEX(Matches!$M$5:$M$12,MATCH($B38,Matches!$A$5:$A$12,0))="","",IF($F38="A",INDEX(Matches!$M$5:$M$12,MATCH($B38,Matches!$A$5:$A$12,0)),1-INDEX(Matches!$M$5:$M$12,MATCH($B38,Matches!$A$5:$A$12,0)))),"")</f>
        <v>0.6699</v>
      </c>
      <c r="N38" s="6" t="n">
        <f aca="false">1</f>
        <v>1</v>
      </c>
      <c r="O38" s="12" t="n">
        <f aca="false">IF(OR($M38="",$J38=""),"",$L38*($M38*$J38+(1-$M38)*$K38))</f>
        <v>2.5372154389813</v>
      </c>
      <c r="P38" s="6" t="n">
        <f aca="false">IF($O38="","",IF(LEFT($B38,4)="DOTA",Config!$B$7,Config!$B$6)*$O38+$L38^2*$M38*(1-$M38)*($J38-$K38)^2)</f>
        <v>3.93415877331587</v>
      </c>
      <c r="Q38" s="7" t="n">
        <f aca="false">IFERROR(IF(INDEX(Matches!$N$5:$N$12,MATCH($B38,Matches!$A$5:$A$12,0))="","",IF($F38="A",INDEX(Matches!$N$5:$N$12,MATCH($B38,Matches!$A$5:$A$12,0)),1-INDEX(Matches!$N$5:$N$12,MATCH($B38,Matches!$A$5:$A$12,0)))),"")</f>
        <v>0.6699</v>
      </c>
      <c r="R38" s="6" t="n">
        <f aca="false">IFERROR(N(INDEX(Matches!$P$5:$P$12,MATCH($B38,Matches!$A$5:$A$12,0))),0)</f>
        <v>1</v>
      </c>
      <c r="S38" s="12" t="n">
        <f aca="false">IF(OR($Q38="",$J38=""),"",$L38*($Q38*$J38+(1-$Q38)*$K38))</f>
        <v>2.5372154389813</v>
      </c>
      <c r="T38" s="6" t="n">
        <f aca="false">IF($S38="","",IF(LEFT($B38,4)="DOTA",Config!$B$7,Config!$B$6)*$S38+$L38^2*$Q38*(1-$Q38)*($J38-$K38)^2)</f>
        <v>3.93415877331587</v>
      </c>
      <c r="U38" s="7" t="n">
        <f aca="false">IFERROR(IF(INDEX(Matches!$O$5:$O$12,MATCH($B38,Matches!$A$5:$A$12,0))="","",IF($F38="A",INDEX(Matches!$O$5:$O$12,MATCH($B38,Matches!$A$5:$A$12,0)),1-INDEX(Matches!$O$5:$O$12,MATCH($B38,Matches!$A$5:$A$12,0)))),"")</f>
        <v>0.6154</v>
      </c>
      <c r="V38" s="6" t="n">
        <f aca="false">IFERROR(N(INDEX(Matches!$Q$5:$Q$12,MATCH($B38,Matches!$A$5:$A$12,0))),0)</f>
        <v>0.4114</v>
      </c>
      <c r="W38" s="12" t="n">
        <f aca="false">IF(OR($U38="",$J38=""),"",$L38*($U38*$J38+(1-$U38)*$K38))</f>
        <v>2.44480484981417</v>
      </c>
      <c r="X38" s="6" t="n">
        <f aca="false">IF($W38="","",IF(LEFT($B38,4)="DOTA",Config!$B$7,Config!$B$6)*$W38+$L38^2*$U38*(1-$U38)*($J38-$K38)^2)</f>
        <v>3.85872925065197</v>
      </c>
      <c r="Y38" s="12" t="n">
        <f aca="false">IF($O38="","",$O38)</f>
        <v>2.5372154389813</v>
      </c>
      <c r="Z38" s="6" t="n">
        <f aca="false">IF($P38="","",$P38)</f>
        <v>3.93415877331587</v>
      </c>
      <c r="AA38" s="12" t="n">
        <f aca="false">IF($O38="","",N($N38)*N($O38)+N($R38)*N($S38))</f>
        <v>5.07443087796259</v>
      </c>
      <c r="AB38" s="6" t="n">
        <f aca="false">IF($O38="","",(N($N38)*N($P38)+N($N38)*(1-N($N38))*N($O38)^2)+(N($R38)*N($T38)+N($R38)*(1-N($R38))*N($S38)^2))</f>
        <v>7.86831754663174</v>
      </c>
      <c r="AC38" s="12" t="n">
        <f aca="false">IF($O38="","",N($N38)*N($O38)+N($R38)*N($S38)+N($V38)*N($W38))</f>
        <v>6.08022359317614</v>
      </c>
      <c r="AD38" s="6" t="n">
        <f aca="false">IF($O38="","",(N($N38)*N($P38)+N($N38)*(1-N($N38))*N($O38)^2)+(N($R38)*N($T38)+N($R38)*(1-N($R38))*N($S38)^2)+(N($V38)*N($X38)+N($V38)*(1-N($V38))*N($W38)^2))</f>
        <v>10.9031466824352</v>
      </c>
      <c r="AE38" s="12" t="n">
        <f aca="false">IF($I38="","",$I38*$L38)</f>
        <v>2.3</v>
      </c>
      <c r="AF38" s="12" t="n">
        <f aca="false">IF($I38="","",$I38*$L38*(1+N($R38)))</f>
        <v>4.6</v>
      </c>
      <c r="AG38" s="12" t="n">
        <f aca="false">IF($I38="","",$I38*$L38*(1+N($R38)+N($V38)))</f>
        <v>5.54622</v>
      </c>
      <c r="AH38" s="0" t="str">
        <f aca="false">TRIM(IF($G38&lt;Config!$B$9,"thin sample ("&amp;$G38&amp;" maps) · ","")&amp;IF($I38="","no PickFinder stats · ","")&amp;IFERROR(IF(INDEX(Players!$T$2:$T$71,MATCH($E38,Players!$A$2:$A$71,0))&lt;0.5,"new roster: "&amp;TEXT(INDEX(Players!$T$2:$T$71,MATCH($E38,Players!$A$2:$A$71,0)),"0%")&amp;" of his recent games with these teammates",""),""))</f>
        <v>new roster: 0% of his recent games with these teammates</v>
      </c>
      <c r="AI38" s="0" t="str">
        <f aca="false">IF($B38=Board!$B$2,COUNTIFS($B$2:$B$71,Board!$B$2,$Y$2:$Y$71,"&gt;"&amp;$Y38)+COUNTIFS($B$1:$B37,Board!$B$2,$Y$1:$Y37,$Y38)+1,"")</f>
        <v/>
      </c>
      <c r="AJ38" s="0" t="str">
        <f aca="false">IFERROR(IF(INDEX(Matches!$D$5:$D$12,MATCH($B38,Matches!$A$5:$A$12,0))=3,"K12","K13"),"K13")</f>
        <v>K12</v>
      </c>
      <c r="AK38" s="12" t="n">
        <f aca="false">IF($AJ38="K12",$AA38,$AC38)</f>
        <v>5.07443087796259</v>
      </c>
    </row>
    <row r="39" customFormat="false" ht="15" hidden="false" customHeight="false" outlineLevel="0" collapsed="false">
      <c r="A39" s="0" t="s">
        <v>246</v>
      </c>
      <c r="B39" s="0" t="s">
        <v>110</v>
      </c>
      <c r="C39" s="0" t="s">
        <v>114</v>
      </c>
      <c r="D39" s="0" t="s">
        <v>245</v>
      </c>
      <c r="E39" s="0" t="s">
        <v>384</v>
      </c>
      <c r="F39" s="0" t="str">
        <f aca="false">IFERROR(IF($C39=INDEX(Matches!$S$5:$S$12,MATCH($B39,Matches!$A$5:$A$12,0)),"A",IF($C39=INDEX(Matches!$T$5:$T$12,MATCH($B39,Matches!$A$5:$A$12,0)),"B","")),"")</f>
        <v>A</v>
      </c>
      <c r="G39" s="0" t="n">
        <f aca="false">IFERROR(INDEX(Players!$E$2:$E$71,MATCH($E39,Players!$A$2:$A$71,0)),0)</f>
        <v>30</v>
      </c>
      <c r="H39" s="7" t="n">
        <f aca="false">IFERROR(INDEX(Players!$F$2:$F$71,MATCH($E39,Players!$A$2:$A$71,0)),"")</f>
        <v>0.53</v>
      </c>
      <c r="I39" s="6" t="n">
        <f aca="false">IFERROR(INDEX(Players!$G$2:$G$71,MATCH($E39,Players!$A$2:$A$71,0)),"")</f>
        <v>4.5</v>
      </c>
      <c r="J39" s="12" t="n">
        <f aca="false">IF(OR($I39="",$H39=""),"",$I39*IF(LEFT($B39,4)="DOTA",Config!$B$5,Config!$B$4)/($H39*IF(LEFT($B39,4)="DOTA",Config!$B$5,Config!$B$4)+1-$H39))</f>
        <v>6.05922134893073</v>
      </c>
      <c r="K39" s="12" t="n">
        <f aca="false">IF(OR($I39="",$H39=""),"",$I39/($H39*IF(LEFT($B39,4)="DOTA",Config!$B$5,Config!$B$4)+1-$H39))</f>
        <v>2.74172911716322</v>
      </c>
      <c r="L39" s="6" t="n">
        <f aca="false">IFERROR(INDEX(Matches!$R$5:$R$12,MATCH($B39,Matches!$A$5:$A$12,0)),1)</f>
        <v>1</v>
      </c>
      <c r="M39" s="7" t="n">
        <f aca="false">IFERROR(IF(INDEX(Matches!$M$5:$M$12,MATCH($B39,Matches!$A$5:$A$12,0))="","",IF($F39="A",INDEX(Matches!$M$5:$M$12,MATCH($B39,Matches!$A$5:$A$12,0)),1-INDEX(Matches!$M$5:$M$12,MATCH($B39,Matches!$A$5:$A$12,0)))),"")</f>
        <v>0.6699</v>
      </c>
      <c r="N39" s="6" t="n">
        <f aca="false">1</f>
        <v>1</v>
      </c>
      <c r="O39" s="12" t="n">
        <f aca="false">IF(OR($M39="",$J39=""),"",$L39*($M39*$J39+(1-$M39)*$K39))</f>
        <v>4.96411716322427</v>
      </c>
      <c r="P39" s="6" t="n">
        <f aca="false">IF($O39="","",IF(LEFT($B39,4)="DOTA",Config!$B$7,Config!$B$6)*$O39+$L39^2*$M39*(1-$M39)*($J39-$K39)^2)</f>
        <v>8.887098763697</v>
      </c>
      <c r="Q39" s="7" t="n">
        <f aca="false">IFERROR(IF(INDEX(Matches!$N$5:$N$12,MATCH($B39,Matches!$A$5:$A$12,0))="","",IF($F39="A",INDEX(Matches!$N$5:$N$12,MATCH($B39,Matches!$A$5:$A$12,0)),1-INDEX(Matches!$N$5:$N$12,MATCH($B39,Matches!$A$5:$A$12,0)))),"")</f>
        <v>0.6699</v>
      </c>
      <c r="R39" s="6" t="n">
        <f aca="false">IFERROR(N(INDEX(Matches!$P$5:$P$12,MATCH($B39,Matches!$A$5:$A$12,0))),0)</f>
        <v>1</v>
      </c>
      <c r="S39" s="12" t="n">
        <f aca="false">IF(OR($Q39="",$J39=""),"",$L39*($Q39*$J39+(1-$Q39)*$K39))</f>
        <v>4.96411716322427</v>
      </c>
      <c r="T39" s="6" t="n">
        <f aca="false">IF($S39="","",IF(LEFT($B39,4)="DOTA",Config!$B$7,Config!$B$6)*$S39+$L39^2*$Q39*(1-$Q39)*($J39-$K39)^2)</f>
        <v>8.887098763697</v>
      </c>
      <c r="U39" s="7" t="n">
        <f aca="false">IFERROR(IF(INDEX(Matches!$O$5:$O$12,MATCH($B39,Matches!$A$5:$A$12,0))="","",IF($F39="A",INDEX(Matches!$O$5:$O$12,MATCH($B39,Matches!$A$5:$A$12,0)),1-INDEX(Matches!$O$5:$O$12,MATCH($B39,Matches!$A$5:$A$12,0)))),"")</f>
        <v>0.6154</v>
      </c>
      <c r="V39" s="6" t="n">
        <f aca="false">IFERROR(N(INDEX(Matches!$Q$5:$Q$12,MATCH($B39,Matches!$A$5:$A$12,0))),0)</f>
        <v>0.4114</v>
      </c>
      <c r="W39" s="12" t="n">
        <f aca="false">IF(OR($U39="",$J39=""),"",$L39*($U39*$J39+(1-$U39)*$K39))</f>
        <v>4.78331383659295</v>
      </c>
      <c r="X39" s="6" t="n">
        <f aca="false">IF($W39="","",IF(LEFT($B39,4)="DOTA",Config!$B$7,Config!$B$6)*$W39+$L39^2*$U39*(1-$U39)*($J39-$K39)^2)</f>
        <v>8.82318126816523</v>
      </c>
      <c r="Y39" s="12" t="n">
        <f aca="false">IF($O39="","",$O39)</f>
        <v>4.96411716322427</v>
      </c>
      <c r="Z39" s="6" t="n">
        <f aca="false">IF($P39="","",$P39)</f>
        <v>8.887098763697</v>
      </c>
      <c r="AA39" s="12" t="n">
        <f aca="false">IF($O39="","",N($N39)*N($O39)+N($R39)*N($S39))</f>
        <v>9.92823432644855</v>
      </c>
      <c r="AB39" s="6" t="n">
        <f aca="false">IF($O39="","",(N($N39)*N($P39)+N($N39)*(1-N($N39))*N($O39)^2)+(N($R39)*N($T39)+N($R39)*(1-N($R39))*N($S39)^2))</f>
        <v>17.774197527394</v>
      </c>
      <c r="AC39" s="12" t="n">
        <f aca="false">IF($O39="","",N($N39)*N($O39)+N($R39)*N($S39)+N($V39)*N($W39))</f>
        <v>11.8960896388229</v>
      </c>
      <c r="AD39" s="6" t="n">
        <f aca="false">IF($O39="","",(N($N39)*N($P39)+N($N39)*(1-N($N39))*N($O39)^2)+(N($R39)*N($T39)+N($R39)*(1-N($R39))*N($S39)^2)+(N($V39)*N($X39)+N($V39)*(1-N($V39))*N($W39)^2))</f>
        <v>26.9444693147704</v>
      </c>
      <c r="AE39" s="12" t="n">
        <f aca="false">IF($I39="","",$I39*$L39)</f>
        <v>4.5</v>
      </c>
      <c r="AF39" s="12" t="n">
        <f aca="false">IF($I39="","",$I39*$L39*(1+N($R39)))</f>
        <v>9</v>
      </c>
      <c r="AG39" s="12" t="n">
        <f aca="false">IF($I39="","",$I39*$L39*(1+N($R39)+N($V39)))</f>
        <v>10.8513</v>
      </c>
      <c r="AH39" s="0" t="str">
        <f aca="false">TRIM(IF($G39&lt;Config!$B$9,"thin sample ("&amp;$G39&amp;" maps) · ","")&amp;IF($I39="","no PickFinder stats · ","")&amp;IFERROR(IF(INDEX(Players!$T$2:$T$71,MATCH($E39,Players!$A$2:$A$71,0))&lt;0.5,"new roster: "&amp;TEXT(INDEX(Players!$T$2:$T$71,MATCH($E39,Players!$A$2:$A$71,0)),"0%")&amp;" of his recent games with these teammates",""),""))</f>
        <v>new roster: 0% of his recent games with these teammates</v>
      </c>
      <c r="AI39" s="0" t="str">
        <f aca="false">IF($B39=Board!$B$2,COUNTIFS($B$2:$B$71,Board!$B$2,$Y$2:$Y$71,"&gt;"&amp;$Y39)+COUNTIFS($B$1:$B38,Board!$B$2,$Y$1:$Y38,$Y39)+1,"")</f>
        <v/>
      </c>
      <c r="AJ39" s="0" t="str">
        <f aca="false">IFERROR(IF(INDEX(Matches!$D$5:$D$12,MATCH($B39,Matches!$A$5:$A$12,0))=3,"K12","K13"),"K13")</f>
        <v>K12</v>
      </c>
      <c r="AK39" s="12" t="n">
        <f aca="false">IF($AJ39="K12",$AA39,$AC39)</f>
        <v>9.92823432644855</v>
      </c>
    </row>
    <row r="40" customFormat="false" ht="15" hidden="false" customHeight="false" outlineLevel="0" collapsed="false">
      <c r="A40" s="0" t="s">
        <v>248</v>
      </c>
      <c r="B40" s="0" t="s">
        <v>110</v>
      </c>
      <c r="C40" s="0" t="s">
        <v>115</v>
      </c>
      <c r="D40" s="0" t="s">
        <v>247</v>
      </c>
      <c r="E40" s="0" t="s">
        <v>385</v>
      </c>
      <c r="F40" s="0" t="str">
        <f aca="false">IFERROR(IF($C40=INDEX(Matches!$S$5:$S$12,MATCH($B40,Matches!$A$5:$A$12,0)),"A",IF($C40=INDEX(Matches!$T$5:$T$12,MATCH($B40,Matches!$A$5:$A$12,0)),"B","")),"")</f>
        <v>B</v>
      </c>
      <c r="G40" s="0" t="n">
        <f aca="false">IFERROR(INDEX(Players!$E$2:$E$71,MATCH($E40,Players!$A$2:$A$71,0)),0)</f>
        <v>30</v>
      </c>
      <c r="H40" s="7" t="n">
        <f aca="false">IFERROR(INDEX(Players!$F$2:$F$71,MATCH($E40,Players!$A$2:$A$71,0)),"")</f>
        <v>0.63</v>
      </c>
      <c r="I40" s="6" t="n">
        <f aca="false">IFERROR(INDEX(Players!$G$2:$G$71,MATCH($E40,Players!$A$2:$A$71,0)),"")</f>
        <v>3</v>
      </c>
      <c r="J40" s="12" t="n">
        <f aca="false">IF(OR($I40="",$H40=""),"",$I40*IF(LEFT($B40,4)="DOTA",Config!$B$5,Config!$B$4)/($H40*IF(LEFT($B40,4)="DOTA",Config!$B$5,Config!$B$4)+1-$H40))</f>
        <v>3.76212903591897</v>
      </c>
      <c r="K40" s="12" t="n">
        <f aca="false">IF(OR($I40="",$H40=""),"",$I40/($H40*IF(LEFT($B40,4)="DOTA",Config!$B$5,Config!$B$4)+1-$H40))</f>
        <v>1.70232083073257</v>
      </c>
      <c r="L40" s="6" t="n">
        <f aca="false">IFERROR(INDEX(Matches!$R$5:$R$12,MATCH($B40,Matches!$A$5:$A$12,0)),1)</f>
        <v>1</v>
      </c>
      <c r="M40" s="7" t="n">
        <f aca="false">IFERROR(IF(INDEX(Matches!$M$5:$M$12,MATCH($B40,Matches!$A$5:$A$12,0))="","",IF($F40="A",INDEX(Matches!$M$5:$M$12,MATCH($B40,Matches!$A$5:$A$12,0)),1-INDEX(Matches!$M$5:$M$12,MATCH($B40,Matches!$A$5:$A$12,0)))),"")</f>
        <v>0.3301</v>
      </c>
      <c r="N40" s="6" t="n">
        <f aca="false">1</f>
        <v>1</v>
      </c>
      <c r="O40" s="12" t="n">
        <f aca="false">IF(OR($M40="",$J40=""),"",$L40*($M40*$J40+(1-$M40)*$K40))</f>
        <v>2.3822635192646</v>
      </c>
      <c r="P40" s="6" t="n">
        <f aca="false">IF($O40="","",IF(LEFT($B40,4)="DOTA",Config!$B$7,Config!$B$6)*$O40+$L40^2*$M40*(1-$M40)*($J40-$K40)^2)</f>
        <v>4.03517204425059</v>
      </c>
      <c r="Q40" s="7" t="n">
        <f aca="false">IFERROR(IF(INDEX(Matches!$N$5:$N$12,MATCH($B40,Matches!$A$5:$A$12,0))="","",IF($F40="A",INDEX(Matches!$N$5:$N$12,MATCH($B40,Matches!$A$5:$A$12,0)),1-INDEX(Matches!$N$5:$N$12,MATCH($B40,Matches!$A$5:$A$12,0)))),"")</f>
        <v>0.3301</v>
      </c>
      <c r="R40" s="6" t="n">
        <f aca="false">IFERROR(N(INDEX(Matches!$P$5:$P$12,MATCH($B40,Matches!$A$5:$A$12,0))),0)</f>
        <v>1</v>
      </c>
      <c r="S40" s="12" t="n">
        <f aca="false">IF(OR($Q40="",$J40=""),"",$L40*($Q40*$J40+(1-$Q40)*$K40))</f>
        <v>2.3822635192646</v>
      </c>
      <c r="T40" s="6" t="n">
        <f aca="false">IF($S40="","",IF(LEFT($B40,4)="DOTA",Config!$B$7,Config!$B$6)*$S40+$L40^2*$Q40*(1-$Q40)*($J40-$K40)^2)</f>
        <v>4.03517204425059</v>
      </c>
      <c r="U40" s="7" t="n">
        <f aca="false">IFERROR(IF(INDEX(Matches!$O$5:$O$12,MATCH($B40,Matches!$A$5:$A$12,0))="","",IF($F40="A",INDEX(Matches!$O$5:$O$12,MATCH($B40,Matches!$A$5:$A$12,0)),1-INDEX(Matches!$O$5:$O$12,MATCH($B40,Matches!$A$5:$A$12,0)))),"")</f>
        <v>0.3846</v>
      </c>
      <c r="V40" s="6" t="n">
        <f aca="false">IFERROR(N(INDEX(Matches!$Q$5:$Q$12,MATCH($B40,Matches!$A$5:$A$12,0))),0)</f>
        <v>0.4114</v>
      </c>
      <c r="W40" s="12" t="n">
        <f aca="false">IF(OR($U40="",$J40=""),"",$L40*($U40*$J40+(1-$U40)*$K40))</f>
        <v>2.49452306644726</v>
      </c>
      <c r="X40" s="6" t="n">
        <f aca="false">IF($W40="","",IF(LEFT($B40,4)="DOTA",Config!$B$7,Config!$B$6)*$W40+$L40^2*$U40*(1-$U40)*($J40-$K40)^2)</f>
        <v>4.24708026940221</v>
      </c>
      <c r="Y40" s="12" t="n">
        <f aca="false">IF($O40="","",$O40)</f>
        <v>2.3822635192646</v>
      </c>
      <c r="Z40" s="6" t="n">
        <f aca="false">IF($P40="","",$P40)</f>
        <v>4.03517204425059</v>
      </c>
      <c r="AA40" s="12" t="n">
        <f aca="false">IF($O40="","",N($N40)*N($O40)+N($R40)*N($S40))</f>
        <v>4.76452703852919</v>
      </c>
      <c r="AB40" s="6" t="n">
        <f aca="false">IF($O40="","",(N($N40)*N($P40)+N($N40)*(1-N($N40))*N($O40)^2)+(N($R40)*N($T40)+N($R40)*(1-N($R40))*N($S40)^2))</f>
        <v>8.07034408850118</v>
      </c>
      <c r="AC40" s="12" t="n">
        <f aca="false">IF($O40="","",N($N40)*N($O40)+N($R40)*N($S40)+N($V40)*N($W40))</f>
        <v>5.7907738280656</v>
      </c>
      <c r="AD40" s="6" t="n">
        <f aca="false">IF($O40="","",(N($N40)*N($P40)+N($N40)*(1-N($N40))*N($O40)^2)+(N($R40)*N($T40)+N($R40)*(1-N($R40))*N($S40)^2)+(N($V40)*N($X40)+N($V40)*(1-N($V40))*N($W40)^2))</f>
        <v>11.3244067266655</v>
      </c>
      <c r="AE40" s="12" t="n">
        <f aca="false">IF($I40="","",$I40*$L40)</f>
        <v>3</v>
      </c>
      <c r="AF40" s="12" t="n">
        <f aca="false">IF($I40="","",$I40*$L40*(1+N($R40)))</f>
        <v>6</v>
      </c>
      <c r="AG40" s="12" t="n">
        <f aca="false">IF($I40="","",$I40*$L40*(1+N($R40)+N($V40)))</f>
        <v>7.2342</v>
      </c>
      <c r="AH40" s="0" t="str">
        <f aca="false">TRIM(IF($G40&lt;Config!$B$9,"thin sample ("&amp;$G40&amp;" maps) · ","")&amp;IF($I40="","no PickFinder stats · ","")&amp;IFERROR(IF(INDEX(Players!$T$2:$T$71,MATCH($E40,Players!$A$2:$A$71,0))&lt;0.5,"new roster: "&amp;TEXT(INDEX(Players!$T$2:$T$71,MATCH($E40,Players!$A$2:$A$71,0)),"0%")&amp;" of his recent games with these teammates",""),""))</f>
        <v>new roster: 0% of his recent games with these teammates</v>
      </c>
      <c r="AI40" s="0" t="str">
        <f aca="false">IF($B40=Board!$B$2,COUNTIFS($B$2:$B$71,Board!$B$2,$Y$2:$Y$71,"&gt;"&amp;$Y40)+COUNTIFS($B$1:$B39,Board!$B$2,$Y$1:$Y39,$Y40)+1,"")</f>
        <v/>
      </c>
      <c r="AJ40" s="0" t="str">
        <f aca="false">IFERROR(IF(INDEX(Matches!$D$5:$D$12,MATCH($B40,Matches!$A$5:$A$12,0))=3,"K12","K13"),"K13")</f>
        <v>K12</v>
      </c>
      <c r="AK40" s="12" t="n">
        <f aca="false">IF($AJ40="K12",$AA40,$AC40)</f>
        <v>4.76452703852919</v>
      </c>
    </row>
    <row r="41" customFormat="false" ht="15" hidden="false" customHeight="false" outlineLevel="0" collapsed="false">
      <c r="A41" s="0" t="s">
        <v>250</v>
      </c>
      <c r="B41" s="0" t="s">
        <v>110</v>
      </c>
      <c r="C41" s="0" t="s">
        <v>115</v>
      </c>
      <c r="D41" s="0" t="s">
        <v>249</v>
      </c>
      <c r="E41" s="0" t="s">
        <v>386</v>
      </c>
      <c r="F41" s="0" t="str">
        <f aca="false">IFERROR(IF($C41=INDEX(Matches!$S$5:$S$12,MATCH($B41,Matches!$A$5:$A$12,0)),"A",IF($C41=INDEX(Matches!$T$5:$T$12,MATCH($B41,Matches!$A$5:$A$12,0)),"B","")),"")</f>
        <v>B</v>
      </c>
      <c r="G41" s="0" t="n">
        <f aca="false">IFERROR(INDEX(Players!$E$2:$E$71,MATCH($E41,Players!$A$2:$A$71,0)),0)</f>
        <v>30</v>
      </c>
      <c r="H41" s="7" t="n">
        <f aca="false">IFERROR(INDEX(Players!$F$2:$F$71,MATCH($E41,Players!$A$2:$A$71,0)),"")</f>
        <v>0.63</v>
      </c>
      <c r="I41" s="6" t="n">
        <f aca="false">IFERROR(INDEX(Players!$G$2:$G$71,MATCH($E41,Players!$A$2:$A$71,0)),"")</f>
        <v>4.1</v>
      </c>
      <c r="J41" s="12" t="n">
        <f aca="false">IF(OR($I41="",$H41=""),"",$I41*IF(LEFT($B41,4)="DOTA",Config!$B$5,Config!$B$4)/($H41*IF(LEFT($B41,4)="DOTA",Config!$B$5,Config!$B$4)+1-$H41))</f>
        <v>5.14157634908926</v>
      </c>
      <c r="K41" s="12" t="n">
        <f aca="false">IF(OR($I41="",$H41=""),"",$I41/($H41*IF(LEFT($B41,4)="DOTA",Config!$B$5,Config!$B$4)+1-$H41))</f>
        <v>2.32650513533451</v>
      </c>
      <c r="L41" s="6" t="n">
        <f aca="false">IFERROR(INDEX(Matches!$R$5:$R$12,MATCH($B41,Matches!$A$5:$A$12,0)),1)</f>
        <v>1</v>
      </c>
      <c r="M41" s="7" t="n">
        <f aca="false">IFERROR(IF(INDEX(Matches!$M$5:$M$12,MATCH($B41,Matches!$A$5:$A$12,0))="","",IF($F41="A",INDEX(Matches!$M$5:$M$12,MATCH($B41,Matches!$A$5:$A$12,0)),1-INDEX(Matches!$M$5:$M$12,MATCH($B41,Matches!$A$5:$A$12,0)))),"")</f>
        <v>0.3301</v>
      </c>
      <c r="N41" s="6" t="n">
        <f aca="false">1</f>
        <v>1</v>
      </c>
      <c r="O41" s="12" t="n">
        <f aca="false">IF(OR($M41="",$J41=""),"",$L41*($M41*$J41+(1-$M41)*$K41))</f>
        <v>3.25576014299495</v>
      </c>
      <c r="P41" s="6" t="n">
        <f aca="false">IF($O41="","",IF(LEFT($B41,4)="DOTA",Config!$B$7,Config!$B$6)*$O41+$L41^2*$M41*(1-$M41)*($J41-$K41)^2)</f>
        <v>5.98489233893379</v>
      </c>
      <c r="Q41" s="7" t="n">
        <f aca="false">IFERROR(IF(INDEX(Matches!$N$5:$N$12,MATCH($B41,Matches!$A$5:$A$12,0))="","",IF($F41="A",INDEX(Matches!$N$5:$N$12,MATCH($B41,Matches!$A$5:$A$12,0)),1-INDEX(Matches!$N$5:$N$12,MATCH($B41,Matches!$A$5:$A$12,0)))),"")</f>
        <v>0.3301</v>
      </c>
      <c r="R41" s="6" t="n">
        <f aca="false">IFERROR(N(INDEX(Matches!$P$5:$P$12,MATCH($B41,Matches!$A$5:$A$12,0))),0)</f>
        <v>1</v>
      </c>
      <c r="S41" s="12" t="n">
        <f aca="false">IF(OR($Q41="",$J41=""),"",$L41*($Q41*$J41+(1-$Q41)*$K41))</f>
        <v>3.25576014299495</v>
      </c>
      <c r="T41" s="6" t="n">
        <f aca="false">IF($S41="","",IF(LEFT($B41,4)="DOTA",Config!$B$7,Config!$B$6)*$S41+$L41^2*$Q41*(1-$Q41)*($J41-$K41)^2)</f>
        <v>5.98489233893379</v>
      </c>
      <c r="U41" s="7" t="n">
        <f aca="false">IFERROR(IF(INDEX(Matches!$O$5:$O$12,MATCH($B41,Matches!$A$5:$A$12,0))="","",IF($F41="A",INDEX(Matches!$O$5:$O$12,MATCH($B41,Matches!$A$5:$A$12,0)),1-INDEX(Matches!$O$5:$O$12,MATCH($B41,Matches!$A$5:$A$12,0)))),"")</f>
        <v>0.3846</v>
      </c>
      <c r="V41" s="6" t="n">
        <f aca="false">IFERROR(N(INDEX(Matches!$Q$5:$Q$12,MATCH($B41,Matches!$A$5:$A$12,0))),0)</f>
        <v>0.4114</v>
      </c>
      <c r="W41" s="12" t="n">
        <f aca="false">IF(OR($U41="",$J41=""),"",$L41*($U41*$J41+(1-$U41)*$K41))</f>
        <v>3.40918152414458</v>
      </c>
      <c r="X41" s="6" t="n">
        <f aca="false">IF($W41="","",IF(LEFT($B41,4)="DOTA",Config!$B$7,Config!$B$6)*$W41+$L41^2*$U41*(1-$U41)*($J41-$K41)^2)</f>
        <v>6.30755895445232</v>
      </c>
      <c r="Y41" s="12" t="n">
        <f aca="false">IF($O41="","",$O41)</f>
        <v>3.25576014299495</v>
      </c>
      <c r="Z41" s="6" t="n">
        <f aca="false">IF($P41="","",$P41)</f>
        <v>5.98489233893379</v>
      </c>
      <c r="AA41" s="12" t="n">
        <f aca="false">IF($O41="","",N($N41)*N($O41)+N($R41)*N($S41))</f>
        <v>6.5115202859899</v>
      </c>
      <c r="AB41" s="6" t="n">
        <f aca="false">IF($O41="","",(N($N41)*N($P41)+N($N41)*(1-N($N41))*N($O41)^2)+(N($R41)*N($T41)+N($R41)*(1-N($R41))*N($S41)^2))</f>
        <v>11.9697846778676</v>
      </c>
      <c r="AC41" s="12" t="n">
        <f aca="false">IF($O41="","",N($N41)*N($O41)+N($R41)*N($S41)+N($V41)*N($W41))</f>
        <v>7.91405756502298</v>
      </c>
      <c r="AD41" s="6" t="n">
        <f aca="false">IF($O41="","",(N($N41)*N($P41)+N($N41)*(1-N($N41))*N($O41)^2)+(N($R41)*N($T41)+N($R41)*(1-N($R41))*N($S41)^2)+(N($V41)*N($X41)+N($V41)*(1-N($V41))*N($W41)^2))</f>
        <v>17.3791077912553</v>
      </c>
      <c r="AE41" s="12" t="n">
        <f aca="false">IF($I41="","",$I41*$L41)</f>
        <v>4.1</v>
      </c>
      <c r="AF41" s="12" t="n">
        <f aca="false">IF($I41="","",$I41*$L41*(1+N($R41)))</f>
        <v>8.2</v>
      </c>
      <c r="AG41" s="12" t="n">
        <f aca="false">IF($I41="","",$I41*$L41*(1+N($R41)+N($V41)))</f>
        <v>9.88674</v>
      </c>
      <c r="AH41" s="0" t="str">
        <f aca="false">TRIM(IF($G41&lt;Config!$B$9,"thin sample ("&amp;$G41&amp;" maps) · ","")&amp;IF($I41="","no PickFinder stats · ","")&amp;IFERROR(IF(INDEX(Players!$T$2:$T$71,MATCH($E41,Players!$A$2:$A$71,0))&lt;0.5,"new roster: "&amp;TEXT(INDEX(Players!$T$2:$T$71,MATCH($E41,Players!$A$2:$A$71,0)),"0%")&amp;" of his recent games with these teammates",""),""))</f>
        <v>new roster: 0% of his recent games with these teammates</v>
      </c>
      <c r="AI41" s="0" t="str">
        <f aca="false">IF($B41=Board!$B$2,COUNTIFS($B$2:$B$71,Board!$B$2,$Y$2:$Y$71,"&gt;"&amp;$Y41)+COUNTIFS($B$1:$B40,Board!$B$2,$Y$1:$Y40,$Y41)+1,"")</f>
        <v/>
      </c>
      <c r="AJ41" s="0" t="str">
        <f aca="false">IFERROR(IF(INDEX(Matches!$D$5:$D$12,MATCH($B41,Matches!$A$5:$A$12,0))=3,"K12","K13"),"K13")</f>
        <v>K12</v>
      </c>
      <c r="AK41" s="12" t="n">
        <f aca="false">IF($AJ41="K12",$AA41,$AC41)</f>
        <v>6.5115202859899</v>
      </c>
    </row>
    <row r="42" customFormat="false" ht="15" hidden="false" customHeight="false" outlineLevel="0" collapsed="false">
      <c r="A42" s="0" t="s">
        <v>252</v>
      </c>
      <c r="B42" s="0" t="s">
        <v>110</v>
      </c>
      <c r="C42" s="0" t="s">
        <v>115</v>
      </c>
      <c r="D42" s="0" t="s">
        <v>251</v>
      </c>
      <c r="E42" s="0" t="s">
        <v>387</v>
      </c>
      <c r="F42" s="0" t="str">
        <f aca="false">IFERROR(IF($C42=INDEX(Matches!$S$5:$S$12,MATCH($B42,Matches!$A$5:$A$12,0)),"A",IF($C42=INDEX(Matches!$T$5:$T$12,MATCH($B42,Matches!$A$5:$A$12,0)),"B","")),"")</f>
        <v>B</v>
      </c>
      <c r="G42" s="0" t="n">
        <f aca="false">IFERROR(INDEX(Players!$E$2:$E$71,MATCH($E42,Players!$A$2:$A$71,0)),0)</f>
        <v>30</v>
      </c>
      <c r="H42" s="7" t="n">
        <f aca="false">IFERROR(INDEX(Players!$F$2:$F$71,MATCH($E42,Players!$A$2:$A$71,0)),"")</f>
        <v>0.63</v>
      </c>
      <c r="I42" s="6" t="n">
        <f aca="false">IFERROR(INDEX(Players!$G$2:$G$71,MATCH($E42,Players!$A$2:$A$71,0)),"")</f>
        <v>2.8</v>
      </c>
      <c r="J42" s="12" t="n">
        <f aca="false">IF(OR($I42="",$H42=""),"",$I42*IF(LEFT($B42,4)="DOTA",Config!$B$5,Config!$B$4)/($H42*IF(LEFT($B42,4)="DOTA",Config!$B$5,Config!$B$4)+1-$H42))</f>
        <v>3.51132043352437</v>
      </c>
      <c r="K42" s="12" t="n">
        <f aca="false">IF(OR($I42="",$H42=""),"",$I42/($H42*IF(LEFT($B42,4)="DOTA",Config!$B$5,Config!$B$4)+1-$H42))</f>
        <v>1.58883277535039</v>
      </c>
      <c r="L42" s="6" t="n">
        <f aca="false">IFERROR(INDEX(Matches!$R$5:$R$12,MATCH($B42,Matches!$A$5:$A$12,0)),1)</f>
        <v>1</v>
      </c>
      <c r="M42" s="7" t="n">
        <f aca="false">IFERROR(IF(INDEX(Matches!$M$5:$M$12,MATCH($B42,Matches!$A$5:$A$12,0))="","",IF($F42="A",INDEX(Matches!$M$5:$M$12,MATCH($B42,Matches!$A$5:$A$12,0)),1-INDEX(Matches!$M$5:$M$12,MATCH($B42,Matches!$A$5:$A$12,0)))),"")</f>
        <v>0.3301</v>
      </c>
      <c r="N42" s="6" t="n">
        <f aca="false">1</f>
        <v>1</v>
      </c>
      <c r="O42" s="12" t="n">
        <f aca="false">IF(OR($M42="",$J42=""),"",$L42*($M42*$J42+(1-$M42)*$K42))</f>
        <v>2.22344595131362</v>
      </c>
      <c r="P42" s="6" t="n">
        <f aca="false">IF($O42="","",IF(LEFT($B42,4)="DOTA",Config!$B$7,Config!$B$6)*$O42+$L42^2*$M42*(1-$M42)*($J42-$K42)^2)</f>
        <v>3.70778185210547</v>
      </c>
      <c r="Q42" s="7" t="n">
        <f aca="false">IFERROR(IF(INDEX(Matches!$N$5:$N$12,MATCH($B42,Matches!$A$5:$A$12,0))="","",IF($F42="A",INDEX(Matches!$N$5:$N$12,MATCH($B42,Matches!$A$5:$A$12,0)),1-INDEX(Matches!$N$5:$N$12,MATCH($B42,Matches!$A$5:$A$12,0)))),"")</f>
        <v>0.3301</v>
      </c>
      <c r="R42" s="6" t="n">
        <f aca="false">IFERROR(N(INDEX(Matches!$P$5:$P$12,MATCH($B42,Matches!$A$5:$A$12,0))),0)</f>
        <v>1</v>
      </c>
      <c r="S42" s="12" t="n">
        <f aca="false">IF(OR($Q42="",$J42=""),"",$L42*($Q42*$J42+(1-$Q42)*$K42))</f>
        <v>2.22344595131362</v>
      </c>
      <c r="T42" s="6" t="n">
        <f aca="false">IF($S42="","",IF(LEFT($B42,4)="DOTA",Config!$B$7,Config!$B$6)*$S42+$L42^2*$Q42*(1-$Q42)*($J42-$K42)^2)</f>
        <v>3.70778185210547</v>
      </c>
      <c r="U42" s="7" t="n">
        <f aca="false">IFERROR(IF(INDEX(Matches!$O$5:$O$12,MATCH($B42,Matches!$A$5:$A$12,0))="","",IF($F42="A",INDEX(Matches!$O$5:$O$12,MATCH($B42,Matches!$A$5:$A$12,0)),1-INDEX(Matches!$O$5:$O$12,MATCH($B42,Matches!$A$5:$A$12,0)))),"")</f>
        <v>0.3846</v>
      </c>
      <c r="V42" s="6" t="n">
        <f aca="false">IFERROR(N(INDEX(Matches!$Q$5:$Q$12,MATCH($B42,Matches!$A$5:$A$12,0))),0)</f>
        <v>0.4114</v>
      </c>
      <c r="W42" s="12" t="n">
        <f aca="false">IF(OR($U42="",$J42=""),"",$L42*($U42*$J42+(1-$U42)*$K42))</f>
        <v>2.32822152868411</v>
      </c>
      <c r="X42" s="6" t="n">
        <f aca="false">IF($W42="","",IF(LEFT($B42,4)="DOTA",Config!$B$7,Config!$B$6)*$W42+$L42^2*$U42*(1-$U42)*($J42-$K42)^2)</f>
        <v>3.90145801160966</v>
      </c>
      <c r="Y42" s="12" t="n">
        <f aca="false">IF($O42="","",$O42)</f>
        <v>2.22344595131362</v>
      </c>
      <c r="Z42" s="6" t="n">
        <f aca="false">IF($P42="","",$P42)</f>
        <v>3.70778185210547</v>
      </c>
      <c r="AA42" s="12" t="n">
        <f aca="false">IF($O42="","",N($N42)*N($O42)+N($R42)*N($S42))</f>
        <v>4.44689190262725</v>
      </c>
      <c r="AB42" s="6" t="n">
        <f aca="false">IF($O42="","",(N($N42)*N($P42)+N($N42)*(1-N($N42))*N($O42)^2)+(N($R42)*N($T42)+N($R42)*(1-N($R42))*N($S42)^2))</f>
        <v>7.41556370421095</v>
      </c>
      <c r="AC42" s="12" t="n">
        <f aca="false">IF($O42="","",N($N42)*N($O42)+N($R42)*N($S42)+N($V42)*N($W42))</f>
        <v>5.40472223952789</v>
      </c>
      <c r="AD42" s="6" t="n">
        <f aca="false">IF($O42="","",(N($N42)*N($P42)+N($N42)*(1-N($N42))*N($O42)^2)+(N($R42)*N($T42)+N($R42)*(1-N($R42))*N($S42)^2)+(N($V42)*N($X42)+N($V42)*(1-N($V42))*N($W42)^2))</f>
        <v>10.3332257870988</v>
      </c>
      <c r="AE42" s="12" t="n">
        <f aca="false">IF($I42="","",$I42*$L42)</f>
        <v>2.8</v>
      </c>
      <c r="AF42" s="12" t="n">
        <f aca="false">IF($I42="","",$I42*$L42*(1+N($R42)))</f>
        <v>5.6</v>
      </c>
      <c r="AG42" s="12" t="n">
        <f aca="false">IF($I42="","",$I42*$L42*(1+N($R42)+N($V42)))</f>
        <v>6.75192</v>
      </c>
      <c r="AH42" s="0" t="str">
        <f aca="false">TRIM(IF($G42&lt;Config!$B$9,"thin sample ("&amp;$G42&amp;" maps) · ","")&amp;IF($I42="","no PickFinder stats · ","")&amp;IFERROR(IF(INDEX(Players!$T$2:$T$71,MATCH($E42,Players!$A$2:$A$71,0))&lt;0.5,"new roster: "&amp;TEXT(INDEX(Players!$T$2:$T$71,MATCH($E42,Players!$A$2:$A$71,0)),"0%")&amp;" of his recent games with these teammates",""),""))</f>
        <v>new roster: 0% of his recent games with these teammates</v>
      </c>
      <c r="AI42" s="0" t="str">
        <f aca="false">IF($B42=Board!$B$2,COUNTIFS($B$2:$B$71,Board!$B$2,$Y$2:$Y$71,"&gt;"&amp;$Y42)+COUNTIFS($B$1:$B41,Board!$B$2,$Y$1:$Y41,$Y42)+1,"")</f>
        <v/>
      </c>
      <c r="AJ42" s="0" t="str">
        <f aca="false">IFERROR(IF(INDEX(Matches!$D$5:$D$12,MATCH($B42,Matches!$A$5:$A$12,0))=3,"K12","K13"),"K13")</f>
        <v>K12</v>
      </c>
      <c r="AK42" s="12" t="n">
        <f aca="false">IF($AJ42="K12",$AA42,$AC42)</f>
        <v>4.44689190262725</v>
      </c>
    </row>
    <row r="43" customFormat="false" ht="15" hidden="false" customHeight="false" outlineLevel="0" collapsed="false">
      <c r="A43" s="0" t="s">
        <v>254</v>
      </c>
      <c r="B43" s="0" t="s">
        <v>110</v>
      </c>
      <c r="C43" s="0" t="s">
        <v>115</v>
      </c>
      <c r="D43" s="0" t="s">
        <v>253</v>
      </c>
      <c r="E43" s="0" t="s">
        <v>388</v>
      </c>
      <c r="F43" s="0" t="str">
        <f aca="false">IFERROR(IF($C43=INDEX(Matches!$S$5:$S$12,MATCH($B43,Matches!$A$5:$A$12,0)),"A",IF($C43=INDEX(Matches!$T$5:$T$12,MATCH($B43,Matches!$A$5:$A$12,0)),"B","")),"")</f>
        <v>B</v>
      </c>
      <c r="G43" s="0" t="n">
        <f aca="false">IFERROR(INDEX(Players!$E$2:$E$71,MATCH($E43,Players!$A$2:$A$71,0)),0)</f>
        <v>30</v>
      </c>
      <c r="H43" s="7" t="n">
        <f aca="false">IFERROR(INDEX(Players!$F$2:$F$71,MATCH($E43,Players!$A$2:$A$71,0)),"")</f>
        <v>0.6</v>
      </c>
      <c r="I43" s="6" t="n">
        <f aca="false">IFERROR(INDEX(Players!$G$2:$G$71,MATCH($E43,Players!$A$2:$A$71,0)),"")</f>
        <v>5.2</v>
      </c>
      <c r="J43" s="12" t="n">
        <f aca="false">IF(OR($I43="",$H43=""),"",$I43*IF(LEFT($B43,4)="DOTA",Config!$B$5,Config!$B$4)/($H43*IF(LEFT($B43,4)="DOTA",Config!$B$5,Config!$B$4)+1-$H43))</f>
        <v>6.65816917728853</v>
      </c>
      <c r="K43" s="12" t="n">
        <f aca="false">IF(OR($I43="",$H43=""),"",$I43/($H43*IF(LEFT($B43,4)="DOTA",Config!$B$5,Config!$B$4)+1-$H43))</f>
        <v>3.01274623406721</v>
      </c>
      <c r="L43" s="6" t="n">
        <f aca="false">IFERROR(INDEX(Matches!$R$5:$R$12,MATCH($B43,Matches!$A$5:$A$12,0)),1)</f>
        <v>1</v>
      </c>
      <c r="M43" s="7" t="n">
        <f aca="false">IFERROR(IF(INDEX(Matches!$M$5:$M$12,MATCH($B43,Matches!$A$5:$A$12,0))="","",IF($F43="A",INDEX(Matches!$M$5:$M$12,MATCH($B43,Matches!$A$5:$A$12,0)),1-INDEX(Matches!$M$5:$M$12,MATCH($B43,Matches!$A$5:$A$12,0)))),"")</f>
        <v>0.3301</v>
      </c>
      <c r="N43" s="6" t="n">
        <f aca="false">1</f>
        <v>1</v>
      </c>
      <c r="O43" s="12" t="n">
        <f aca="false">IF(OR($M43="",$J43=""),"",$L43*($M43*$J43+(1-$M43)*$K43))</f>
        <v>4.21610034762457</v>
      </c>
      <c r="P43" s="6" t="n">
        <f aca="false">IF($O43="","",IF(LEFT($B43,4)="DOTA",Config!$B$7,Config!$B$6)*$O43+$L43^2*$M43*(1-$M43)*($J43-$K43)^2)</f>
        <v>8.41960402367827</v>
      </c>
      <c r="Q43" s="7" t="n">
        <f aca="false">IFERROR(IF(INDEX(Matches!$N$5:$N$12,MATCH($B43,Matches!$A$5:$A$12,0))="","",IF($F43="A",INDEX(Matches!$N$5:$N$12,MATCH($B43,Matches!$A$5:$A$12,0)),1-INDEX(Matches!$N$5:$N$12,MATCH($B43,Matches!$A$5:$A$12,0)))),"")</f>
        <v>0.3301</v>
      </c>
      <c r="R43" s="6" t="n">
        <f aca="false">IFERROR(N(INDEX(Matches!$P$5:$P$12,MATCH($B43,Matches!$A$5:$A$12,0))),0)</f>
        <v>1</v>
      </c>
      <c r="S43" s="12" t="n">
        <f aca="false">IF(OR($Q43="",$J43=""),"",$L43*($Q43*$J43+(1-$Q43)*$K43))</f>
        <v>4.21610034762457</v>
      </c>
      <c r="T43" s="6" t="n">
        <f aca="false">IF($S43="","",IF(LEFT($B43,4)="DOTA",Config!$B$7,Config!$B$6)*$S43+$L43^2*$Q43*(1-$Q43)*($J43-$K43)^2)</f>
        <v>8.41960402367827</v>
      </c>
      <c r="U43" s="7" t="n">
        <f aca="false">IFERROR(IF(INDEX(Matches!$O$5:$O$12,MATCH($B43,Matches!$A$5:$A$12,0))="","",IF($F43="A",INDEX(Matches!$O$5:$O$12,MATCH($B43,Matches!$A$5:$A$12,0)),1-INDEX(Matches!$O$5:$O$12,MATCH($B43,Matches!$A$5:$A$12,0)))),"")</f>
        <v>0.3846</v>
      </c>
      <c r="V43" s="6" t="n">
        <f aca="false">IFERROR(N(INDEX(Matches!$Q$5:$Q$12,MATCH($B43,Matches!$A$5:$A$12,0))),0)</f>
        <v>0.4114</v>
      </c>
      <c r="W43" s="12" t="n">
        <f aca="false">IF(OR($U43="",$J43=""),"",$L43*($U43*$J43+(1-$U43)*$K43))</f>
        <v>4.41477589803013</v>
      </c>
      <c r="X43" s="6" t="n">
        <f aca="false">IF($W43="","",IF(LEFT($B43,4)="DOTA",Config!$B$7,Config!$B$6)*$W43+$L43^2*$U43*(1-$U43)*($J43-$K43)^2)</f>
        <v>8.8845125928945</v>
      </c>
      <c r="Y43" s="12" t="n">
        <f aca="false">IF($O43="","",$O43)</f>
        <v>4.21610034762457</v>
      </c>
      <c r="Z43" s="6" t="n">
        <f aca="false">IF($P43="","",$P43)</f>
        <v>8.41960402367827</v>
      </c>
      <c r="AA43" s="12" t="n">
        <f aca="false">IF($O43="","",N($N43)*N($O43)+N($R43)*N($S43))</f>
        <v>8.43220069524913</v>
      </c>
      <c r="AB43" s="6" t="n">
        <f aca="false">IF($O43="","",(N($N43)*N($P43)+N($N43)*(1-N($N43))*N($O43)^2)+(N($R43)*N($T43)+N($R43)*(1-N($R43))*N($S43)^2))</f>
        <v>16.8392080473565</v>
      </c>
      <c r="AC43" s="12" t="n">
        <f aca="false">IF($O43="","",N($N43)*N($O43)+N($R43)*N($S43)+N($V43)*N($W43))</f>
        <v>10.2484394996987</v>
      </c>
      <c r="AD43" s="6" t="n">
        <f aca="false">IF($O43="","",(N($N43)*N($P43)+N($N43)*(1-N($N43))*N($O43)^2)+(N($R43)*N($T43)+N($R43)*(1-N($R43))*N($S43)^2)+(N($V43)*N($X43)+N($V43)*(1-N($V43))*N($W43)^2))</f>
        <v>25.213860432236</v>
      </c>
      <c r="AE43" s="12" t="n">
        <f aca="false">IF($I43="","",$I43*$L43)</f>
        <v>5.2</v>
      </c>
      <c r="AF43" s="12" t="n">
        <f aca="false">IF($I43="","",$I43*$L43*(1+N($R43)))</f>
        <v>10.4</v>
      </c>
      <c r="AG43" s="12" t="n">
        <f aca="false">IF($I43="","",$I43*$L43*(1+N($R43)+N($V43)))</f>
        <v>12.53928</v>
      </c>
      <c r="AH43" s="0" t="str">
        <f aca="false">TRIM(IF($G43&lt;Config!$B$9,"thin sample ("&amp;$G43&amp;" maps) · ","")&amp;IF($I43="","no PickFinder stats · ","")&amp;IFERROR(IF(INDEX(Players!$T$2:$T$71,MATCH($E43,Players!$A$2:$A$71,0))&lt;0.5,"new roster: "&amp;TEXT(INDEX(Players!$T$2:$T$71,MATCH($E43,Players!$A$2:$A$71,0)),"0%")&amp;" of his recent games with these teammates",""),""))</f>
        <v>new roster: 0% of his recent games with these teammates</v>
      </c>
      <c r="AI43" s="0" t="str">
        <f aca="false">IF($B43=Board!$B$2,COUNTIFS($B$2:$B$71,Board!$B$2,$Y$2:$Y$71,"&gt;"&amp;$Y43)+COUNTIFS($B$1:$B42,Board!$B$2,$Y$1:$Y42,$Y43)+1,"")</f>
        <v/>
      </c>
      <c r="AJ43" s="0" t="str">
        <f aca="false">IFERROR(IF(INDEX(Matches!$D$5:$D$12,MATCH($B43,Matches!$A$5:$A$12,0))=3,"K12","K13"),"K13")</f>
        <v>K12</v>
      </c>
      <c r="AK43" s="12" t="n">
        <f aca="false">IF($AJ43="K12",$AA43,$AC43)</f>
        <v>8.43220069524913</v>
      </c>
    </row>
    <row r="44" customFormat="false" ht="15" hidden="false" customHeight="false" outlineLevel="0" collapsed="false">
      <c r="A44" s="0" t="s">
        <v>257</v>
      </c>
      <c r="B44" s="0" t="s">
        <v>116</v>
      </c>
      <c r="C44" s="0" t="s">
        <v>120</v>
      </c>
      <c r="D44" s="0" t="s">
        <v>255</v>
      </c>
      <c r="E44" s="0" t="s">
        <v>389</v>
      </c>
      <c r="F44" s="0" t="str">
        <f aca="false">IFERROR(IF($C44=INDEX(Matches!$S$5:$S$12,MATCH($B44,Matches!$A$5:$A$12,0)),"A",IF($C44=INDEX(Matches!$T$5:$T$12,MATCH($B44,Matches!$A$5:$A$12,0)),"B","")),"")</f>
        <v>A</v>
      </c>
      <c r="G44" s="0" t="n">
        <f aca="false">IFERROR(INDEX(Players!$E$2:$E$71,MATCH($E44,Players!$A$2:$A$71,0)),0)</f>
        <v>30</v>
      </c>
      <c r="H44" s="7" t="n">
        <f aca="false">IFERROR(INDEX(Players!$F$2:$F$71,MATCH($E44,Players!$A$2:$A$71,0)),"")</f>
        <v>0.83</v>
      </c>
      <c r="I44" s="6" t="n">
        <f aca="false">IFERROR(INDEX(Players!$G$2:$G$71,MATCH($E44,Players!$A$2:$A$71,0)),"")</f>
        <v>3.5</v>
      </c>
      <c r="J44" s="12" t="n">
        <f aca="false">IF(OR($I44="",$H44=""),"",$I44*IF(LEFT($B44,4)="DOTA",Config!$B$5,Config!$B$4)/($H44*IF(LEFT($B44,4)="DOTA",Config!$B$5,Config!$B$4)+1-$H44))</f>
        <v>3.85920271416455</v>
      </c>
      <c r="K44" s="12" t="n">
        <f aca="false">IF(OR($I44="",$H44=""),"",$I44/($H44*IF(LEFT($B44,4)="DOTA",Config!$B$5,Config!$B$4)+1-$H44))</f>
        <v>1.74624557202016</v>
      </c>
      <c r="L44" s="6" t="n">
        <f aca="false">IFERROR(INDEX(Matches!$R$5:$R$12,MATCH($B44,Matches!$A$5:$A$12,0)),1)</f>
        <v>1</v>
      </c>
      <c r="M44" s="7" t="n">
        <f aca="false">IFERROR(IF(INDEX(Matches!$M$5:$M$12,MATCH($B44,Matches!$A$5:$A$12,0))="","",IF($F44="A",INDEX(Matches!$M$5:$M$12,MATCH($B44,Matches!$A$5:$A$12,0)),1-INDEX(Matches!$M$5:$M$12,MATCH($B44,Matches!$A$5:$A$12,0)))),"")</f>
        <v>0.7899</v>
      </c>
      <c r="N44" s="6" t="n">
        <f aca="false">1</f>
        <v>1</v>
      </c>
      <c r="O44" s="12" t="n">
        <f aca="false">IF(OR($M44="",$J44=""),"",$L44*($M44*$J44+(1-$M44)*$K44))</f>
        <v>3.41527041860001</v>
      </c>
      <c r="P44" s="6" t="n">
        <f aca="false">IF($O44="","",IF(LEFT($B44,4)="DOTA",Config!$B$7,Config!$B$6)*$O44+$L44^2*$M44*(1-$M44)*($J44-$K44)^2)</f>
        <v>5.18078557567646</v>
      </c>
      <c r="Q44" s="7" t="n">
        <f aca="false">IFERROR(IF(INDEX(Matches!$N$5:$N$12,MATCH($B44,Matches!$A$5:$A$12,0))="","",IF($F44="A",INDEX(Matches!$N$5:$N$12,MATCH($B44,Matches!$A$5:$A$12,0)),1-INDEX(Matches!$N$5:$N$12,MATCH($B44,Matches!$A$5:$A$12,0)))),"")</f>
        <v>0.7899</v>
      </c>
      <c r="R44" s="6" t="n">
        <f aca="false">IFERROR(N(INDEX(Matches!$P$5:$P$12,MATCH($B44,Matches!$A$5:$A$12,0))),0)</f>
        <v>1</v>
      </c>
      <c r="S44" s="12" t="n">
        <f aca="false">IF(OR($Q44="",$J44=""),"",$L44*($Q44*$J44+(1-$Q44)*$K44))</f>
        <v>3.41527041860001</v>
      </c>
      <c r="T44" s="6" t="n">
        <f aca="false">IF($S44="","",IF(LEFT($B44,4)="DOTA",Config!$B$7,Config!$B$6)*$S44+$L44^2*$Q44*(1-$Q44)*($J44-$K44)^2)</f>
        <v>5.18078557567646</v>
      </c>
      <c r="U44" s="7" t="n">
        <f aca="false">IFERROR(IF(INDEX(Matches!$O$5:$O$12,MATCH($B44,Matches!$A$5:$A$12,0))="","",IF($F44="A",INDEX(Matches!$O$5:$O$12,MATCH($B44,Matches!$A$5:$A$12,0)),1-INDEX(Matches!$O$5:$O$12,MATCH($B44,Matches!$A$5:$A$12,0)))),"")</f>
        <v>0.7014</v>
      </c>
      <c r="V44" s="6" t="n">
        <f aca="false">IFERROR(N(INDEX(Matches!$Q$5:$Q$12,MATCH($B44,Matches!$A$5:$A$12,0))),0)</f>
        <v>0.3275</v>
      </c>
      <c r="W44" s="12" t="n">
        <f aca="false">IF(OR($U44="",$J44=""),"",$L44*($U44*$J44+(1-$U44)*$K44))</f>
        <v>3.22827371152023</v>
      </c>
      <c r="X44" s="6" t="n">
        <f aca="false">IF($W44="","",IF(LEFT($B44,4)="DOTA",Config!$B$7,Config!$B$6)*$W44+$L44^2*$U44*(1-$U44)*($J44-$K44)^2)</f>
        <v>5.13181036092189</v>
      </c>
      <c r="Y44" s="12" t="n">
        <f aca="false">IF($O44="","",$O44)</f>
        <v>3.41527041860001</v>
      </c>
      <c r="Z44" s="6" t="n">
        <f aca="false">IF($P44="","",$P44)</f>
        <v>5.18078557567646</v>
      </c>
      <c r="AA44" s="12" t="n">
        <f aca="false">IF($O44="","",N($N44)*N($O44)+N($R44)*N($S44))</f>
        <v>6.83054083720002</v>
      </c>
      <c r="AB44" s="6" t="n">
        <f aca="false">IF($O44="","",(N($N44)*N($P44)+N($N44)*(1-N($N44))*N($O44)^2)+(N($R44)*N($T44)+N($R44)*(1-N($R44))*N($S44)^2))</f>
        <v>10.3615711513529</v>
      </c>
      <c r="AC44" s="12" t="n">
        <f aca="false">IF($O44="","",N($N44)*N($O44)+N($R44)*N($S44)+N($V44)*N($W44))</f>
        <v>7.8878004777229</v>
      </c>
      <c r="AD44" s="6" t="n">
        <f aca="false">IF($O44="","",(N($N44)*N($P44)+N($N44)*(1-N($N44))*N($O44)^2)+(N($R44)*N($T44)+N($R44)*(1-N($R44))*N($S44)^2)+(N($V44)*N($X44)+N($V44)*(1-N($V44))*N($W44)^2))</f>
        <v>14.3375646008276</v>
      </c>
      <c r="AE44" s="12" t="n">
        <f aca="false">IF($I44="","",$I44*$L44)</f>
        <v>3.5</v>
      </c>
      <c r="AF44" s="12" t="n">
        <f aca="false">IF($I44="","",$I44*$L44*(1+N($R44)))</f>
        <v>7</v>
      </c>
      <c r="AG44" s="12" t="n">
        <f aca="false">IF($I44="","",$I44*$L44*(1+N($R44)+N($V44)))</f>
        <v>8.14625</v>
      </c>
      <c r="AH44" s="0" t="str">
        <f aca="false">TRIM(IF($G44&lt;Config!$B$9,"thin sample ("&amp;$G44&amp;" maps) · ","")&amp;IF($I44="","no PickFinder stats · ","")&amp;IFERROR(IF(INDEX(Players!$T$2:$T$71,MATCH($E44,Players!$A$2:$A$71,0))&lt;0.5,"new roster: "&amp;TEXT(INDEX(Players!$T$2:$T$71,MATCH($E44,Players!$A$2:$A$71,0)),"0%")&amp;" of his recent games with these teammates",""),""))</f>
        <v>new roster: 0% of his recent games with these teammates</v>
      </c>
      <c r="AI44" s="0" t="str">
        <f aca="false">IF($B44=Board!$B$2,COUNTIFS($B$2:$B$71,Board!$B$2,$Y$2:$Y$71,"&gt;"&amp;$Y44)+COUNTIFS($B$1:$B43,Board!$B$2,$Y$1:$Y43,$Y44)+1,"")</f>
        <v/>
      </c>
      <c r="AJ44" s="0" t="str">
        <f aca="false">IFERROR(IF(INDEX(Matches!$D$5:$D$12,MATCH($B44,Matches!$A$5:$A$12,0))=3,"K12","K13"),"K13")</f>
        <v>K12</v>
      </c>
      <c r="AK44" s="12" t="n">
        <f aca="false">IF($AJ44="K12",$AA44,$AC44)</f>
        <v>6.83054083720002</v>
      </c>
    </row>
    <row r="45" customFormat="false" ht="15" hidden="false" customHeight="false" outlineLevel="0" collapsed="false">
      <c r="A45" s="0" t="s">
        <v>259</v>
      </c>
      <c r="B45" s="0" t="s">
        <v>116</v>
      </c>
      <c r="C45" s="0" t="s">
        <v>120</v>
      </c>
      <c r="D45" s="0" t="s">
        <v>258</v>
      </c>
      <c r="E45" s="0" t="s">
        <v>390</v>
      </c>
      <c r="F45" s="0" t="str">
        <f aca="false">IFERROR(IF($C45=INDEX(Matches!$S$5:$S$12,MATCH($B45,Matches!$A$5:$A$12,0)),"A",IF($C45=INDEX(Matches!$T$5:$T$12,MATCH($B45,Matches!$A$5:$A$12,0)),"B","")),"")</f>
        <v>A</v>
      </c>
      <c r="G45" s="0" t="n">
        <f aca="false">IFERROR(INDEX(Players!$E$2:$E$71,MATCH($E45,Players!$A$2:$A$71,0)),0)</f>
        <v>30</v>
      </c>
      <c r="H45" s="7" t="n">
        <f aca="false">IFERROR(INDEX(Players!$F$2:$F$71,MATCH($E45,Players!$A$2:$A$71,0)),"")</f>
        <v>0.7</v>
      </c>
      <c r="I45" s="6" t="n">
        <f aca="false">IFERROR(INDEX(Players!$G$2:$G$71,MATCH($E45,Players!$A$2:$A$71,0)),"")</f>
        <v>3.8</v>
      </c>
      <c r="J45" s="12" t="n">
        <f aca="false">IF(OR($I45="",$H45=""),"",$I45*IF(LEFT($B45,4)="DOTA",Config!$B$5,Config!$B$4)/($H45*IF(LEFT($B45,4)="DOTA",Config!$B$5,Config!$B$4)+1-$H45))</f>
        <v>4.5468327016784</v>
      </c>
      <c r="K45" s="12" t="n">
        <f aca="false">IF(OR($I45="",$H45=""),"",$I45/($H45*IF(LEFT($B45,4)="DOTA",Config!$B$5,Config!$B$4)+1-$H45))</f>
        <v>2.05739036275041</v>
      </c>
      <c r="L45" s="6" t="n">
        <f aca="false">IFERROR(INDEX(Matches!$R$5:$R$12,MATCH($B45,Matches!$A$5:$A$12,0)),1)</f>
        <v>1</v>
      </c>
      <c r="M45" s="7" t="n">
        <f aca="false">IFERROR(IF(INDEX(Matches!$M$5:$M$12,MATCH($B45,Matches!$A$5:$A$12,0))="","",IF($F45="A",INDEX(Matches!$M$5:$M$12,MATCH($B45,Matches!$A$5:$A$12,0)),1-INDEX(Matches!$M$5:$M$12,MATCH($B45,Matches!$A$5:$A$12,0)))),"")</f>
        <v>0.7899</v>
      </c>
      <c r="N45" s="6" t="n">
        <f aca="false">1</f>
        <v>1</v>
      </c>
      <c r="O45" s="12" t="n">
        <f aca="false">IF(OR($M45="",$J45=""),"",$L45*($M45*$J45+(1-$M45)*$K45))</f>
        <v>4.02380086626963</v>
      </c>
      <c r="P45" s="6" t="n">
        <f aca="false">IF($O45="","",IF(LEFT($B45,4)="DOTA",Config!$B$7,Config!$B$6)*$O45+$L45^2*$M45*(1-$M45)*($J45-$K45)^2)</f>
        <v>6.25943642097326</v>
      </c>
      <c r="Q45" s="7" t="n">
        <f aca="false">IFERROR(IF(INDEX(Matches!$N$5:$N$12,MATCH($B45,Matches!$A$5:$A$12,0))="","",IF($F45="A",INDEX(Matches!$N$5:$N$12,MATCH($B45,Matches!$A$5:$A$12,0)),1-INDEX(Matches!$N$5:$N$12,MATCH($B45,Matches!$A$5:$A$12,0)))),"")</f>
        <v>0.7899</v>
      </c>
      <c r="R45" s="6" t="n">
        <f aca="false">IFERROR(N(INDEX(Matches!$P$5:$P$12,MATCH($B45,Matches!$A$5:$A$12,0))),0)</f>
        <v>1</v>
      </c>
      <c r="S45" s="12" t="n">
        <f aca="false">IF(OR($Q45="",$J45=""),"",$L45*($Q45*$J45+(1-$Q45)*$K45))</f>
        <v>4.02380086626963</v>
      </c>
      <c r="T45" s="6" t="n">
        <f aca="false">IF($S45="","",IF(LEFT($B45,4)="DOTA",Config!$B$7,Config!$B$6)*$S45+$L45^2*$Q45*(1-$Q45)*($J45-$K45)^2)</f>
        <v>6.25943642097326</v>
      </c>
      <c r="U45" s="7" t="n">
        <f aca="false">IFERROR(IF(INDEX(Matches!$O$5:$O$12,MATCH($B45,Matches!$A$5:$A$12,0))="","",IF($F45="A",INDEX(Matches!$O$5:$O$12,MATCH($B45,Matches!$A$5:$A$12,0)),1-INDEX(Matches!$O$5:$O$12,MATCH($B45,Matches!$A$5:$A$12,0)))),"")</f>
        <v>0.7014</v>
      </c>
      <c r="V45" s="6" t="n">
        <f aca="false">IFERROR(N(INDEX(Matches!$Q$5:$Q$12,MATCH($B45,Matches!$A$5:$A$12,0))),0)</f>
        <v>0.3275</v>
      </c>
      <c r="W45" s="12" t="n">
        <f aca="false">IF(OR($U45="",$J45=""),"",$L45*($U45*$J45+(1-$U45)*$K45))</f>
        <v>3.8034852192745</v>
      </c>
      <c r="X45" s="6" t="n">
        <f aca="false">IF($W45="","",IF(LEFT($B45,4)="DOTA",Config!$B$7,Config!$B$6)*$W45+$L45^2*$U45*(1-$U45)*($J45-$K45)^2)</f>
        <v>6.24248600069243</v>
      </c>
      <c r="Y45" s="12" t="n">
        <f aca="false">IF($O45="","",$O45)</f>
        <v>4.02380086626963</v>
      </c>
      <c r="Z45" s="6" t="n">
        <f aca="false">IF($P45="","",$P45)</f>
        <v>6.25943642097326</v>
      </c>
      <c r="AA45" s="12" t="n">
        <f aca="false">IF($O45="","",N($N45)*N($O45)+N($R45)*N($S45))</f>
        <v>8.04760173253925</v>
      </c>
      <c r="AB45" s="6" t="n">
        <f aca="false">IF($O45="","",(N($N45)*N($P45)+N($N45)*(1-N($N45))*N($O45)^2)+(N($R45)*N($T45)+N($R45)*(1-N($R45))*N($S45)^2))</f>
        <v>12.5188728419465</v>
      </c>
      <c r="AC45" s="12" t="n">
        <f aca="false">IF($O45="","",N($N45)*N($O45)+N($R45)*N($S45)+N($V45)*N($W45))</f>
        <v>9.29324314185165</v>
      </c>
      <c r="AD45" s="6" t="n">
        <f aca="false">IF($O45="","",(N($N45)*N($P45)+N($N45)*(1-N($N45))*N($O45)^2)+(N($R45)*N($T45)+N($R45)*(1-N($R45))*N($S45)^2)+(N($V45)*N($X45)+N($V45)*(1-N($V45))*N($W45)^2))</f>
        <v>17.7494431754155</v>
      </c>
      <c r="AE45" s="12" t="n">
        <f aca="false">IF($I45="","",$I45*$L45)</f>
        <v>3.8</v>
      </c>
      <c r="AF45" s="12" t="n">
        <f aca="false">IF($I45="","",$I45*$L45*(1+N($R45)))</f>
        <v>7.6</v>
      </c>
      <c r="AG45" s="12" t="n">
        <f aca="false">IF($I45="","",$I45*$L45*(1+N($R45)+N($V45)))</f>
        <v>8.8445</v>
      </c>
      <c r="AH45" s="0" t="str">
        <f aca="false">TRIM(IF($G45&lt;Config!$B$9,"thin sample ("&amp;$G45&amp;" maps) · ","")&amp;IF($I45="","no PickFinder stats · ","")&amp;IFERROR(IF(INDEX(Players!$T$2:$T$71,MATCH($E45,Players!$A$2:$A$71,0))&lt;0.5,"new roster: "&amp;TEXT(INDEX(Players!$T$2:$T$71,MATCH($E45,Players!$A$2:$A$71,0)),"0%")&amp;" of his recent games with these teammates",""),""))</f>
        <v>new roster: 0% of his recent games with these teammates</v>
      </c>
      <c r="AI45" s="0" t="str">
        <f aca="false">IF($B45=Board!$B$2,COUNTIFS($B$2:$B$71,Board!$B$2,$Y$2:$Y$71,"&gt;"&amp;$Y45)+COUNTIFS($B$1:$B44,Board!$B$2,$Y$1:$Y44,$Y45)+1,"")</f>
        <v/>
      </c>
      <c r="AJ45" s="0" t="str">
        <f aca="false">IFERROR(IF(INDEX(Matches!$D$5:$D$12,MATCH($B45,Matches!$A$5:$A$12,0))=3,"K12","K13"),"K13")</f>
        <v>K12</v>
      </c>
      <c r="AK45" s="12" t="n">
        <f aca="false">IF($AJ45="K12",$AA45,$AC45)</f>
        <v>8.04760173253925</v>
      </c>
    </row>
    <row r="46" customFormat="false" ht="15" hidden="false" customHeight="false" outlineLevel="0" collapsed="false">
      <c r="A46" s="0" t="s">
        <v>262</v>
      </c>
      <c r="B46" s="0" t="s">
        <v>116</v>
      </c>
      <c r="C46" s="0" t="s">
        <v>120</v>
      </c>
      <c r="D46" s="0" t="s">
        <v>260</v>
      </c>
      <c r="E46" s="0" t="s">
        <v>391</v>
      </c>
      <c r="F46" s="0" t="str">
        <f aca="false">IFERROR(IF($C46=INDEX(Matches!$S$5:$S$12,MATCH($B46,Matches!$A$5:$A$12,0)),"A",IF($C46=INDEX(Matches!$T$5:$T$12,MATCH($B46,Matches!$A$5:$A$12,0)),"B","")),"")</f>
        <v>A</v>
      </c>
      <c r="G46" s="0" t="n">
        <f aca="false">IFERROR(INDEX(Players!$E$2:$E$71,MATCH($E46,Players!$A$2:$A$71,0)),0)</f>
        <v>30</v>
      </c>
      <c r="H46" s="7" t="n">
        <f aca="false">IFERROR(INDEX(Players!$F$2:$F$71,MATCH($E46,Players!$A$2:$A$71,0)),"")</f>
        <v>0.7</v>
      </c>
      <c r="I46" s="6" t="n">
        <f aca="false">IFERROR(INDEX(Players!$G$2:$G$71,MATCH($E46,Players!$A$2:$A$71,0)),"")</f>
        <v>0.7</v>
      </c>
      <c r="J46" s="12" t="n">
        <f aca="false">IF(OR($I46="",$H46=""),"",$I46*IF(LEFT($B46,4)="DOTA",Config!$B$5,Config!$B$4)/($H46*IF(LEFT($B46,4)="DOTA",Config!$B$5,Config!$B$4)+1-$H46))</f>
        <v>0.837574445046021</v>
      </c>
      <c r="K46" s="12" t="n">
        <f aca="false">IF(OR($I46="",$H46=""),"",$I46/($H46*IF(LEFT($B46,4)="DOTA",Config!$B$5,Config!$B$4)+1-$H46))</f>
        <v>0.378992961559285</v>
      </c>
      <c r="L46" s="6" t="n">
        <f aca="false">IFERROR(INDEX(Matches!$R$5:$R$12,MATCH($B46,Matches!$A$5:$A$12,0)),1)</f>
        <v>1</v>
      </c>
      <c r="M46" s="7" t="n">
        <f aca="false">IFERROR(IF(INDEX(Matches!$M$5:$M$12,MATCH($B46,Matches!$A$5:$A$12,0))="","",IF($F46="A",INDEX(Matches!$M$5:$M$12,MATCH($B46,Matches!$A$5:$A$12,0)),1-INDEX(Matches!$M$5:$M$12,MATCH($B46,Matches!$A$5:$A$12,0)))),"")</f>
        <v>0.7899</v>
      </c>
      <c r="N46" s="6" t="n">
        <f aca="false">1</f>
        <v>1</v>
      </c>
      <c r="O46" s="12" t="n">
        <f aca="false">IF(OR($M46="",$J46=""),"",$L46*($M46*$J46+(1-$M46)*$K46))</f>
        <v>0.741226475365458</v>
      </c>
      <c r="P46" s="6" t="n">
        <f aca="false">IF($O46="","",IF(LEFT($B46,4)="DOTA",Config!$B$7,Config!$B$6)*$O46+$L46^2*$M46*(1-$M46)*($J46-$K46)^2)</f>
        <v>0.998494881580576</v>
      </c>
      <c r="Q46" s="7" t="n">
        <f aca="false">IFERROR(IF(INDEX(Matches!$N$5:$N$12,MATCH($B46,Matches!$A$5:$A$12,0))="","",IF($F46="A",INDEX(Matches!$N$5:$N$12,MATCH($B46,Matches!$A$5:$A$12,0)),1-INDEX(Matches!$N$5:$N$12,MATCH($B46,Matches!$A$5:$A$12,0)))),"")</f>
        <v>0.7899</v>
      </c>
      <c r="R46" s="6" t="n">
        <f aca="false">IFERROR(N(INDEX(Matches!$P$5:$P$12,MATCH($B46,Matches!$A$5:$A$12,0))),0)</f>
        <v>1</v>
      </c>
      <c r="S46" s="12" t="n">
        <f aca="false">IF(OR($Q46="",$J46=""),"",$L46*($Q46*$J46+(1-$Q46)*$K46))</f>
        <v>0.741226475365458</v>
      </c>
      <c r="T46" s="6" t="n">
        <f aca="false">IF($S46="","",IF(LEFT($B46,4)="DOTA",Config!$B$7,Config!$B$6)*$S46+$L46^2*$Q46*(1-$Q46)*($J46-$K46)^2)</f>
        <v>0.998494881580576</v>
      </c>
      <c r="U46" s="7" t="n">
        <f aca="false">IFERROR(IF(INDEX(Matches!$O$5:$O$12,MATCH($B46,Matches!$A$5:$A$12,0))="","",IF($F46="A",INDEX(Matches!$O$5:$O$12,MATCH($B46,Matches!$A$5:$A$12,0)),1-INDEX(Matches!$O$5:$O$12,MATCH($B46,Matches!$A$5:$A$12,0)))),"")</f>
        <v>0.7014</v>
      </c>
      <c r="V46" s="6" t="n">
        <f aca="false">IFERROR(N(INDEX(Matches!$Q$5:$Q$12,MATCH($B46,Matches!$A$5:$A$12,0))),0)</f>
        <v>0.3275</v>
      </c>
      <c r="W46" s="12" t="n">
        <f aca="false">IF(OR($U46="",$J46=""),"",$L46*($U46*$J46+(1-$U46)*$K46))</f>
        <v>0.700642014076881</v>
      </c>
      <c r="X46" s="6" t="n">
        <f aca="false">IF($W46="","",IF(LEFT($B46,4)="DOTA",Config!$B$7,Config!$B$6)*$W46+$L46^2*$U46*(1-$U46)*($J46-$K46)^2)</f>
        <v>0.954878804980101</v>
      </c>
      <c r="Y46" s="12" t="n">
        <f aca="false">IF($O46="","",$O46)</f>
        <v>0.741226475365458</v>
      </c>
      <c r="Z46" s="6" t="n">
        <f aca="false">IF($P46="","",$P46)</f>
        <v>0.998494881580576</v>
      </c>
      <c r="AA46" s="12" t="n">
        <f aca="false">IF($O46="","",N($N46)*N($O46)+N($R46)*N($S46))</f>
        <v>1.48245295073092</v>
      </c>
      <c r="AB46" s="6" t="n">
        <f aca="false">IF($O46="","",(N($N46)*N($P46)+N($N46)*(1-N($N46))*N($O46)^2)+(N($R46)*N($T46)+N($R46)*(1-N($R46))*N($S46)^2))</f>
        <v>1.99698976316115</v>
      </c>
      <c r="AC46" s="12" t="n">
        <f aca="false">IF($O46="","",N($N46)*N($O46)+N($R46)*N($S46)+N($V46)*N($W46))</f>
        <v>1.71191321034109</v>
      </c>
      <c r="AD46" s="6" t="n">
        <f aca="false">IF($O46="","",(N($N46)*N($P46)+N($N46)*(1-N($N46))*N($O46)^2)+(N($R46)*N($T46)+N($R46)*(1-N($R46))*N($S46)^2)+(N($V46)*N($X46)+N($V46)*(1-N($V46))*N($W46)^2))</f>
        <v>2.41783005949564</v>
      </c>
      <c r="AE46" s="12" t="n">
        <f aca="false">IF($I46="","",$I46*$L46)</f>
        <v>0.7</v>
      </c>
      <c r="AF46" s="12" t="n">
        <f aca="false">IF($I46="","",$I46*$L46*(1+N($R46)))</f>
        <v>1.4</v>
      </c>
      <c r="AG46" s="12" t="n">
        <f aca="false">IF($I46="","",$I46*$L46*(1+N($R46)+N($V46)))</f>
        <v>1.62925</v>
      </c>
      <c r="AH46" s="0" t="str">
        <f aca="false">TRIM(IF($G46&lt;Config!$B$9,"thin sample ("&amp;$G46&amp;" maps) · ","")&amp;IF($I46="","no PickFinder stats · ","")&amp;IFERROR(IF(INDEX(Players!$T$2:$T$71,MATCH($E46,Players!$A$2:$A$71,0))&lt;0.5,"new roster: "&amp;TEXT(INDEX(Players!$T$2:$T$71,MATCH($E46,Players!$A$2:$A$71,0)),"0%")&amp;" of his recent games with these teammates",""),""))</f>
        <v>new roster: 0% of his recent games with these teammates</v>
      </c>
      <c r="AI46" s="0" t="str">
        <f aca="false">IF($B46=Board!$B$2,COUNTIFS($B$2:$B$71,Board!$B$2,$Y$2:$Y$71,"&gt;"&amp;$Y46)+COUNTIFS($B$1:$B45,Board!$B$2,$Y$1:$Y45,$Y46)+1,"")</f>
        <v/>
      </c>
      <c r="AJ46" s="0" t="str">
        <f aca="false">IFERROR(IF(INDEX(Matches!$D$5:$D$12,MATCH($B46,Matches!$A$5:$A$12,0))=3,"K12","K13"),"K13")</f>
        <v>K12</v>
      </c>
      <c r="AK46" s="12" t="n">
        <f aca="false">IF($AJ46="K12",$AA46,$AC46)</f>
        <v>1.48245295073092</v>
      </c>
    </row>
    <row r="47" customFormat="false" ht="15" hidden="false" customHeight="false" outlineLevel="0" collapsed="false">
      <c r="A47" s="0" t="s">
        <v>264</v>
      </c>
      <c r="B47" s="0" t="s">
        <v>116</v>
      </c>
      <c r="C47" s="0" t="s">
        <v>120</v>
      </c>
      <c r="D47" s="0" t="s">
        <v>263</v>
      </c>
      <c r="E47" s="0" t="s">
        <v>392</v>
      </c>
      <c r="F47" s="0" t="str">
        <f aca="false">IFERROR(IF($C47=INDEX(Matches!$S$5:$S$12,MATCH($B47,Matches!$A$5:$A$12,0)),"A",IF($C47=INDEX(Matches!$T$5:$T$12,MATCH($B47,Matches!$A$5:$A$12,0)),"B","")),"")</f>
        <v>A</v>
      </c>
      <c r="G47" s="0" t="n">
        <f aca="false">IFERROR(INDEX(Players!$E$2:$E$71,MATCH($E47,Players!$A$2:$A$71,0)),0)</f>
        <v>30</v>
      </c>
      <c r="H47" s="7" t="n">
        <f aca="false">IFERROR(INDEX(Players!$F$2:$F$71,MATCH($E47,Players!$A$2:$A$71,0)),"")</f>
        <v>0.7</v>
      </c>
      <c r="I47" s="6" t="n">
        <f aca="false">IFERROR(INDEX(Players!$G$2:$G$71,MATCH($E47,Players!$A$2:$A$71,0)),"")</f>
        <v>3.6</v>
      </c>
      <c r="J47" s="12" t="n">
        <f aca="false">IF(OR($I47="",$H47=""),"",$I47*IF(LEFT($B47,4)="DOTA",Config!$B$5,Config!$B$4)/($H47*IF(LEFT($B47,4)="DOTA",Config!$B$5,Config!$B$4)+1-$H47))</f>
        <v>4.30752571737954</v>
      </c>
      <c r="K47" s="12" t="n">
        <f aca="false">IF(OR($I47="",$H47=""),"",$I47/($H47*IF(LEFT($B47,4)="DOTA",Config!$B$5,Config!$B$4)+1-$H47))</f>
        <v>1.94910665944775</v>
      </c>
      <c r="L47" s="6" t="n">
        <f aca="false">IFERROR(INDEX(Matches!$R$5:$R$12,MATCH($B47,Matches!$A$5:$A$12,0)),1)</f>
        <v>1</v>
      </c>
      <c r="M47" s="7" t="n">
        <f aca="false">IFERROR(IF(INDEX(Matches!$M$5:$M$12,MATCH($B47,Matches!$A$5:$A$12,0))="","",IF($F47="A",INDEX(Matches!$M$5:$M$12,MATCH($B47,Matches!$A$5:$A$12,0)),1-INDEX(Matches!$M$5:$M$12,MATCH($B47,Matches!$A$5:$A$12,0)))),"")</f>
        <v>0.7899</v>
      </c>
      <c r="N47" s="6" t="n">
        <f aca="false">1</f>
        <v>1</v>
      </c>
      <c r="O47" s="12" t="n">
        <f aca="false">IF(OR($M47="",$J47=""),"",$L47*($M47*$J47+(1-$M47)*$K47))</f>
        <v>3.81202187330807</v>
      </c>
      <c r="P47" s="6" t="n">
        <f aca="false">IF($O47="","",IF(LEFT($B47,4)="DOTA",Config!$B$7,Config!$B$6)*$O47+$L47^2*$M47*(1-$M47)*($J47-$K47)^2)</f>
        <v>5.87871008494749</v>
      </c>
      <c r="Q47" s="7" t="n">
        <f aca="false">IFERROR(IF(INDEX(Matches!$N$5:$N$12,MATCH($B47,Matches!$A$5:$A$12,0))="","",IF($F47="A",INDEX(Matches!$N$5:$N$12,MATCH($B47,Matches!$A$5:$A$12,0)),1-INDEX(Matches!$N$5:$N$12,MATCH($B47,Matches!$A$5:$A$12,0)))),"")</f>
        <v>0.7899</v>
      </c>
      <c r="R47" s="6" t="n">
        <f aca="false">IFERROR(N(INDEX(Matches!$P$5:$P$12,MATCH($B47,Matches!$A$5:$A$12,0))),0)</f>
        <v>1</v>
      </c>
      <c r="S47" s="12" t="n">
        <f aca="false">IF(OR($Q47="",$J47=""),"",$L47*($Q47*$J47+(1-$Q47)*$K47))</f>
        <v>3.81202187330807</v>
      </c>
      <c r="T47" s="6" t="n">
        <f aca="false">IF($S47="","",IF(LEFT($B47,4)="DOTA",Config!$B$7,Config!$B$6)*$S47+$L47^2*$Q47*(1-$Q47)*($J47-$K47)^2)</f>
        <v>5.87871008494749</v>
      </c>
      <c r="U47" s="7" t="n">
        <f aca="false">IFERROR(IF(INDEX(Matches!$O$5:$O$12,MATCH($B47,Matches!$A$5:$A$12,0))="","",IF($F47="A",INDEX(Matches!$O$5:$O$12,MATCH($B47,Matches!$A$5:$A$12,0)),1-INDEX(Matches!$O$5:$O$12,MATCH($B47,Matches!$A$5:$A$12,0)))),"")</f>
        <v>0.7014</v>
      </c>
      <c r="V47" s="6" t="n">
        <f aca="false">IFERROR(N(INDEX(Matches!$Q$5:$Q$12,MATCH($B47,Matches!$A$5:$A$12,0))),0)</f>
        <v>0.3275</v>
      </c>
      <c r="W47" s="12" t="n">
        <f aca="false">IF(OR($U47="",$J47=""),"",$L47*($U47*$J47+(1-$U47)*$K47))</f>
        <v>3.60330178668111</v>
      </c>
      <c r="X47" s="6" t="n">
        <f aca="false">IF($W47="","",IF(LEFT($B47,4)="DOTA",Config!$B$7,Config!$B$6)*$W47+$L47^2*$U47*(1-$U47)*($J47-$K47)^2)</f>
        <v>5.8492161173279</v>
      </c>
      <c r="Y47" s="12" t="n">
        <f aca="false">IF($O47="","",$O47)</f>
        <v>3.81202187330807</v>
      </c>
      <c r="Z47" s="6" t="n">
        <f aca="false">IF($P47="","",$P47)</f>
        <v>5.87871008494749</v>
      </c>
      <c r="AA47" s="12" t="n">
        <f aca="false">IF($O47="","",N($N47)*N($O47)+N($R47)*N($S47))</f>
        <v>7.62404374661614</v>
      </c>
      <c r="AB47" s="6" t="n">
        <f aca="false">IF($O47="","",(N($N47)*N($P47)+N($N47)*(1-N($N47))*N($O47)^2)+(N($R47)*N($T47)+N($R47)*(1-N($R47))*N($S47)^2))</f>
        <v>11.757420169895</v>
      </c>
      <c r="AC47" s="12" t="n">
        <f aca="false">IF($O47="","",N($N47)*N($O47)+N($R47)*N($S47)+N($V47)*N($W47))</f>
        <v>8.8041250817542</v>
      </c>
      <c r="AD47" s="6" t="n">
        <f aca="false">IF($O47="","",(N($N47)*N($P47)+N($N47)*(1-N($N47))*N($O47)^2)+(N($R47)*N($T47)+N($R47)*(1-N($R47))*N($S47)^2)+(N($V47)*N($X47)+N($V47)*(1-N($V47))*N($W47)^2))</f>
        <v>16.5326356741106</v>
      </c>
      <c r="AE47" s="12" t="n">
        <f aca="false">IF($I47="","",$I47*$L47)</f>
        <v>3.6</v>
      </c>
      <c r="AF47" s="12" t="n">
        <f aca="false">IF($I47="","",$I47*$L47*(1+N($R47)))</f>
        <v>7.2</v>
      </c>
      <c r="AG47" s="12" t="n">
        <f aca="false">IF($I47="","",$I47*$L47*(1+N($R47)+N($V47)))</f>
        <v>8.379</v>
      </c>
      <c r="AH47" s="0" t="str">
        <f aca="false">TRIM(IF($G47&lt;Config!$B$9,"thin sample ("&amp;$G47&amp;" maps) · ","")&amp;IF($I47="","no PickFinder stats · ","")&amp;IFERROR(IF(INDEX(Players!$T$2:$T$71,MATCH($E47,Players!$A$2:$A$71,0))&lt;0.5,"new roster: "&amp;TEXT(INDEX(Players!$T$2:$T$71,MATCH($E47,Players!$A$2:$A$71,0)),"0%")&amp;" of his recent games with these teammates",""),""))</f>
        <v>new roster: 0% of his recent games with these teammates</v>
      </c>
      <c r="AI47" s="0" t="str">
        <f aca="false">IF($B47=Board!$B$2,COUNTIFS($B$2:$B$71,Board!$B$2,$Y$2:$Y$71,"&gt;"&amp;$Y47)+COUNTIFS($B$1:$B46,Board!$B$2,$Y$1:$Y46,$Y47)+1,"")</f>
        <v/>
      </c>
      <c r="AJ47" s="0" t="str">
        <f aca="false">IFERROR(IF(INDEX(Matches!$D$5:$D$12,MATCH($B47,Matches!$A$5:$A$12,0))=3,"K12","K13"),"K13")</f>
        <v>K12</v>
      </c>
      <c r="AK47" s="12" t="n">
        <f aca="false">IF($AJ47="K12",$AA47,$AC47)</f>
        <v>7.62404374661614</v>
      </c>
    </row>
    <row r="48" customFormat="false" ht="15" hidden="false" customHeight="false" outlineLevel="0" collapsed="false">
      <c r="A48" s="0" t="s">
        <v>266</v>
      </c>
      <c r="B48" s="0" t="s">
        <v>116</v>
      </c>
      <c r="C48" s="0" t="s">
        <v>120</v>
      </c>
      <c r="D48" s="0" t="s">
        <v>265</v>
      </c>
      <c r="E48" s="0" t="s">
        <v>393</v>
      </c>
      <c r="F48" s="0" t="str">
        <f aca="false">IFERROR(IF($C48=INDEX(Matches!$S$5:$S$12,MATCH($B48,Matches!$A$5:$A$12,0)),"A",IF($C48=INDEX(Matches!$T$5:$T$12,MATCH($B48,Matches!$A$5:$A$12,0)),"B","")),"")</f>
        <v>A</v>
      </c>
      <c r="G48" s="0" t="n">
        <f aca="false">IFERROR(INDEX(Players!$E$2:$E$71,MATCH($E48,Players!$A$2:$A$71,0)),0)</f>
        <v>30</v>
      </c>
      <c r="H48" s="7" t="n">
        <f aca="false">IFERROR(INDEX(Players!$F$2:$F$71,MATCH($E48,Players!$A$2:$A$71,0)),"")</f>
        <v>0.7</v>
      </c>
      <c r="I48" s="6" t="n">
        <f aca="false">IFERROR(INDEX(Players!$G$2:$G$71,MATCH($E48,Players!$A$2:$A$71,0)),"")</f>
        <v>4.8</v>
      </c>
      <c r="J48" s="12" t="n">
        <f aca="false">IF(OR($I48="",$H48=""),"",$I48*IF(LEFT($B48,4)="DOTA",Config!$B$5,Config!$B$4)/($H48*IF(LEFT($B48,4)="DOTA",Config!$B$5,Config!$B$4)+1-$H48))</f>
        <v>5.74336762317271</v>
      </c>
      <c r="K48" s="12" t="n">
        <f aca="false">IF(OR($I48="",$H48=""),"",$I48/($H48*IF(LEFT($B48,4)="DOTA",Config!$B$5,Config!$B$4)+1-$H48))</f>
        <v>2.59880887926367</v>
      </c>
      <c r="L48" s="6" t="n">
        <f aca="false">IFERROR(INDEX(Matches!$R$5:$R$12,MATCH($B48,Matches!$A$5:$A$12,0)),1)</f>
        <v>1</v>
      </c>
      <c r="M48" s="7" t="n">
        <f aca="false">IFERROR(IF(INDEX(Matches!$M$5:$M$12,MATCH($B48,Matches!$A$5:$A$12,0))="","",IF($F48="A",INDEX(Matches!$M$5:$M$12,MATCH($B48,Matches!$A$5:$A$12,0)),1-INDEX(Matches!$M$5:$M$12,MATCH($B48,Matches!$A$5:$A$12,0)))),"")</f>
        <v>0.7899</v>
      </c>
      <c r="N48" s="6" t="n">
        <f aca="false">1</f>
        <v>1</v>
      </c>
      <c r="O48" s="12" t="n">
        <f aca="false">IF(OR($M48="",$J48=""),"",$L48*($M48*$J48+(1-$M48)*$K48))</f>
        <v>5.08269583107742</v>
      </c>
      <c r="P48" s="6" t="n">
        <f aca="false">IF($O48="","",IF(LEFT($B48,4)="DOTA",Config!$B$7,Config!$B$6)*$O48+$L48^2*$M48*(1-$M48)*($J48-$K48)^2)</f>
        <v>8.24853862421755</v>
      </c>
      <c r="Q48" s="7" t="n">
        <f aca="false">IFERROR(IF(INDEX(Matches!$N$5:$N$12,MATCH($B48,Matches!$A$5:$A$12,0))="","",IF($F48="A",INDEX(Matches!$N$5:$N$12,MATCH($B48,Matches!$A$5:$A$12,0)),1-INDEX(Matches!$N$5:$N$12,MATCH($B48,Matches!$A$5:$A$12,0)))),"")</f>
        <v>0.7899</v>
      </c>
      <c r="R48" s="6" t="n">
        <f aca="false">IFERROR(N(INDEX(Matches!$P$5:$P$12,MATCH($B48,Matches!$A$5:$A$12,0))),0)</f>
        <v>1</v>
      </c>
      <c r="S48" s="12" t="n">
        <f aca="false">IF(OR($Q48="",$J48=""),"",$L48*($Q48*$J48+(1-$Q48)*$K48))</f>
        <v>5.08269583107742</v>
      </c>
      <c r="T48" s="6" t="n">
        <f aca="false">IF($S48="","",IF(LEFT($B48,4)="DOTA",Config!$B$7,Config!$B$6)*$S48+$L48^2*$Q48*(1-$Q48)*($J48-$K48)^2)</f>
        <v>8.24853862421755</v>
      </c>
      <c r="U48" s="7" t="n">
        <f aca="false">IFERROR(IF(INDEX(Matches!$O$5:$O$12,MATCH($B48,Matches!$A$5:$A$12,0))="","",IF($F48="A",INDEX(Matches!$O$5:$O$12,MATCH($B48,Matches!$A$5:$A$12,0)),1-INDEX(Matches!$O$5:$O$12,MATCH($B48,Matches!$A$5:$A$12,0)))),"")</f>
        <v>0.7014</v>
      </c>
      <c r="V48" s="6" t="n">
        <f aca="false">IFERROR(N(INDEX(Matches!$Q$5:$Q$12,MATCH($B48,Matches!$A$5:$A$12,0))),0)</f>
        <v>0.3275</v>
      </c>
      <c r="W48" s="12" t="n">
        <f aca="false">IF(OR($U48="",$J48=""),"",$L48*($U48*$J48+(1-$U48)*$K48))</f>
        <v>4.80440238224147</v>
      </c>
      <c r="X48" s="6" t="n">
        <f aca="false">IF($W48="","",IF(LEFT($B48,4)="DOTA",Config!$B$7,Config!$B$6)*$W48+$L48^2*$U48*(1-$U48)*($J48-$K48)^2)</f>
        <v>8.31669873183384</v>
      </c>
      <c r="Y48" s="12" t="n">
        <f aca="false">IF($O48="","",$O48)</f>
        <v>5.08269583107742</v>
      </c>
      <c r="Z48" s="6" t="n">
        <f aca="false">IF($P48="","",$P48)</f>
        <v>8.24853862421755</v>
      </c>
      <c r="AA48" s="12" t="n">
        <f aca="false">IF($O48="","",N($N48)*N($O48)+N($R48)*N($S48))</f>
        <v>10.1653916621548</v>
      </c>
      <c r="AB48" s="6" t="n">
        <f aca="false">IF($O48="","",(N($N48)*N($P48)+N($N48)*(1-N($N48))*N($O48)^2)+(N($R48)*N($T48)+N($R48)*(1-N($R48))*N($S48)^2))</f>
        <v>16.4970772484351</v>
      </c>
      <c r="AC48" s="12" t="n">
        <f aca="false">IF($O48="","",N($N48)*N($O48)+N($R48)*N($S48)+N($V48)*N($W48))</f>
        <v>11.7388334423389</v>
      </c>
      <c r="AD48" s="6" t="n">
        <f aca="false">IF($O48="","",(N($N48)*N($P48)+N($N48)*(1-N($N48))*N($O48)^2)+(N($R48)*N($T48)+N($R48)*(1-N($R48))*N($S48)^2)+(N($V48)*N($X48)+N($V48)*(1-N($V48))*N($W48)^2))</f>
        <v>24.3045244845165</v>
      </c>
      <c r="AE48" s="12" t="n">
        <f aca="false">IF($I48="","",$I48*$L48)</f>
        <v>4.8</v>
      </c>
      <c r="AF48" s="12" t="n">
        <f aca="false">IF($I48="","",$I48*$L48*(1+N($R48)))</f>
        <v>9.6</v>
      </c>
      <c r="AG48" s="12" t="n">
        <f aca="false">IF($I48="","",$I48*$L48*(1+N($R48)+N($V48)))</f>
        <v>11.172</v>
      </c>
      <c r="AH48" s="0" t="str">
        <f aca="false">TRIM(IF($G48&lt;Config!$B$9,"thin sample ("&amp;$G48&amp;" maps) · ","")&amp;IF($I48="","no PickFinder stats · ","")&amp;IFERROR(IF(INDEX(Players!$T$2:$T$71,MATCH($E48,Players!$A$2:$A$71,0))&lt;0.5,"new roster: "&amp;TEXT(INDEX(Players!$T$2:$T$71,MATCH($E48,Players!$A$2:$A$71,0)),"0%")&amp;" of his recent games with these teammates",""),""))</f>
        <v>new roster: 0% of his recent games with these teammates</v>
      </c>
      <c r="AI48" s="0" t="str">
        <f aca="false">IF($B48=Board!$B$2,COUNTIFS($B$2:$B$71,Board!$B$2,$Y$2:$Y$71,"&gt;"&amp;$Y48)+COUNTIFS($B$1:$B47,Board!$B$2,$Y$1:$Y47,$Y48)+1,"")</f>
        <v/>
      </c>
      <c r="AJ48" s="0" t="str">
        <f aca="false">IFERROR(IF(INDEX(Matches!$D$5:$D$12,MATCH($B48,Matches!$A$5:$A$12,0))=3,"K12","K13"),"K13")</f>
        <v>K12</v>
      </c>
      <c r="AK48" s="12" t="n">
        <f aca="false">IF($AJ48="K12",$AA48,$AC48)</f>
        <v>10.1653916621548</v>
      </c>
    </row>
    <row r="49" customFormat="false" ht="15" hidden="false" customHeight="false" outlineLevel="0" collapsed="false">
      <c r="A49" s="0" t="s">
        <v>269</v>
      </c>
      <c r="B49" s="0" t="s">
        <v>116</v>
      </c>
      <c r="C49" s="0" t="s">
        <v>121</v>
      </c>
      <c r="D49" s="0" t="s">
        <v>267</v>
      </c>
      <c r="E49" s="0" t="s">
        <v>394</v>
      </c>
      <c r="F49" s="0" t="str">
        <f aca="false">IFERROR(IF($C49=INDEX(Matches!$S$5:$S$12,MATCH($B49,Matches!$A$5:$A$12,0)),"A",IF($C49=INDEX(Matches!$T$5:$T$12,MATCH($B49,Matches!$A$5:$A$12,0)),"B","")),"")</f>
        <v>B</v>
      </c>
      <c r="G49" s="0" t="n">
        <f aca="false">IFERROR(INDEX(Players!$E$2:$E$71,MATCH($E49,Players!$A$2:$A$71,0)),0)</f>
        <v>30</v>
      </c>
      <c r="H49" s="7" t="n">
        <f aca="false">IFERROR(INDEX(Players!$F$2:$F$71,MATCH($E49,Players!$A$2:$A$71,0)),"")</f>
        <v>0.67</v>
      </c>
      <c r="I49" s="6" t="n">
        <f aca="false">IFERROR(INDEX(Players!$G$2:$G$71,MATCH($E49,Players!$A$2:$A$71,0)),"")</f>
        <v>4.9</v>
      </c>
      <c r="J49" s="12" t="n">
        <f aca="false">IF(OR($I49="",$H49=""),"",$I49*IF(LEFT($B49,4)="DOTA",Config!$B$5,Config!$B$4)/($H49*IF(LEFT($B49,4)="DOTA",Config!$B$5,Config!$B$4)+1-$H49))</f>
        <v>5.98056000441818</v>
      </c>
      <c r="K49" s="12" t="n">
        <f aca="false">IF(OR($I49="",$H49=""),"",$I49/($H49*IF(LEFT($B49,4)="DOTA",Config!$B$5,Config!$B$4)+1-$H49))</f>
        <v>2.70613574860551</v>
      </c>
      <c r="L49" s="6" t="n">
        <f aca="false">IFERROR(INDEX(Matches!$R$5:$R$12,MATCH($B49,Matches!$A$5:$A$12,0)),1)</f>
        <v>1</v>
      </c>
      <c r="M49" s="7" t="n">
        <f aca="false">IFERROR(IF(INDEX(Matches!$M$5:$M$12,MATCH($B49,Matches!$A$5:$A$12,0))="","",IF($F49="A",INDEX(Matches!$M$5:$M$12,MATCH($B49,Matches!$A$5:$A$12,0)),1-INDEX(Matches!$M$5:$M$12,MATCH($B49,Matches!$A$5:$A$12,0)))),"")</f>
        <v>0.2101</v>
      </c>
      <c r="N49" s="6" t="n">
        <f aca="false">1</f>
        <v>1</v>
      </c>
      <c r="O49" s="12" t="n">
        <f aca="false">IF(OR($M49="",$J49=""),"",$L49*($M49*$J49+(1-$M49)*$K49))</f>
        <v>3.39409228475175</v>
      </c>
      <c r="P49" s="6" t="n">
        <f aca="false">IF($O49="","",IF(LEFT($B49,4)="DOTA",Config!$B$7,Config!$B$6)*$O49+$L49^2*$M49*(1-$M49)*($J49-$K49)^2)</f>
        <v>6.19169734345306</v>
      </c>
      <c r="Q49" s="7" t="n">
        <f aca="false">IFERROR(IF(INDEX(Matches!$N$5:$N$12,MATCH($B49,Matches!$A$5:$A$12,0))="","",IF($F49="A",INDEX(Matches!$N$5:$N$12,MATCH($B49,Matches!$A$5:$A$12,0)),1-INDEX(Matches!$N$5:$N$12,MATCH($B49,Matches!$A$5:$A$12,0)))),"")</f>
        <v>0.2101</v>
      </c>
      <c r="R49" s="6" t="n">
        <f aca="false">IFERROR(N(INDEX(Matches!$P$5:$P$12,MATCH($B49,Matches!$A$5:$A$12,0))),0)</f>
        <v>1</v>
      </c>
      <c r="S49" s="12" t="n">
        <f aca="false">IF(OR($Q49="",$J49=""),"",$L49*($Q49*$J49+(1-$Q49)*$K49))</f>
        <v>3.39409228475175</v>
      </c>
      <c r="T49" s="6" t="n">
        <f aca="false">IF($S49="","",IF(LEFT($B49,4)="DOTA",Config!$B$7,Config!$B$6)*$S49+$L49^2*$Q49*(1-$Q49)*($J49-$K49)^2)</f>
        <v>6.19169734345306</v>
      </c>
      <c r="U49" s="7" t="n">
        <f aca="false">IFERROR(IF(INDEX(Matches!$O$5:$O$12,MATCH($B49,Matches!$A$5:$A$12,0))="","",IF($F49="A",INDEX(Matches!$O$5:$O$12,MATCH($B49,Matches!$A$5:$A$12,0)),1-INDEX(Matches!$O$5:$O$12,MATCH($B49,Matches!$A$5:$A$12,0)))),"")</f>
        <v>0.2986</v>
      </c>
      <c r="V49" s="6" t="n">
        <f aca="false">IFERROR(N(INDEX(Matches!$Q$5:$Q$12,MATCH($B49,Matches!$A$5:$A$12,0))),0)</f>
        <v>0.3275</v>
      </c>
      <c r="W49" s="12" t="n">
        <f aca="false">IF(OR($U49="",$J49=""),"",$L49*($U49*$J49+(1-$U49)*$K49))</f>
        <v>3.68387883139117</v>
      </c>
      <c r="X49" s="6" t="n">
        <f aca="false">IF($W49="","",IF(LEFT($B49,4)="DOTA",Config!$B$7,Config!$B$6)*$W49+$L49^2*$U49*(1-$U49)*($J49-$K49)^2)</f>
        <v>7.03460661109974</v>
      </c>
      <c r="Y49" s="12" t="n">
        <f aca="false">IF($O49="","",$O49)</f>
        <v>3.39409228475175</v>
      </c>
      <c r="Z49" s="6" t="n">
        <f aca="false">IF($P49="","",$P49)</f>
        <v>6.19169734345306</v>
      </c>
      <c r="AA49" s="12" t="n">
        <f aca="false">IF($O49="","",N($N49)*N($O49)+N($R49)*N($S49))</f>
        <v>6.78818456950351</v>
      </c>
      <c r="AB49" s="6" t="n">
        <f aca="false">IF($O49="","",(N($N49)*N($P49)+N($N49)*(1-N($N49))*N($O49)^2)+(N($R49)*N($T49)+N($R49)*(1-N($R49))*N($S49)^2))</f>
        <v>12.3833946869061</v>
      </c>
      <c r="AC49" s="12" t="n">
        <f aca="false">IF($O49="","",N($N49)*N($O49)+N($R49)*N($S49)+N($V49)*N($W49))</f>
        <v>7.99465488678412</v>
      </c>
      <c r="AD49" s="6" t="n">
        <f aca="false">IF($O49="","",(N($N49)*N($P49)+N($N49)*(1-N($N49))*N($O49)^2)+(N($R49)*N($T49)+N($R49)*(1-N($R49))*N($S49)^2)+(N($V49)*N($X49)+N($V49)*(1-N($V49))*N($W49)^2))</f>
        <v>17.676148188094</v>
      </c>
      <c r="AE49" s="12" t="n">
        <f aca="false">IF($I49="","",$I49*$L49)</f>
        <v>4.9</v>
      </c>
      <c r="AF49" s="12" t="n">
        <f aca="false">IF($I49="","",$I49*$L49*(1+N($R49)))</f>
        <v>9.8</v>
      </c>
      <c r="AG49" s="12" t="n">
        <f aca="false">IF($I49="","",$I49*$L49*(1+N($R49)+N($V49)))</f>
        <v>11.40475</v>
      </c>
      <c r="AH49" s="0" t="str">
        <f aca="false">TRIM(IF($G49&lt;Config!$B$9,"thin sample ("&amp;$G49&amp;" maps) · ","")&amp;IF($I49="","no PickFinder stats · ","")&amp;IFERROR(IF(INDEX(Players!$T$2:$T$71,MATCH($E49,Players!$A$2:$A$71,0))&lt;0.5,"new roster: "&amp;TEXT(INDEX(Players!$T$2:$T$71,MATCH($E49,Players!$A$2:$A$71,0)),"0%")&amp;" of his recent games with these teammates",""),""))</f>
        <v>new roster: 0% of his recent games with these teammates</v>
      </c>
      <c r="AI49" s="0" t="str">
        <f aca="false">IF($B49=Board!$B$2,COUNTIFS($B$2:$B$71,Board!$B$2,$Y$2:$Y$71,"&gt;"&amp;$Y49)+COUNTIFS($B$1:$B48,Board!$B$2,$Y$1:$Y48,$Y49)+1,"")</f>
        <v/>
      </c>
      <c r="AJ49" s="0" t="str">
        <f aca="false">IFERROR(IF(INDEX(Matches!$D$5:$D$12,MATCH($B49,Matches!$A$5:$A$12,0))=3,"K12","K13"),"K13")</f>
        <v>K12</v>
      </c>
      <c r="AK49" s="12" t="n">
        <f aca="false">IF($AJ49="K12",$AA49,$AC49)</f>
        <v>6.78818456950351</v>
      </c>
    </row>
    <row r="50" customFormat="false" ht="15" hidden="false" customHeight="false" outlineLevel="0" collapsed="false">
      <c r="A50" s="0" t="s">
        <v>271</v>
      </c>
      <c r="B50" s="0" t="s">
        <v>116</v>
      </c>
      <c r="C50" s="0" t="s">
        <v>121</v>
      </c>
      <c r="D50" s="0" t="s">
        <v>270</v>
      </c>
      <c r="E50" s="0" t="s">
        <v>395</v>
      </c>
      <c r="F50" s="0" t="str">
        <f aca="false">IFERROR(IF($C50=INDEX(Matches!$S$5:$S$12,MATCH($B50,Matches!$A$5:$A$12,0)),"A",IF($C50=INDEX(Matches!$T$5:$T$12,MATCH($B50,Matches!$A$5:$A$12,0)),"B","")),"")</f>
        <v>B</v>
      </c>
      <c r="G50" s="0" t="n">
        <f aca="false">IFERROR(INDEX(Players!$E$2:$E$71,MATCH($E50,Players!$A$2:$A$71,0)),0)</f>
        <v>30</v>
      </c>
      <c r="H50" s="7" t="n">
        <f aca="false">IFERROR(INDEX(Players!$F$2:$F$71,MATCH($E50,Players!$A$2:$A$71,0)),"")</f>
        <v>0.67</v>
      </c>
      <c r="I50" s="6" t="n">
        <f aca="false">IFERROR(INDEX(Players!$G$2:$G$71,MATCH($E50,Players!$A$2:$A$71,0)),"")</f>
        <v>2.1</v>
      </c>
      <c r="J50" s="12" t="n">
        <f aca="false">IF(OR($I50="",$H50=""),"",$I50*IF(LEFT($B50,4)="DOTA",Config!$B$5,Config!$B$4)/($H50*IF(LEFT($B50,4)="DOTA",Config!$B$5,Config!$B$4)+1-$H50))</f>
        <v>2.56309714475065</v>
      </c>
      <c r="K50" s="12" t="n">
        <f aca="false">IF(OR($I50="",$H50=""),"",$I50/($H50*IF(LEFT($B50,4)="DOTA",Config!$B$5,Config!$B$4)+1-$H50))</f>
        <v>1.15977246368808</v>
      </c>
      <c r="L50" s="6" t="n">
        <f aca="false">IFERROR(INDEX(Matches!$R$5:$R$12,MATCH($B50,Matches!$A$5:$A$12,0)),1)</f>
        <v>1</v>
      </c>
      <c r="M50" s="7" t="n">
        <f aca="false">IFERROR(IF(INDEX(Matches!$M$5:$M$12,MATCH($B50,Matches!$A$5:$A$12,0))="","",IF($F50="A",INDEX(Matches!$M$5:$M$12,MATCH($B50,Matches!$A$5:$A$12,0)),1-INDEX(Matches!$M$5:$M$12,MATCH($B50,Matches!$A$5:$A$12,0)))),"")</f>
        <v>0.2101</v>
      </c>
      <c r="N50" s="6" t="n">
        <f aca="false">1</f>
        <v>1</v>
      </c>
      <c r="O50" s="12" t="n">
        <f aca="false">IF(OR($M50="",$J50=""),"",$L50*($M50*$J50+(1-$M50)*$K50))</f>
        <v>1.45461097917932</v>
      </c>
      <c r="P50" s="6" t="n">
        <f aca="false">IF($O50="","",IF(LEFT($B50,4)="DOTA",Config!$B$7,Config!$B$6)*$O50+$L50^2*$M50*(1-$M50)*($J50-$K50)^2)</f>
        <v>2.21781868843275</v>
      </c>
      <c r="Q50" s="7" t="n">
        <f aca="false">IFERROR(IF(INDEX(Matches!$N$5:$N$12,MATCH($B50,Matches!$A$5:$A$12,0))="","",IF($F50="A",INDEX(Matches!$N$5:$N$12,MATCH($B50,Matches!$A$5:$A$12,0)),1-INDEX(Matches!$N$5:$N$12,MATCH($B50,Matches!$A$5:$A$12,0)))),"")</f>
        <v>0.2101</v>
      </c>
      <c r="R50" s="6" t="n">
        <f aca="false">IFERROR(N(INDEX(Matches!$P$5:$P$12,MATCH($B50,Matches!$A$5:$A$12,0))),0)</f>
        <v>1</v>
      </c>
      <c r="S50" s="12" t="n">
        <f aca="false">IF(OR($Q50="",$J50=""),"",$L50*($Q50*$J50+(1-$Q50)*$K50))</f>
        <v>1.45461097917932</v>
      </c>
      <c r="T50" s="6" t="n">
        <f aca="false">IF($S50="","",IF(LEFT($B50,4)="DOTA",Config!$B$7,Config!$B$6)*$S50+$L50^2*$Q50*(1-$Q50)*($J50-$K50)^2)</f>
        <v>2.21781868843275</v>
      </c>
      <c r="U50" s="7" t="n">
        <f aca="false">IFERROR(IF(INDEX(Matches!$O$5:$O$12,MATCH($B50,Matches!$A$5:$A$12,0))="","",IF($F50="A",INDEX(Matches!$O$5:$O$12,MATCH($B50,Matches!$A$5:$A$12,0)),1-INDEX(Matches!$O$5:$O$12,MATCH($B50,Matches!$A$5:$A$12,0)))),"")</f>
        <v>0.2986</v>
      </c>
      <c r="V50" s="6" t="n">
        <f aca="false">IFERROR(N(INDEX(Matches!$Q$5:$Q$12,MATCH($B50,Matches!$A$5:$A$12,0))),0)</f>
        <v>0.3275</v>
      </c>
      <c r="W50" s="12" t="n">
        <f aca="false">IF(OR($U50="",$J50=""),"",$L50*($U50*$J50+(1-$U50)*$K50))</f>
        <v>1.57880521345336</v>
      </c>
      <c r="X50" s="6" t="n">
        <f aca="false">IF($W50="","",IF(LEFT($B50,4)="DOTA",Config!$B$7,Config!$B$6)*$W50+$L50^2*$U50*(1-$U50)*($J50-$K50)^2)</f>
        <v>2.46489733203265</v>
      </c>
      <c r="Y50" s="12" t="n">
        <f aca="false">IF($O50="","",$O50)</f>
        <v>1.45461097917932</v>
      </c>
      <c r="Z50" s="6" t="n">
        <f aca="false">IF($P50="","",$P50)</f>
        <v>2.21781868843275</v>
      </c>
      <c r="AA50" s="12" t="n">
        <f aca="false">IF($O50="","",N($N50)*N($O50)+N($R50)*N($S50))</f>
        <v>2.90922195835865</v>
      </c>
      <c r="AB50" s="6" t="n">
        <f aca="false">IF($O50="","",(N($N50)*N($P50)+N($N50)*(1-N($N50))*N($O50)^2)+(N($R50)*N($T50)+N($R50)*(1-N($R50))*N($S50)^2))</f>
        <v>4.43563737686551</v>
      </c>
      <c r="AC50" s="12" t="n">
        <f aca="false">IF($O50="","",N($N50)*N($O50)+N($R50)*N($S50)+N($V50)*N($W50))</f>
        <v>3.42628066576462</v>
      </c>
      <c r="AD50" s="6" t="n">
        <f aca="false">IF($O50="","",(N($N50)*N($P50)+N($N50)*(1-N($N50))*N($O50)^2)+(N($R50)*N($T50)+N($R50)*(1-N($R50))*N($S50)^2)+(N($V50)*N($X50)+N($V50)*(1-N($V50))*N($W50)^2))</f>
        <v>5.79187652911587</v>
      </c>
      <c r="AE50" s="12" t="n">
        <f aca="false">IF($I50="","",$I50*$L50)</f>
        <v>2.1</v>
      </c>
      <c r="AF50" s="12" t="n">
        <f aca="false">IF($I50="","",$I50*$L50*(1+N($R50)))</f>
        <v>4.2</v>
      </c>
      <c r="AG50" s="12" t="n">
        <f aca="false">IF($I50="","",$I50*$L50*(1+N($R50)+N($V50)))</f>
        <v>4.88775</v>
      </c>
      <c r="AH50" s="0" t="str">
        <f aca="false">TRIM(IF($G50&lt;Config!$B$9,"thin sample ("&amp;$G50&amp;" maps) · ","")&amp;IF($I50="","no PickFinder stats · ","")&amp;IFERROR(IF(INDEX(Players!$T$2:$T$71,MATCH($E50,Players!$A$2:$A$71,0))&lt;0.5,"new roster: "&amp;TEXT(INDEX(Players!$T$2:$T$71,MATCH($E50,Players!$A$2:$A$71,0)),"0%")&amp;" of his recent games with these teammates",""),""))</f>
        <v>new roster: 0% of his recent games with these teammates</v>
      </c>
      <c r="AI50" s="0" t="str">
        <f aca="false">IF($B50=Board!$B$2,COUNTIFS($B$2:$B$71,Board!$B$2,$Y$2:$Y$71,"&gt;"&amp;$Y50)+COUNTIFS($B$1:$B49,Board!$B$2,$Y$1:$Y49,$Y50)+1,"")</f>
        <v/>
      </c>
      <c r="AJ50" s="0" t="str">
        <f aca="false">IFERROR(IF(INDEX(Matches!$D$5:$D$12,MATCH($B50,Matches!$A$5:$A$12,0))=3,"K12","K13"),"K13")</f>
        <v>K12</v>
      </c>
      <c r="AK50" s="12" t="n">
        <f aca="false">IF($AJ50="K12",$AA50,$AC50)</f>
        <v>2.90922195835865</v>
      </c>
    </row>
    <row r="51" customFormat="false" ht="15" hidden="false" customHeight="false" outlineLevel="0" collapsed="false">
      <c r="A51" s="0" t="s">
        <v>274</v>
      </c>
      <c r="B51" s="0" t="s">
        <v>116</v>
      </c>
      <c r="C51" s="0" t="s">
        <v>121</v>
      </c>
      <c r="D51" s="0" t="s">
        <v>272</v>
      </c>
      <c r="E51" s="0" t="s">
        <v>396</v>
      </c>
      <c r="F51" s="0" t="str">
        <f aca="false">IFERROR(IF($C51=INDEX(Matches!$S$5:$S$12,MATCH($B51,Matches!$A$5:$A$12,0)),"A",IF($C51=INDEX(Matches!$T$5:$T$12,MATCH($B51,Matches!$A$5:$A$12,0)),"B","")),"")</f>
        <v>B</v>
      </c>
      <c r="G51" s="0" t="n">
        <f aca="false">IFERROR(INDEX(Players!$E$2:$E$71,MATCH($E51,Players!$A$2:$A$71,0)),0)</f>
        <v>30</v>
      </c>
      <c r="H51" s="7" t="n">
        <f aca="false">IFERROR(INDEX(Players!$F$2:$F$71,MATCH($E51,Players!$A$2:$A$71,0)),"")</f>
        <v>0.57</v>
      </c>
      <c r="I51" s="6" t="n">
        <f aca="false">IFERROR(INDEX(Players!$G$2:$G$71,MATCH($E51,Players!$A$2:$A$71,0)),"")</f>
        <v>2.6</v>
      </c>
      <c r="J51" s="12" t="n">
        <f aca="false">IF(OR($I51="",$H51=""),"",$I51*IF(LEFT($B51,4)="DOTA",Config!$B$5,Config!$B$4)/($H51*IF(LEFT($B51,4)="DOTA",Config!$B$5,Config!$B$4)+1-$H51))</f>
        <v>3.40060365745399</v>
      </c>
      <c r="K51" s="12" t="n">
        <f aca="false">IF(OR($I51="",$H51=""),"",$I51/($H51*IF(LEFT($B51,4)="DOTA",Config!$B$5,Config!$B$4)+1-$H51))</f>
        <v>1.53873468663076</v>
      </c>
      <c r="L51" s="6" t="n">
        <f aca="false">IFERROR(INDEX(Matches!$R$5:$R$12,MATCH($B51,Matches!$A$5:$A$12,0)),1)</f>
        <v>1</v>
      </c>
      <c r="M51" s="7" t="n">
        <f aca="false">IFERROR(IF(INDEX(Matches!$M$5:$M$12,MATCH($B51,Matches!$A$5:$A$12,0))="","",IF($F51="A",INDEX(Matches!$M$5:$M$12,MATCH($B51,Matches!$A$5:$A$12,0)),1-INDEX(Matches!$M$5:$M$12,MATCH($B51,Matches!$A$5:$A$12,0)))),"")</f>
        <v>0.2101</v>
      </c>
      <c r="N51" s="6" t="n">
        <f aca="false">1</f>
        <v>1</v>
      </c>
      <c r="O51" s="12" t="n">
        <f aca="false">IF(OR($M51="",$J51=""),"",$L51*($M51*$J51+(1-$M51)*$K51))</f>
        <v>1.92991335740072</v>
      </c>
      <c r="P51" s="6" t="n">
        <f aca="false">IF($O51="","",IF(LEFT($B51,4)="DOTA",Config!$B$7,Config!$B$6)*$O51+$L51^2*$M51*(1-$M51)*($J51-$K51)^2)</f>
        <v>3.08419004131005</v>
      </c>
      <c r="Q51" s="7" t="n">
        <f aca="false">IFERROR(IF(INDEX(Matches!$N$5:$N$12,MATCH($B51,Matches!$A$5:$A$12,0))="","",IF($F51="A",INDEX(Matches!$N$5:$N$12,MATCH($B51,Matches!$A$5:$A$12,0)),1-INDEX(Matches!$N$5:$N$12,MATCH($B51,Matches!$A$5:$A$12,0)))),"")</f>
        <v>0.2101</v>
      </c>
      <c r="R51" s="6" t="n">
        <f aca="false">IFERROR(N(INDEX(Matches!$P$5:$P$12,MATCH($B51,Matches!$A$5:$A$12,0))),0)</f>
        <v>1</v>
      </c>
      <c r="S51" s="12" t="n">
        <f aca="false">IF(OR($Q51="",$J51=""),"",$L51*($Q51*$J51+(1-$Q51)*$K51))</f>
        <v>1.92991335740072</v>
      </c>
      <c r="T51" s="6" t="n">
        <f aca="false">IF($S51="","",IF(LEFT($B51,4)="DOTA",Config!$B$7,Config!$B$6)*$S51+$L51^2*$Q51*(1-$Q51)*($J51-$K51)^2)</f>
        <v>3.08419004131005</v>
      </c>
      <c r="U51" s="7" t="n">
        <f aca="false">IFERROR(IF(INDEX(Matches!$O$5:$O$12,MATCH($B51,Matches!$A$5:$A$12,0))="","",IF($F51="A",INDEX(Matches!$O$5:$O$12,MATCH($B51,Matches!$A$5:$A$12,0)),1-INDEX(Matches!$O$5:$O$12,MATCH($B51,Matches!$A$5:$A$12,0)))),"")</f>
        <v>0.2986</v>
      </c>
      <c r="V51" s="6" t="n">
        <f aca="false">IFERROR(N(INDEX(Matches!$Q$5:$Q$12,MATCH($B51,Matches!$A$5:$A$12,0))),0)</f>
        <v>0.3275</v>
      </c>
      <c r="W51" s="12" t="n">
        <f aca="false">IF(OR($U51="",$J51=""),"",$L51*($U51*$J51+(1-$U51)*$K51))</f>
        <v>2.09468876131858</v>
      </c>
      <c r="X51" s="6" t="n">
        <f aca="false">IF($W51="","",IF(LEFT($B51,4)="DOTA",Config!$B$7,Config!$B$6)*$W51+$L51^2*$U51*(1-$U51)*($J51-$K51)^2)</f>
        <v>3.44912409741615</v>
      </c>
      <c r="Y51" s="12" t="n">
        <f aca="false">IF($O51="","",$O51)</f>
        <v>1.92991335740072</v>
      </c>
      <c r="Z51" s="6" t="n">
        <f aca="false">IF($P51="","",$P51)</f>
        <v>3.08419004131005</v>
      </c>
      <c r="AA51" s="12" t="n">
        <f aca="false">IF($O51="","",N($N51)*N($O51)+N($R51)*N($S51))</f>
        <v>3.85982671480144</v>
      </c>
      <c r="AB51" s="6" t="n">
        <f aca="false">IF($O51="","",(N($N51)*N($P51)+N($N51)*(1-N($N51))*N($O51)^2)+(N($R51)*N($T51)+N($R51)*(1-N($R51))*N($S51)^2))</f>
        <v>6.1683800826201</v>
      </c>
      <c r="AC51" s="12" t="n">
        <f aca="false">IF($O51="","",N($N51)*N($O51)+N($R51)*N($S51)+N($V51)*N($W51))</f>
        <v>4.54583728413328</v>
      </c>
      <c r="AD51" s="6" t="n">
        <f aca="false">IF($O51="","",(N($N51)*N($P51)+N($N51)*(1-N($N51))*N($O51)^2)+(N($R51)*N($T51)+N($R51)*(1-N($R51))*N($S51)^2)+(N($V51)*N($X51)+N($V51)*(1-N($V51))*N($W51)^2))</f>
        <v>8.26433635301405</v>
      </c>
      <c r="AE51" s="12" t="n">
        <f aca="false">IF($I51="","",$I51*$L51)</f>
        <v>2.6</v>
      </c>
      <c r="AF51" s="12" t="n">
        <f aca="false">IF($I51="","",$I51*$L51*(1+N($R51)))</f>
        <v>5.2</v>
      </c>
      <c r="AG51" s="12" t="n">
        <f aca="false">IF($I51="","",$I51*$L51*(1+N($R51)+N($V51)))</f>
        <v>6.0515</v>
      </c>
      <c r="AH51" s="0" t="str">
        <f aca="false">TRIM(IF($G51&lt;Config!$B$9,"thin sample ("&amp;$G51&amp;" maps) · ","")&amp;IF($I51="","no PickFinder stats · ","")&amp;IFERROR(IF(INDEX(Players!$T$2:$T$71,MATCH($E51,Players!$A$2:$A$71,0))&lt;0.5,"new roster: "&amp;TEXT(INDEX(Players!$T$2:$T$71,MATCH($E51,Players!$A$2:$A$71,0)),"0%")&amp;" of his recent games with these teammates",""),""))</f>
        <v>new roster: 0% of his recent games with these teammates</v>
      </c>
      <c r="AI51" s="0" t="str">
        <f aca="false">IF($B51=Board!$B$2,COUNTIFS($B$2:$B$71,Board!$B$2,$Y$2:$Y$71,"&gt;"&amp;$Y51)+COUNTIFS($B$1:$B50,Board!$B$2,$Y$1:$Y50,$Y51)+1,"")</f>
        <v/>
      </c>
      <c r="AJ51" s="0" t="str">
        <f aca="false">IFERROR(IF(INDEX(Matches!$D$5:$D$12,MATCH($B51,Matches!$A$5:$A$12,0))=3,"K12","K13"),"K13")</f>
        <v>K12</v>
      </c>
      <c r="AK51" s="12" t="n">
        <f aca="false">IF($AJ51="K12",$AA51,$AC51)</f>
        <v>3.85982671480144</v>
      </c>
    </row>
    <row r="52" customFormat="false" ht="15" hidden="false" customHeight="false" outlineLevel="0" collapsed="false">
      <c r="A52" s="0" t="s">
        <v>276</v>
      </c>
      <c r="B52" s="0" t="s">
        <v>116</v>
      </c>
      <c r="C52" s="0" t="s">
        <v>121</v>
      </c>
      <c r="D52" s="0" t="s">
        <v>275</v>
      </c>
      <c r="E52" s="0" t="s">
        <v>397</v>
      </c>
      <c r="F52" s="0" t="str">
        <f aca="false">IFERROR(IF($C52=INDEX(Matches!$S$5:$S$12,MATCH($B52,Matches!$A$5:$A$12,0)),"A",IF($C52=INDEX(Matches!$T$5:$T$12,MATCH($B52,Matches!$A$5:$A$12,0)),"B","")),"")</f>
        <v>B</v>
      </c>
      <c r="G52" s="0" t="n">
        <f aca="false">IFERROR(INDEX(Players!$E$2:$E$71,MATCH($E52,Players!$A$2:$A$71,0)),0)</f>
        <v>30</v>
      </c>
      <c r="H52" s="7" t="n">
        <f aca="false">IFERROR(INDEX(Players!$F$2:$F$71,MATCH($E52,Players!$A$2:$A$71,0)),"")</f>
        <v>0.67</v>
      </c>
      <c r="I52" s="6" t="n">
        <f aca="false">IFERROR(INDEX(Players!$G$2:$G$71,MATCH($E52,Players!$A$2:$A$71,0)),"")</f>
        <v>4.5</v>
      </c>
      <c r="J52" s="12" t="n">
        <f aca="false">IF(OR($I52="",$H52=""),"",$I52*IF(LEFT($B52,4)="DOTA",Config!$B$5,Config!$B$4)/($H52*IF(LEFT($B52,4)="DOTA",Config!$B$5,Config!$B$4)+1-$H52))</f>
        <v>5.49235102446568</v>
      </c>
      <c r="K52" s="12" t="n">
        <f aca="false">IF(OR($I52="",$H52=""),"",$I52/($H52*IF(LEFT($B52,4)="DOTA",Config!$B$5,Config!$B$4)+1-$H52))</f>
        <v>2.48522670790302</v>
      </c>
      <c r="L52" s="6" t="n">
        <f aca="false">IFERROR(INDEX(Matches!$R$5:$R$12,MATCH($B52,Matches!$A$5:$A$12,0)),1)</f>
        <v>1</v>
      </c>
      <c r="M52" s="7" t="n">
        <f aca="false">IFERROR(IF(INDEX(Matches!$M$5:$M$12,MATCH($B52,Matches!$A$5:$A$12,0))="","",IF($F52="A",INDEX(Matches!$M$5:$M$12,MATCH($B52,Matches!$A$5:$A$12,0)),1-INDEX(Matches!$M$5:$M$12,MATCH($B52,Matches!$A$5:$A$12,0)))),"")</f>
        <v>0.2101</v>
      </c>
      <c r="N52" s="6" t="n">
        <f aca="false">1</f>
        <v>1</v>
      </c>
      <c r="O52" s="12" t="n">
        <f aca="false">IF(OR($M52="",$J52=""),"",$L52*($M52*$J52+(1-$M52)*$K52))</f>
        <v>3.11702352681283</v>
      </c>
      <c r="P52" s="6" t="n">
        <f aca="false">IF($O52="","",IF(LEFT($B52,4)="DOTA",Config!$B$7,Config!$B$6)*$O52+$L52^2*$M52*(1-$M52)*($J52-$K52)^2)</f>
        <v>5.55285494174276</v>
      </c>
      <c r="Q52" s="7" t="n">
        <f aca="false">IFERROR(IF(INDEX(Matches!$N$5:$N$12,MATCH($B52,Matches!$A$5:$A$12,0))="","",IF($F52="A",INDEX(Matches!$N$5:$N$12,MATCH($B52,Matches!$A$5:$A$12,0)),1-INDEX(Matches!$N$5:$N$12,MATCH($B52,Matches!$A$5:$A$12,0)))),"")</f>
        <v>0.2101</v>
      </c>
      <c r="R52" s="6" t="n">
        <f aca="false">IFERROR(N(INDEX(Matches!$P$5:$P$12,MATCH($B52,Matches!$A$5:$A$12,0))),0)</f>
        <v>1</v>
      </c>
      <c r="S52" s="12" t="n">
        <f aca="false">IF(OR($Q52="",$J52=""),"",$L52*($Q52*$J52+(1-$Q52)*$K52))</f>
        <v>3.11702352681283</v>
      </c>
      <c r="T52" s="6" t="n">
        <f aca="false">IF($S52="","",IF(LEFT($B52,4)="DOTA",Config!$B$7,Config!$B$6)*$S52+$L52^2*$Q52*(1-$Q52)*($J52-$K52)^2)</f>
        <v>5.55285494174276</v>
      </c>
      <c r="U52" s="7" t="n">
        <f aca="false">IFERROR(IF(INDEX(Matches!$O$5:$O$12,MATCH($B52,Matches!$A$5:$A$12,0))="","",IF($F52="A",INDEX(Matches!$O$5:$O$12,MATCH($B52,Matches!$A$5:$A$12,0)),1-INDEX(Matches!$O$5:$O$12,MATCH($B52,Matches!$A$5:$A$12,0)))),"")</f>
        <v>0.2986</v>
      </c>
      <c r="V52" s="6" t="n">
        <f aca="false">IFERROR(N(INDEX(Matches!$Q$5:$Q$12,MATCH($B52,Matches!$A$5:$A$12,0))),0)</f>
        <v>0.3275</v>
      </c>
      <c r="W52" s="12" t="n">
        <f aca="false">IF(OR($U52="",$J52=""),"",$L52*($U52*$J52+(1-$U52)*$K52))</f>
        <v>3.38315402882863</v>
      </c>
      <c r="X52" s="6" t="n">
        <f aca="false">IF($W52="","",IF(LEFT($B52,4)="DOTA",Config!$B$7,Config!$B$6)*$W52+$L52^2*$U52*(1-$U52)*($J52-$K52)^2)</f>
        <v>6.29200584507394</v>
      </c>
      <c r="Y52" s="12" t="n">
        <f aca="false">IF($O52="","",$O52)</f>
        <v>3.11702352681283</v>
      </c>
      <c r="Z52" s="6" t="n">
        <f aca="false">IF($P52="","",$P52)</f>
        <v>5.55285494174276</v>
      </c>
      <c r="AA52" s="12" t="n">
        <f aca="false">IF($O52="","",N($N52)*N($O52)+N($R52)*N($S52))</f>
        <v>6.23404705362567</v>
      </c>
      <c r="AB52" s="6" t="n">
        <f aca="false">IF($O52="","",(N($N52)*N($P52)+N($N52)*(1-N($N52))*N($O52)^2)+(N($R52)*N($T52)+N($R52)*(1-N($R52))*N($S52)^2))</f>
        <v>11.1057098834855</v>
      </c>
      <c r="AC52" s="12" t="n">
        <f aca="false">IF($O52="","",N($N52)*N($O52)+N($R52)*N($S52)+N($V52)*N($W52))</f>
        <v>7.34202999806705</v>
      </c>
      <c r="AD52" s="6" t="n">
        <f aca="false">IF($O52="","",(N($N52)*N($P52)+N($N52)*(1-N($N52))*N($O52)^2)+(N($R52)*N($T52)+N($R52)*(1-N($R52))*N($S52)^2)+(N($V52)*N($X52)+N($V52)*(1-N($V52))*N($W52)^2))</f>
        <v>15.6871925549345</v>
      </c>
      <c r="AE52" s="12" t="n">
        <f aca="false">IF($I52="","",$I52*$L52)</f>
        <v>4.5</v>
      </c>
      <c r="AF52" s="12" t="n">
        <f aca="false">IF($I52="","",$I52*$L52*(1+N($R52)))</f>
        <v>9</v>
      </c>
      <c r="AG52" s="12" t="n">
        <f aca="false">IF($I52="","",$I52*$L52*(1+N($R52)+N($V52)))</f>
        <v>10.47375</v>
      </c>
      <c r="AH52" s="0" t="str">
        <f aca="false">TRIM(IF($G52&lt;Config!$B$9,"thin sample ("&amp;$G52&amp;" maps) · ","")&amp;IF($I52="","no PickFinder stats · ","")&amp;IFERROR(IF(INDEX(Players!$T$2:$T$71,MATCH($E52,Players!$A$2:$A$71,0))&lt;0.5,"new roster: "&amp;TEXT(INDEX(Players!$T$2:$T$71,MATCH($E52,Players!$A$2:$A$71,0)),"0%")&amp;" of his recent games with these teammates",""),""))</f>
        <v>new roster: 0% of his recent games with these teammates</v>
      </c>
      <c r="AI52" s="0" t="str">
        <f aca="false">IF($B52=Board!$B$2,COUNTIFS($B$2:$B$71,Board!$B$2,$Y$2:$Y$71,"&gt;"&amp;$Y52)+COUNTIFS($B$1:$B51,Board!$B$2,$Y$1:$Y51,$Y52)+1,"")</f>
        <v/>
      </c>
      <c r="AJ52" s="0" t="str">
        <f aca="false">IFERROR(IF(INDEX(Matches!$D$5:$D$12,MATCH($B52,Matches!$A$5:$A$12,0))=3,"K12","K13"),"K13")</f>
        <v>K12</v>
      </c>
      <c r="AK52" s="12" t="n">
        <f aca="false">IF($AJ52="K12",$AA52,$AC52)</f>
        <v>6.23404705362567</v>
      </c>
    </row>
    <row r="53" customFormat="false" ht="15" hidden="false" customHeight="false" outlineLevel="0" collapsed="false">
      <c r="A53" s="0" t="s">
        <v>279</v>
      </c>
      <c r="B53" s="0" t="s">
        <v>92</v>
      </c>
      <c r="C53" s="0" t="s">
        <v>97</v>
      </c>
      <c r="D53" s="0" t="s">
        <v>277</v>
      </c>
      <c r="E53" s="0" t="s">
        <v>398</v>
      </c>
      <c r="F53" s="0" t="str">
        <f aca="false">IFERROR(IF($C53=INDEX(Matches!$S$5:$S$12,MATCH($B53,Matches!$A$5:$A$12,0)),"A",IF($C53=INDEX(Matches!$T$5:$T$12,MATCH($B53,Matches!$A$5:$A$12,0)),"B","")),"")</f>
        <v>A</v>
      </c>
      <c r="G53" s="0" t="n">
        <f aca="false">IFERROR(INDEX(Players!$E$2:$E$71,MATCH($E53,Players!$A$2:$A$71,0)),0)</f>
        <v>30</v>
      </c>
      <c r="H53" s="7" t="n">
        <f aca="false">IFERROR(INDEX(Players!$F$2:$F$71,MATCH($E53,Players!$A$2:$A$71,0)),"")</f>
        <v>0.57</v>
      </c>
      <c r="I53" s="6" t="n">
        <f aca="false">IFERROR(INDEX(Players!$G$2:$G$71,MATCH($E53,Players!$A$2:$A$71,0)),"")</f>
        <v>0.6</v>
      </c>
      <c r="J53" s="12" t="n">
        <f aca="false">IF(OR($I53="",$H53=""),"",$I53*IF(LEFT($B53,4)="DOTA",Config!$B$5,Config!$B$4)/($H53*IF(LEFT($B53,4)="DOTA",Config!$B$5,Config!$B$4)+1-$H53))</f>
        <v>0.784754690181689</v>
      </c>
      <c r="K53" s="12" t="n">
        <f aca="false">IF(OR($I53="",$H53=""),"",$I53/($H53*IF(LEFT($B53,4)="DOTA",Config!$B$5,Config!$B$4)+1-$H53))</f>
        <v>0.355092619991715</v>
      </c>
      <c r="L53" s="6" t="n">
        <f aca="false">IFERROR(INDEX(Matches!$R$5:$R$12,MATCH($B53,Matches!$A$5:$A$12,0)),1)</f>
        <v>1</v>
      </c>
      <c r="M53" s="7" t="n">
        <f aca="false">IFERROR(IF(INDEX(Matches!$M$5:$M$12,MATCH($B53,Matches!$A$5:$A$12,0))="","",IF($F53="A",INDEX(Matches!$M$5:$M$12,MATCH($B53,Matches!$A$5:$A$12,0)),1-INDEX(Matches!$M$5:$M$12,MATCH($B53,Matches!$A$5:$A$12,0)))),"")</f>
        <v>0.7111</v>
      </c>
      <c r="N53" s="6" t="n">
        <f aca="false">1</f>
        <v>1</v>
      </c>
      <c r="O53" s="12" t="n">
        <f aca="false">IF(OR($M53="",$J53=""),"",$L53*($M53*$J53+(1-$M53)*$K53))</f>
        <v>0.660625318103805</v>
      </c>
      <c r="P53" s="6" t="n">
        <f aca="false">IF($O53="","",IF(LEFT($B53,4)="DOTA",Config!$B$7,Config!$B$6)*$O53+$L53^2*$M53*(1-$M53)*($J53-$K53)^2)</f>
        <v>0.896738495500863</v>
      </c>
      <c r="Q53" s="7" t="str">
        <f aca="false">IFERROR(IF(INDEX(Matches!$N$5:$N$12,MATCH($B53,Matches!$A$5:$A$12,0))="","",IF($F53="A",INDEX(Matches!$N$5:$N$12,MATCH($B53,Matches!$A$5:$A$12,0)),1-INDEX(Matches!$N$5:$N$12,MATCH($B53,Matches!$A$5:$A$12,0)))),"")</f>
        <v/>
      </c>
      <c r="R53" s="6" t="n">
        <f aca="false">IFERROR(N(INDEX(Matches!$P$5:$P$12,MATCH($B53,Matches!$A$5:$A$12,0))),0)</f>
        <v>0</v>
      </c>
      <c r="S53" s="12" t="str">
        <f aca="false">IF(OR($Q53="",$J53=""),"",$L53*($Q53*$J53+(1-$Q53)*$K53))</f>
        <v/>
      </c>
      <c r="T53" s="0" t="str">
        <f aca="false">IF($S53="","",IF(LEFT($B53,4)="DOTA",Config!$B$7,Config!$B$6)*$S53+$L53^2*$Q53*(1-$Q53)*($J53-$K53)^2)</f>
        <v/>
      </c>
      <c r="U53" s="7" t="str">
        <f aca="false">IFERROR(IF(INDEX(Matches!$O$5:$O$12,MATCH($B53,Matches!$A$5:$A$12,0))="","",IF($F53="A",INDEX(Matches!$O$5:$O$12,MATCH($B53,Matches!$A$5:$A$12,0)),1-INDEX(Matches!$O$5:$O$12,MATCH($B53,Matches!$A$5:$A$12,0)))),"")</f>
        <v/>
      </c>
      <c r="V53" s="6" t="n">
        <f aca="false">IFERROR(N(INDEX(Matches!$Q$5:$Q$12,MATCH($B53,Matches!$A$5:$A$12,0))),0)</f>
        <v>0</v>
      </c>
      <c r="W53" s="12" t="str">
        <f aca="false">IF(OR($U53="",$J53=""),"",$L53*($U53*$J53+(1-$U53)*$K53))</f>
        <v/>
      </c>
      <c r="X53" s="0" t="str">
        <f aca="false">IF($W53="","",IF(LEFT($B53,4)="DOTA",Config!$B$7,Config!$B$6)*$W53+$L53^2*$U53*(1-$U53)*($J53-$K53)^2)</f>
        <v/>
      </c>
      <c r="Y53" s="12" t="n">
        <f aca="false">IF($O53="","",$O53)</f>
        <v>0.660625318103805</v>
      </c>
      <c r="Z53" s="6" t="n">
        <f aca="false">IF($P53="","",$P53)</f>
        <v>0.896738495500863</v>
      </c>
      <c r="AA53" s="12" t="n">
        <f aca="false">IF($O53="","",N($N53)*N($O53)+N($R53)*N($S53))</f>
        <v>0.660625318103805</v>
      </c>
      <c r="AB53" s="6" t="n">
        <f aca="false">IF($O53="","",(N($N53)*N($P53)+N($N53)*(1-N($N53))*N($O53)^2)+(N($R53)*N($T53)+N($R53)*(1-N($R53))*N($S53)^2))</f>
        <v>0.896738495500863</v>
      </c>
      <c r="AC53" s="12" t="n">
        <f aca="false">IF($O53="","",N($N53)*N($O53)+N($R53)*N($S53)+N($V53)*N($W53))</f>
        <v>0.660625318103805</v>
      </c>
      <c r="AD53" s="6" t="n">
        <f aca="false">IF($O53="","",(N($N53)*N($P53)+N($N53)*(1-N($N53))*N($O53)^2)+(N($R53)*N($T53)+N($R53)*(1-N($R53))*N($S53)^2)+(N($V53)*N($X53)+N($V53)*(1-N($V53))*N($W53)^2))</f>
        <v>0.896738495500863</v>
      </c>
      <c r="AE53" s="12" t="n">
        <f aca="false">IF($I53="","",$I53*$L53)</f>
        <v>0.6</v>
      </c>
      <c r="AF53" s="12" t="n">
        <f aca="false">IF($I53="","",$I53*$L53*(1+N($R53)))</f>
        <v>0.6</v>
      </c>
      <c r="AG53" s="12" t="n">
        <f aca="false">IF($I53="","",$I53*$L53*(1+N($R53)+N($V53)))</f>
        <v>0.6</v>
      </c>
      <c r="AH53" s="0" t="str">
        <f aca="false">TRIM(IF($G53&lt;Config!$B$9,"thin sample ("&amp;$G53&amp;" maps) · ","")&amp;IF($I53="","no PickFinder stats · ","")&amp;IFERROR(IF(INDEX(Players!$T$2:$T$71,MATCH($E53,Players!$A$2:$A$71,0))&lt;0.5,"new roster: "&amp;TEXT(INDEX(Players!$T$2:$T$71,MATCH($E53,Players!$A$2:$A$71,0)),"0%")&amp;" of his recent games with these teammates",""),""))</f>
        <v>new roster: 0% of his recent games with these teammates</v>
      </c>
      <c r="AI53" s="0" t="str">
        <f aca="false">IF($B53=Board!$B$2,COUNTIFS($B$2:$B$71,Board!$B$2,$Y$2:$Y$71,"&gt;"&amp;$Y53)+COUNTIFS($B$1:$B52,Board!$B$2,$Y$1:$Y52,$Y53)+1,"")</f>
        <v/>
      </c>
      <c r="AJ53" s="0" t="str">
        <f aca="false">IFERROR(IF(INDEX(Matches!$D$5:$D$12,MATCH($B53,Matches!$A$5:$A$12,0))=3,"K12","K13"),"K13")</f>
        <v>K13</v>
      </c>
      <c r="AK53" s="12" t="n">
        <f aca="false">IF($AJ53="K12",$AA53,$AC53)</f>
        <v>0.660625318103805</v>
      </c>
    </row>
    <row r="54" customFormat="false" ht="15" hidden="false" customHeight="false" outlineLevel="0" collapsed="false">
      <c r="A54" s="0" t="s">
        <v>282</v>
      </c>
      <c r="B54" s="0" t="s">
        <v>92</v>
      </c>
      <c r="C54" s="0" t="s">
        <v>97</v>
      </c>
      <c r="D54" s="0" t="s">
        <v>281</v>
      </c>
      <c r="E54" s="0" t="s">
        <v>399</v>
      </c>
      <c r="F54" s="0" t="str">
        <f aca="false">IFERROR(IF($C54=INDEX(Matches!$S$5:$S$12,MATCH($B54,Matches!$A$5:$A$12,0)),"A",IF($C54=INDEX(Matches!$T$5:$T$12,MATCH($B54,Matches!$A$5:$A$12,0)),"B","")),"")</f>
        <v>A</v>
      </c>
      <c r="G54" s="0" t="n">
        <f aca="false">IFERROR(INDEX(Players!$E$2:$E$71,MATCH($E54,Players!$A$2:$A$71,0)),0)</f>
        <v>30</v>
      </c>
      <c r="H54" s="7" t="n">
        <f aca="false">IFERROR(INDEX(Players!$F$2:$F$71,MATCH($E54,Players!$A$2:$A$71,0)),"")</f>
        <v>0.67</v>
      </c>
      <c r="I54" s="6" t="n">
        <f aca="false">IFERROR(INDEX(Players!$G$2:$G$71,MATCH($E54,Players!$A$2:$A$71,0)),"")</f>
        <v>4.4</v>
      </c>
      <c r="J54" s="12" t="n">
        <f aca="false">IF(OR($I54="",$H54=""),"",$I54*IF(LEFT($B54,4)="DOTA",Config!$B$5,Config!$B$4)/($H54*IF(LEFT($B54,4)="DOTA",Config!$B$5,Config!$B$4)+1-$H54))</f>
        <v>5.37029877947755</v>
      </c>
      <c r="K54" s="12" t="n">
        <f aca="false">IF(OR($I54="",$H54=""),"",$I54/($H54*IF(LEFT($B54,4)="DOTA",Config!$B$5,Config!$B$4)+1-$H54))</f>
        <v>2.4299994477274</v>
      </c>
      <c r="L54" s="6" t="n">
        <f aca="false">IFERROR(INDEX(Matches!$R$5:$R$12,MATCH($B54,Matches!$A$5:$A$12,0)),1)</f>
        <v>1</v>
      </c>
      <c r="M54" s="7" t="n">
        <f aca="false">IFERROR(IF(INDEX(Matches!$M$5:$M$12,MATCH($B54,Matches!$A$5:$A$12,0))="","",IF($F54="A",INDEX(Matches!$M$5:$M$12,MATCH($B54,Matches!$A$5:$A$12,0)),1-INDEX(Matches!$M$5:$M$12,MATCH($B54,Matches!$A$5:$A$12,0)))),"")</f>
        <v>0.7111</v>
      </c>
      <c r="N54" s="6" t="n">
        <f aca="false">1</f>
        <v>1</v>
      </c>
      <c r="O54" s="12" t="n">
        <f aca="false">IF(OR($M54="",$J54=""),"",$L54*($M54*$J54+(1-$M54)*$K54))</f>
        <v>4.52084630253493</v>
      </c>
      <c r="P54" s="6" t="n">
        <f aca="false">IF($O54="","",IF(LEFT($B54,4)="DOTA",Config!$B$7,Config!$B$6)*$O54+$L54^2*$M54*(1-$M54)*($J54-$K54)^2)</f>
        <v>7.65317523301935</v>
      </c>
      <c r="Q54" s="7" t="str">
        <f aca="false">IFERROR(IF(INDEX(Matches!$N$5:$N$12,MATCH($B54,Matches!$A$5:$A$12,0))="","",IF($F54="A",INDEX(Matches!$N$5:$N$12,MATCH($B54,Matches!$A$5:$A$12,0)),1-INDEX(Matches!$N$5:$N$12,MATCH($B54,Matches!$A$5:$A$12,0)))),"")</f>
        <v/>
      </c>
      <c r="R54" s="6" t="n">
        <f aca="false">IFERROR(N(INDEX(Matches!$P$5:$P$12,MATCH($B54,Matches!$A$5:$A$12,0))),0)</f>
        <v>0</v>
      </c>
      <c r="S54" s="12" t="str">
        <f aca="false">IF(OR($Q54="",$J54=""),"",$L54*($Q54*$J54+(1-$Q54)*$K54))</f>
        <v/>
      </c>
      <c r="T54" s="0" t="str">
        <f aca="false">IF($S54="","",IF(LEFT($B54,4)="DOTA",Config!$B$7,Config!$B$6)*$S54+$L54^2*$Q54*(1-$Q54)*($J54-$K54)^2)</f>
        <v/>
      </c>
      <c r="U54" s="7" t="str">
        <f aca="false">IFERROR(IF(INDEX(Matches!$O$5:$O$12,MATCH($B54,Matches!$A$5:$A$12,0))="","",IF($F54="A",INDEX(Matches!$O$5:$O$12,MATCH($B54,Matches!$A$5:$A$12,0)),1-INDEX(Matches!$O$5:$O$12,MATCH($B54,Matches!$A$5:$A$12,0)))),"")</f>
        <v/>
      </c>
      <c r="V54" s="6" t="n">
        <f aca="false">IFERROR(N(INDEX(Matches!$Q$5:$Q$12,MATCH($B54,Matches!$A$5:$A$12,0))),0)</f>
        <v>0</v>
      </c>
      <c r="W54" s="12" t="str">
        <f aca="false">IF(OR($U54="",$J54=""),"",$L54*($U54*$J54+(1-$U54)*$K54))</f>
        <v/>
      </c>
      <c r="X54" s="0" t="str">
        <f aca="false">IF($W54="","",IF(LEFT($B54,4)="DOTA",Config!$B$7,Config!$B$6)*$W54+$L54^2*$U54*(1-$U54)*($J54-$K54)^2)</f>
        <v/>
      </c>
      <c r="Y54" s="12" t="n">
        <f aca="false">IF($O54="","",$O54)</f>
        <v>4.52084630253493</v>
      </c>
      <c r="Z54" s="6" t="n">
        <f aca="false">IF($P54="","",$P54)</f>
        <v>7.65317523301935</v>
      </c>
      <c r="AA54" s="12" t="n">
        <f aca="false">IF($O54="","",N($N54)*N($O54)+N($R54)*N($S54))</f>
        <v>4.52084630253493</v>
      </c>
      <c r="AB54" s="6" t="n">
        <f aca="false">IF($O54="","",(N($N54)*N($P54)+N($N54)*(1-N($N54))*N($O54)^2)+(N($R54)*N($T54)+N($R54)*(1-N($R54))*N($S54)^2))</f>
        <v>7.65317523301935</v>
      </c>
      <c r="AC54" s="12" t="n">
        <f aca="false">IF($O54="","",N($N54)*N($O54)+N($R54)*N($S54)+N($V54)*N($W54))</f>
        <v>4.52084630253493</v>
      </c>
      <c r="AD54" s="6" t="n">
        <f aca="false">IF($O54="","",(N($N54)*N($P54)+N($N54)*(1-N($N54))*N($O54)^2)+(N($R54)*N($T54)+N($R54)*(1-N($R54))*N($S54)^2)+(N($V54)*N($X54)+N($V54)*(1-N($V54))*N($W54)^2))</f>
        <v>7.65317523301935</v>
      </c>
      <c r="AE54" s="12" t="n">
        <f aca="false">IF($I54="","",$I54*$L54)</f>
        <v>4.4</v>
      </c>
      <c r="AF54" s="12" t="n">
        <f aca="false">IF($I54="","",$I54*$L54*(1+N($R54)))</f>
        <v>4.4</v>
      </c>
      <c r="AG54" s="12" t="n">
        <f aca="false">IF($I54="","",$I54*$L54*(1+N($R54)+N($V54)))</f>
        <v>4.4</v>
      </c>
      <c r="AH54" s="0" t="str">
        <f aca="false">TRIM(IF($G54&lt;Config!$B$9,"thin sample ("&amp;$G54&amp;" maps) · ","")&amp;IF($I54="","no PickFinder stats · ","")&amp;IFERROR(IF(INDEX(Players!$T$2:$T$71,MATCH($E54,Players!$A$2:$A$71,0))&lt;0.5,"new roster: "&amp;TEXT(INDEX(Players!$T$2:$T$71,MATCH($E54,Players!$A$2:$A$71,0)),"0%")&amp;" of his recent games with these teammates",""),""))</f>
        <v>new roster: 0% of his recent games with these teammates</v>
      </c>
      <c r="AI54" s="0" t="str">
        <f aca="false">IF($B54=Board!$B$2,COUNTIFS($B$2:$B$71,Board!$B$2,$Y$2:$Y$71,"&gt;"&amp;$Y54)+COUNTIFS($B$1:$B53,Board!$B$2,$Y$1:$Y53,$Y54)+1,"")</f>
        <v/>
      </c>
      <c r="AJ54" s="0" t="str">
        <f aca="false">IFERROR(IF(INDEX(Matches!$D$5:$D$12,MATCH($B54,Matches!$A$5:$A$12,0))=3,"K12","K13"),"K13")</f>
        <v>K13</v>
      </c>
      <c r="AK54" s="12" t="n">
        <f aca="false">IF($AJ54="K12",$AA54,$AC54)</f>
        <v>4.52084630253493</v>
      </c>
    </row>
    <row r="55" customFormat="false" ht="15" hidden="false" customHeight="false" outlineLevel="0" collapsed="false">
      <c r="A55" s="0" t="s">
        <v>284</v>
      </c>
      <c r="B55" s="0" t="s">
        <v>92</v>
      </c>
      <c r="C55" s="0" t="s">
        <v>97</v>
      </c>
      <c r="D55" s="0" t="s">
        <v>283</v>
      </c>
      <c r="E55" s="0" t="s">
        <v>400</v>
      </c>
      <c r="F55" s="0" t="str">
        <f aca="false">IFERROR(IF($C55=INDEX(Matches!$S$5:$S$12,MATCH($B55,Matches!$A$5:$A$12,0)),"A",IF($C55=INDEX(Matches!$T$5:$T$12,MATCH($B55,Matches!$A$5:$A$12,0)),"B","")),"")</f>
        <v>A</v>
      </c>
      <c r="G55" s="0" t="n">
        <f aca="false">IFERROR(INDEX(Players!$E$2:$E$71,MATCH($E55,Players!$A$2:$A$71,0)),0)</f>
        <v>30</v>
      </c>
      <c r="H55" s="7" t="n">
        <f aca="false">IFERROR(INDEX(Players!$F$2:$F$71,MATCH($E55,Players!$A$2:$A$71,0)),"")</f>
        <v>0.57</v>
      </c>
      <c r="I55" s="6" t="n">
        <f aca="false">IFERROR(INDEX(Players!$G$2:$G$71,MATCH($E55,Players!$A$2:$A$71,0)),"")</f>
        <v>3.2</v>
      </c>
      <c r="J55" s="12" t="n">
        <f aca="false">IF(OR($I55="",$H55=""),"",$I55*IF(LEFT($B55,4)="DOTA",Config!$B$5,Config!$B$4)/($H55*IF(LEFT($B55,4)="DOTA",Config!$B$5,Config!$B$4)+1-$H55))</f>
        <v>4.18535834763568</v>
      </c>
      <c r="K55" s="12" t="n">
        <f aca="false">IF(OR($I55="",$H55=""),"",$I55/($H55*IF(LEFT($B55,4)="DOTA",Config!$B$5,Config!$B$4)+1-$H55))</f>
        <v>1.89382730662248</v>
      </c>
      <c r="L55" s="6" t="n">
        <f aca="false">IFERROR(INDEX(Matches!$R$5:$R$12,MATCH($B55,Matches!$A$5:$A$12,0)),1)</f>
        <v>1</v>
      </c>
      <c r="M55" s="7" t="n">
        <f aca="false">IFERROR(IF(INDEX(Matches!$M$5:$M$12,MATCH($B55,Matches!$A$5:$A$12,0))="","",IF($F55="A",INDEX(Matches!$M$5:$M$12,MATCH($B55,Matches!$A$5:$A$12,0)),1-INDEX(Matches!$M$5:$M$12,MATCH($B55,Matches!$A$5:$A$12,0)))),"")</f>
        <v>0.7111</v>
      </c>
      <c r="N55" s="6" t="n">
        <f aca="false">1</f>
        <v>1</v>
      </c>
      <c r="O55" s="12" t="n">
        <f aca="false">IF(OR($M55="",$J55=""),"",$L55*($M55*$J55+(1-$M55)*$K55))</f>
        <v>3.52333502988696</v>
      </c>
      <c r="P55" s="6" t="n">
        <f aca="false">IF($O55="","",IF(LEFT($B55,4)="DOTA",Config!$B$7,Config!$B$6)*$O55+$L55^2*$M55*(1-$M55)*($J55-$K55)^2)</f>
        <v>5.65910764810576</v>
      </c>
      <c r="Q55" s="7" t="str">
        <f aca="false">IFERROR(IF(INDEX(Matches!$N$5:$N$12,MATCH($B55,Matches!$A$5:$A$12,0))="","",IF($F55="A",INDEX(Matches!$N$5:$N$12,MATCH($B55,Matches!$A$5:$A$12,0)),1-INDEX(Matches!$N$5:$N$12,MATCH($B55,Matches!$A$5:$A$12,0)))),"")</f>
        <v/>
      </c>
      <c r="R55" s="6" t="n">
        <f aca="false">IFERROR(N(INDEX(Matches!$P$5:$P$12,MATCH($B55,Matches!$A$5:$A$12,0))),0)</f>
        <v>0</v>
      </c>
      <c r="S55" s="12" t="str">
        <f aca="false">IF(OR($Q55="",$J55=""),"",$L55*($Q55*$J55+(1-$Q55)*$K55))</f>
        <v/>
      </c>
      <c r="T55" s="0" t="str">
        <f aca="false">IF($S55="","",IF(LEFT($B55,4)="DOTA",Config!$B$7,Config!$B$6)*$S55+$L55^2*$Q55*(1-$Q55)*($J55-$K55)^2)</f>
        <v/>
      </c>
      <c r="U55" s="7" t="str">
        <f aca="false">IFERROR(IF(INDEX(Matches!$O$5:$O$12,MATCH($B55,Matches!$A$5:$A$12,0))="","",IF($F55="A",INDEX(Matches!$O$5:$O$12,MATCH($B55,Matches!$A$5:$A$12,0)),1-INDEX(Matches!$O$5:$O$12,MATCH($B55,Matches!$A$5:$A$12,0)))),"")</f>
        <v/>
      </c>
      <c r="V55" s="6" t="n">
        <f aca="false">IFERROR(N(INDEX(Matches!$Q$5:$Q$12,MATCH($B55,Matches!$A$5:$A$12,0))),0)</f>
        <v>0</v>
      </c>
      <c r="W55" s="12" t="str">
        <f aca="false">IF(OR($U55="",$J55=""),"",$L55*($U55*$J55+(1-$U55)*$K55))</f>
        <v/>
      </c>
      <c r="X55" s="0" t="str">
        <f aca="false">IF($W55="","",IF(LEFT($B55,4)="DOTA",Config!$B$7,Config!$B$6)*$W55+$L55^2*$U55*(1-$U55)*($J55-$K55)^2)</f>
        <v/>
      </c>
      <c r="Y55" s="12" t="n">
        <f aca="false">IF($O55="","",$O55)</f>
        <v>3.52333502988696</v>
      </c>
      <c r="Z55" s="6" t="n">
        <f aca="false">IF($P55="","",$P55)</f>
        <v>5.65910764810576</v>
      </c>
      <c r="AA55" s="12" t="n">
        <f aca="false">IF($O55="","",N($N55)*N($O55)+N($R55)*N($S55))</f>
        <v>3.52333502988696</v>
      </c>
      <c r="AB55" s="6" t="n">
        <f aca="false">IF($O55="","",(N($N55)*N($P55)+N($N55)*(1-N($N55))*N($O55)^2)+(N($R55)*N($T55)+N($R55)*(1-N($R55))*N($S55)^2))</f>
        <v>5.65910764810576</v>
      </c>
      <c r="AC55" s="12" t="n">
        <f aca="false">IF($O55="","",N($N55)*N($O55)+N($R55)*N($S55)+N($V55)*N($W55))</f>
        <v>3.52333502988696</v>
      </c>
      <c r="AD55" s="6" t="n">
        <f aca="false">IF($O55="","",(N($N55)*N($P55)+N($N55)*(1-N($N55))*N($O55)^2)+(N($R55)*N($T55)+N($R55)*(1-N($R55))*N($S55)^2)+(N($V55)*N($X55)+N($V55)*(1-N($V55))*N($W55)^2))</f>
        <v>5.65910764810576</v>
      </c>
      <c r="AE55" s="12" t="n">
        <f aca="false">IF($I55="","",$I55*$L55)</f>
        <v>3.2</v>
      </c>
      <c r="AF55" s="12" t="n">
        <f aca="false">IF($I55="","",$I55*$L55*(1+N($R55)))</f>
        <v>3.2</v>
      </c>
      <c r="AG55" s="12" t="n">
        <f aca="false">IF($I55="","",$I55*$L55*(1+N($R55)+N($V55)))</f>
        <v>3.2</v>
      </c>
      <c r="AH55" s="0" t="str">
        <f aca="false">TRIM(IF($G55&lt;Config!$B$9,"thin sample ("&amp;$G55&amp;" maps) · ","")&amp;IF($I55="","no PickFinder stats · ","")&amp;IFERROR(IF(INDEX(Players!$T$2:$T$71,MATCH($E55,Players!$A$2:$A$71,0))&lt;0.5,"new roster: "&amp;TEXT(INDEX(Players!$T$2:$T$71,MATCH($E55,Players!$A$2:$A$71,0)),"0%")&amp;" of his recent games with these teammates",""),""))</f>
        <v>new roster: 0% of his recent games with these teammates</v>
      </c>
      <c r="AI55" s="0" t="str">
        <f aca="false">IF($B55=Board!$B$2,COUNTIFS($B$2:$B$71,Board!$B$2,$Y$2:$Y$71,"&gt;"&amp;$Y55)+COUNTIFS($B$1:$B54,Board!$B$2,$Y$1:$Y54,$Y55)+1,"")</f>
        <v/>
      </c>
      <c r="AJ55" s="0" t="str">
        <f aca="false">IFERROR(IF(INDEX(Matches!$D$5:$D$12,MATCH($B55,Matches!$A$5:$A$12,0))=3,"K12","K13"),"K13")</f>
        <v>K13</v>
      </c>
      <c r="AK55" s="12" t="n">
        <f aca="false">IF($AJ55="K12",$AA55,$AC55)</f>
        <v>3.52333502988696</v>
      </c>
    </row>
    <row r="56" customFormat="false" ht="15" hidden="false" customHeight="false" outlineLevel="0" collapsed="false">
      <c r="A56" s="0" t="s">
        <v>286</v>
      </c>
      <c r="B56" s="0" t="s">
        <v>92</v>
      </c>
      <c r="C56" s="0" t="s">
        <v>97</v>
      </c>
      <c r="D56" s="0" t="s">
        <v>285</v>
      </c>
      <c r="E56" s="0" t="s">
        <v>401</v>
      </c>
      <c r="F56" s="0" t="str">
        <f aca="false">IFERROR(IF($C56=INDEX(Matches!$S$5:$S$12,MATCH($B56,Matches!$A$5:$A$12,0)),"A",IF($C56=INDEX(Matches!$T$5:$T$12,MATCH($B56,Matches!$A$5:$A$12,0)),"B","")),"")</f>
        <v>A</v>
      </c>
      <c r="G56" s="0" t="n">
        <f aca="false">IFERROR(INDEX(Players!$E$2:$E$71,MATCH($E56,Players!$A$2:$A$71,0)),0)</f>
        <v>30</v>
      </c>
      <c r="H56" s="7" t="n">
        <f aca="false">IFERROR(INDEX(Players!$F$2:$F$71,MATCH($E56,Players!$A$2:$A$71,0)),"")</f>
        <v>0.7</v>
      </c>
      <c r="I56" s="6" t="n">
        <f aca="false">IFERROR(INDEX(Players!$G$2:$G$71,MATCH($E56,Players!$A$2:$A$71,0)),"")</f>
        <v>5.2</v>
      </c>
      <c r="J56" s="12" t="n">
        <f aca="false">IF(OR($I56="",$H56=""),"",$I56*IF(LEFT($B56,4)="DOTA",Config!$B$5,Config!$B$4)/($H56*IF(LEFT($B56,4)="DOTA",Config!$B$5,Config!$B$4)+1-$H56))</f>
        <v>6.22198159177044</v>
      </c>
      <c r="K56" s="12" t="n">
        <f aca="false">IF(OR($I56="",$H56=""),"",$I56/($H56*IF(LEFT($B56,4)="DOTA",Config!$B$5,Config!$B$4)+1-$H56))</f>
        <v>2.81537628586898</v>
      </c>
      <c r="L56" s="6" t="n">
        <f aca="false">IFERROR(INDEX(Matches!$R$5:$R$12,MATCH($B56,Matches!$A$5:$A$12,0)),1)</f>
        <v>1</v>
      </c>
      <c r="M56" s="7" t="n">
        <f aca="false">IFERROR(IF(INDEX(Matches!$M$5:$M$12,MATCH($B56,Matches!$A$5:$A$12,0))="","",IF($F56="A",INDEX(Matches!$M$5:$M$12,MATCH($B56,Matches!$A$5:$A$12,0)),1-INDEX(Matches!$M$5:$M$12,MATCH($B56,Matches!$A$5:$A$12,0)))),"")</f>
        <v>0.7111</v>
      </c>
      <c r="N56" s="6" t="n">
        <f aca="false">1</f>
        <v>1</v>
      </c>
      <c r="O56" s="12" t="n">
        <f aca="false">IF(OR($M56="",$J56=""),"",$L56*($M56*$J56+(1-$M56)*$K56))</f>
        <v>5.23781331889551</v>
      </c>
      <c r="P56" s="6" t="n">
        <f aca="false">IF($O56="","",IF(LEFT($B56,4)="DOTA",Config!$B$7,Config!$B$6)*$O56+$L56^2*$M56*(1-$M56)*($J56-$K56)^2)</f>
        <v>9.19324298550616</v>
      </c>
      <c r="Q56" s="7" t="str">
        <f aca="false">IFERROR(IF(INDEX(Matches!$N$5:$N$12,MATCH($B56,Matches!$A$5:$A$12,0))="","",IF($F56="A",INDEX(Matches!$N$5:$N$12,MATCH($B56,Matches!$A$5:$A$12,0)),1-INDEX(Matches!$N$5:$N$12,MATCH($B56,Matches!$A$5:$A$12,0)))),"")</f>
        <v/>
      </c>
      <c r="R56" s="6" t="n">
        <f aca="false">IFERROR(N(INDEX(Matches!$P$5:$P$12,MATCH($B56,Matches!$A$5:$A$12,0))),0)</f>
        <v>0</v>
      </c>
      <c r="S56" s="12" t="str">
        <f aca="false">IF(OR($Q56="",$J56=""),"",$L56*($Q56*$J56+(1-$Q56)*$K56))</f>
        <v/>
      </c>
      <c r="T56" s="0" t="str">
        <f aca="false">IF($S56="","",IF(LEFT($B56,4)="DOTA",Config!$B$7,Config!$B$6)*$S56+$L56^2*$Q56*(1-$Q56)*($J56-$K56)^2)</f>
        <v/>
      </c>
      <c r="U56" s="7" t="str">
        <f aca="false">IFERROR(IF(INDEX(Matches!$O$5:$O$12,MATCH($B56,Matches!$A$5:$A$12,0))="","",IF($F56="A",INDEX(Matches!$O$5:$O$12,MATCH($B56,Matches!$A$5:$A$12,0)),1-INDEX(Matches!$O$5:$O$12,MATCH($B56,Matches!$A$5:$A$12,0)))),"")</f>
        <v/>
      </c>
      <c r="V56" s="6" t="n">
        <f aca="false">IFERROR(N(INDEX(Matches!$Q$5:$Q$12,MATCH($B56,Matches!$A$5:$A$12,0))),0)</f>
        <v>0</v>
      </c>
      <c r="W56" s="12" t="str">
        <f aca="false">IF(OR($U56="",$J56=""),"",$L56*($U56*$J56+(1-$U56)*$K56))</f>
        <v/>
      </c>
      <c r="X56" s="0" t="str">
        <f aca="false">IF($W56="","",IF(LEFT($B56,4)="DOTA",Config!$B$7,Config!$B$6)*$W56+$L56^2*$U56*(1-$U56)*($J56-$K56)^2)</f>
        <v/>
      </c>
      <c r="Y56" s="12" t="n">
        <f aca="false">IF($O56="","",$O56)</f>
        <v>5.23781331889551</v>
      </c>
      <c r="Z56" s="6" t="n">
        <f aca="false">IF($P56="","",$P56)</f>
        <v>9.19324298550616</v>
      </c>
      <c r="AA56" s="12" t="n">
        <f aca="false">IF($O56="","",N($N56)*N($O56)+N($R56)*N($S56))</f>
        <v>5.23781331889551</v>
      </c>
      <c r="AB56" s="6" t="n">
        <f aca="false">IF($O56="","",(N($N56)*N($P56)+N($N56)*(1-N($N56))*N($O56)^2)+(N($R56)*N($T56)+N($R56)*(1-N($R56))*N($S56)^2))</f>
        <v>9.19324298550616</v>
      </c>
      <c r="AC56" s="12" t="n">
        <f aca="false">IF($O56="","",N($N56)*N($O56)+N($R56)*N($S56)+N($V56)*N($W56))</f>
        <v>5.23781331889551</v>
      </c>
      <c r="AD56" s="6" t="n">
        <f aca="false">IF($O56="","",(N($N56)*N($P56)+N($N56)*(1-N($N56))*N($O56)^2)+(N($R56)*N($T56)+N($R56)*(1-N($R56))*N($S56)^2)+(N($V56)*N($X56)+N($V56)*(1-N($V56))*N($W56)^2))</f>
        <v>9.19324298550616</v>
      </c>
      <c r="AE56" s="12" t="n">
        <f aca="false">IF($I56="","",$I56*$L56)</f>
        <v>5.2</v>
      </c>
      <c r="AF56" s="12" t="n">
        <f aca="false">IF($I56="","",$I56*$L56*(1+N($R56)))</f>
        <v>5.2</v>
      </c>
      <c r="AG56" s="12" t="n">
        <f aca="false">IF($I56="","",$I56*$L56*(1+N($R56)+N($V56)))</f>
        <v>5.2</v>
      </c>
      <c r="AH56" s="0" t="str">
        <f aca="false">TRIM(IF($G56&lt;Config!$B$9,"thin sample ("&amp;$G56&amp;" maps) · ","")&amp;IF($I56="","no PickFinder stats · ","")&amp;IFERROR(IF(INDEX(Players!$T$2:$T$71,MATCH($E56,Players!$A$2:$A$71,0))&lt;0.5,"new roster: "&amp;TEXT(INDEX(Players!$T$2:$T$71,MATCH($E56,Players!$A$2:$A$71,0)),"0%")&amp;" of his recent games with these teammates",""),""))</f>
        <v>new roster: 0% of his recent games with these teammates</v>
      </c>
      <c r="AI56" s="0" t="str">
        <f aca="false">IF($B56=Board!$B$2,COUNTIFS($B$2:$B$71,Board!$B$2,$Y$2:$Y$71,"&gt;"&amp;$Y56)+COUNTIFS($B$1:$B55,Board!$B$2,$Y$1:$Y55,$Y56)+1,"")</f>
        <v/>
      </c>
      <c r="AJ56" s="0" t="str">
        <f aca="false">IFERROR(IF(INDEX(Matches!$D$5:$D$12,MATCH($B56,Matches!$A$5:$A$12,0))=3,"K12","K13"),"K13")</f>
        <v>K13</v>
      </c>
      <c r="AK56" s="12" t="n">
        <f aca="false">IF($AJ56="K12",$AA56,$AC56)</f>
        <v>5.23781331889551</v>
      </c>
    </row>
    <row r="57" customFormat="false" ht="15" hidden="false" customHeight="false" outlineLevel="0" collapsed="false">
      <c r="A57" s="0" t="s">
        <v>288</v>
      </c>
      <c r="B57" s="0" t="s">
        <v>92</v>
      </c>
      <c r="C57" s="0" t="s">
        <v>97</v>
      </c>
      <c r="D57" s="0" t="s">
        <v>287</v>
      </c>
      <c r="E57" s="0" t="s">
        <v>402</v>
      </c>
      <c r="F57" s="0" t="str">
        <f aca="false">IFERROR(IF($C57=INDEX(Matches!$S$5:$S$12,MATCH($B57,Matches!$A$5:$A$12,0)),"A",IF($C57=INDEX(Matches!$T$5:$T$12,MATCH($B57,Matches!$A$5:$A$12,0)),"B","")),"")</f>
        <v>A</v>
      </c>
      <c r="G57" s="0" t="n">
        <f aca="false">IFERROR(INDEX(Players!$E$2:$E$71,MATCH($E57,Players!$A$2:$A$71,0)),0)</f>
        <v>30</v>
      </c>
      <c r="H57" s="7" t="n">
        <f aca="false">IFERROR(INDEX(Players!$F$2:$F$71,MATCH($E57,Players!$A$2:$A$71,0)),"")</f>
        <v>0.7</v>
      </c>
      <c r="I57" s="6" t="n">
        <f aca="false">IFERROR(INDEX(Players!$G$2:$G$71,MATCH($E57,Players!$A$2:$A$71,0)),"")</f>
        <v>3.1</v>
      </c>
      <c r="J57" s="12" t="n">
        <f aca="false">IF(OR($I57="",$H57=""),"",$I57*IF(LEFT($B57,4)="DOTA",Config!$B$5,Config!$B$4)/($H57*IF(LEFT($B57,4)="DOTA",Config!$B$5,Config!$B$4)+1-$H57))</f>
        <v>3.70925825663238</v>
      </c>
      <c r="K57" s="12" t="n">
        <f aca="false">IF(OR($I57="",$H57=""),"",$I57/($H57*IF(LEFT($B57,4)="DOTA",Config!$B$5,Config!$B$4)+1-$H57))</f>
        <v>1.67839740119112</v>
      </c>
      <c r="L57" s="6" t="n">
        <f aca="false">IFERROR(INDEX(Matches!$R$5:$R$12,MATCH($B57,Matches!$A$5:$A$12,0)),1)</f>
        <v>1</v>
      </c>
      <c r="M57" s="7" t="n">
        <f aca="false">IFERROR(IF(INDEX(Matches!$M$5:$M$12,MATCH($B57,Matches!$A$5:$A$12,0))="","",IF($F57="A",INDEX(Matches!$M$5:$M$12,MATCH($B57,Matches!$A$5:$A$12,0)),1-INDEX(Matches!$M$5:$M$12,MATCH($B57,Matches!$A$5:$A$12,0)))),"")</f>
        <v>0.7111</v>
      </c>
      <c r="N57" s="6" t="n">
        <f aca="false">1</f>
        <v>1</v>
      </c>
      <c r="O57" s="12" t="n">
        <f aca="false">IF(OR($M57="",$J57=""),"",$L57*($M57*$J57+(1-$M57)*$K57))</f>
        <v>3.1225425554954</v>
      </c>
      <c r="P57" s="6" t="n">
        <f aca="false">IF($O57="","",IF(LEFT($B57,4)="DOTA",Config!$B$7,Config!$B$6)*$O57+$L57^2*$M57*(1-$M57)*($J57-$K57)^2)</f>
        <v>4.90660795889522</v>
      </c>
      <c r="Q57" s="7" t="str">
        <f aca="false">IFERROR(IF(INDEX(Matches!$N$5:$N$12,MATCH($B57,Matches!$A$5:$A$12,0))="","",IF($F57="A",INDEX(Matches!$N$5:$N$12,MATCH($B57,Matches!$A$5:$A$12,0)),1-INDEX(Matches!$N$5:$N$12,MATCH($B57,Matches!$A$5:$A$12,0)))),"")</f>
        <v/>
      </c>
      <c r="R57" s="6" t="n">
        <f aca="false">IFERROR(N(INDEX(Matches!$P$5:$P$12,MATCH($B57,Matches!$A$5:$A$12,0))),0)</f>
        <v>0</v>
      </c>
      <c r="S57" s="12" t="str">
        <f aca="false">IF(OR($Q57="",$J57=""),"",$L57*($Q57*$J57+(1-$Q57)*$K57))</f>
        <v/>
      </c>
      <c r="T57" s="0" t="str">
        <f aca="false">IF($S57="","",IF(LEFT($B57,4)="DOTA",Config!$B$7,Config!$B$6)*$S57+$L57^2*$Q57*(1-$Q57)*($J57-$K57)^2)</f>
        <v/>
      </c>
      <c r="U57" s="7" t="str">
        <f aca="false">IFERROR(IF(INDEX(Matches!$O$5:$O$12,MATCH($B57,Matches!$A$5:$A$12,0))="","",IF($F57="A",INDEX(Matches!$O$5:$O$12,MATCH($B57,Matches!$A$5:$A$12,0)),1-INDEX(Matches!$O$5:$O$12,MATCH($B57,Matches!$A$5:$A$12,0)))),"")</f>
        <v/>
      </c>
      <c r="V57" s="6" t="n">
        <f aca="false">IFERROR(N(INDEX(Matches!$Q$5:$Q$12,MATCH($B57,Matches!$A$5:$A$12,0))),0)</f>
        <v>0</v>
      </c>
      <c r="W57" s="12" t="str">
        <f aca="false">IF(OR($U57="",$J57=""),"",$L57*($U57*$J57+(1-$U57)*$K57))</f>
        <v/>
      </c>
      <c r="X57" s="0" t="str">
        <f aca="false">IF($W57="","",IF(LEFT($B57,4)="DOTA",Config!$B$7,Config!$B$6)*$W57+$L57^2*$U57*(1-$U57)*($J57-$K57)^2)</f>
        <v/>
      </c>
      <c r="Y57" s="12" t="n">
        <f aca="false">IF($O57="","",$O57)</f>
        <v>3.1225425554954</v>
      </c>
      <c r="Z57" s="6" t="n">
        <f aca="false">IF($P57="","",$P57)</f>
        <v>4.90660795889522</v>
      </c>
      <c r="AA57" s="12" t="n">
        <f aca="false">IF($O57="","",N($N57)*N($O57)+N($R57)*N($S57))</f>
        <v>3.1225425554954</v>
      </c>
      <c r="AB57" s="6" t="n">
        <f aca="false">IF($O57="","",(N($N57)*N($P57)+N($N57)*(1-N($N57))*N($O57)^2)+(N($R57)*N($T57)+N($R57)*(1-N($R57))*N($S57)^2))</f>
        <v>4.90660795889522</v>
      </c>
      <c r="AC57" s="12" t="n">
        <f aca="false">IF($O57="","",N($N57)*N($O57)+N($R57)*N($S57)+N($V57)*N($W57))</f>
        <v>3.1225425554954</v>
      </c>
      <c r="AD57" s="6" t="n">
        <f aca="false">IF($O57="","",(N($N57)*N($P57)+N($N57)*(1-N($N57))*N($O57)^2)+(N($R57)*N($T57)+N($R57)*(1-N($R57))*N($S57)^2)+(N($V57)*N($X57)+N($V57)*(1-N($V57))*N($W57)^2))</f>
        <v>4.90660795889522</v>
      </c>
      <c r="AE57" s="12" t="n">
        <f aca="false">IF($I57="","",$I57*$L57)</f>
        <v>3.1</v>
      </c>
      <c r="AF57" s="12" t="n">
        <f aca="false">IF($I57="","",$I57*$L57*(1+N($R57)))</f>
        <v>3.1</v>
      </c>
      <c r="AG57" s="12" t="n">
        <f aca="false">IF($I57="","",$I57*$L57*(1+N($R57)+N($V57)))</f>
        <v>3.1</v>
      </c>
      <c r="AH57" s="0" t="str">
        <f aca="false">TRIM(IF($G57&lt;Config!$B$9,"thin sample ("&amp;$G57&amp;" maps) · ","")&amp;IF($I57="","no PickFinder stats · ","")&amp;IFERROR(IF(INDEX(Players!$T$2:$T$71,MATCH($E57,Players!$A$2:$A$71,0))&lt;0.5,"new roster: "&amp;TEXT(INDEX(Players!$T$2:$T$71,MATCH($E57,Players!$A$2:$A$71,0)),"0%")&amp;" of his recent games with these teammates",""),""))</f>
        <v>new roster: 0% of his recent games with these teammates</v>
      </c>
      <c r="AI57" s="0" t="str">
        <f aca="false">IF($B57=Board!$B$2,COUNTIFS($B$2:$B$71,Board!$B$2,$Y$2:$Y$71,"&gt;"&amp;$Y57)+COUNTIFS($B$1:$B56,Board!$B$2,$Y$1:$Y56,$Y57)+1,"")</f>
        <v/>
      </c>
      <c r="AJ57" s="0" t="str">
        <f aca="false">IFERROR(IF(INDEX(Matches!$D$5:$D$12,MATCH($B57,Matches!$A$5:$A$12,0))=3,"K12","K13"),"K13")</f>
        <v>K13</v>
      </c>
      <c r="AK57" s="12" t="n">
        <f aca="false">IF($AJ57="K12",$AA57,$AC57)</f>
        <v>3.1225425554954</v>
      </c>
    </row>
    <row r="58" customFormat="false" ht="15" hidden="false" customHeight="false" outlineLevel="0" collapsed="false">
      <c r="A58" s="0" t="s">
        <v>290</v>
      </c>
      <c r="B58" s="0" t="s">
        <v>92</v>
      </c>
      <c r="C58" s="0" t="s">
        <v>98</v>
      </c>
      <c r="D58" s="0" t="s">
        <v>289</v>
      </c>
      <c r="E58" s="0" t="s">
        <v>403</v>
      </c>
      <c r="F58" s="0" t="str">
        <f aca="false">IFERROR(IF($C58=INDEX(Matches!$S$5:$S$12,MATCH($B58,Matches!$A$5:$A$12,0)),"A",IF($C58=INDEX(Matches!$T$5:$T$12,MATCH($B58,Matches!$A$5:$A$12,0)),"B","")),"")</f>
        <v>B</v>
      </c>
      <c r="G58" s="0" t="n">
        <f aca="false">IFERROR(INDEX(Players!$E$2:$E$71,MATCH($E58,Players!$A$2:$A$71,0)),0)</f>
        <v>30</v>
      </c>
      <c r="H58" s="7" t="n">
        <f aca="false">IFERROR(INDEX(Players!$F$2:$F$71,MATCH($E58,Players!$A$2:$A$71,0)),"")</f>
        <v>0.6</v>
      </c>
      <c r="I58" s="6" t="n">
        <f aca="false">IFERROR(INDEX(Players!$G$2:$G$71,MATCH($E58,Players!$A$2:$A$71,0)),"")</f>
        <v>5.3</v>
      </c>
      <c r="J58" s="12" t="n">
        <f aca="false">IF(OR($I58="",$H58=""),"",$I58*IF(LEFT($B58,4)="DOTA",Config!$B$5,Config!$B$4)/($H58*IF(LEFT($B58,4)="DOTA",Config!$B$5,Config!$B$4)+1-$H58))</f>
        <v>6.78621089223639</v>
      </c>
      <c r="K58" s="12" t="n">
        <f aca="false">IF(OR($I58="",$H58=""),"",$I58/($H58*IF(LEFT($B58,4)="DOTA",Config!$B$5,Config!$B$4)+1-$H58))</f>
        <v>3.07068366164542</v>
      </c>
      <c r="L58" s="6" t="n">
        <f aca="false">IFERROR(INDEX(Matches!$R$5:$R$12,MATCH($B58,Matches!$A$5:$A$12,0)),1)</f>
        <v>1</v>
      </c>
      <c r="M58" s="7" t="n">
        <f aca="false">IFERROR(IF(INDEX(Matches!$M$5:$M$12,MATCH($B58,Matches!$A$5:$A$12,0))="","",IF($F58="A",INDEX(Matches!$M$5:$M$12,MATCH($B58,Matches!$A$5:$A$12,0)),1-INDEX(Matches!$M$5:$M$12,MATCH($B58,Matches!$A$5:$A$12,0)))),"")</f>
        <v>0.2889</v>
      </c>
      <c r="N58" s="6" t="n">
        <f aca="false">1</f>
        <v>1</v>
      </c>
      <c r="O58" s="12" t="n">
        <f aca="false">IF(OR($M58="",$J58=""),"",$L58*($M58*$J58+(1-$M58)*$K58))</f>
        <v>4.14409947856315</v>
      </c>
      <c r="P58" s="6" t="n">
        <f aca="false">IF($O58="","",IF(LEFT($B58,4)="DOTA",Config!$B$7,Config!$B$6)*$O58+$L58^2*$M58*(1-$M58)*($J58-$K58)^2)</f>
        <v>8.22341350362781</v>
      </c>
      <c r="Q58" s="7" t="str">
        <f aca="false">IFERROR(IF(INDEX(Matches!$N$5:$N$12,MATCH($B58,Matches!$A$5:$A$12,0))="","",IF($F58="A",INDEX(Matches!$N$5:$N$12,MATCH($B58,Matches!$A$5:$A$12,0)),1-INDEX(Matches!$N$5:$N$12,MATCH($B58,Matches!$A$5:$A$12,0)))),"")</f>
        <v/>
      </c>
      <c r="R58" s="6" t="n">
        <f aca="false">IFERROR(N(INDEX(Matches!$P$5:$P$12,MATCH($B58,Matches!$A$5:$A$12,0))),0)</f>
        <v>0</v>
      </c>
      <c r="S58" s="12" t="str">
        <f aca="false">IF(OR($Q58="",$J58=""),"",$L58*($Q58*$J58+(1-$Q58)*$K58))</f>
        <v/>
      </c>
      <c r="T58" s="0" t="str">
        <f aca="false">IF($S58="","",IF(LEFT($B58,4)="DOTA",Config!$B$7,Config!$B$6)*$S58+$L58^2*$Q58*(1-$Q58)*($J58-$K58)^2)</f>
        <v/>
      </c>
      <c r="U58" s="7" t="str">
        <f aca="false">IFERROR(IF(INDEX(Matches!$O$5:$O$12,MATCH($B58,Matches!$A$5:$A$12,0))="","",IF($F58="A",INDEX(Matches!$O$5:$O$12,MATCH($B58,Matches!$A$5:$A$12,0)),1-INDEX(Matches!$O$5:$O$12,MATCH($B58,Matches!$A$5:$A$12,0)))),"")</f>
        <v/>
      </c>
      <c r="V58" s="6" t="n">
        <f aca="false">IFERROR(N(INDEX(Matches!$Q$5:$Q$12,MATCH($B58,Matches!$A$5:$A$12,0))),0)</f>
        <v>0</v>
      </c>
      <c r="W58" s="12" t="str">
        <f aca="false">IF(OR($U58="",$J58=""),"",$L58*($U58*$J58+(1-$U58)*$K58))</f>
        <v/>
      </c>
      <c r="X58" s="0" t="str">
        <f aca="false">IF($W58="","",IF(LEFT($B58,4)="DOTA",Config!$B$7,Config!$B$6)*$W58+$L58^2*$U58*(1-$U58)*($J58-$K58)^2)</f>
        <v/>
      </c>
      <c r="Y58" s="12" t="n">
        <f aca="false">IF($O58="","",$O58)</f>
        <v>4.14409947856315</v>
      </c>
      <c r="Z58" s="6" t="n">
        <f aca="false">IF($P58="","",$P58)</f>
        <v>8.22341350362781</v>
      </c>
      <c r="AA58" s="12" t="n">
        <f aca="false">IF($O58="","",N($N58)*N($O58)+N($R58)*N($S58))</f>
        <v>4.14409947856315</v>
      </c>
      <c r="AB58" s="6" t="n">
        <f aca="false">IF($O58="","",(N($N58)*N($P58)+N($N58)*(1-N($N58))*N($O58)^2)+(N($R58)*N($T58)+N($R58)*(1-N($R58))*N($S58)^2))</f>
        <v>8.22341350362781</v>
      </c>
      <c r="AC58" s="12" t="n">
        <f aca="false">IF($O58="","",N($N58)*N($O58)+N($R58)*N($S58)+N($V58)*N($W58))</f>
        <v>4.14409947856315</v>
      </c>
      <c r="AD58" s="6" t="n">
        <f aca="false">IF($O58="","",(N($N58)*N($P58)+N($N58)*(1-N($N58))*N($O58)^2)+(N($R58)*N($T58)+N($R58)*(1-N($R58))*N($S58)^2)+(N($V58)*N($X58)+N($V58)*(1-N($V58))*N($W58)^2))</f>
        <v>8.22341350362781</v>
      </c>
      <c r="AE58" s="12" t="n">
        <f aca="false">IF($I58="","",$I58*$L58)</f>
        <v>5.3</v>
      </c>
      <c r="AF58" s="12" t="n">
        <f aca="false">IF($I58="","",$I58*$L58*(1+N($R58)))</f>
        <v>5.3</v>
      </c>
      <c r="AG58" s="12" t="n">
        <f aca="false">IF($I58="","",$I58*$L58*(1+N($R58)+N($V58)))</f>
        <v>5.3</v>
      </c>
      <c r="AH58" s="0" t="str">
        <f aca="false">TRIM(IF($G58&lt;Config!$B$9,"thin sample ("&amp;$G58&amp;" maps) · ","")&amp;IF($I58="","no PickFinder stats · ","")&amp;IFERROR(IF(INDEX(Players!$T$2:$T$71,MATCH($E58,Players!$A$2:$A$71,0))&lt;0.5,"new roster: "&amp;TEXT(INDEX(Players!$T$2:$T$71,MATCH($E58,Players!$A$2:$A$71,0)),"0%")&amp;" of his recent games with these teammates",""),""))</f>
        <v>new roster: 0% of his recent games with these teammates</v>
      </c>
      <c r="AI58" s="0" t="str">
        <f aca="false">IF($B58=Board!$B$2,COUNTIFS($B$2:$B$71,Board!$B$2,$Y$2:$Y$71,"&gt;"&amp;$Y58)+COUNTIFS($B$1:$B57,Board!$B$2,$Y$1:$Y57,$Y58)+1,"")</f>
        <v/>
      </c>
      <c r="AJ58" s="0" t="str">
        <f aca="false">IFERROR(IF(INDEX(Matches!$D$5:$D$12,MATCH($B58,Matches!$A$5:$A$12,0))=3,"K12","K13"),"K13")</f>
        <v>K13</v>
      </c>
      <c r="AK58" s="12" t="n">
        <f aca="false">IF($AJ58="K12",$AA58,$AC58)</f>
        <v>4.14409947856315</v>
      </c>
    </row>
    <row r="59" customFormat="false" ht="15" hidden="false" customHeight="false" outlineLevel="0" collapsed="false">
      <c r="A59" s="0" t="s">
        <v>292</v>
      </c>
      <c r="B59" s="0" t="s">
        <v>92</v>
      </c>
      <c r="C59" s="0" t="s">
        <v>98</v>
      </c>
      <c r="D59" s="0" t="s">
        <v>291</v>
      </c>
      <c r="E59" s="0" t="s">
        <v>404</v>
      </c>
      <c r="F59" s="0" t="str">
        <f aca="false">IFERROR(IF($C59=INDEX(Matches!$S$5:$S$12,MATCH($B59,Matches!$A$5:$A$12,0)),"A",IF($C59=INDEX(Matches!$T$5:$T$12,MATCH($B59,Matches!$A$5:$A$12,0)),"B","")),"")</f>
        <v>B</v>
      </c>
      <c r="G59" s="0" t="n">
        <f aca="false">IFERROR(INDEX(Players!$E$2:$E$71,MATCH($E59,Players!$A$2:$A$71,0)),0)</f>
        <v>30</v>
      </c>
      <c r="H59" s="7" t="n">
        <f aca="false">IFERROR(INDEX(Players!$F$2:$F$71,MATCH($E59,Players!$A$2:$A$71,0)),"")</f>
        <v>0.6</v>
      </c>
      <c r="I59" s="6" t="n">
        <f aca="false">IFERROR(INDEX(Players!$G$2:$G$71,MATCH($E59,Players!$A$2:$A$71,0)),"")</f>
        <v>4</v>
      </c>
      <c r="J59" s="12" t="n">
        <f aca="false">IF(OR($I59="",$H59=""),"",$I59*IF(LEFT($B59,4)="DOTA",Config!$B$5,Config!$B$4)/($H59*IF(LEFT($B59,4)="DOTA",Config!$B$5,Config!$B$4)+1-$H59))</f>
        <v>5.12166859791425</v>
      </c>
      <c r="K59" s="12" t="n">
        <f aca="false">IF(OR($I59="",$H59=""),"",$I59/($H59*IF(LEFT($B59,4)="DOTA",Config!$B$5,Config!$B$4)+1-$H59))</f>
        <v>2.31749710312862</v>
      </c>
      <c r="L59" s="6" t="n">
        <f aca="false">IFERROR(INDEX(Matches!$R$5:$R$12,MATCH($B59,Matches!$A$5:$A$12,0)),1)</f>
        <v>1</v>
      </c>
      <c r="M59" s="7" t="n">
        <f aca="false">IFERROR(IF(INDEX(Matches!$M$5:$M$12,MATCH($B59,Matches!$A$5:$A$12,0))="","",IF($F59="A",INDEX(Matches!$M$5:$M$12,MATCH($B59,Matches!$A$5:$A$12,0)),1-INDEX(Matches!$M$5:$M$12,MATCH($B59,Matches!$A$5:$A$12,0)))),"")</f>
        <v>0.2889</v>
      </c>
      <c r="N59" s="6" t="n">
        <f aca="false">1</f>
        <v>1</v>
      </c>
      <c r="O59" s="12" t="n">
        <f aca="false">IF(OR($M59="",$J59=""),"",$L59*($M59*$J59+(1-$M59)*$K59))</f>
        <v>3.12762224797219</v>
      </c>
      <c r="P59" s="6" t="n">
        <f aca="false">IF($O59="","",IF(LEFT($B59,4)="DOTA",Config!$B$7,Config!$B$6)*$O59+$L59^2*$M59*(1-$M59)*($J59-$K59)^2)</f>
        <v>5.68133601043545</v>
      </c>
      <c r="Q59" s="7" t="str">
        <f aca="false">IFERROR(IF(INDEX(Matches!$N$5:$N$12,MATCH($B59,Matches!$A$5:$A$12,0))="","",IF($F59="A",INDEX(Matches!$N$5:$N$12,MATCH($B59,Matches!$A$5:$A$12,0)),1-INDEX(Matches!$N$5:$N$12,MATCH($B59,Matches!$A$5:$A$12,0)))),"")</f>
        <v/>
      </c>
      <c r="R59" s="6" t="n">
        <f aca="false">IFERROR(N(INDEX(Matches!$P$5:$P$12,MATCH($B59,Matches!$A$5:$A$12,0))),0)</f>
        <v>0</v>
      </c>
      <c r="S59" s="12" t="str">
        <f aca="false">IF(OR($Q59="",$J59=""),"",$L59*($Q59*$J59+(1-$Q59)*$K59))</f>
        <v/>
      </c>
      <c r="T59" s="0" t="str">
        <f aca="false">IF($S59="","",IF(LEFT($B59,4)="DOTA",Config!$B$7,Config!$B$6)*$S59+$L59^2*$Q59*(1-$Q59)*($J59-$K59)^2)</f>
        <v/>
      </c>
      <c r="U59" s="7" t="str">
        <f aca="false">IFERROR(IF(INDEX(Matches!$O$5:$O$12,MATCH($B59,Matches!$A$5:$A$12,0))="","",IF($F59="A",INDEX(Matches!$O$5:$O$12,MATCH($B59,Matches!$A$5:$A$12,0)),1-INDEX(Matches!$O$5:$O$12,MATCH($B59,Matches!$A$5:$A$12,0)))),"")</f>
        <v/>
      </c>
      <c r="V59" s="6" t="n">
        <f aca="false">IFERROR(N(INDEX(Matches!$Q$5:$Q$12,MATCH($B59,Matches!$A$5:$A$12,0))),0)</f>
        <v>0</v>
      </c>
      <c r="W59" s="12" t="str">
        <f aca="false">IF(OR($U59="",$J59=""),"",$L59*($U59*$J59+(1-$U59)*$K59))</f>
        <v/>
      </c>
      <c r="X59" s="0" t="str">
        <f aca="false">IF($W59="","",IF(LEFT($B59,4)="DOTA",Config!$B$7,Config!$B$6)*$W59+$L59^2*$U59*(1-$U59)*($J59-$K59)^2)</f>
        <v/>
      </c>
      <c r="Y59" s="12" t="n">
        <f aca="false">IF($O59="","",$O59)</f>
        <v>3.12762224797219</v>
      </c>
      <c r="Z59" s="6" t="n">
        <f aca="false">IF($P59="","",$P59)</f>
        <v>5.68133601043545</v>
      </c>
      <c r="AA59" s="12" t="n">
        <f aca="false">IF($O59="","",N($N59)*N($O59)+N($R59)*N($S59))</f>
        <v>3.12762224797219</v>
      </c>
      <c r="AB59" s="6" t="n">
        <f aca="false">IF($O59="","",(N($N59)*N($P59)+N($N59)*(1-N($N59))*N($O59)^2)+(N($R59)*N($T59)+N($R59)*(1-N($R59))*N($S59)^2))</f>
        <v>5.68133601043545</v>
      </c>
      <c r="AC59" s="12" t="n">
        <f aca="false">IF($O59="","",N($N59)*N($O59)+N($R59)*N($S59)+N($V59)*N($W59))</f>
        <v>3.12762224797219</v>
      </c>
      <c r="AD59" s="6" t="n">
        <f aca="false">IF($O59="","",(N($N59)*N($P59)+N($N59)*(1-N($N59))*N($O59)^2)+(N($R59)*N($T59)+N($R59)*(1-N($R59))*N($S59)^2)+(N($V59)*N($X59)+N($V59)*(1-N($V59))*N($W59)^2))</f>
        <v>5.68133601043545</v>
      </c>
      <c r="AE59" s="12" t="n">
        <f aca="false">IF($I59="","",$I59*$L59)</f>
        <v>4</v>
      </c>
      <c r="AF59" s="12" t="n">
        <f aca="false">IF($I59="","",$I59*$L59*(1+N($R59)))</f>
        <v>4</v>
      </c>
      <c r="AG59" s="12" t="n">
        <f aca="false">IF($I59="","",$I59*$L59*(1+N($R59)+N($V59)))</f>
        <v>4</v>
      </c>
      <c r="AH59" s="0" t="str">
        <f aca="false">TRIM(IF($G59&lt;Config!$B$9,"thin sample ("&amp;$G59&amp;" maps) · ","")&amp;IF($I59="","no PickFinder stats · ","")&amp;IFERROR(IF(INDEX(Players!$T$2:$T$71,MATCH($E59,Players!$A$2:$A$71,0))&lt;0.5,"new roster: "&amp;TEXT(INDEX(Players!$T$2:$T$71,MATCH($E59,Players!$A$2:$A$71,0)),"0%")&amp;" of his recent games with these teammates",""),""))</f>
        <v>new roster: 0% of his recent games with these teammates</v>
      </c>
      <c r="AI59" s="0" t="str">
        <f aca="false">IF($B59=Board!$B$2,COUNTIFS($B$2:$B$71,Board!$B$2,$Y$2:$Y$71,"&gt;"&amp;$Y59)+COUNTIFS($B$1:$B58,Board!$B$2,$Y$1:$Y58,$Y59)+1,"")</f>
        <v/>
      </c>
      <c r="AJ59" s="0" t="str">
        <f aca="false">IFERROR(IF(INDEX(Matches!$D$5:$D$12,MATCH($B59,Matches!$A$5:$A$12,0))=3,"K12","K13"),"K13")</f>
        <v>K13</v>
      </c>
      <c r="AK59" s="12" t="n">
        <f aca="false">IF($AJ59="K12",$AA59,$AC59)</f>
        <v>3.12762224797219</v>
      </c>
    </row>
    <row r="60" customFormat="false" ht="15" hidden="false" customHeight="false" outlineLevel="0" collapsed="false">
      <c r="A60" s="0" t="s">
        <v>294</v>
      </c>
      <c r="B60" s="0" t="s">
        <v>92</v>
      </c>
      <c r="C60" s="0" t="s">
        <v>98</v>
      </c>
      <c r="D60" s="0" t="s">
        <v>293</v>
      </c>
      <c r="E60" s="0" t="s">
        <v>405</v>
      </c>
      <c r="F60" s="0" t="str">
        <f aca="false">IFERROR(IF($C60=INDEX(Matches!$S$5:$S$12,MATCH($B60,Matches!$A$5:$A$12,0)),"A",IF($C60=INDEX(Matches!$T$5:$T$12,MATCH($B60,Matches!$A$5:$A$12,0)),"B","")),"")</f>
        <v>B</v>
      </c>
      <c r="G60" s="0" t="n">
        <f aca="false">IFERROR(INDEX(Players!$E$2:$E$71,MATCH($E60,Players!$A$2:$A$71,0)),0)</f>
        <v>30</v>
      </c>
      <c r="H60" s="7" t="n">
        <f aca="false">IFERROR(INDEX(Players!$F$2:$F$71,MATCH($E60,Players!$A$2:$A$71,0)),"")</f>
        <v>0.63</v>
      </c>
      <c r="I60" s="6" t="n">
        <f aca="false">IFERROR(INDEX(Players!$G$2:$G$71,MATCH($E60,Players!$A$2:$A$71,0)),"")</f>
        <v>2.4</v>
      </c>
      <c r="J60" s="12" t="n">
        <f aca="false">IF(OR($I60="",$H60=""),"",$I60*IF(LEFT($B60,4)="DOTA",Config!$B$5,Config!$B$4)/($H60*IF(LEFT($B60,4)="DOTA",Config!$B$5,Config!$B$4)+1-$H60))</f>
        <v>3.00970322873518</v>
      </c>
      <c r="K60" s="12" t="n">
        <f aca="false">IF(OR($I60="",$H60=""),"",$I60/($H60*IF(LEFT($B60,4)="DOTA",Config!$B$5,Config!$B$4)+1-$H60))</f>
        <v>1.36185666458605</v>
      </c>
      <c r="L60" s="6" t="n">
        <f aca="false">IFERROR(INDEX(Matches!$R$5:$R$12,MATCH($B60,Matches!$A$5:$A$12,0)),1)</f>
        <v>1</v>
      </c>
      <c r="M60" s="7" t="n">
        <f aca="false">IFERROR(IF(INDEX(Matches!$M$5:$M$12,MATCH($B60,Matches!$A$5:$A$12,0))="","",IF($F60="A",INDEX(Matches!$M$5:$M$12,MATCH($B60,Matches!$A$5:$A$12,0)),1-INDEX(Matches!$M$5:$M$12,MATCH($B60,Matches!$A$5:$A$12,0)))),"")</f>
        <v>0.2889</v>
      </c>
      <c r="N60" s="6" t="n">
        <f aca="false">1</f>
        <v>1</v>
      </c>
      <c r="O60" s="12" t="n">
        <f aca="false">IF(OR($M60="",$J60=""),"",$L60*($M60*$J60+(1-$M60)*$K60))</f>
        <v>1.83791953696873</v>
      </c>
      <c r="P60" s="6" t="n">
        <f aca="false">IF($O60="","",IF(LEFT($B60,4)="DOTA",Config!$B$7,Config!$B$6)*$O60+$L60^2*$M60*(1-$M60)*($J60-$K60)^2)</f>
        <v>2.94713810817287</v>
      </c>
      <c r="Q60" s="7" t="str">
        <f aca="false">IFERROR(IF(INDEX(Matches!$N$5:$N$12,MATCH($B60,Matches!$A$5:$A$12,0))="","",IF($F60="A",INDEX(Matches!$N$5:$N$12,MATCH($B60,Matches!$A$5:$A$12,0)),1-INDEX(Matches!$N$5:$N$12,MATCH($B60,Matches!$A$5:$A$12,0)))),"")</f>
        <v/>
      </c>
      <c r="R60" s="6" t="n">
        <f aca="false">IFERROR(N(INDEX(Matches!$P$5:$P$12,MATCH($B60,Matches!$A$5:$A$12,0))),0)</f>
        <v>0</v>
      </c>
      <c r="S60" s="12" t="str">
        <f aca="false">IF(OR($Q60="",$J60=""),"",$L60*($Q60*$J60+(1-$Q60)*$K60))</f>
        <v/>
      </c>
      <c r="T60" s="0" t="str">
        <f aca="false">IF($S60="","",IF(LEFT($B60,4)="DOTA",Config!$B$7,Config!$B$6)*$S60+$L60^2*$Q60*(1-$Q60)*($J60-$K60)^2)</f>
        <v/>
      </c>
      <c r="U60" s="7" t="str">
        <f aca="false">IFERROR(IF(INDEX(Matches!$O$5:$O$12,MATCH($B60,Matches!$A$5:$A$12,0))="","",IF($F60="A",INDEX(Matches!$O$5:$O$12,MATCH($B60,Matches!$A$5:$A$12,0)),1-INDEX(Matches!$O$5:$O$12,MATCH($B60,Matches!$A$5:$A$12,0)))),"")</f>
        <v/>
      </c>
      <c r="V60" s="6" t="n">
        <f aca="false">IFERROR(N(INDEX(Matches!$Q$5:$Q$12,MATCH($B60,Matches!$A$5:$A$12,0))),0)</f>
        <v>0</v>
      </c>
      <c r="W60" s="12" t="str">
        <f aca="false">IF(OR($U60="",$J60=""),"",$L60*($U60*$J60+(1-$U60)*$K60))</f>
        <v/>
      </c>
      <c r="X60" s="0" t="str">
        <f aca="false">IF($W60="","",IF(LEFT($B60,4)="DOTA",Config!$B$7,Config!$B$6)*$W60+$L60^2*$U60*(1-$U60)*($J60-$K60)^2)</f>
        <v/>
      </c>
      <c r="Y60" s="12" t="n">
        <f aca="false">IF($O60="","",$O60)</f>
        <v>1.83791953696873</v>
      </c>
      <c r="Z60" s="6" t="n">
        <f aca="false">IF($P60="","",$P60)</f>
        <v>2.94713810817287</v>
      </c>
      <c r="AA60" s="12" t="n">
        <f aca="false">IF($O60="","",N($N60)*N($O60)+N($R60)*N($S60))</f>
        <v>1.83791953696873</v>
      </c>
      <c r="AB60" s="6" t="n">
        <f aca="false">IF($O60="","",(N($N60)*N($P60)+N($N60)*(1-N($N60))*N($O60)^2)+(N($R60)*N($T60)+N($R60)*(1-N($R60))*N($S60)^2))</f>
        <v>2.94713810817287</v>
      </c>
      <c r="AC60" s="12" t="n">
        <f aca="false">IF($O60="","",N($N60)*N($O60)+N($R60)*N($S60)+N($V60)*N($W60))</f>
        <v>1.83791953696873</v>
      </c>
      <c r="AD60" s="6" t="n">
        <f aca="false">IF($O60="","",(N($N60)*N($P60)+N($N60)*(1-N($N60))*N($O60)^2)+(N($R60)*N($T60)+N($R60)*(1-N($R60))*N($S60)^2)+(N($V60)*N($X60)+N($V60)*(1-N($V60))*N($W60)^2))</f>
        <v>2.94713810817287</v>
      </c>
      <c r="AE60" s="12" t="n">
        <f aca="false">IF($I60="","",$I60*$L60)</f>
        <v>2.4</v>
      </c>
      <c r="AF60" s="12" t="n">
        <f aca="false">IF($I60="","",$I60*$L60*(1+N($R60)))</f>
        <v>2.4</v>
      </c>
      <c r="AG60" s="12" t="n">
        <f aca="false">IF($I60="","",$I60*$L60*(1+N($R60)+N($V60)))</f>
        <v>2.4</v>
      </c>
      <c r="AH60" s="0" t="str">
        <f aca="false">TRIM(IF($G60&lt;Config!$B$9,"thin sample ("&amp;$G60&amp;" maps) · ","")&amp;IF($I60="","no PickFinder stats · ","")&amp;IFERROR(IF(INDEX(Players!$T$2:$T$71,MATCH($E60,Players!$A$2:$A$71,0))&lt;0.5,"new roster: "&amp;TEXT(INDEX(Players!$T$2:$T$71,MATCH($E60,Players!$A$2:$A$71,0)),"0%")&amp;" of his recent games with these teammates",""),""))</f>
        <v>new roster: 0% of his recent games with these teammates</v>
      </c>
      <c r="AI60" s="0" t="str">
        <f aca="false">IF($B60=Board!$B$2,COUNTIFS($B$2:$B$71,Board!$B$2,$Y$2:$Y$71,"&gt;"&amp;$Y60)+COUNTIFS($B$1:$B59,Board!$B$2,$Y$1:$Y59,$Y60)+1,"")</f>
        <v/>
      </c>
      <c r="AJ60" s="0" t="str">
        <f aca="false">IFERROR(IF(INDEX(Matches!$D$5:$D$12,MATCH($B60,Matches!$A$5:$A$12,0))=3,"K12","K13"),"K13")</f>
        <v>K13</v>
      </c>
      <c r="AK60" s="12" t="n">
        <f aca="false">IF($AJ60="K12",$AA60,$AC60)</f>
        <v>1.83791953696873</v>
      </c>
    </row>
    <row r="61" customFormat="false" ht="15" hidden="false" customHeight="false" outlineLevel="0" collapsed="false">
      <c r="A61" s="0" t="s">
        <v>296</v>
      </c>
      <c r="B61" s="0" t="s">
        <v>92</v>
      </c>
      <c r="C61" s="0" t="s">
        <v>98</v>
      </c>
      <c r="D61" s="0" t="s">
        <v>295</v>
      </c>
      <c r="E61" s="0" t="s">
        <v>406</v>
      </c>
      <c r="F61" s="0" t="str">
        <f aca="false">IFERROR(IF($C61=INDEX(Matches!$S$5:$S$12,MATCH($B61,Matches!$A$5:$A$12,0)),"A",IF($C61=INDEX(Matches!$T$5:$T$12,MATCH($B61,Matches!$A$5:$A$12,0)),"B","")),"")</f>
        <v>B</v>
      </c>
      <c r="G61" s="0" t="n">
        <f aca="false">IFERROR(INDEX(Players!$E$2:$E$71,MATCH($E61,Players!$A$2:$A$71,0)),0)</f>
        <v>30</v>
      </c>
      <c r="H61" s="7" t="n">
        <f aca="false">IFERROR(INDEX(Players!$F$2:$F$71,MATCH($E61,Players!$A$2:$A$71,0)),"")</f>
        <v>0.6</v>
      </c>
      <c r="I61" s="6" t="n">
        <f aca="false">IFERROR(INDEX(Players!$G$2:$G$71,MATCH($E61,Players!$A$2:$A$71,0)),"")</f>
        <v>3.3</v>
      </c>
      <c r="J61" s="12" t="n">
        <f aca="false">IF(OR($I61="",$H61=""),"",$I61*IF(LEFT($B61,4)="DOTA",Config!$B$5,Config!$B$4)/($H61*IF(LEFT($B61,4)="DOTA",Config!$B$5,Config!$B$4)+1-$H61))</f>
        <v>4.22537659327926</v>
      </c>
      <c r="K61" s="12" t="n">
        <f aca="false">IF(OR($I61="",$H61=""),"",$I61/($H61*IF(LEFT($B61,4)="DOTA",Config!$B$5,Config!$B$4)+1-$H61))</f>
        <v>1.91193511008111</v>
      </c>
      <c r="L61" s="6" t="n">
        <f aca="false">IFERROR(INDEX(Matches!$R$5:$R$12,MATCH($B61,Matches!$A$5:$A$12,0)),1)</f>
        <v>1</v>
      </c>
      <c r="M61" s="7" t="n">
        <f aca="false">IFERROR(IF(INDEX(Matches!$M$5:$M$12,MATCH($B61,Matches!$A$5:$A$12,0))="","",IF($F61="A",INDEX(Matches!$M$5:$M$12,MATCH($B61,Matches!$A$5:$A$12,0)),1-INDEX(Matches!$M$5:$M$12,MATCH($B61,Matches!$A$5:$A$12,0)))),"")</f>
        <v>0.2889</v>
      </c>
      <c r="N61" s="6" t="n">
        <f aca="false">1</f>
        <v>1</v>
      </c>
      <c r="O61" s="12" t="n">
        <f aca="false">IF(OR($M61="",$J61=""),"",$L61*($M61*$J61+(1-$M61)*$K61))</f>
        <v>2.58028835457706</v>
      </c>
      <c r="P61" s="6" t="n">
        <f aca="false">IF($O61="","",IF(LEFT($B61,4)="DOTA",Config!$B$7,Config!$B$6)*$O61+$L61^2*$M61*(1-$M61)*($J61-$K61)^2)</f>
        <v>4.45387492276891</v>
      </c>
      <c r="Q61" s="7" t="str">
        <f aca="false">IFERROR(IF(INDEX(Matches!$N$5:$N$12,MATCH($B61,Matches!$A$5:$A$12,0))="","",IF($F61="A",INDEX(Matches!$N$5:$N$12,MATCH($B61,Matches!$A$5:$A$12,0)),1-INDEX(Matches!$N$5:$N$12,MATCH($B61,Matches!$A$5:$A$12,0)))),"")</f>
        <v/>
      </c>
      <c r="R61" s="6" t="n">
        <f aca="false">IFERROR(N(INDEX(Matches!$P$5:$P$12,MATCH($B61,Matches!$A$5:$A$12,0))),0)</f>
        <v>0</v>
      </c>
      <c r="S61" s="12" t="str">
        <f aca="false">IF(OR($Q61="",$J61=""),"",$L61*($Q61*$J61+(1-$Q61)*$K61))</f>
        <v/>
      </c>
      <c r="T61" s="0" t="str">
        <f aca="false">IF($S61="","",IF(LEFT($B61,4)="DOTA",Config!$B$7,Config!$B$6)*$S61+$L61^2*$Q61*(1-$Q61)*($J61-$K61)^2)</f>
        <v/>
      </c>
      <c r="U61" s="7" t="str">
        <f aca="false">IFERROR(IF(INDEX(Matches!$O$5:$O$12,MATCH($B61,Matches!$A$5:$A$12,0))="","",IF($F61="A",INDEX(Matches!$O$5:$O$12,MATCH($B61,Matches!$A$5:$A$12,0)),1-INDEX(Matches!$O$5:$O$12,MATCH($B61,Matches!$A$5:$A$12,0)))),"")</f>
        <v/>
      </c>
      <c r="V61" s="6" t="n">
        <f aca="false">IFERROR(N(INDEX(Matches!$Q$5:$Q$12,MATCH($B61,Matches!$A$5:$A$12,0))),0)</f>
        <v>0</v>
      </c>
      <c r="W61" s="12" t="str">
        <f aca="false">IF(OR($U61="",$J61=""),"",$L61*($U61*$J61+(1-$U61)*$K61))</f>
        <v/>
      </c>
      <c r="X61" s="0" t="str">
        <f aca="false">IF($W61="","",IF(LEFT($B61,4)="DOTA",Config!$B$7,Config!$B$6)*$W61+$L61^2*$U61*(1-$U61)*($J61-$K61)^2)</f>
        <v/>
      </c>
      <c r="Y61" s="12" t="n">
        <f aca="false">IF($O61="","",$O61)</f>
        <v>2.58028835457706</v>
      </c>
      <c r="Z61" s="6" t="n">
        <f aca="false">IF($P61="","",$P61)</f>
        <v>4.45387492276891</v>
      </c>
      <c r="AA61" s="12" t="n">
        <f aca="false">IF($O61="","",N($N61)*N($O61)+N($R61)*N($S61))</f>
        <v>2.58028835457706</v>
      </c>
      <c r="AB61" s="6" t="n">
        <f aca="false">IF($O61="","",(N($N61)*N($P61)+N($N61)*(1-N($N61))*N($O61)^2)+(N($R61)*N($T61)+N($R61)*(1-N($R61))*N($S61)^2))</f>
        <v>4.45387492276891</v>
      </c>
      <c r="AC61" s="12" t="n">
        <f aca="false">IF($O61="","",N($N61)*N($O61)+N($R61)*N($S61)+N($V61)*N($W61))</f>
        <v>2.58028835457706</v>
      </c>
      <c r="AD61" s="6" t="n">
        <f aca="false">IF($O61="","",(N($N61)*N($P61)+N($N61)*(1-N($N61))*N($O61)^2)+(N($R61)*N($T61)+N($R61)*(1-N($R61))*N($S61)^2)+(N($V61)*N($X61)+N($V61)*(1-N($V61))*N($W61)^2))</f>
        <v>4.45387492276891</v>
      </c>
      <c r="AE61" s="12" t="n">
        <f aca="false">IF($I61="","",$I61*$L61)</f>
        <v>3.3</v>
      </c>
      <c r="AF61" s="12" t="n">
        <f aca="false">IF($I61="","",$I61*$L61*(1+N($R61)))</f>
        <v>3.3</v>
      </c>
      <c r="AG61" s="12" t="n">
        <f aca="false">IF($I61="","",$I61*$L61*(1+N($R61)+N($V61)))</f>
        <v>3.3</v>
      </c>
      <c r="AH61" s="0" t="str">
        <f aca="false">TRIM(IF($G61&lt;Config!$B$9,"thin sample ("&amp;$G61&amp;" maps) · ","")&amp;IF($I61="","no PickFinder stats · ","")&amp;IFERROR(IF(INDEX(Players!$T$2:$T$71,MATCH($E61,Players!$A$2:$A$71,0))&lt;0.5,"new roster: "&amp;TEXT(INDEX(Players!$T$2:$T$71,MATCH($E61,Players!$A$2:$A$71,0)),"0%")&amp;" of his recent games with these teammates",""),""))</f>
        <v>new roster: 0% of his recent games with these teammates</v>
      </c>
      <c r="AI61" s="0" t="str">
        <f aca="false">IF($B61=Board!$B$2,COUNTIFS($B$2:$B$71,Board!$B$2,$Y$2:$Y$71,"&gt;"&amp;$Y61)+COUNTIFS($B$1:$B60,Board!$B$2,$Y$1:$Y60,$Y61)+1,"")</f>
        <v/>
      </c>
      <c r="AJ61" s="0" t="str">
        <f aca="false">IFERROR(IF(INDEX(Matches!$D$5:$D$12,MATCH($B61,Matches!$A$5:$A$12,0))=3,"K12","K13"),"K13")</f>
        <v>K13</v>
      </c>
      <c r="AK61" s="12" t="n">
        <f aca="false">IF($AJ61="K12",$AA61,$AC61)</f>
        <v>2.58028835457706</v>
      </c>
    </row>
    <row r="62" customFormat="false" ht="15" hidden="false" customHeight="false" outlineLevel="0" collapsed="false">
      <c r="A62" s="0" t="s">
        <v>298</v>
      </c>
      <c r="B62" s="0" t="s">
        <v>104</v>
      </c>
      <c r="C62" s="0" t="s">
        <v>109</v>
      </c>
      <c r="D62" s="0" t="s">
        <v>297</v>
      </c>
      <c r="E62" s="0" t="s">
        <v>407</v>
      </c>
      <c r="F62" s="0" t="str">
        <f aca="false">IFERROR(IF($C62=INDEX(Matches!$S$5:$S$12,MATCH($B62,Matches!$A$5:$A$12,0)),"A",IF($C62=INDEX(Matches!$T$5:$T$12,MATCH($B62,Matches!$A$5:$A$12,0)),"B","")),"")</f>
        <v>B</v>
      </c>
      <c r="G62" s="0" t="n">
        <f aca="false">IFERROR(INDEX(Players!$E$2:$E$71,MATCH($E62,Players!$A$2:$A$71,0)),0)</f>
        <v>30</v>
      </c>
      <c r="H62" s="7" t="n">
        <f aca="false">IFERROR(INDEX(Players!$F$2:$F$71,MATCH($E62,Players!$A$2:$A$71,0)),"")</f>
        <v>0.73</v>
      </c>
      <c r="I62" s="6" t="n">
        <f aca="false">IFERROR(INDEX(Players!$G$2:$G$71,MATCH($E62,Players!$A$2:$A$71,0)),"")</f>
        <v>3.3</v>
      </c>
      <c r="J62" s="12" t="n">
        <f aca="false">IF(OR($I62="",$H62=""),"",$I62*IF(LEFT($B62,4)="DOTA",Config!$B$5,Config!$B$4)/($H62*IF(LEFT($B62,4)="DOTA",Config!$B$5,Config!$B$4)+1-$H62))</f>
        <v>3.8724579196092</v>
      </c>
      <c r="K62" s="12" t="n">
        <f aca="false">IF(OR($I62="",$H62=""),"",$I62/($H62*IF(LEFT($B62,4)="DOTA",Config!$B$5,Config!$B$4)+1-$H62))</f>
        <v>1.7522434025381</v>
      </c>
      <c r="L62" s="6" t="n">
        <f aca="false">IFERROR(INDEX(Matches!$R$5:$R$12,MATCH($B62,Matches!$A$5:$A$12,0)),1)</f>
        <v>1</v>
      </c>
      <c r="M62" s="7" t="n">
        <f aca="false">IFERROR(IF(INDEX(Matches!$M$5:$M$12,MATCH($B62,Matches!$A$5:$A$12,0))="","",IF($F62="A",INDEX(Matches!$M$5:$M$12,MATCH($B62,Matches!$A$5:$A$12,0)),1-INDEX(Matches!$M$5:$M$12,MATCH($B62,Matches!$A$5:$A$12,0)))),"")</f>
        <v>0.527</v>
      </c>
      <c r="N62" s="6" t="n">
        <f aca="false">1</f>
        <v>1</v>
      </c>
      <c r="O62" s="12" t="n">
        <f aca="false">IF(OR($M62="",$J62=""),"",$L62*($M62*$J62+(1-$M62)*$K62))</f>
        <v>2.86959645303457</v>
      </c>
      <c r="P62" s="6" t="n">
        <f aca="false">IF($O62="","",IF(LEFT($B62,4)="DOTA",Config!$B$7,Config!$B$6)*$O62+$L62^2*$M62*(1-$M62)*($J62-$K62)^2)</f>
        <v>4.85102570784746</v>
      </c>
      <c r="Q62" s="7" t="str">
        <f aca="false">IFERROR(IF(INDEX(Matches!$N$5:$N$12,MATCH($B62,Matches!$A$5:$A$12,0))="","",IF($F62="A",INDEX(Matches!$N$5:$N$12,MATCH($B62,Matches!$A$5:$A$12,0)),1-INDEX(Matches!$N$5:$N$12,MATCH($B62,Matches!$A$5:$A$12,0)))),"")</f>
        <v/>
      </c>
      <c r="R62" s="6" t="n">
        <f aca="false">IFERROR(N(INDEX(Matches!$P$5:$P$12,MATCH($B62,Matches!$A$5:$A$12,0))),0)</f>
        <v>0</v>
      </c>
      <c r="S62" s="12" t="str">
        <f aca="false">IF(OR($Q62="",$J62=""),"",$L62*($Q62*$J62+(1-$Q62)*$K62))</f>
        <v/>
      </c>
      <c r="T62" s="0" t="str">
        <f aca="false">IF($S62="","",IF(LEFT($B62,4)="DOTA",Config!$B$7,Config!$B$6)*$S62+$L62^2*$Q62*(1-$Q62)*($J62-$K62)^2)</f>
        <v/>
      </c>
      <c r="U62" s="7" t="str">
        <f aca="false">IFERROR(IF(INDEX(Matches!$O$5:$O$12,MATCH($B62,Matches!$A$5:$A$12,0))="","",IF($F62="A",INDEX(Matches!$O$5:$O$12,MATCH($B62,Matches!$A$5:$A$12,0)),1-INDEX(Matches!$O$5:$O$12,MATCH($B62,Matches!$A$5:$A$12,0)))),"")</f>
        <v/>
      </c>
      <c r="V62" s="6" t="n">
        <f aca="false">IFERROR(N(INDEX(Matches!$Q$5:$Q$12,MATCH($B62,Matches!$A$5:$A$12,0))),0)</f>
        <v>0</v>
      </c>
      <c r="W62" s="12" t="str">
        <f aca="false">IF(OR($U62="",$J62=""),"",$L62*($U62*$J62+(1-$U62)*$K62))</f>
        <v/>
      </c>
      <c r="X62" s="0" t="str">
        <f aca="false">IF($W62="","",IF(LEFT($B62,4)="DOTA",Config!$B$7,Config!$B$6)*$W62+$L62^2*$U62*(1-$U62)*($J62-$K62)^2)</f>
        <v/>
      </c>
      <c r="Y62" s="12" t="n">
        <f aca="false">IF($O62="","",$O62)</f>
        <v>2.86959645303457</v>
      </c>
      <c r="Z62" s="6" t="n">
        <f aca="false">IF($P62="","",$P62)</f>
        <v>4.85102570784746</v>
      </c>
      <c r="AA62" s="12" t="n">
        <f aca="false">IF($O62="","",N($N62)*N($O62)+N($R62)*N($S62))</f>
        <v>2.86959645303457</v>
      </c>
      <c r="AB62" s="6" t="n">
        <f aca="false">IF($O62="","",(N($N62)*N($P62)+N($N62)*(1-N($N62))*N($O62)^2)+(N($R62)*N($T62)+N($R62)*(1-N($R62))*N($S62)^2))</f>
        <v>4.85102570784746</v>
      </c>
      <c r="AC62" s="12" t="n">
        <f aca="false">IF($O62="","",N($N62)*N($O62)+N($R62)*N($S62)+N($V62)*N($W62))</f>
        <v>2.86959645303457</v>
      </c>
      <c r="AD62" s="6" t="n">
        <f aca="false">IF($O62="","",(N($N62)*N($P62)+N($N62)*(1-N($N62))*N($O62)^2)+(N($R62)*N($T62)+N($R62)*(1-N($R62))*N($S62)^2)+(N($V62)*N($X62)+N($V62)*(1-N($V62))*N($W62)^2))</f>
        <v>4.85102570784746</v>
      </c>
      <c r="AE62" s="12" t="n">
        <f aca="false">IF($I62="","",$I62*$L62)</f>
        <v>3.3</v>
      </c>
      <c r="AF62" s="12" t="n">
        <f aca="false">IF($I62="","",$I62*$L62*(1+N($R62)))</f>
        <v>3.3</v>
      </c>
      <c r="AG62" s="12" t="n">
        <f aca="false">IF($I62="","",$I62*$L62*(1+N($R62)+N($V62)))</f>
        <v>3.3</v>
      </c>
      <c r="AH62" s="0" t="str">
        <f aca="false">TRIM(IF($G62&lt;Config!$B$9,"thin sample ("&amp;$G62&amp;" maps) · ","")&amp;IF($I62="","no PickFinder stats · ","")&amp;IFERROR(IF(INDEX(Players!$T$2:$T$71,MATCH($E62,Players!$A$2:$A$71,0))&lt;0.5,"new roster: "&amp;TEXT(INDEX(Players!$T$2:$T$71,MATCH($E62,Players!$A$2:$A$71,0)),"0%")&amp;" of his recent games with these teammates",""),""))</f>
        <v>new roster: 0% of his recent games with these teammates</v>
      </c>
      <c r="AI62" s="0" t="str">
        <f aca="false">IF($B62=Board!$B$2,COUNTIFS($B$2:$B$71,Board!$B$2,$Y$2:$Y$71,"&gt;"&amp;$Y62)+COUNTIFS($B$1:$B61,Board!$B$2,$Y$1:$Y61,$Y62)+1,"")</f>
        <v/>
      </c>
      <c r="AJ62" s="0" t="str">
        <f aca="false">IFERROR(IF(INDEX(Matches!$D$5:$D$12,MATCH($B62,Matches!$A$5:$A$12,0))=3,"K12","K13"),"K13")</f>
        <v>K13</v>
      </c>
      <c r="AK62" s="12" t="n">
        <f aca="false">IF($AJ62="K12",$AA62,$AC62)</f>
        <v>2.86959645303457</v>
      </c>
    </row>
    <row r="63" customFormat="false" ht="15" hidden="false" customHeight="false" outlineLevel="0" collapsed="false">
      <c r="A63" s="0" t="s">
        <v>301</v>
      </c>
      <c r="B63" s="0" t="s">
        <v>104</v>
      </c>
      <c r="C63" s="0" t="s">
        <v>109</v>
      </c>
      <c r="D63" s="0" t="s">
        <v>299</v>
      </c>
      <c r="E63" s="0" t="s">
        <v>408</v>
      </c>
      <c r="F63" s="0" t="str">
        <f aca="false">IFERROR(IF($C63=INDEX(Matches!$S$5:$S$12,MATCH($B63,Matches!$A$5:$A$12,0)),"A",IF($C63=INDEX(Matches!$T$5:$T$12,MATCH($B63,Matches!$A$5:$A$12,0)),"B","")),"")</f>
        <v>B</v>
      </c>
      <c r="G63" s="0" t="n">
        <f aca="false">IFERROR(INDEX(Players!$E$2:$E$71,MATCH($E63,Players!$A$2:$A$71,0)),0)</f>
        <v>30</v>
      </c>
      <c r="H63" s="7" t="n">
        <f aca="false">IFERROR(INDEX(Players!$F$2:$F$71,MATCH($E63,Players!$A$2:$A$71,0)),"")</f>
        <v>0.73</v>
      </c>
      <c r="I63" s="6" t="n">
        <f aca="false">IFERROR(INDEX(Players!$G$2:$G$71,MATCH($E63,Players!$A$2:$A$71,0)),"")</f>
        <v>4</v>
      </c>
      <c r="J63" s="12" t="n">
        <f aca="false">IF(OR($I63="",$H63=""),"",$I63*IF(LEFT($B63,4)="DOTA",Config!$B$5,Config!$B$4)/($H63*IF(LEFT($B63,4)="DOTA",Config!$B$5,Config!$B$4)+1-$H63))</f>
        <v>4.69388838740509</v>
      </c>
      <c r="K63" s="12" t="n">
        <f aca="false">IF(OR($I63="",$H63=""),"",$I63/($H63*IF(LEFT($B63,4)="DOTA",Config!$B$5,Config!$B$4)+1-$H63))</f>
        <v>2.12393139701588</v>
      </c>
      <c r="L63" s="6" t="n">
        <f aca="false">IFERROR(INDEX(Matches!$R$5:$R$12,MATCH($B63,Matches!$A$5:$A$12,0)),1)</f>
        <v>1</v>
      </c>
      <c r="M63" s="7" t="n">
        <f aca="false">IFERROR(IF(INDEX(Matches!$M$5:$M$12,MATCH($B63,Matches!$A$5:$A$12,0))="","",IF($F63="A",INDEX(Matches!$M$5:$M$12,MATCH($B63,Matches!$A$5:$A$12,0)),1-INDEX(Matches!$M$5:$M$12,MATCH($B63,Matches!$A$5:$A$12,0)))),"")</f>
        <v>0.527</v>
      </c>
      <c r="N63" s="6" t="n">
        <f aca="false">1</f>
        <v>1</v>
      </c>
      <c r="O63" s="12" t="n">
        <f aca="false">IF(OR($M63="",$J63=""),"",$L63*($M63*$J63+(1-$M63)*$K63))</f>
        <v>3.47829873095099</v>
      </c>
      <c r="P63" s="6" t="n">
        <f aca="false">IF($O63="","",IF(LEFT($B63,4)="DOTA",Config!$B$7,Config!$B$6)*$O63+$L63^2*$M63*(1-$M63)*($J63-$K63)^2)</f>
        <v>6.16814327240712</v>
      </c>
      <c r="Q63" s="7" t="str">
        <f aca="false">IFERROR(IF(INDEX(Matches!$N$5:$N$12,MATCH($B63,Matches!$A$5:$A$12,0))="","",IF($F63="A",INDEX(Matches!$N$5:$N$12,MATCH($B63,Matches!$A$5:$A$12,0)),1-INDEX(Matches!$N$5:$N$12,MATCH($B63,Matches!$A$5:$A$12,0)))),"")</f>
        <v/>
      </c>
      <c r="R63" s="6" t="n">
        <f aca="false">IFERROR(N(INDEX(Matches!$P$5:$P$12,MATCH($B63,Matches!$A$5:$A$12,0))),0)</f>
        <v>0</v>
      </c>
      <c r="S63" s="12" t="str">
        <f aca="false">IF(OR($Q63="",$J63=""),"",$L63*($Q63*$J63+(1-$Q63)*$K63))</f>
        <v/>
      </c>
      <c r="T63" s="0" t="str">
        <f aca="false">IF($S63="","",IF(LEFT($B63,4)="DOTA",Config!$B$7,Config!$B$6)*$S63+$L63^2*$Q63*(1-$Q63)*($J63-$K63)^2)</f>
        <v/>
      </c>
      <c r="U63" s="7" t="str">
        <f aca="false">IFERROR(IF(INDEX(Matches!$O$5:$O$12,MATCH($B63,Matches!$A$5:$A$12,0))="","",IF($F63="A",INDEX(Matches!$O$5:$O$12,MATCH($B63,Matches!$A$5:$A$12,0)),1-INDEX(Matches!$O$5:$O$12,MATCH($B63,Matches!$A$5:$A$12,0)))),"")</f>
        <v/>
      </c>
      <c r="V63" s="6" t="n">
        <f aca="false">IFERROR(N(INDEX(Matches!$Q$5:$Q$12,MATCH($B63,Matches!$A$5:$A$12,0))),0)</f>
        <v>0</v>
      </c>
      <c r="W63" s="12" t="str">
        <f aca="false">IF(OR($U63="",$J63=""),"",$L63*($U63*$J63+(1-$U63)*$K63))</f>
        <v/>
      </c>
      <c r="X63" s="0" t="str">
        <f aca="false">IF($W63="","",IF(LEFT($B63,4)="DOTA",Config!$B$7,Config!$B$6)*$W63+$L63^2*$U63*(1-$U63)*($J63-$K63)^2)</f>
        <v/>
      </c>
      <c r="Y63" s="12" t="n">
        <f aca="false">IF($O63="","",$O63)</f>
        <v>3.47829873095099</v>
      </c>
      <c r="Z63" s="6" t="n">
        <f aca="false">IF($P63="","",$P63)</f>
        <v>6.16814327240712</v>
      </c>
      <c r="AA63" s="12" t="n">
        <f aca="false">IF($O63="","",N($N63)*N($O63)+N($R63)*N($S63))</f>
        <v>3.47829873095099</v>
      </c>
      <c r="AB63" s="6" t="n">
        <f aca="false">IF($O63="","",(N($N63)*N($P63)+N($N63)*(1-N($N63))*N($O63)^2)+(N($R63)*N($T63)+N($R63)*(1-N($R63))*N($S63)^2))</f>
        <v>6.16814327240712</v>
      </c>
      <c r="AC63" s="12" t="n">
        <f aca="false">IF($O63="","",N($N63)*N($O63)+N($R63)*N($S63)+N($V63)*N($W63))</f>
        <v>3.47829873095099</v>
      </c>
      <c r="AD63" s="6" t="n">
        <f aca="false">IF($O63="","",(N($N63)*N($P63)+N($N63)*(1-N($N63))*N($O63)^2)+(N($R63)*N($T63)+N($R63)*(1-N($R63))*N($S63)^2)+(N($V63)*N($X63)+N($V63)*(1-N($V63))*N($W63)^2))</f>
        <v>6.16814327240712</v>
      </c>
      <c r="AE63" s="12" t="n">
        <f aca="false">IF($I63="","",$I63*$L63)</f>
        <v>4</v>
      </c>
      <c r="AF63" s="12" t="n">
        <f aca="false">IF($I63="","",$I63*$L63*(1+N($R63)))</f>
        <v>4</v>
      </c>
      <c r="AG63" s="12" t="n">
        <f aca="false">IF($I63="","",$I63*$L63*(1+N($R63)+N($V63)))</f>
        <v>4</v>
      </c>
      <c r="AH63" s="0" t="str">
        <f aca="false">TRIM(IF($G63&lt;Config!$B$9,"thin sample ("&amp;$G63&amp;" maps) · ","")&amp;IF($I63="","no PickFinder stats · ","")&amp;IFERROR(IF(INDEX(Players!$T$2:$T$71,MATCH($E63,Players!$A$2:$A$71,0))&lt;0.5,"new roster: "&amp;TEXT(INDEX(Players!$T$2:$T$71,MATCH($E63,Players!$A$2:$A$71,0)),"0%")&amp;" of his recent games with these teammates",""),""))</f>
        <v>new roster: 0% of his recent games with these teammates</v>
      </c>
      <c r="AI63" s="0" t="str">
        <f aca="false">IF($B63=Board!$B$2,COUNTIFS($B$2:$B$71,Board!$B$2,$Y$2:$Y$71,"&gt;"&amp;$Y63)+COUNTIFS($B$1:$B62,Board!$B$2,$Y$1:$Y62,$Y63)+1,"")</f>
        <v/>
      </c>
      <c r="AJ63" s="0" t="str">
        <f aca="false">IFERROR(IF(INDEX(Matches!$D$5:$D$12,MATCH($B63,Matches!$A$5:$A$12,0))=3,"K12","K13"),"K13")</f>
        <v>K13</v>
      </c>
      <c r="AK63" s="12" t="n">
        <f aca="false">IF($AJ63="K12",$AA63,$AC63)</f>
        <v>3.47829873095099</v>
      </c>
    </row>
    <row r="64" customFormat="false" ht="15" hidden="false" customHeight="false" outlineLevel="0" collapsed="false">
      <c r="A64" s="0" t="s">
        <v>303</v>
      </c>
      <c r="B64" s="0" t="s">
        <v>104</v>
      </c>
      <c r="C64" s="0" t="s">
        <v>109</v>
      </c>
      <c r="D64" s="0" t="s">
        <v>302</v>
      </c>
      <c r="E64" s="0" t="s">
        <v>409</v>
      </c>
      <c r="F64" s="0" t="str">
        <f aca="false">IFERROR(IF($C64=INDEX(Matches!$S$5:$S$12,MATCH($B64,Matches!$A$5:$A$12,0)),"A",IF($C64=INDEX(Matches!$T$5:$T$12,MATCH($B64,Matches!$A$5:$A$12,0)),"B","")),"")</f>
        <v>B</v>
      </c>
      <c r="G64" s="0" t="n">
        <f aca="false">IFERROR(INDEX(Players!$E$2:$E$71,MATCH($E64,Players!$A$2:$A$71,0)),0)</f>
        <v>30</v>
      </c>
      <c r="H64" s="7" t="n">
        <f aca="false">IFERROR(INDEX(Players!$F$2:$F$71,MATCH($E64,Players!$A$2:$A$71,0)),"")</f>
        <v>0.73</v>
      </c>
      <c r="I64" s="6" t="n">
        <f aca="false">IFERROR(INDEX(Players!$G$2:$G$71,MATCH($E64,Players!$A$2:$A$71,0)),"")</f>
        <v>4.6</v>
      </c>
      <c r="J64" s="12" t="n">
        <f aca="false">IF(OR($I64="",$H64=""),"",$I64*IF(LEFT($B64,4)="DOTA",Config!$B$5,Config!$B$4)/($H64*IF(LEFT($B64,4)="DOTA",Config!$B$5,Config!$B$4)+1-$H64))</f>
        <v>5.39797164551585</v>
      </c>
      <c r="K64" s="12" t="n">
        <f aca="false">IF(OR($I64="",$H64=""),"",$I64/($H64*IF(LEFT($B64,4)="DOTA",Config!$B$5,Config!$B$4)+1-$H64))</f>
        <v>2.44252110656826</v>
      </c>
      <c r="L64" s="6" t="n">
        <f aca="false">IFERROR(INDEX(Matches!$R$5:$R$12,MATCH($B64,Matches!$A$5:$A$12,0)),1)</f>
        <v>1</v>
      </c>
      <c r="M64" s="7" t="n">
        <f aca="false">IFERROR(IF(INDEX(Matches!$M$5:$M$12,MATCH($B64,Matches!$A$5:$A$12,0))="","",IF($F64="A",INDEX(Matches!$M$5:$M$12,MATCH($B64,Matches!$A$5:$A$12,0)),1-INDEX(Matches!$M$5:$M$12,MATCH($B64,Matches!$A$5:$A$12,0)))),"")</f>
        <v>0.527</v>
      </c>
      <c r="N64" s="6" t="n">
        <f aca="false">1</f>
        <v>1</v>
      </c>
      <c r="O64" s="12" t="n">
        <f aca="false">IF(OR($M64="",$J64=""),"",$L64*($M64*$J64+(1-$M64)*$K64))</f>
        <v>4.00004354059364</v>
      </c>
      <c r="P64" s="6" t="n">
        <f aca="false">IF($O64="","",IF(LEFT($B64,4)="DOTA",Config!$B$7,Config!$B$6)*$O64+$L64^2*$M64*(1-$M64)*($J64-$K64)^2)</f>
        <v>7.37736098734266</v>
      </c>
      <c r="Q64" s="7" t="str">
        <f aca="false">IFERROR(IF(INDEX(Matches!$N$5:$N$12,MATCH($B64,Matches!$A$5:$A$12,0))="","",IF($F64="A",INDEX(Matches!$N$5:$N$12,MATCH($B64,Matches!$A$5:$A$12,0)),1-INDEX(Matches!$N$5:$N$12,MATCH($B64,Matches!$A$5:$A$12,0)))),"")</f>
        <v/>
      </c>
      <c r="R64" s="6" t="n">
        <f aca="false">IFERROR(N(INDEX(Matches!$P$5:$P$12,MATCH($B64,Matches!$A$5:$A$12,0))),0)</f>
        <v>0</v>
      </c>
      <c r="S64" s="12" t="str">
        <f aca="false">IF(OR($Q64="",$J64=""),"",$L64*($Q64*$J64+(1-$Q64)*$K64))</f>
        <v/>
      </c>
      <c r="T64" s="0" t="str">
        <f aca="false">IF($S64="","",IF(LEFT($B64,4)="DOTA",Config!$B$7,Config!$B$6)*$S64+$L64^2*$Q64*(1-$Q64)*($J64-$K64)^2)</f>
        <v/>
      </c>
      <c r="U64" s="7" t="str">
        <f aca="false">IFERROR(IF(INDEX(Matches!$O$5:$O$12,MATCH($B64,Matches!$A$5:$A$12,0))="","",IF($F64="A",INDEX(Matches!$O$5:$O$12,MATCH($B64,Matches!$A$5:$A$12,0)),1-INDEX(Matches!$O$5:$O$12,MATCH($B64,Matches!$A$5:$A$12,0)))),"")</f>
        <v/>
      </c>
      <c r="V64" s="6" t="n">
        <f aca="false">IFERROR(N(INDEX(Matches!$Q$5:$Q$12,MATCH($B64,Matches!$A$5:$A$12,0))),0)</f>
        <v>0</v>
      </c>
      <c r="W64" s="12" t="str">
        <f aca="false">IF(OR($U64="",$J64=""),"",$L64*($U64*$J64+(1-$U64)*$K64))</f>
        <v/>
      </c>
      <c r="X64" s="0" t="str">
        <f aca="false">IF($W64="","",IF(LEFT($B64,4)="DOTA",Config!$B$7,Config!$B$6)*$W64+$L64^2*$U64*(1-$U64)*($J64-$K64)^2)</f>
        <v/>
      </c>
      <c r="Y64" s="12" t="n">
        <f aca="false">IF($O64="","",$O64)</f>
        <v>4.00004354059364</v>
      </c>
      <c r="Z64" s="6" t="n">
        <f aca="false">IF($P64="","",$P64)</f>
        <v>7.37736098734266</v>
      </c>
      <c r="AA64" s="12" t="n">
        <f aca="false">IF($O64="","",N($N64)*N($O64)+N($R64)*N($S64))</f>
        <v>4.00004354059364</v>
      </c>
      <c r="AB64" s="6" t="n">
        <f aca="false">IF($O64="","",(N($N64)*N($P64)+N($N64)*(1-N($N64))*N($O64)^2)+(N($R64)*N($T64)+N($R64)*(1-N($R64))*N($S64)^2))</f>
        <v>7.37736098734266</v>
      </c>
      <c r="AC64" s="12" t="n">
        <f aca="false">IF($O64="","",N($N64)*N($O64)+N($R64)*N($S64)+N($V64)*N($W64))</f>
        <v>4.00004354059364</v>
      </c>
      <c r="AD64" s="6" t="n">
        <f aca="false">IF($O64="","",(N($N64)*N($P64)+N($N64)*(1-N($N64))*N($O64)^2)+(N($R64)*N($T64)+N($R64)*(1-N($R64))*N($S64)^2)+(N($V64)*N($X64)+N($V64)*(1-N($V64))*N($W64)^2))</f>
        <v>7.37736098734266</v>
      </c>
      <c r="AE64" s="12" t="n">
        <f aca="false">IF($I64="","",$I64*$L64)</f>
        <v>4.6</v>
      </c>
      <c r="AF64" s="12" t="n">
        <f aca="false">IF($I64="","",$I64*$L64*(1+N($R64)))</f>
        <v>4.6</v>
      </c>
      <c r="AG64" s="12" t="n">
        <f aca="false">IF($I64="","",$I64*$L64*(1+N($R64)+N($V64)))</f>
        <v>4.6</v>
      </c>
      <c r="AH64" s="0" t="str">
        <f aca="false">TRIM(IF($G64&lt;Config!$B$9,"thin sample ("&amp;$G64&amp;" maps) · ","")&amp;IF($I64="","no PickFinder stats · ","")&amp;IFERROR(IF(INDEX(Players!$T$2:$T$71,MATCH($E64,Players!$A$2:$A$71,0))&lt;0.5,"new roster: "&amp;TEXT(INDEX(Players!$T$2:$T$71,MATCH($E64,Players!$A$2:$A$71,0)),"0%")&amp;" of his recent games with these teammates",""),""))</f>
        <v>new roster: 0% of his recent games with these teammates</v>
      </c>
      <c r="AI64" s="0" t="str">
        <f aca="false">IF($B64=Board!$B$2,COUNTIFS($B$2:$B$71,Board!$B$2,$Y$2:$Y$71,"&gt;"&amp;$Y64)+COUNTIFS($B$1:$B63,Board!$B$2,$Y$1:$Y63,$Y64)+1,"")</f>
        <v/>
      </c>
      <c r="AJ64" s="0" t="str">
        <f aca="false">IFERROR(IF(INDEX(Matches!$D$5:$D$12,MATCH($B64,Matches!$A$5:$A$12,0))=3,"K12","K13"),"K13")</f>
        <v>K13</v>
      </c>
      <c r="AK64" s="12" t="n">
        <f aca="false">IF($AJ64="K12",$AA64,$AC64)</f>
        <v>4.00004354059364</v>
      </c>
    </row>
    <row r="65" customFormat="false" ht="15" hidden="false" customHeight="false" outlineLevel="0" collapsed="false">
      <c r="A65" s="0" t="s">
        <v>305</v>
      </c>
      <c r="B65" s="0" t="s">
        <v>104</v>
      </c>
      <c r="C65" s="0" t="s">
        <v>109</v>
      </c>
      <c r="D65" s="0" t="s">
        <v>304</v>
      </c>
      <c r="E65" s="0" t="s">
        <v>410</v>
      </c>
      <c r="F65" s="0" t="str">
        <f aca="false">IFERROR(IF($C65=INDEX(Matches!$S$5:$S$12,MATCH($B65,Matches!$A$5:$A$12,0)),"A",IF($C65=INDEX(Matches!$T$5:$T$12,MATCH($B65,Matches!$A$5:$A$12,0)),"B","")),"")</f>
        <v>B</v>
      </c>
      <c r="G65" s="0" t="n">
        <f aca="false">IFERROR(INDEX(Players!$E$2:$E$71,MATCH($E65,Players!$A$2:$A$71,0)),0)</f>
        <v>30</v>
      </c>
      <c r="H65" s="7" t="n">
        <f aca="false">IFERROR(INDEX(Players!$F$2:$F$71,MATCH($E65,Players!$A$2:$A$71,0)),"")</f>
        <v>0.73</v>
      </c>
      <c r="I65" s="6" t="n">
        <f aca="false">IFERROR(INDEX(Players!$G$2:$G$71,MATCH($E65,Players!$A$2:$A$71,0)),"")</f>
        <v>0.8</v>
      </c>
      <c r="J65" s="12" t="n">
        <f aca="false">IF(OR($I65="",$H65=""),"",$I65*IF(LEFT($B65,4)="DOTA",Config!$B$5,Config!$B$4)/($H65*IF(LEFT($B65,4)="DOTA",Config!$B$5,Config!$B$4)+1-$H65))</f>
        <v>0.938777677481018</v>
      </c>
      <c r="K65" s="12" t="n">
        <f aca="false">IF(OR($I65="",$H65=""),"",$I65/($H65*IF(LEFT($B65,4)="DOTA",Config!$B$5,Config!$B$4)+1-$H65))</f>
        <v>0.424786279403175</v>
      </c>
      <c r="L65" s="6" t="n">
        <f aca="false">IFERROR(INDEX(Matches!$R$5:$R$12,MATCH($B65,Matches!$A$5:$A$12,0)),1)</f>
        <v>1</v>
      </c>
      <c r="M65" s="7" t="n">
        <f aca="false">IFERROR(IF(INDEX(Matches!$M$5:$M$12,MATCH($B65,Matches!$A$5:$A$12,0))="","",IF($F65="A",INDEX(Matches!$M$5:$M$12,MATCH($B65,Matches!$A$5:$A$12,0)),1-INDEX(Matches!$M$5:$M$12,MATCH($B65,Matches!$A$5:$A$12,0)))),"")</f>
        <v>0.527</v>
      </c>
      <c r="N65" s="6" t="n">
        <f aca="false">1</f>
        <v>1</v>
      </c>
      <c r="O65" s="12" t="n">
        <f aca="false">IF(OR($M65="",$J65=""),"",$L65*($M65*$J65+(1-$M65)*$K65))</f>
        <v>0.695659746190198</v>
      </c>
      <c r="P65" s="6" t="n">
        <f aca="false">IF($O65="","",IF(LEFT($B65,4)="DOTA",Config!$B$7,Config!$B$6)*$O65+$L65^2*$M65*(1-$M65)*($J65-$K65)^2)</f>
        <v>0.970211866934091</v>
      </c>
      <c r="Q65" s="7" t="str">
        <f aca="false">IFERROR(IF(INDEX(Matches!$N$5:$N$12,MATCH($B65,Matches!$A$5:$A$12,0))="","",IF($F65="A",INDEX(Matches!$N$5:$N$12,MATCH($B65,Matches!$A$5:$A$12,0)),1-INDEX(Matches!$N$5:$N$12,MATCH($B65,Matches!$A$5:$A$12,0)))),"")</f>
        <v/>
      </c>
      <c r="R65" s="6" t="n">
        <f aca="false">IFERROR(N(INDEX(Matches!$P$5:$P$12,MATCH($B65,Matches!$A$5:$A$12,0))),0)</f>
        <v>0</v>
      </c>
      <c r="S65" s="12" t="str">
        <f aca="false">IF(OR($Q65="",$J65=""),"",$L65*($Q65*$J65+(1-$Q65)*$K65))</f>
        <v/>
      </c>
      <c r="T65" s="0" t="str">
        <f aca="false">IF($S65="","",IF(LEFT($B65,4)="DOTA",Config!$B$7,Config!$B$6)*$S65+$L65^2*$Q65*(1-$Q65)*($J65-$K65)^2)</f>
        <v/>
      </c>
      <c r="U65" s="7" t="str">
        <f aca="false">IFERROR(IF(INDEX(Matches!$O$5:$O$12,MATCH($B65,Matches!$A$5:$A$12,0))="","",IF($F65="A",INDEX(Matches!$O$5:$O$12,MATCH($B65,Matches!$A$5:$A$12,0)),1-INDEX(Matches!$O$5:$O$12,MATCH($B65,Matches!$A$5:$A$12,0)))),"")</f>
        <v/>
      </c>
      <c r="V65" s="6" t="n">
        <f aca="false">IFERROR(N(INDEX(Matches!$Q$5:$Q$12,MATCH($B65,Matches!$A$5:$A$12,0))),0)</f>
        <v>0</v>
      </c>
      <c r="W65" s="12" t="str">
        <f aca="false">IF(OR($U65="",$J65=""),"",$L65*($U65*$J65+(1-$U65)*$K65))</f>
        <v/>
      </c>
      <c r="X65" s="0" t="str">
        <f aca="false">IF($W65="","",IF(LEFT($B65,4)="DOTA",Config!$B$7,Config!$B$6)*$W65+$L65^2*$U65*(1-$U65)*($J65-$K65)^2)</f>
        <v/>
      </c>
      <c r="Y65" s="12" t="n">
        <f aca="false">IF($O65="","",$O65)</f>
        <v>0.695659746190198</v>
      </c>
      <c r="Z65" s="6" t="n">
        <f aca="false">IF($P65="","",$P65)</f>
        <v>0.970211866934091</v>
      </c>
      <c r="AA65" s="12" t="n">
        <f aca="false">IF($O65="","",N($N65)*N($O65)+N($R65)*N($S65))</f>
        <v>0.695659746190198</v>
      </c>
      <c r="AB65" s="6" t="n">
        <f aca="false">IF($O65="","",(N($N65)*N($P65)+N($N65)*(1-N($N65))*N($O65)^2)+(N($R65)*N($T65)+N($R65)*(1-N($R65))*N($S65)^2))</f>
        <v>0.970211866934091</v>
      </c>
      <c r="AC65" s="12" t="n">
        <f aca="false">IF($O65="","",N($N65)*N($O65)+N($R65)*N($S65)+N($V65)*N($W65))</f>
        <v>0.695659746190198</v>
      </c>
      <c r="AD65" s="6" t="n">
        <f aca="false">IF($O65="","",(N($N65)*N($P65)+N($N65)*(1-N($N65))*N($O65)^2)+(N($R65)*N($T65)+N($R65)*(1-N($R65))*N($S65)^2)+(N($V65)*N($X65)+N($V65)*(1-N($V65))*N($W65)^2))</f>
        <v>0.970211866934091</v>
      </c>
      <c r="AE65" s="12" t="n">
        <f aca="false">IF($I65="","",$I65*$L65)</f>
        <v>0.8</v>
      </c>
      <c r="AF65" s="12" t="n">
        <f aca="false">IF($I65="","",$I65*$L65*(1+N($R65)))</f>
        <v>0.8</v>
      </c>
      <c r="AG65" s="12" t="n">
        <f aca="false">IF($I65="","",$I65*$L65*(1+N($R65)+N($V65)))</f>
        <v>0.8</v>
      </c>
      <c r="AH65" s="0" t="str">
        <f aca="false">TRIM(IF($G65&lt;Config!$B$9,"thin sample ("&amp;$G65&amp;" maps) · ","")&amp;IF($I65="","no PickFinder stats · ","")&amp;IFERROR(IF(INDEX(Players!$T$2:$T$71,MATCH($E65,Players!$A$2:$A$71,0))&lt;0.5,"new roster: "&amp;TEXT(INDEX(Players!$T$2:$T$71,MATCH($E65,Players!$A$2:$A$71,0)),"0%")&amp;" of his recent games with these teammates",""),""))</f>
        <v>new roster: 0% of his recent games with these teammates</v>
      </c>
      <c r="AI65" s="0" t="str">
        <f aca="false">IF($B65=Board!$B$2,COUNTIFS($B$2:$B$71,Board!$B$2,$Y$2:$Y$71,"&gt;"&amp;$Y65)+COUNTIFS($B$1:$B64,Board!$B$2,$Y$1:$Y64,$Y65)+1,"")</f>
        <v/>
      </c>
      <c r="AJ65" s="0" t="str">
        <f aca="false">IFERROR(IF(INDEX(Matches!$D$5:$D$12,MATCH($B65,Matches!$A$5:$A$12,0))=3,"K12","K13"),"K13")</f>
        <v>K13</v>
      </c>
      <c r="AK65" s="12" t="n">
        <f aca="false">IF($AJ65="K12",$AA65,$AC65)</f>
        <v>0.695659746190198</v>
      </c>
    </row>
    <row r="66" customFormat="false" ht="15" hidden="false" customHeight="false" outlineLevel="0" collapsed="false">
      <c r="A66" s="0" t="s">
        <v>307</v>
      </c>
      <c r="B66" s="0" t="s">
        <v>104</v>
      </c>
      <c r="C66" s="0" t="s">
        <v>109</v>
      </c>
      <c r="D66" s="0" t="s">
        <v>306</v>
      </c>
      <c r="E66" s="0" t="s">
        <v>411</v>
      </c>
      <c r="F66" s="0" t="str">
        <f aca="false">IFERROR(IF($C66=INDEX(Matches!$S$5:$S$12,MATCH($B66,Matches!$A$5:$A$12,0)),"A",IF($C66=INDEX(Matches!$T$5:$T$12,MATCH($B66,Matches!$A$5:$A$12,0)),"B","")),"")</f>
        <v>B</v>
      </c>
      <c r="G66" s="0" t="n">
        <f aca="false">IFERROR(INDEX(Players!$E$2:$E$71,MATCH($E66,Players!$A$2:$A$71,0)),0)</f>
        <v>30</v>
      </c>
      <c r="H66" s="7" t="n">
        <f aca="false">IFERROR(INDEX(Players!$F$2:$F$71,MATCH($E66,Players!$A$2:$A$71,0)),"")</f>
        <v>0.73</v>
      </c>
      <c r="I66" s="6" t="n">
        <f aca="false">IFERROR(INDEX(Players!$G$2:$G$71,MATCH($E66,Players!$A$2:$A$71,0)),"")</f>
        <v>3.6</v>
      </c>
      <c r="J66" s="12" t="n">
        <f aca="false">IF(OR($I66="",$H66=""),"",$I66*IF(LEFT($B66,4)="DOTA",Config!$B$5,Config!$B$4)/($H66*IF(LEFT($B66,4)="DOTA",Config!$B$5,Config!$B$4)+1-$H66))</f>
        <v>4.22449954866458</v>
      </c>
      <c r="K66" s="12" t="n">
        <f aca="false">IF(OR($I66="",$H66=""),"",$I66/($H66*IF(LEFT($B66,4)="DOTA",Config!$B$5,Config!$B$4)+1-$H66))</f>
        <v>1.91153825731429</v>
      </c>
      <c r="L66" s="6" t="n">
        <f aca="false">IFERROR(INDEX(Matches!$R$5:$R$12,MATCH($B66,Matches!$A$5:$A$12,0)),1)</f>
        <v>1</v>
      </c>
      <c r="M66" s="7" t="n">
        <f aca="false">IFERROR(IF(INDEX(Matches!$M$5:$M$12,MATCH($B66,Matches!$A$5:$A$12,0))="","",IF($F66="A",INDEX(Matches!$M$5:$M$12,MATCH($B66,Matches!$A$5:$A$12,0)),1-INDEX(Matches!$M$5:$M$12,MATCH($B66,Matches!$A$5:$A$12,0)))),"")</f>
        <v>0.527</v>
      </c>
      <c r="N66" s="6" t="n">
        <f aca="false">1</f>
        <v>1</v>
      </c>
      <c r="O66" s="12" t="n">
        <f aca="false">IF(OR($M66="",$J66=""),"",$L66*($M66*$J66+(1-$M66)*$K66))</f>
        <v>3.13046885785589</v>
      </c>
      <c r="P66" s="6" t="n">
        <f aca="false">IF($O66="","",IF(LEFT($B66,4)="DOTA",Config!$B$7,Config!$B$6)*$O66+$L66^2*$M66*(1-$M66)*($J66-$K66)^2)</f>
        <v>5.40315700217104</v>
      </c>
      <c r="Q66" s="7" t="str">
        <f aca="false">IFERROR(IF(INDEX(Matches!$N$5:$N$12,MATCH($B66,Matches!$A$5:$A$12,0))="","",IF($F66="A",INDEX(Matches!$N$5:$N$12,MATCH($B66,Matches!$A$5:$A$12,0)),1-INDEX(Matches!$N$5:$N$12,MATCH($B66,Matches!$A$5:$A$12,0)))),"")</f>
        <v/>
      </c>
      <c r="R66" s="6" t="n">
        <f aca="false">IFERROR(N(INDEX(Matches!$P$5:$P$12,MATCH($B66,Matches!$A$5:$A$12,0))),0)</f>
        <v>0</v>
      </c>
      <c r="S66" s="12" t="str">
        <f aca="false">IF(OR($Q66="",$J66=""),"",$L66*($Q66*$J66+(1-$Q66)*$K66))</f>
        <v/>
      </c>
      <c r="T66" s="0" t="str">
        <f aca="false">IF($S66="","",IF(LEFT($B66,4)="DOTA",Config!$B$7,Config!$B$6)*$S66+$L66^2*$Q66*(1-$Q66)*($J66-$K66)^2)</f>
        <v/>
      </c>
      <c r="U66" s="7" t="str">
        <f aca="false">IFERROR(IF(INDEX(Matches!$O$5:$O$12,MATCH($B66,Matches!$A$5:$A$12,0))="","",IF($F66="A",INDEX(Matches!$O$5:$O$12,MATCH($B66,Matches!$A$5:$A$12,0)),1-INDEX(Matches!$O$5:$O$12,MATCH($B66,Matches!$A$5:$A$12,0)))),"")</f>
        <v/>
      </c>
      <c r="V66" s="6" t="n">
        <f aca="false">IFERROR(N(INDEX(Matches!$Q$5:$Q$12,MATCH($B66,Matches!$A$5:$A$12,0))),0)</f>
        <v>0</v>
      </c>
      <c r="W66" s="12" t="str">
        <f aca="false">IF(OR($U66="",$J66=""),"",$L66*($U66*$J66+(1-$U66)*$K66))</f>
        <v/>
      </c>
      <c r="X66" s="0" t="str">
        <f aca="false">IF($W66="","",IF(LEFT($B66,4)="DOTA",Config!$B$7,Config!$B$6)*$W66+$L66^2*$U66*(1-$U66)*($J66-$K66)^2)</f>
        <v/>
      </c>
      <c r="Y66" s="12" t="n">
        <f aca="false">IF($O66="","",$O66)</f>
        <v>3.13046885785589</v>
      </c>
      <c r="Z66" s="6" t="n">
        <f aca="false">IF($P66="","",$P66)</f>
        <v>5.40315700217104</v>
      </c>
      <c r="AA66" s="12" t="n">
        <f aca="false">IF($O66="","",N($N66)*N($O66)+N($R66)*N($S66))</f>
        <v>3.13046885785589</v>
      </c>
      <c r="AB66" s="6" t="n">
        <f aca="false">IF($O66="","",(N($N66)*N($P66)+N($N66)*(1-N($N66))*N($O66)^2)+(N($R66)*N($T66)+N($R66)*(1-N($R66))*N($S66)^2))</f>
        <v>5.40315700217104</v>
      </c>
      <c r="AC66" s="12" t="n">
        <f aca="false">IF($O66="","",N($N66)*N($O66)+N($R66)*N($S66)+N($V66)*N($W66))</f>
        <v>3.13046885785589</v>
      </c>
      <c r="AD66" s="6" t="n">
        <f aca="false">IF($O66="","",(N($N66)*N($P66)+N($N66)*(1-N($N66))*N($O66)^2)+(N($R66)*N($T66)+N($R66)*(1-N($R66))*N($S66)^2)+(N($V66)*N($X66)+N($V66)*(1-N($V66))*N($W66)^2))</f>
        <v>5.40315700217104</v>
      </c>
      <c r="AE66" s="12" t="n">
        <f aca="false">IF($I66="","",$I66*$L66)</f>
        <v>3.6</v>
      </c>
      <c r="AF66" s="12" t="n">
        <f aca="false">IF($I66="","",$I66*$L66*(1+N($R66)))</f>
        <v>3.6</v>
      </c>
      <c r="AG66" s="12" t="n">
        <f aca="false">IF($I66="","",$I66*$L66*(1+N($R66)+N($V66)))</f>
        <v>3.6</v>
      </c>
      <c r="AH66" s="0" t="str">
        <f aca="false">TRIM(IF($G66&lt;Config!$B$9,"thin sample ("&amp;$G66&amp;" maps) · ","")&amp;IF($I66="","no PickFinder stats · ","")&amp;IFERROR(IF(INDEX(Players!$T$2:$T$71,MATCH($E66,Players!$A$2:$A$71,0))&lt;0.5,"new roster: "&amp;TEXT(INDEX(Players!$T$2:$T$71,MATCH($E66,Players!$A$2:$A$71,0)),"0%")&amp;" of his recent games with these teammates",""),""))</f>
        <v>new roster: 0% of his recent games with these teammates</v>
      </c>
      <c r="AI66" s="0" t="str">
        <f aca="false">IF($B66=Board!$B$2,COUNTIFS($B$2:$B$71,Board!$B$2,$Y$2:$Y$71,"&gt;"&amp;$Y66)+COUNTIFS($B$1:$B65,Board!$B$2,$Y$1:$Y65,$Y66)+1,"")</f>
        <v/>
      </c>
      <c r="AJ66" s="0" t="str">
        <f aca="false">IFERROR(IF(INDEX(Matches!$D$5:$D$12,MATCH($B66,Matches!$A$5:$A$12,0))=3,"K12","K13"),"K13")</f>
        <v>K13</v>
      </c>
      <c r="AK66" s="12" t="n">
        <f aca="false">IF($AJ66="K12",$AA66,$AC66)</f>
        <v>3.13046885785589</v>
      </c>
    </row>
    <row r="67" customFormat="false" ht="15" hidden="false" customHeight="false" outlineLevel="0" collapsed="false">
      <c r="A67" s="0" t="s">
        <v>309</v>
      </c>
      <c r="B67" s="0" t="s">
        <v>104</v>
      </c>
      <c r="C67" s="0" t="s">
        <v>108</v>
      </c>
      <c r="D67" s="0" t="s">
        <v>308</v>
      </c>
      <c r="E67" s="0" t="s">
        <v>412</v>
      </c>
      <c r="F67" s="0" t="str">
        <f aca="false">IFERROR(IF($C67=INDEX(Matches!$S$5:$S$12,MATCH($B67,Matches!$A$5:$A$12,0)),"A",IF($C67=INDEX(Matches!$T$5:$T$12,MATCH($B67,Matches!$A$5:$A$12,0)),"B","")),"")</f>
        <v>A</v>
      </c>
      <c r="G67" s="0" t="n">
        <f aca="false">IFERROR(INDEX(Players!$E$2:$E$71,MATCH($E67,Players!$A$2:$A$71,0)),0)</f>
        <v>30</v>
      </c>
      <c r="H67" s="7" t="n">
        <f aca="false">IFERROR(INDEX(Players!$F$2:$F$71,MATCH($E67,Players!$A$2:$A$71,0)),"")</f>
        <v>0.53</v>
      </c>
      <c r="I67" s="6" t="n">
        <f aca="false">IFERROR(INDEX(Players!$G$2:$G$71,MATCH($E67,Players!$A$2:$A$71,0)),"")</f>
        <v>2.5</v>
      </c>
      <c r="J67" s="12" t="n">
        <f aca="false">IF(OR($I67="",$H67=""),"",$I67*IF(LEFT($B67,4)="DOTA",Config!$B$5,Config!$B$4)/($H67*IF(LEFT($B67,4)="DOTA",Config!$B$5,Config!$B$4)+1-$H67))</f>
        <v>3.36623408273929</v>
      </c>
      <c r="K67" s="12" t="n">
        <f aca="false">IF(OR($I67="",$H67=""),"",$I67/($H67*IF(LEFT($B67,4)="DOTA",Config!$B$5,Config!$B$4)+1-$H67))</f>
        <v>1.52318284286846</v>
      </c>
      <c r="L67" s="6" t="n">
        <f aca="false">IFERROR(INDEX(Matches!$R$5:$R$12,MATCH($B67,Matches!$A$5:$A$12,0)),1)</f>
        <v>1</v>
      </c>
      <c r="M67" s="7" t="n">
        <f aca="false">IFERROR(IF(INDEX(Matches!$M$5:$M$12,MATCH($B67,Matches!$A$5:$A$12,0))="","",IF($F67="A",INDEX(Matches!$M$5:$M$12,MATCH($B67,Matches!$A$5:$A$12,0)),1-INDEX(Matches!$M$5:$M$12,MATCH($B67,Matches!$A$5:$A$12,0)))),"")</f>
        <v>0.473</v>
      </c>
      <c r="N67" s="6" t="n">
        <f aca="false">1</f>
        <v>1</v>
      </c>
      <c r="O67" s="12" t="n">
        <f aca="false">IF(OR($M67="",$J67=""),"",$L67*($M67*$J67+(1-$M67)*$K67))</f>
        <v>2.39494607932736</v>
      </c>
      <c r="P67" s="6" t="n">
        <f aca="false">IF($O67="","",IF(LEFT($B67,4)="DOTA",Config!$B$7,Config!$B$6)*$O67+$L67^2*$M67*(1-$M67)*($J67-$K67)^2)</f>
        <v>3.96016307651366</v>
      </c>
      <c r="Q67" s="7" t="str">
        <f aca="false">IFERROR(IF(INDEX(Matches!$N$5:$N$12,MATCH($B67,Matches!$A$5:$A$12,0))="","",IF($F67="A",INDEX(Matches!$N$5:$N$12,MATCH($B67,Matches!$A$5:$A$12,0)),1-INDEX(Matches!$N$5:$N$12,MATCH($B67,Matches!$A$5:$A$12,0)))),"")</f>
        <v/>
      </c>
      <c r="R67" s="6" t="n">
        <f aca="false">IFERROR(N(INDEX(Matches!$P$5:$P$12,MATCH($B67,Matches!$A$5:$A$12,0))),0)</f>
        <v>0</v>
      </c>
      <c r="S67" s="12" t="str">
        <f aca="false">IF(OR($Q67="",$J67=""),"",$L67*($Q67*$J67+(1-$Q67)*$K67))</f>
        <v/>
      </c>
      <c r="T67" s="0" t="str">
        <f aca="false">IF($S67="","",IF(LEFT($B67,4)="DOTA",Config!$B$7,Config!$B$6)*$S67+$L67^2*$Q67*(1-$Q67)*($J67-$K67)^2)</f>
        <v/>
      </c>
      <c r="U67" s="7" t="str">
        <f aca="false">IFERROR(IF(INDEX(Matches!$O$5:$O$12,MATCH($B67,Matches!$A$5:$A$12,0))="","",IF($F67="A",INDEX(Matches!$O$5:$O$12,MATCH($B67,Matches!$A$5:$A$12,0)),1-INDEX(Matches!$O$5:$O$12,MATCH($B67,Matches!$A$5:$A$12,0)))),"")</f>
        <v/>
      </c>
      <c r="V67" s="6" t="n">
        <f aca="false">IFERROR(N(INDEX(Matches!$Q$5:$Q$12,MATCH($B67,Matches!$A$5:$A$12,0))),0)</f>
        <v>0</v>
      </c>
      <c r="W67" s="12" t="str">
        <f aca="false">IF(OR($U67="",$J67=""),"",$L67*($U67*$J67+(1-$U67)*$K67))</f>
        <v/>
      </c>
      <c r="X67" s="0" t="str">
        <f aca="false">IF($W67="","",IF(LEFT($B67,4)="DOTA",Config!$B$7,Config!$B$6)*$W67+$L67^2*$U67*(1-$U67)*($J67-$K67)^2)</f>
        <v/>
      </c>
      <c r="Y67" s="12" t="n">
        <f aca="false">IF($O67="","",$O67)</f>
        <v>2.39494607932736</v>
      </c>
      <c r="Z67" s="6" t="n">
        <f aca="false">IF($P67="","",$P67)</f>
        <v>3.96016307651366</v>
      </c>
      <c r="AA67" s="12" t="n">
        <f aca="false">IF($O67="","",N($N67)*N($O67)+N($R67)*N($S67))</f>
        <v>2.39494607932736</v>
      </c>
      <c r="AB67" s="6" t="n">
        <f aca="false">IF($O67="","",(N($N67)*N($P67)+N($N67)*(1-N($N67))*N($O67)^2)+(N($R67)*N($T67)+N($R67)*(1-N($R67))*N($S67)^2))</f>
        <v>3.96016307651366</v>
      </c>
      <c r="AC67" s="12" t="n">
        <f aca="false">IF($O67="","",N($N67)*N($O67)+N($R67)*N($S67)+N($V67)*N($W67))</f>
        <v>2.39494607932736</v>
      </c>
      <c r="AD67" s="6" t="n">
        <f aca="false">IF($O67="","",(N($N67)*N($P67)+N($N67)*(1-N($N67))*N($O67)^2)+(N($R67)*N($T67)+N($R67)*(1-N($R67))*N($S67)^2)+(N($V67)*N($X67)+N($V67)*(1-N($V67))*N($W67)^2))</f>
        <v>3.96016307651366</v>
      </c>
      <c r="AE67" s="12" t="n">
        <f aca="false">IF($I67="","",$I67*$L67)</f>
        <v>2.5</v>
      </c>
      <c r="AF67" s="12" t="n">
        <f aca="false">IF($I67="","",$I67*$L67*(1+N($R67)))</f>
        <v>2.5</v>
      </c>
      <c r="AG67" s="12" t="n">
        <f aca="false">IF($I67="","",$I67*$L67*(1+N($R67)+N($V67)))</f>
        <v>2.5</v>
      </c>
      <c r="AH67" s="0" t="str">
        <f aca="false">TRIM(IF($G67&lt;Config!$B$9,"thin sample ("&amp;$G67&amp;" maps) · ","")&amp;IF($I67="","no PickFinder stats · ","")&amp;IFERROR(IF(INDEX(Players!$T$2:$T$71,MATCH($E67,Players!$A$2:$A$71,0))&lt;0.5,"new roster: "&amp;TEXT(INDEX(Players!$T$2:$T$71,MATCH($E67,Players!$A$2:$A$71,0)),"0%")&amp;" of his recent games with these teammates",""),""))</f>
        <v>new roster: 0% of his recent games with these teammates</v>
      </c>
      <c r="AI67" s="0" t="str">
        <f aca="false">IF($B67=Board!$B$2,COUNTIFS($B$2:$B$71,Board!$B$2,$Y$2:$Y$71,"&gt;"&amp;$Y67)+COUNTIFS($B$1:$B66,Board!$B$2,$Y$1:$Y66,$Y67)+1,"")</f>
        <v/>
      </c>
      <c r="AJ67" s="0" t="str">
        <f aca="false">IFERROR(IF(INDEX(Matches!$D$5:$D$12,MATCH($B67,Matches!$A$5:$A$12,0))=3,"K12","K13"),"K13")</f>
        <v>K13</v>
      </c>
      <c r="AK67" s="12" t="n">
        <f aca="false">IF($AJ67="K12",$AA67,$AC67)</f>
        <v>2.39494607932736</v>
      </c>
    </row>
    <row r="68" customFormat="false" ht="15" hidden="false" customHeight="false" outlineLevel="0" collapsed="false">
      <c r="A68" s="0" t="s">
        <v>311</v>
      </c>
      <c r="B68" s="0" t="s">
        <v>104</v>
      </c>
      <c r="C68" s="0" t="s">
        <v>108</v>
      </c>
      <c r="D68" s="0" t="s">
        <v>310</v>
      </c>
      <c r="E68" s="0" t="s">
        <v>413</v>
      </c>
      <c r="F68" s="0" t="str">
        <f aca="false">IFERROR(IF($C68=INDEX(Matches!$S$5:$S$12,MATCH($B68,Matches!$A$5:$A$12,0)),"A",IF($C68=INDEX(Matches!$T$5:$T$12,MATCH($B68,Matches!$A$5:$A$12,0)),"B","")),"")</f>
        <v>A</v>
      </c>
      <c r="G68" s="0" t="n">
        <f aca="false">IFERROR(INDEX(Players!$E$2:$E$71,MATCH($E68,Players!$A$2:$A$71,0)),0)</f>
        <v>30</v>
      </c>
      <c r="H68" s="7" t="n">
        <f aca="false">IFERROR(INDEX(Players!$F$2:$F$71,MATCH($E68,Players!$A$2:$A$71,0)),"")</f>
        <v>0.43</v>
      </c>
      <c r="I68" s="6" t="n">
        <f aca="false">IFERROR(INDEX(Players!$G$2:$G$71,MATCH($E68,Players!$A$2:$A$71,0)),"")</f>
        <v>3.9</v>
      </c>
      <c r="J68" s="12" t="n">
        <f aca="false">IF(OR($I68="",$H68=""),"",$I68*IF(LEFT($B68,4)="DOTA",Config!$B$5,Config!$B$4)/($H68*IF(LEFT($B68,4)="DOTA",Config!$B$5,Config!$B$4)+1-$H68))</f>
        <v>5.66927580082878</v>
      </c>
      <c r="K68" s="12" t="n">
        <f aca="false">IF(OR($I68="",$H68=""),"",$I68/($H68*IF(LEFT($B68,4)="DOTA",Config!$B$5,Config!$B$4)+1-$H68))</f>
        <v>2.56528316779583</v>
      </c>
      <c r="L68" s="6" t="n">
        <f aca="false">IFERROR(INDEX(Matches!$R$5:$R$12,MATCH($B68,Matches!$A$5:$A$12,0)),1)</f>
        <v>1</v>
      </c>
      <c r="M68" s="7" t="n">
        <f aca="false">IFERROR(IF(INDEX(Matches!$M$5:$M$12,MATCH($B68,Matches!$A$5:$A$12,0))="","",IF($F68="A",INDEX(Matches!$M$5:$M$12,MATCH($B68,Matches!$A$5:$A$12,0)),1-INDEX(Matches!$M$5:$M$12,MATCH($B68,Matches!$A$5:$A$12,0)))),"")</f>
        <v>0.473</v>
      </c>
      <c r="N68" s="6" t="n">
        <f aca="false">1</f>
        <v>1</v>
      </c>
      <c r="O68" s="12" t="n">
        <f aca="false">IF(OR($M68="",$J68=""),"",$L68*($M68*$J68+(1-$M68)*$K68))</f>
        <v>4.03347168322042</v>
      </c>
      <c r="P68" s="6" t="n">
        <f aca="false">IF($O68="","",IF(LEFT($B68,4)="DOTA",Config!$B$7,Config!$B$6)*$O68+$L68^2*$M68*(1-$M68)*($J68-$K68)^2)</f>
        <v>7.6451820071434</v>
      </c>
      <c r="Q68" s="7" t="str">
        <f aca="false">IFERROR(IF(INDEX(Matches!$N$5:$N$12,MATCH($B68,Matches!$A$5:$A$12,0))="","",IF($F68="A",INDEX(Matches!$N$5:$N$12,MATCH($B68,Matches!$A$5:$A$12,0)),1-INDEX(Matches!$N$5:$N$12,MATCH($B68,Matches!$A$5:$A$12,0)))),"")</f>
        <v/>
      </c>
      <c r="R68" s="6" t="n">
        <f aca="false">IFERROR(N(INDEX(Matches!$P$5:$P$12,MATCH($B68,Matches!$A$5:$A$12,0))),0)</f>
        <v>0</v>
      </c>
      <c r="S68" s="12" t="str">
        <f aca="false">IF(OR($Q68="",$J68=""),"",$L68*($Q68*$J68+(1-$Q68)*$K68))</f>
        <v/>
      </c>
      <c r="T68" s="0" t="str">
        <f aca="false">IF($S68="","",IF(LEFT($B68,4)="DOTA",Config!$B$7,Config!$B$6)*$S68+$L68^2*$Q68*(1-$Q68)*($J68-$K68)^2)</f>
        <v/>
      </c>
      <c r="U68" s="7" t="str">
        <f aca="false">IFERROR(IF(INDEX(Matches!$O$5:$O$12,MATCH($B68,Matches!$A$5:$A$12,0))="","",IF($F68="A",INDEX(Matches!$O$5:$O$12,MATCH($B68,Matches!$A$5:$A$12,0)),1-INDEX(Matches!$O$5:$O$12,MATCH($B68,Matches!$A$5:$A$12,0)))),"")</f>
        <v/>
      </c>
      <c r="V68" s="6" t="n">
        <f aca="false">IFERROR(N(INDEX(Matches!$Q$5:$Q$12,MATCH($B68,Matches!$A$5:$A$12,0))),0)</f>
        <v>0</v>
      </c>
      <c r="W68" s="12" t="str">
        <f aca="false">IF(OR($U68="",$J68=""),"",$L68*($U68*$J68+(1-$U68)*$K68))</f>
        <v/>
      </c>
      <c r="X68" s="0" t="str">
        <f aca="false">IF($W68="","",IF(LEFT($B68,4)="DOTA",Config!$B$7,Config!$B$6)*$W68+$L68^2*$U68*(1-$U68)*($J68-$K68)^2)</f>
        <v/>
      </c>
      <c r="Y68" s="12" t="n">
        <f aca="false">IF($O68="","",$O68)</f>
        <v>4.03347168322042</v>
      </c>
      <c r="Z68" s="6" t="n">
        <f aca="false">IF($P68="","",$P68)</f>
        <v>7.6451820071434</v>
      </c>
      <c r="AA68" s="12" t="n">
        <f aca="false">IF($O68="","",N($N68)*N($O68)+N($R68)*N($S68))</f>
        <v>4.03347168322042</v>
      </c>
      <c r="AB68" s="6" t="n">
        <f aca="false">IF($O68="","",(N($N68)*N($P68)+N($N68)*(1-N($N68))*N($O68)^2)+(N($R68)*N($T68)+N($R68)*(1-N($R68))*N($S68)^2))</f>
        <v>7.6451820071434</v>
      </c>
      <c r="AC68" s="12" t="n">
        <f aca="false">IF($O68="","",N($N68)*N($O68)+N($R68)*N($S68)+N($V68)*N($W68))</f>
        <v>4.03347168322042</v>
      </c>
      <c r="AD68" s="6" t="n">
        <f aca="false">IF($O68="","",(N($N68)*N($P68)+N($N68)*(1-N($N68))*N($O68)^2)+(N($R68)*N($T68)+N($R68)*(1-N($R68))*N($S68)^2)+(N($V68)*N($X68)+N($V68)*(1-N($V68))*N($W68)^2))</f>
        <v>7.6451820071434</v>
      </c>
      <c r="AE68" s="12" t="n">
        <f aca="false">IF($I68="","",$I68*$L68)</f>
        <v>3.9</v>
      </c>
      <c r="AF68" s="12" t="n">
        <f aca="false">IF($I68="","",$I68*$L68*(1+N($R68)))</f>
        <v>3.9</v>
      </c>
      <c r="AG68" s="12" t="n">
        <f aca="false">IF($I68="","",$I68*$L68*(1+N($R68)+N($V68)))</f>
        <v>3.9</v>
      </c>
      <c r="AH68" s="0" t="str">
        <f aca="false">TRIM(IF($G68&lt;Config!$B$9,"thin sample ("&amp;$G68&amp;" maps) · ","")&amp;IF($I68="","no PickFinder stats · ","")&amp;IFERROR(IF(INDEX(Players!$T$2:$T$71,MATCH($E68,Players!$A$2:$A$71,0))&lt;0.5,"new roster: "&amp;TEXT(INDEX(Players!$T$2:$T$71,MATCH($E68,Players!$A$2:$A$71,0)),"0%")&amp;" of his recent games with these teammates",""),""))</f>
        <v>new roster: 0% of his recent games with these teammates</v>
      </c>
      <c r="AI68" s="0" t="str">
        <f aca="false">IF($B68=Board!$B$2,COUNTIFS($B$2:$B$71,Board!$B$2,$Y$2:$Y$71,"&gt;"&amp;$Y68)+COUNTIFS($B$1:$B67,Board!$B$2,$Y$1:$Y67,$Y68)+1,"")</f>
        <v/>
      </c>
      <c r="AJ68" s="0" t="str">
        <f aca="false">IFERROR(IF(INDEX(Matches!$D$5:$D$12,MATCH($B68,Matches!$A$5:$A$12,0))=3,"K12","K13"),"K13")</f>
        <v>K13</v>
      </c>
      <c r="AK68" s="12" t="n">
        <f aca="false">IF($AJ68="K12",$AA68,$AC68)</f>
        <v>4.03347168322042</v>
      </c>
    </row>
    <row r="69" customFormat="false" ht="15" hidden="false" customHeight="false" outlineLevel="0" collapsed="false">
      <c r="A69" s="0" t="s">
        <v>313</v>
      </c>
      <c r="B69" s="0" t="s">
        <v>104</v>
      </c>
      <c r="C69" s="0" t="s">
        <v>108</v>
      </c>
      <c r="D69" s="0" t="s">
        <v>312</v>
      </c>
      <c r="E69" s="0" t="s">
        <v>414</v>
      </c>
      <c r="F69" s="0" t="str">
        <f aca="false">IFERROR(IF($C69=INDEX(Matches!$S$5:$S$12,MATCH($B69,Matches!$A$5:$A$12,0)),"A",IF($C69=INDEX(Matches!$T$5:$T$12,MATCH($B69,Matches!$A$5:$A$12,0)),"B","")),"")</f>
        <v>A</v>
      </c>
      <c r="G69" s="0" t="n">
        <f aca="false">IFERROR(INDEX(Players!$E$2:$E$71,MATCH($E69,Players!$A$2:$A$71,0)),0)</f>
        <v>30</v>
      </c>
      <c r="H69" s="7" t="n">
        <f aca="false">IFERROR(INDEX(Players!$F$2:$F$71,MATCH($E69,Players!$A$2:$A$71,0)),"")</f>
        <v>0.43</v>
      </c>
      <c r="I69" s="6" t="n">
        <f aca="false">IFERROR(INDEX(Players!$G$2:$G$71,MATCH($E69,Players!$A$2:$A$71,0)),"")</f>
        <v>3.7</v>
      </c>
      <c r="J69" s="12" t="n">
        <f aca="false">IF(OR($I69="",$H69=""),"",$I69*IF(LEFT($B69,4)="DOTA",Config!$B$5,Config!$B$4)/($H69*IF(LEFT($B69,4)="DOTA",Config!$B$5,Config!$B$4)+1-$H69))</f>
        <v>5.37854370847859</v>
      </c>
      <c r="K69" s="12" t="n">
        <f aca="false">IF(OR($I69="",$H69=""),"",$I69/($H69*IF(LEFT($B69,4)="DOTA",Config!$B$5,Config!$B$4)+1-$H69))</f>
        <v>2.43373018483194</v>
      </c>
      <c r="L69" s="6" t="n">
        <f aca="false">IFERROR(INDEX(Matches!$R$5:$R$12,MATCH($B69,Matches!$A$5:$A$12,0)),1)</f>
        <v>1</v>
      </c>
      <c r="M69" s="7" t="n">
        <f aca="false">IFERROR(IF(INDEX(Matches!$M$5:$M$12,MATCH($B69,Matches!$A$5:$A$12,0))="","",IF($F69="A",INDEX(Matches!$M$5:$M$12,MATCH($B69,Matches!$A$5:$A$12,0)),1-INDEX(Matches!$M$5:$M$12,MATCH($B69,Matches!$A$5:$A$12,0)))),"")</f>
        <v>0.473</v>
      </c>
      <c r="N69" s="6" t="n">
        <f aca="false">1</f>
        <v>1</v>
      </c>
      <c r="O69" s="12" t="n">
        <f aca="false">IF(OR($M69="",$J69=""),"",$L69*($M69*$J69+(1-$M69)*$K69))</f>
        <v>3.82662698151681</v>
      </c>
      <c r="P69" s="6" t="n">
        <f aca="false">IF($O69="","",IF(LEFT($B69,4)="DOTA",Config!$B$7,Config!$B$6)*$O69+$L69^2*$M69*(1-$M69)*($J69-$K69)^2)</f>
        <v>7.13627491367858</v>
      </c>
      <c r="Q69" s="7" t="str">
        <f aca="false">IFERROR(IF(INDEX(Matches!$N$5:$N$12,MATCH($B69,Matches!$A$5:$A$12,0))="","",IF($F69="A",INDEX(Matches!$N$5:$N$12,MATCH($B69,Matches!$A$5:$A$12,0)),1-INDEX(Matches!$N$5:$N$12,MATCH($B69,Matches!$A$5:$A$12,0)))),"")</f>
        <v/>
      </c>
      <c r="R69" s="6" t="n">
        <f aca="false">IFERROR(N(INDEX(Matches!$P$5:$P$12,MATCH($B69,Matches!$A$5:$A$12,0))),0)</f>
        <v>0</v>
      </c>
      <c r="S69" s="12" t="str">
        <f aca="false">IF(OR($Q69="",$J69=""),"",$L69*($Q69*$J69+(1-$Q69)*$K69))</f>
        <v/>
      </c>
      <c r="T69" s="0" t="str">
        <f aca="false">IF($S69="","",IF(LEFT($B69,4)="DOTA",Config!$B$7,Config!$B$6)*$S69+$L69^2*$Q69*(1-$Q69)*($J69-$K69)^2)</f>
        <v/>
      </c>
      <c r="U69" s="7" t="str">
        <f aca="false">IFERROR(IF(INDEX(Matches!$O$5:$O$12,MATCH($B69,Matches!$A$5:$A$12,0))="","",IF($F69="A",INDEX(Matches!$O$5:$O$12,MATCH($B69,Matches!$A$5:$A$12,0)),1-INDEX(Matches!$O$5:$O$12,MATCH($B69,Matches!$A$5:$A$12,0)))),"")</f>
        <v/>
      </c>
      <c r="V69" s="6" t="n">
        <f aca="false">IFERROR(N(INDEX(Matches!$Q$5:$Q$12,MATCH($B69,Matches!$A$5:$A$12,0))),0)</f>
        <v>0</v>
      </c>
      <c r="W69" s="12" t="str">
        <f aca="false">IF(OR($U69="",$J69=""),"",$L69*($U69*$J69+(1-$U69)*$K69))</f>
        <v/>
      </c>
      <c r="X69" s="0" t="str">
        <f aca="false">IF($W69="","",IF(LEFT($B69,4)="DOTA",Config!$B$7,Config!$B$6)*$W69+$L69^2*$U69*(1-$U69)*($J69-$K69)^2)</f>
        <v/>
      </c>
      <c r="Y69" s="12" t="n">
        <f aca="false">IF($O69="","",$O69)</f>
        <v>3.82662698151681</v>
      </c>
      <c r="Z69" s="6" t="n">
        <f aca="false">IF($P69="","",$P69)</f>
        <v>7.13627491367858</v>
      </c>
      <c r="AA69" s="12" t="n">
        <f aca="false">IF($O69="","",N($N69)*N($O69)+N($R69)*N($S69))</f>
        <v>3.82662698151681</v>
      </c>
      <c r="AB69" s="6" t="n">
        <f aca="false">IF($O69="","",(N($N69)*N($P69)+N($N69)*(1-N($N69))*N($O69)^2)+(N($R69)*N($T69)+N($R69)*(1-N($R69))*N($S69)^2))</f>
        <v>7.13627491367858</v>
      </c>
      <c r="AC69" s="12" t="n">
        <f aca="false">IF($O69="","",N($N69)*N($O69)+N($R69)*N($S69)+N($V69)*N($W69))</f>
        <v>3.82662698151681</v>
      </c>
      <c r="AD69" s="6" t="n">
        <f aca="false">IF($O69="","",(N($N69)*N($P69)+N($N69)*(1-N($N69))*N($O69)^2)+(N($R69)*N($T69)+N($R69)*(1-N($R69))*N($S69)^2)+(N($V69)*N($X69)+N($V69)*(1-N($V69))*N($W69)^2))</f>
        <v>7.13627491367858</v>
      </c>
      <c r="AE69" s="12" t="n">
        <f aca="false">IF($I69="","",$I69*$L69)</f>
        <v>3.7</v>
      </c>
      <c r="AF69" s="12" t="n">
        <f aca="false">IF($I69="","",$I69*$L69*(1+N($R69)))</f>
        <v>3.7</v>
      </c>
      <c r="AG69" s="12" t="n">
        <f aca="false">IF($I69="","",$I69*$L69*(1+N($R69)+N($V69)))</f>
        <v>3.7</v>
      </c>
      <c r="AH69" s="0" t="str">
        <f aca="false">TRIM(IF($G69&lt;Config!$B$9,"thin sample ("&amp;$G69&amp;" maps) · ","")&amp;IF($I69="","no PickFinder stats · ","")&amp;IFERROR(IF(INDEX(Players!$T$2:$T$71,MATCH($E69,Players!$A$2:$A$71,0))&lt;0.5,"new roster: "&amp;TEXT(INDEX(Players!$T$2:$T$71,MATCH($E69,Players!$A$2:$A$71,0)),"0%")&amp;" of his recent games with these teammates",""),""))</f>
        <v>new roster: 0% of his recent games with these teammates</v>
      </c>
      <c r="AI69" s="0" t="str">
        <f aca="false">IF($B69=Board!$B$2,COUNTIFS($B$2:$B$71,Board!$B$2,$Y$2:$Y$71,"&gt;"&amp;$Y69)+COUNTIFS($B$1:$B68,Board!$B$2,$Y$1:$Y68,$Y69)+1,"")</f>
        <v/>
      </c>
      <c r="AJ69" s="0" t="str">
        <f aca="false">IFERROR(IF(INDEX(Matches!$D$5:$D$12,MATCH($B69,Matches!$A$5:$A$12,0))=3,"K12","K13"),"K13")</f>
        <v>K13</v>
      </c>
      <c r="AK69" s="12" t="n">
        <f aca="false">IF($AJ69="K12",$AA69,$AC69)</f>
        <v>3.82662698151681</v>
      </c>
    </row>
    <row r="70" customFormat="false" ht="15" hidden="false" customHeight="false" outlineLevel="0" collapsed="false">
      <c r="A70" s="0" t="s">
        <v>316</v>
      </c>
      <c r="B70" s="0" t="s">
        <v>104</v>
      </c>
      <c r="C70" s="0" t="s">
        <v>108</v>
      </c>
      <c r="D70" s="0" t="s">
        <v>314</v>
      </c>
      <c r="E70" s="0" t="s">
        <v>415</v>
      </c>
      <c r="F70" s="0" t="str">
        <f aca="false">IFERROR(IF($C70=INDEX(Matches!$S$5:$S$12,MATCH($B70,Matches!$A$5:$A$12,0)),"A",IF($C70=INDEX(Matches!$T$5:$T$12,MATCH($B70,Matches!$A$5:$A$12,0)),"B","")),"")</f>
        <v>A</v>
      </c>
      <c r="G70" s="0" t="n">
        <f aca="false">IFERROR(INDEX(Players!$E$2:$E$71,MATCH($E70,Players!$A$2:$A$71,0)),0)</f>
        <v>30</v>
      </c>
      <c r="H70" s="7" t="n">
        <f aca="false">IFERROR(INDEX(Players!$F$2:$F$71,MATCH($E70,Players!$A$2:$A$71,0)),"")</f>
        <v>0.43</v>
      </c>
      <c r="I70" s="6" t="n">
        <f aca="false">IFERROR(INDEX(Players!$G$2:$G$71,MATCH($E70,Players!$A$2:$A$71,0)),"")</f>
        <v>3.4</v>
      </c>
      <c r="J70" s="12" t="n">
        <f aca="false">IF(OR($I70="",$H70=""),"",$I70*IF(LEFT($B70,4)="DOTA",Config!$B$5,Config!$B$4)/($H70*IF(LEFT($B70,4)="DOTA",Config!$B$5,Config!$B$4)+1-$H70))</f>
        <v>4.9424455699533</v>
      </c>
      <c r="K70" s="12" t="n">
        <f aca="false">IF(OR($I70="",$H70=""),"",$I70/($H70*IF(LEFT($B70,4)="DOTA",Config!$B$5,Config!$B$4)+1-$H70))</f>
        <v>2.23640071038611</v>
      </c>
      <c r="L70" s="6" t="n">
        <f aca="false">IFERROR(INDEX(Matches!$R$5:$R$12,MATCH($B70,Matches!$A$5:$A$12,0)),1)</f>
        <v>1</v>
      </c>
      <c r="M70" s="7" t="n">
        <f aca="false">IFERROR(IF(INDEX(Matches!$M$5:$M$12,MATCH($B70,Matches!$A$5:$A$12,0))="","",IF($F70="A",INDEX(Matches!$M$5:$M$12,MATCH($B70,Matches!$A$5:$A$12,0)),1-INDEX(Matches!$M$5:$M$12,MATCH($B70,Matches!$A$5:$A$12,0)))),"")</f>
        <v>0.473</v>
      </c>
      <c r="N70" s="6" t="n">
        <f aca="false">1</f>
        <v>1</v>
      </c>
      <c r="O70" s="12" t="n">
        <f aca="false">IF(OR($M70="",$J70=""),"",$L70*($M70*$J70+(1-$M70)*$K70))</f>
        <v>3.51635992896139</v>
      </c>
      <c r="P70" s="6" t="n">
        <f aca="false">IF($O70="","",IF(LEFT($B70,4)="DOTA",Config!$B$7,Config!$B$6)*$O70+$L70^2*$M70*(1-$M70)*($J70-$K70)^2)</f>
        <v>6.39659937031524</v>
      </c>
      <c r="Q70" s="7" t="str">
        <f aca="false">IFERROR(IF(INDEX(Matches!$N$5:$N$12,MATCH($B70,Matches!$A$5:$A$12,0))="","",IF($F70="A",INDEX(Matches!$N$5:$N$12,MATCH($B70,Matches!$A$5:$A$12,0)),1-INDEX(Matches!$N$5:$N$12,MATCH($B70,Matches!$A$5:$A$12,0)))),"")</f>
        <v/>
      </c>
      <c r="R70" s="6" t="n">
        <f aca="false">IFERROR(N(INDEX(Matches!$P$5:$P$12,MATCH($B70,Matches!$A$5:$A$12,0))),0)</f>
        <v>0</v>
      </c>
      <c r="S70" s="12" t="str">
        <f aca="false">IF(OR($Q70="",$J70=""),"",$L70*($Q70*$J70+(1-$Q70)*$K70))</f>
        <v/>
      </c>
      <c r="T70" s="0" t="str">
        <f aca="false">IF($S70="","",IF(LEFT($B70,4)="DOTA",Config!$B$7,Config!$B$6)*$S70+$L70^2*$Q70*(1-$Q70)*($J70-$K70)^2)</f>
        <v/>
      </c>
      <c r="U70" s="7" t="str">
        <f aca="false">IFERROR(IF(INDEX(Matches!$O$5:$O$12,MATCH($B70,Matches!$A$5:$A$12,0))="","",IF($F70="A",INDEX(Matches!$O$5:$O$12,MATCH($B70,Matches!$A$5:$A$12,0)),1-INDEX(Matches!$O$5:$O$12,MATCH($B70,Matches!$A$5:$A$12,0)))),"")</f>
        <v/>
      </c>
      <c r="V70" s="6" t="n">
        <f aca="false">IFERROR(N(INDEX(Matches!$Q$5:$Q$12,MATCH($B70,Matches!$A$5:$A$12,0))),0)</f>
        <v>0</v>
      </c>
      <c r="W70" s="12" t="str">
        <f aca="false">IF(OR($U70="",$J70=""),"",$L70*($U70*$J70+(1-$U70)*$K70))</f>
        <v/>
      </c>
      <c r="X70" s="0" t="str">
        <f aca="false">IF($W70="","",IF(LEFT($B70,4)="DOTA",Config!$B$7,Config!$B$6)*$W70+$L70^2*$U70*(1-$U70)*($J70-$K70)^2)</f>
        <v/>
      </c>
      <c r="Y70" s="12" t="n">
        <f aca="false">IF($O70="","",$O70)</f>
        <v>3.51635992896139</v>
      </c>
      <c r="Z70" s="6" t="n">
        <f aca="false">IF($P70="","",$P70)</f>
        <v>6.39659937031524</v>
      </c>
      <c r="AA70" s="12" t="n">
        <f aca="false">IF($O70="","",N($N70)*N($O70)+N($R70)*N($S70))</f>
        <v>3.51635992896139</v>
      </c>
      <c r="AB70" s="6" t="n">
        <f aca="false">IF($O70="","",(N($N70)*N($P70)+N($N70)*(1-N($N70))*N($O70)^2)+(N($R70)*N($T70)+N($R70)*(1-N($R70))*N($S70)^2))</f>
        <v>6.39659937031524</v>
      </c>
      <c r="AC70" s="12" t="n">
        <f aca="false">IF($O70="","",N($N70)*N($O70)+N($R70)*N($S70)+N($V70)*N($W70))</f>
        <v>3.51635992896139</v>
      </c>
      <c r="AD70" s="6" t="n">
        <f aca="false">IF($O70="","",(N($N70)*N($P70)+N($N70)*(1-N($N70))*N($O70)^2)+(N($R70)*N($T70)+N($R70)*(1-N($R70))*N($S70)^2)+(N($V70)*N($X70)+N($V70)*(1-N($V70))*N($W70)^2))</f>
        <v>6.39659937031524</v>
      </c>
      <c r="AE70" s="12" t="n">
        <f aca="false">IF($I70="","",$I70*$L70)</f>
        <v>3.4</v>
      </c>
      <c r="AF70" s="12" t="n">
        <f aca="false">IF($I70="","",$I70*$L70*(1+N($R70)))</f>
        <v>3.4</v>
      </c>
      <c r="AG70" s="12" t="n">
        <f aca="false">IF($I70="","",$I70*$L70*(1+N($R70)+N($V70)))</f>
        <v>3.4</v>
      </c>
      <c r="AH70" s="0" t="str">
        <f aca="false">TRIM(IF($G70&lt;Config!$B$9,"thin sample ("&amp;$G70&amp;" maps) · ","")&amp;IF($I70="","no PickFinder stats · ","")&amp;IFERROR(IF(INDEX(Players!$T$2:$T$71,MATCH($E70,Players!$A$2:$A$71,0))&lt;0.5,"new roster: "&amp;TEXT(INDEX(Players!$T$2:$T$71,MATCH($E70,Players!$A$2:$A$71,0)),"0%")&amp;" of his recent games with these teammates",""),""))</f>
        <v>new roster: 0% of his recent games with these teammates</v>
      </c>
      <c r="AI70" s="0" t="str">
        <f aca="false">IF($B70=Board!$B$2,COUNTIFS($B$2:$B$71,Board!$B$2,$Y$2:$Y$71,"&gt;"&amp;$Y70)+COUNTIFS($B$1:$B69,Board!$B$2,$Y$1:$Y69,$Y70)+1,"")</f>
        <v/>
      </c>
      <c r="AJ70" s="0" t="str">
        <f aca="false">IFERROR(IF(INDEX(Matches!$D$5:$D$12,MATCH($B70,Matches!$A$5:$A$12,0))=3,"K12","K13"),"K13")</f>
        <v>K13</v>
      </c>
      <c r="AK70" s="12" t="n">
        <f aca="false">IF($AJ70="K12",$AA70,$AC70)</f>
        <v>3.51635992896139</v>
      </c>
    </row>
    <row r="71" customFormat="false" ht="15" hidden="false" customHeight="false" outlineLevel="0" collapsed="false">
      <c r="A71" s="0" t="s">
        <v>318</v>
      </c>
      <c r="B71" s="0" t="s">
        <v>104</v>
      </c>
      <c r="C71" s="0" t="s">
        <v>108</v>
      </c>
      <c r="D71" s="0" t="s">
        <v>317</v>
      </c>
      <c r="E71" s="0" t="s">
        <v>416</v>
      </c>
      <c r="F71" s="0" t="str">
        <f aca="false">IFERROR(IF($C71=INDEX(Matches!$S$5:$S$12,MATCH($B71,Matches!$A$5:$A$12,0)),"A",IF($C71=INDEX(Matches!$T$5:$T$12,MATCH($B71,Matches!$A$5:$A$12,0)),"B","")),"")</f>
        <v>A</v>
      </c>
      <c r="G71" s="0" t="n">
        <f aca="false">IFERROR(INDEX(Players!$E$2:$E$71,MATCH($E71,Players!$A$2:$A$71,0)),0)</f>
        <v>30</v>
      </c>
      <c r="H71" s="7" t="n">
        <f aca="false">IFERROR(INDEX(Players!$F$2:$F$71,MATCH($E71,Players!$A$2:$A$71,0)),"")</f>
        <v>0.43</v>
      </c>
      <c r="I71" s="6" t="n">
        <f aca="false">IFERROR(INDEX(Players!$G$2:$G$71,MATCH($E71,Players!$A$2:$A$71,0)),"")</f>
        <v>0.7</v>
      </c>
      <c r="J71" s="12" t="n">
        <f aca="false">IF(OR($I71="",$H71=""),"",$I71*IF(LEFT($B71,4)="DOTA",Config!$B$5,Config!$B$4)/($H71*IF(LEFT($B71,4)="DOTA",Config!$B$5,Config!$B$4)+1-$H71))</f>
        <v>1.01756232322568</v>
      </c>
      <c r="K71" s="12" t="n">
        <f aca="false">IF(OR($I71="",$H71=""),"",$I71/($H71*IF(LEFT($B71,4)="DOTA",Config!$B$5,Config!$B$4)+1-$H71))</f>
        <v>0.46043544037361</v>
      </c>
      <c r="L71" s="6" t="n">
        <f aca="false">IFERROR(INDEX(Matches!$R$5:$R$12,MATCH($B71,Matches!$A$5:$A$12,0)),1)</f>
        <v>1</v>
      </c>
      <c r="M71" s="7" t="n">
        <f aca="false">IFERROR(IF(INDEX(Matches!$M$5:$M$12,MATCH($B71,Matches!$A$5:$A$12,0))="","",IF($F71="A",INDEX(Matches!$M$5:$M$12,MATCH($B71,Matches!$A$5:$A$12,0)),1-INDEX(Matches!$M$5:$M$12,MATCH($B71,Matches!$A$5:$A$12,0)))),"")</f>
        <v>0.473</v>
      </c>
      <c r="N71" s="6" t="n">
        <f aca="false">1</f>
        <v>1</v>
      </c>
      <c r="O71" s="12" t="n">
        <f aca="false">IF(OR($M71="",$J71=""),"",$L71*($M71*$J71+(1-$M71)*$K71))</f>
        <v>0.723956455962639</v>
      </c>
      <c r="P71" s="6" t="n">
        <f aca="false">IF($O71="","",IF(LEFT($B71,4)="DOTA",Config!$B$7,Config!$B$6)*$O71+$L71^2*$M71*(1-$M71)*($J71-$K71)^2)</f>
        <v>1.01851470907548</v>
      </c>
      <c r="Q71" s="7" t="str">
        <f aca="false">IFERROR(IF(INDEX(Matches!$N$5:$N$12,MATCH($B71,Matches!$A$5:$A$12,0))="","",IF($F71="A",INDEX(Matches!$N$5:$N$12,MATCH($B71,Matches!$A$5:$A$12,0)),1-INDEX(Matches!$N$5:$N$12,MATCH($B71,Matches!$A$5:$A$12,0)))),"")</f>
        <v/>
      </c>
      <c r="R71" s="6" t="n">
        <f aca="false">IFERROR(N(INDEX(Matches!$P$5:$P$12,MATCH($B71,Matches!$A$5:$A$12,0))),0)</f>
        <v>0</v>
      </c>
      <c r="S71" s="12" t="str">
        <f aca="false">IF(OR($Q71="",$J71=""),"",$L71*($Q71*$J71+(1-$Q71)*$K71))</f>
        <v/>
      </c>
      <c r="T71" s="0" t="str">
        <f aca="false">IF($S71="","",IF(LEFT($B71,4)="DOTA",Config!$B$7,Config!$B$6)*$S71+$L71^2*$Q71*(1-$Q71)*($J71-$K71)^2)</f>
        <v/>
      </c>
      <c r="U71" s="7" t="str">
        <f aca="false">IFERROR(IF(INDEX(Matches!$O$5:$O$12,MATCH($B71,Matches!$A$5:$A$12,0))="","",IF($F71="A",INDEX(Matches!$O$5:$O$12,MATCH($B71,Matches!$A$5:$A$12,0)),1-INDEX(Matches!$O$5:$O$12,MATCH($B71,Matches!$A$5:$A$12,0)))),"")</f>
        <v/>
      </c>
      <c r="V71" s="6" t="n">
        <f aca="false">IFERROR(N(INDEX(Matches!$Q$5:$Q$12,MATCH($B71,Matches!$A$5:$A$12,0))),0)</f>
        <v>0</v>
      </c>
      <c r="W71" s="12" t="str">
        <f aca="false">IF(OR($U71="",$J71=""),"",$L71*($U71*$J71+(1-$U71)*$K71))</f>
        <v/>
      </c>
      <c r="X71" s="0" t="str">
        <f aca="false">IF($W71="","",IF(LEFT($B71,4)="DOTA",Config!$B$7,Config!$B$6)*$W71+$L71^2*$U71*(1-$U71)*($J71-$K71)^2)</f>
        <v/>
      </c>
      <c r="Y71" s="12" t="n">
        <f aca="false">IF($O71="","",$O71)</f>
        <v>0.723956455962639</v>
      </c>
      <c r="Z71" s="6" t="n">
        <f aca="false">IF($P71="","",$P71)</f>
        <v>1.01851470907548</v>
      </c>
      <c r="AA71" s="12" t="n">
        <f aca="false">IF($O71="","",N($N71)*N($O71)+N($R71)*N($S71))</f>
        <v>0.723956455962639</v>
      </c>
      <c r="AB71" s="6" t="n">
        <f aca="false">IF($O71="","",(N($N71)*N($P71)+N($N71)*(1-N($N71))*N($O71)^2)+(N($R71)*N($T71)+N($R71)*(1-N($R71))*N($S71)^2))</f>
        <v>1.01851470907548</v>
      </c>
      <c r="AC71" s="12" t="n">
        <f aca="false">IF($O71="","",N($N71)*N($O71)+N($R71)*N($S71)+N($V71)*N($W71))</f>
        <v>0.723956455962639</v>
      </c>
      <c r="AD71" s="6" t="n">
        <f aca="false">IF($O71="","",(N($N71)*N($P71)+N($N71)*(1-N($N71))*N($O71)^2)+(N($R71)*N($T71)+N($R71)*(1-N($R71))*N($S71)^2)+(N($V71)*N($X71)+N($V71)*(1-N($V71))*N($W71)^2))</f>
        <v>1.01851470907548</v>
      </c>
      <c r="AE71" s="12" t="n">
        <f aca="false">IF($I71="","",$I71*$L71)</f>
        <v>0.7</v>
      </c>
      <c r="AF71" s="12" t="n">
        <f aca="false">IF($I71="","",$I71*$L71*(1+N($R71)))</f>
        <v>0.7</v>
      </c>
      <c r="AG71" s="12" t="n">
        <f aca="false">IF($I71="","",$I71*$L71*(1+N($R71)+N($V71)))</f>
        <v>0.7</v>
      </c>
      <c r="AH71" s="0" t="str">
        <f aca="false">TRIM(IF($G71&lt;Config!$B$9,"thin sample ("&amp;$G71&amp;" maps) · ","")&amp;IF($I71="","no PickFinder stats · ","")&amp;IFERROR(IF(INDEX(Players!$T$2:$T$71,MATCH($E71,Players!$A$2:$A$71,0))&lt;0.5,"new roster: "&amp;TEXT(INDEX(Players!$T$2:$T$71,MATCH($E71,Players!$A$2:$A$71,0)),"0%")&amp;" of his recent games with these teammates",""),""))</f>
        <v>new roster: 0% of his recent games with these teammates</v>
      </c>
      <c r="AI71" s="0" t="str">
        <f aca="false">IF($B71=Board!$B$2,COUNTIFS($B$2:$B$71,Board!$B$2,$Y$2:$Y$71,"&gt;"&amp;$Y71)+COUNTIFS($B$1:$B70,Board!$B$2,$Y$1:$Y70,$Y71)+1,"")</f>
        <v/>
      </c>
      <c r="AJ71" s="0" t="str">
        <f aca="false">IFERROR(IF(INDEX(Matches!$D$5:$D$12,MATCH($B71,Matches!$A$5:$A$12,0))=3,"K12","K13"),"K13")</f>
        <v>K13</v>
      </c>
      <c r="AK71" s="12" t="n">
        <f aca="false">IF($AJ71="K12",$AA71,$AC71)</f>
        <v>0.723956455962639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417</v>
      </c>
    </row>
    <row r="3" customFormat="false" ht="15" hidden="false" customHeight="false" outlineLevel="0" collapsed="false">
      <c r="A3" s="9" t="s">
        <v>418</v>
      </c>
      <c r="B3" s="9" t="s">
        <v>419</v>
      </c>
      <c r="C3" s="9" t="s">
        <v>420</v>
      </c>
    </row>
    <row r="4" customFormat="false" ht="28.35" hidden="false" customHeight="false" outlineLevel="0" collapsed="false">
      <c r="A4" s="4" t="s">
        <v>421</v>
      </c>
      <c r="B4" s="11" t="n">
        <v>2.21</v>
      </c>
      <c r="C4" s="2" t="s">
        <v>422</v>
      </c>
    </row>
    <row r="5" customFormat="false" ht="41.75" hidden="false" customHeight="false" outlineLevel="0" collapsed="false">
      <c r="A5" s="4" t="s">
        <v>423</v>
      </c>
      <c r="B5" s="11" t="n">
        <v>1.77</v>
      </c>
      <c r="C5" s="2" t="s">
        <v>424</v>
      </c>
    </row>
    <row r="6" customFormat="false" ht="28.35" hidden="false" customHeight="false" outlineLevel="0" collapsed="false">
      <c r="A6" s="4" t="s">
        <v>425</v>
      </c>
      <c r="B6" s="11" t="n">
        <v>1.3</v>
      </c>
      <c r="C6" s="2" t="s">
        <v>426</v>
      </c>
    </row>
    <row r="7" customFormat="false" ht="28.35" hidden="false" customHeight="false" outlineLevel="0" collapsed="false">
      <c r="A7" s="4" t="s">
        <v>427</v>
      </c>
      <c r="B7" s="11" t="n">
        <v>1.84</v>
      </c>
      <c r="C7" s="2" t="s">
        <v>428</v>
      </c>
    </row>
    <row r="8" customFormat="false" ht="15" hidden="false" customHeight="false" outlineLevel="0" collapsed="false">
      <c r="A8" s="4" t="s">
        <v>429</v>
      </c>
      <c r="B8" s="11" t="n">
        <v>0.04</v>
      </c>
      <c r="C8" s="2" t="s">
        <v>430</v>
      </c>
    </row>
    <row r="9" customFormat="false" ht="15" hidden="false" customHeight="false" outlineLevel="0" collapsed="false">
      <c r="A9" s="4" t="s">
        <v>431</v>
      </c>
      <c r="B9" s="11" t="n">
        <v>15</v>
      </c>
      <c r="C9" s="2" t="s">
        <v>432</v>
      </c>
    </row>
    <row r="11" customFormat="false" ht="15" hidden="false" customHeight="false" outlineLevel="0" collapsed="false">
      <c r="A11" s="0" t="s">
        <v>433</v>
      </c>
      <c r="B11" s="0" t="s">
        <v>434</v>
      </c>
    </row>
    <row r="12" customFormat="false" ht="15" hidden="false" customHeight="false" outlineLevel="0" collapsed="false">
      <c r="A12" s="0" t="s">
        <v>435</v>
      </c>
      <c r="B12" s="0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55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41.75" hidden="false" customHeight="false" outlineLevel="0" collapsed="false">
      <c r="A1" s="9" t="s">
        <v>320</v>
      </c>
      <c r="B1" s="9" t="s">
        <v>41</v>
      </c>
      <c r="C1" s="9" t="s">
        <v>40</v>
      </c>
      <c r="D1" s="9" t="s">
        <v>437</v>
      </c>
      <c r="E1" s="9" t="s">
        <v>438</v>
      </c>
      <c r="F1" s="9" t="s">
        <v>439</v>
      </c>
      <c r="G1" s="9" t="s">
        <v>440</v>
      </c>
      <c r="H1" s="9" t="s">
        <v>441</v>
      </c>
      <c r="I1" s="9" t="s">
        <v>442</v>
      </c>
      <c r="J1" s="9" t="s">
        <v>443</v>
      </c>
      <c r="K1" s="9" t="s">
        <v>444</v>
      </c>
      <c r="L1" s="9" t="s">
        <v>445</v>
      </c>
      <c r="M1" s="9" t="s">
        <v>446</v>
      </c>
      <c r="N1" s="9" t="s">
        <v>447</v>
      </c>
      <c r="O1" s="9" t="s">
        <v>448</v>
      </c>
      <c r="P1" s="9" t="s">
        <v>449</v>
      </c>
      <c r="Q1" s="9" t="s">
        <v>450</v>
      </c>
      <c r="R1" s="9" t="s">
        <v>451</v>
      </c>
      <c r="S1" s="9" t="s">
        <v>452</v>
      </c>
      <c r="T1" s="9" t="s">
        <v>453</v>
      </c>
    </row>
    <row r="2" customFormat="false" ht="15" hidden="false" customHeight="false" outlineLevel="0" collapsed="false">
      <c r="A2" s="0" t="s">
        <v>370</v>
      </c>
      <c r="B2" s="0" t="s">
        <v>211</v>
      </c>
      <c r="C2" s="0" t="s">
        <v>85</v>
      </c>
      <c r="D2" s="0" t="s">
        <v>454</v>
      </c>
      <c r="E2" s="0" t="n">
        <v>30</v>
      </c>
      <c r="F2" s="13" t="n">
        <v>0.33</v>
      </c>
      <c r="G2" s="0" t="n">
        <v>4.9</v>
      </c>
      <c r="H2" s="0" t="n">
        <v>6</v>
      </c>
      <c r="I2" s="0" t="n">
        <v>10.9</v>
      </c>
      <c r="J2" s="0" t="n">
        <v>0.8</v>
      </c>
      <c r="K2" s="0" t="n">
        <v>45</v>
      </c>
      <c r="L2" s="0" t="n">
        <v>3.98</v>
      </c>
      <c r="M2" s="6" t="s">
        <v>455</v>
      </c>
      <c r="N2" s="6" t="s">
        <v>456</v>
      </c>
      <c r="O2" s="6" t="s">
        <v>457</v>
      </c>
      <c r="P2" s="6" t="s">
        <v>458</v>
      </c>
      <c r="T2" s="13"/>
    </row>
    <row r="3" customFormat="false" ht="15" hidden="false" customHeight="false" outlineLevel="0" collapsed="false">
      <c r="A3" s="0" t="s">
        <v>371</v>
      </c>
      <c r="B3" s="0" t="s">
        <v>214</v>
      </c>
      <c r="C3" s="0" t="s">
        <v>85</v>
      </c>
      <c r="D3" s="0" t="s">
        <v>454</v>
      </c>
      <c r="E3" s="0" t="n">
        <v>30</v>
      </c>
      <c r="F3" s="13" t="n">
        <v>0.33</v>
      </c>
      <c r="G3" s="0" t="n">
        <v>3.2</v>
      </c>
      <c r="H3" s="0" t="n">
        <v>7.6</v>
      </c>
      <c r="I3" s="0" t="n">
        <v>14</v>
      </c>
      <c r="J3" s="0" t="n">
        <v>0.4</v>
      </c>
      <c r="K3" s="0" t="n">
        <v>45</v>
      </c>
      <c r="L3" s="0" t="n">
        <v>2.96</v>
      </c>
      <c r="M3" s="6" t="s">
        <v>455</v>
      </c>
      <c r="N3" s="6" t="s">
        <v>459</v>
      </c>
      <c r="O3" s="6" t="s">
        <v>457</v>
      </c>
      <c r="P3" s="6" t="s">
        <v>460</v>
      </c>
      <c r="T3" s="13"/>
    </row>
    <row r="4" customFormat="false" ht="15" hidden="false" customHeight="false" outlineLevel="0" collapsed="false">
      <c r="A4" s="0" t="s">
        <v>372</v>
      </c>
      <c r="B4" s="0" t="s">
        <v>217</v>
      </c>
      <c r="C4" s="0" t="s">
        <v>85</v>
      </c>
      <c r="D4" s="0" t="s">
        <v>454</v>
      </c>
      <c r="E4" s="0" t="n">
        <v>30</v>
      </c>
      <c r="F4" s="13" t="n">
        <v>0.4</v>
      </c>
      <c r="G4" s="0" t="n">
        <v>7.4</v>
      </c>
      <c r="H4" s="0" t="n">
        <v>5.3</v>
      </c>
      <c r="I4" s="0" t="n">
        <v>10.4</v>
      </c>
      <c r="J4" s="0" t="n">
        <v>1.4</v>
      </c>
      <c r="K4" s="0" t="n">
        <v>45</v>
      </c>
      <c r="L4" s="0" t="n">
        <v>6.22</v>
      </c>
      <c r="M4" s="6" t="s">
        <v>455</v>
      </c>
      <c r="N4" s="6" t="s">
        <v>461</v>
      </c>
      <c r="O4" s="6" t="s">
        <v>457</v>
      </c>
      <c r="P4" s="6" t="s">
        <v>462</v>
      </c>
      <c r="T4" s="13"/>
    </row>
    <row r="5" customFormat="false" ht="15" hidden="false" customHeight="false" outlineLevel="0" collapsed="false">
      <c r="A5" s="0" t="s">
        <v>373</v>
      </c>
      <c r="B5" s="0" t="s">
        <v>219</v>
      </c>
      <c r="C5" s="0" t="s">
        <v>85</v>
      </c>
      <c r="D5" s="0" t="s">
        <v>454</v>
      </c>
      <c r="E5" s="0" t="n">
        <v>30</v>
      </c>
      <c r="F5" s="13" t="n">
        <v>0.37</v>
      </c>
      <c r="G5" s="0" t="n">
        <v>7.4</v>
      </c>
      <c r="H5" s="0" t="n">
        <v>5</v>
      </c>
      <c r="I5" s="0" t="n">
        <v>8.8</v>
      </c>
      <c r="J5" s="0" t="n">
        <v>1.5</v>
      </c>
      <c r="K5" s="0" t="n">
        <v>45</v>
      </c>
      <c r="L5" s="0" t="n">
        <v>6.16</v>
      </c>
      <c r="M5" s="6" t="s">
        <v>455</v>
      </c>
      <c r="N5" s="6" t="s">
        <v>463</v>
      </c>
      <c r="O5" s="6" t="s">
        <v>457</v>
      </c>
      <c r="P5" s="6" t="s">
        <v>464</v>
      </c>
      <c r="T5" s="13"/>
    </row>
    <row r="6" customFormat="false" ht="15" hidden="false" customHeight="false" outlineLevel="0" collapsed="false">
      <c r="A6" s="0" t="s">
        <v>374</v>
      </c>
      <c r="B6" s="0" t="s">
        <v>222</v>
      </c>
      <c r="C6" s="0" t="s">
        <v>85</v>
      </c>
      <c r="D6" s="0" t="s">
        <v>454</v>
      </c>
      <c r="E6" s="0" t="n">
        <v>30</v>
      </c>
      <c r="F6" s="13" t="n">
        <v>0.33</v>
      </c>
      <c r="G6" s="0" t="n">
        <v>3.2</v>
      </c>
      <c r="H6" s="0" t="n">
        <v>8.7</v>
      </c>
      <c r="I6" s="0" t="n">
        <v>13.8</v>
      </c>
      <c r="J6" s="0" t="n">
        <v>0.4</v>
      </c>
      <c r="K6" s="0" t="n">
        <v>45</v>
      </c>
      <c r="L6" s="0" t="n">
        <v>2.89</v>
      </c>
      <c r="M6" s="6" t="s">
        <v>455</v>
      </c>
      <c r="N6" s="6" t="s">
        <v>465</v>
      </c>
      <c r="O6" s="6" t="s">
        <v>457</v>
      </c>
      <c r="P6" s="6" t="s">
        <v>466</v>
      </c>
      <c r="T6" s="13"/>
    </row>
    <row r="7" customFormat="false" ht="15" hidden="false" customHeight="false" outlineLevel="0" collapsed="false">
      <c r="A7" s="0" t="s">
        <v>361</v>
      </c>
      <c r="B7" s="0" t="s">
        <v>187</v>
      </c>
      <c r="C7" s="0" t="s">
        <v>91</v>
      </c>
      <c r="D7" s="0" t="s">
        <v>467</v>
      </c>
      <c r="E7" s="0" t="n">
        <v>30</v>
      </c>
      <c r="F7" s="13" t="n">
        <v>0.47</v>
      </c>
      <c r="G7" s="0" t="n">
        <v>5.2</v>
      </c>
      <c r="H7" s="0" t="n">
        <v>4.7</v>
      </c>
      <c r="I7" s="0" t="n">
        <v>13.6</v>
      </c>
      <c r="J7" s="0" t="n">
        <v>1.1</v>
      </c>
      <c r="K7" s="0" t="n">
        <v>45</v>
      </c>
      <c r="L7" s="0" t="n">
        <v>4.38</v>
      </c>
      <c r="M7" s="6" t="s">
        <v>455</v>
      </c>
      <c r="N7" s="6" t="s">
        <v>468</v>
      </c>
      <c r="O7" s="6" t="s">
        <v>457</v>
      </c>
      <c r="P7" s="6" t="s">
        <v>458</v>
      </c>
      <c r="T7" s="13"/>
    </row>
    <row r="8" customFormat="false" ht="15" hidden="false" customHeight="false" outlineLevel="0" collapsed="false">
      <c r="A8" s="0" t="s">
        <v>362</v>
      </c>
      <c r="B8" s="0" t="s">
        <v>190</v>
      </c>
      <c r="C8" s="0" t="s">
        <v>91</v>
      </c>
      <c r="D8" s="0" t="s">
        <v>467</v>
      </c>
      <c r="E8" s="0" t="n">
        <v>30</v>
      </c>
      <c r="F8" s="13" t="n">
        <v>0.53</v>
      </c>
      <c r="G8" s="0" t="n">
        <v>1.8</v>
      </c>
      <c r="H8" s="0" t="n">
        <v>6.7</v>
      </c>
      <c r="I8" s="0" t="n">
        <v>15.1</v>
      </c>
      <c r="J8" s="0" t="n">
        <v>0.3</v>
      </c>
      <c r="K8" s="0" t="n">
        <v>45</v>
      </c>
      <c r="L8" s="0" t="n">
        <v>1.47</v>
      </c>
      <c r="M8" s="6" t="s">
        <v>455</v>
      </c>
      <c r="N8" s="6" t="s">
        <v>469</v>
      </c>
      <c r="O8" s="6" t="s">
        <v>457</v>
      </c>
      <c r="P8" s="6" t="s">
        <v>466</v>
      </c>
      <c r="T8" s="13"/>
    </row>
    <row r="9" customFormat="false" ht="15" hidden="false" customHeight="false" outlineLevel="0" collapsed="false">
      <c r="A9" s="0" t="s">
        <v>363</v>
      </c>
      <c r="B9" s="0" t="s">
        <v>193</v>
      </c>
      <c r="C9" s="0" t="s">
        <v>91</v>
      </c>
      <c r="D9" s="0" t="s">
        <v>467</v>
      </c>
      <c r="E9" s="0" t="n">
        <v>30</v>
      </c>
      <c r="F9" s="13" t="n">
        <v>0.47</v>
      </c>
      <c r="G9" s="0" t="n">
        <v>8.9</v>
      </c>
      <c r="H9" s="0" t="n">
        <v>3.8</v>
      </c>
      <c r="I9" s="0" t="n">
        <v>11.5</v>
      </c>
      <c r="J9" s="0" t="n">
        <v>2.3</v>
      </c>
      <c r="K9" s="0" t="n">
        <v>45</v>
      </c>
      <c r="L9" s="0" t="n">
        <v>8.33</v>
      </c>
      <c r="M9" s="6" t="s">
        <v>455</v>
      </c>
      <c r="N9" s="6" t="s">
        <v>470</v>
      </c>
      <c r="O9" s="6" t="s">
        <v>457</v>
      </c>
      <c r="P9" s="6" t="s">
        <v>462</v>
      </c>
      <c r="T9" s="13"/>
    </row>
    <row r="10" customFormat="false" ht="15" hidden="false" customHeight="false" outlineLevel="0" collapsed="false">
      <c r="A10" s="0" t="s">
        <v>364</v>
      </c>
      <c r="B10" s="0" t="s">
        <v>196</v>
      </c>
      <c r="C10" s="0" t="s">
        <v>91</v>
      </c>
      <c r="D10" s="0" t="s">
        <v>467</v>
      </c>
      <c r="E10" s="0" t="n">
        <v>30</v>
      </c>
      <c r="F10" s="13" t="n">
        <v>0.5</v>
      </c>
      <c r="G10" s="0" t="n">
        <v>7.2</v>
      </c>
      <c r="H10" s="0" t="n">
        <v>3.2</v>
      </c>
      <c r="I10" s="0" t="n">
        <v>9.6</v>
      </c>
      <c r="J10" s="0" t="n">
        <v>2.3</v>
      </c>
      <c r="K10" s="0" t="n">
        <v>45</v>
      </c>
      <c r="L10" s="0" t="n">
        <v>5.42</v>
      </c>
      <c r="M10" s="6" t="s">
        <v>455</v>
      </c>
      <c r="N10" s="6" t="s">
        <v>471</v>
      </c>
      <c r="O10" s="6" t="s">
        <v>457</v>
      </c>
      <c r="P10" s="6" t="s">
        <v>464</v>
      </c>
      <c r="T10" s="13"/>
    </row>
    <row r="11" customFormat="false" ht="15" hidden="false" customHeight="false" outlineLevel="0" collapsed="false">
      <c r="A11" s="0" t="s">
        <v>365</v>
      </c>
      <c r="B11" s="0" t="s">
        <v>199</v>
      </c>
      <c r="C11" s="0" t="s">
        <v>91</v>
      </c>
      <c r="D11" s="0" t="s">
        <v>467</v>
      </c>
      <c r="E11" s="0" t="n">
        <v>30</v>
      </c>
      <c r="F11" s="13" t="n">
        <v>0.47</v>
      </c>
      <c r="G11" s="0" t="n">
        <v>3.5</v>
      </c>
      <c r="H11" s="0" t="n">
        <v>7.8</v>
      </c>
      <c r="I11" s="0" t="n">
        <v>15.9</v>
      </c>
      <c r="J11" s="0" t="n">
        <v>0.5</v>
      </c>
      <c r="K11" s="0" t="n">
        <v>45</v>
      </c>
      <c r="L11" s="0" t="n">
        <v>2.73</v>
      </c>
      <c r="M11" s="6" t="s">
        <v>455</v>
      </c>
      <c r="N11" s="6" t="s">
        <v>472</v>
      </c>
      <c r="O11" s="6" t="s">
        <v>457</v>
      </c>
      <c r="P11" s="6" t="s">
        <v>460</v>
      </c>
      <c r="T11" s="13"/>
    </row>
    <row r="12" customFormat="false" ht="15" hidden="false" customHeight="false" outlineLevel="0" collapsed="false">
      <c r="A12" s="0" t="s">
        <v>351</v>
      </c>
      <c r="B12" s="0" t="s">
        <v>157</v>
      </c>
      <c r="C12" s="0" t="s">
        <v>103</v>
      </c>
      <c r="D12" s="0" t="s">
        <v>473</v>
      </c>
      <c r="E12" s="0" t="n">
        <v>30</v>
      </c>
      <c r="F12" s="13" t="n">
        <v>0.37</v>
      </c>
      <c r="G12" s="0" t="n">
        <v>2.2</v>
      </c>
      <c r="H12" s="0" t="n">
        <v>8.4</v>
      </c>
      <c r="I12" s="0" t="n">
        <v>11.4</v>
      </c>
      <c r="J12" s="0" t="n">
        <v>0.3</v>
      </c>
      <c r="K12" s="0" t="n">
        <v>45</v>
      </c>
      <c r="L12" s="0" t="n">
        <v>1.93</v>
      </c>
      <c r="M12" s="6" t="s">
        <v>455</v>
      </c>
      <c r="N12" s="6" t="s">
        <v>474</v>
      </c>
      <c r="O12" s="6" t="s">
        <v>457</v>
      </c>
      <c r="P12" s="6" t="s">
        <v>466</v>
      </c>
      <c r="T12" s="13"/>
    </row>
    <row r="13" customFormat="false" ht="15" hidden="false" customHeight="false" outlineLevel="0" collapsed="false">
      <c r="A13" s="0" t="s">
        <v>352</v>
      </c>
      <c r="B13" s="0" t="s">
        <v>160</v>
      </c>
      <c r="C13" s="0" t="s">
        <v>103</v>
      </c>
      <c r="D13" s="0" t="s">
        <v>473</v>
      </c>
      <c r="E13" s="0" t="n">
        <v>30</v>
      </c>
      <c r="F13" s="13" t="n">
        <v>0.37</v>
      </c>
      <c r="G13" s="0" t="n">
        <v>6.8</v>
      </c>
      <c r="H13" s="0" t="n">
        <v>3.8</v>
      </c>
      <c r="I13" s="0" t="n">
        <v>7.2</v>
      </c>
      <c r="J13" s="0" t="n">
        <v>1.8</v>
      </c>
      <c r="K13" s="0" t="n">
        <v>45</v>
      </c>
      <c r="L13" s="0" t="n">
        <v>5.64</v>
      </c>
      <c r="M13" s="6" t="s">
        <v>455</v>
      </c>
      <c r="N13" s="6" t="s">
        <v>475</v>
      </c>
      <c r="O13" s="6" t="s">
        <v>457</v>
      </c>
      <c r="P13" s="6" t="s">
        <v>464</v>
      </c>
      <c r="T13" s="13"/>
    </row>
    <row r="14" customFormat="false" ht="15" hidden="false" customHeight="false" outlineLevel="0" collapsed="false">
      <c r="A14" s="0" t="s">
        <v>353</v>
      </c>
      <c r="B14" s="0" t="s">
        <v>163</v>
      </c>
      <c r="C14" s="0" t="s">
        <v>103</v>
      </c>
      <c r="D14" s="0" t="s">
        <v>473</v>
      </c>
      <c r="E14" s="0" t="n">
        <v>30</v>
      </c>
      <c r="F14" s="13" t="n">
        <v>0.37</v>
      </c>
      <c r="G14" s="0" t="n">
        <v>4.3</v>
      </c>
      <c r="H14" s="0" t="n">
        <v>3.8</v>
      </c>
      <c r="I14" s="0" t="n">
        <v>10.5</v>
      </c>
      <c r="J14" s="0" t="n">
        <v>1.1</v>
      </c>
      <c r="K14" s="0" t="n">
        <v>45</v>
      </c>
      <c r="L14" s="0" t="n">
        <v>3.8</v>
      </c>
      <c r="M14" s="6" t="s">
        <v>455</v>
      </c>
      <c r="N14" s="6" t="s">
        <v>476</v>
      </c>
      <c r="O14" s="6" t="s">
        <v>457</v>
      </c>
      <c r="P14" s="6" t="s">
        <v>458</v>
      </c>
      <c r="T14" s="13"/>
    </row>
    <row r="15" customFormat="false" ht="15" hidden="false" customHeight="false" outlineLevel="0" collapsed="false">
      <c r="A15" s="0" t="s">
        <v>354</v>
      </c>
      <c r="B15" s="0" t="s">
        <v>166</v>
      </c>
      <c r="C15" s="0" t="s">
        <v>103</v>
      </c>
      <c r="D15" s="0" t="s">
        <v>473</v>
      </c>
      <c r="E15" s="0" t="n">
        <v>30</v>
      </c>
      <c r="F15" s="13" t="n">
        <v>0.37</v>
      </c>
      <c r="G15" s="0" t="n">
        <v>3.8</v>
      </c>
      <c r="H15" s="0" t="n">
        <v>4.9</v>
      </c>
      <c r="I15" s="0" t="n">
        <v>12</v>
      </c>
      <c r="J15" s="0" t="n">
        <v>0.8</v>
      </c>
      <c r="K15" s="0" t="n">
        <v>45</v>
      </c>
      <c r="L15" s="0" t="n">
        <v>3.16</v>
      </c>
      <c r="M15" s="6" t="s">
        <v>455</v>
      </c>
      <c r="N15" s="6" t="s">
        <v>477</v>
      </c>
      <c r="O15" s="6" t="s">
        <v>457</v>
      </c>
      <c r="P15" s="6" t="s">
        <v>462</v>
      </c>
      <c r="T15" s="13"/>
    </row>
    <row r="16" customFormat="false" ht="15" hidden="false" customHeight="false" outlineLevel="0" collapsed="false">
      <c r="A16" s="0" t="s">
        <v>355</v>
      </c>
      <c r="B16" s="0" t="s">
        <v>169</v>
      </c>
      <c r="C16" s="0" t="s">
        <v>103</v>
      </c>
      <c r="D16" s="0" t="s">
        <v>473</v>
      </c>
      <c r="E16" s="0" t="n">
        <v>30</v>
      </c>
      <c r="F16" s="13" t="n">
        <v>0.4</v>
      </c>
      <c r="G16" s="0" t="n">
        <v>2.5</v>
      </c>
      <c r="H16" s="0" t="n">
        <v>6.8</v>
      </c>
      <c r="I16" s="0" t="n">
        <v>14.4</v>
      </c>
      <c r="J16" s="0" t="n">
        <v>0.4</v>
      </c>
      <c r="K16" s="0" t="n">
        <v>45</v>
      </c>
      <c r="L16" s="0" t="n">
        <v>2.47</v>
      </c>
      <c r="M16" s="6" t="s">
        <v>455</v>
      </c>
      <c r="N16" s="6" t="s">
        <v>478</v>
      </c>
      <c r="O16" s="6" t="s">
        <v>457</v>
      </c>
      <c r="P16" s="6" t="s">
        <v>460</v>
      </c>
      <c r="T16" s="13"/>
    </row>
    <row r="17" customFormat="false" ht="15" hidden="false" customHeight="false" outlineLevel="0" collapsed="false">
      <c r="A17" s="0" t="s">
        <v>380</v>
      </c>
      <c r="B17" s="0" t="s">
        <v>237</v>
      </c>
      <c r="C17" s="0" t="s">
        <v>114</v>
      </c>
      <c r="D17" s="0" t="s">
        <v>479</v>
      </c>
      <c r="E17" s="0" t="n">
        <v>30</v>
      </c>
      <c r="F17" s="13" t="n">
        <v>0.57</v>
      </c>
      <c r="G17" s="0" t="n">
        <v>0.7</v>
      </c>
      <c r="H17" s="0" t="n">
        <v>2.8</v>
      </c>
      <c r="I17" s="0" t="n">
        <v>10.2</v>
      </c>
      <c r="J17" s="0" t="n">
        <v>0.2</v>
      </c>
      <c r="K17" s="0" t="n">
        <v>45</v>
      </c>
      <c r="L17" s="0" t="n">
        <v>0.49</v>
      </c>
      <c r="M17" s="6" t="s">
        <v>455</v>
      </c>
      <c r="N17" s="6" t="s">
        <v>480</v>
      </c>
      <c r="O17" s="6" t="s">
        <v>481</v>
      </c>
      <c r="P17" s="6" t="s">
        <v>482</v>
      </c>
      <c r="T17" s="13"/>
    </row>
    <row r="18" customFormat="false" ht="15" hidden="false" customHeight="false" outlineLevel="0" collapsed="false">
      <c r="A18" s="0" t="s">
        <v>381</v>
      </c>
      <c r="B18" s="0" t="s">
        <v>239</v>
      </c>
      <c r="C18" s="0" t="s">
        <v>114</v>
      </c>
      <c r="D18" s="0" t="s">
        <v>479</v>
      </c>
      <c r="E18" s="0" t="n">
        <v>30</v>
      </c>
      <c r="F18" s="13" t="n">
        <v>0.57</v>
      </c>
      <c r="G18" s="0" t="n">
        <v>2.7</v>
      </c>
      <c r="H18" s="0" t="n">
        <v>2.9</v>
      </c>
      <c r="I18" s="0" t="n">
        <v>7.2</v>
      </c>
      <c r="J18" s="0" t="n">
        <v>0.9</v>
      </c>
      <c r="K18" s="0" t="n">
        <v>45</v>
      </c>
      <c r="L18" s="0" t="n">
        <v>2.22</v>
      </c>
      <c r="M18" s="6" t="s">
        <v>455</v>
      </c>
      <c r="N18" s="6" t="s">
        <v>483</v>
      </c>
      <c r="O18" s="6" t="s">
        <v>481</v>
      </c>
      <c r="P18" s="6" t="s">
        <v>484</v>
      </c>
      <c r="T18" s="13"/>
    </row>
    <row r="19" customFormat="false" ht="15" hidden="false" customHeight="false" outlineLevel="0" collapsed="false">
      <c r="A19" s="0" t="s">
        <v>382</v>
      </c>
      <c r="B19" s="0" t="s">
        <v>241</v>
      </c>
      <c r="C19" s="0" t="s">
        <v>114</v>
      </c>
      <c r="D19" s="0" t="s">
        <v>479</v>
      </c>
      <c r="E19" s="0" t="n">
        <v>30</v>
      </c>
      <c r="F19" s="13" t="n">
        <v>0.57</v>
      </c>
      <c r="G19" s="0" t="n">
        <v>3.7</v>
      </c>
      <c r="H19" s="0" t="n">
        <v>2.2</v>
      </c>
      <c r="I19" s="0" t="n">
        <v>6</v>
      </c>
      <c r="J19" s="0" t="n">
        <v>1.6</v>
      </c>
      <c r="K19" s="0" t="n">
        <v>45</v>
      </c>
      <c r="L19" s="0" t="n">
        <v>3.07</v>
      </c>
      <c r="M19" s="6" t="s">
        <v>455</v>
      </c>
      <c r="N19" s="6" t="s">
        <v>485</v>
      </c>
      <c r="O19" s="6" t="s">
        <v>481</v>
      </c>
      <c r="P19" s="6" t="s">
        <v>486</v>
      </c>
      <c r="T19" s="13"/>
    </row>
    <row r="20" customFormat="false" ht="15" hidden="false" customHeight="false" outlineLevel="0" collapsed="false">
      <c r="A20" s="0" t="s">
        <v>383</v>
      </c>
      <c r="B20" s="0" t="s">
        <v>243</v>
      </c>
      <c r="C20" s="0" t="s">
        <v>114</v>
      </c>
      <c r="D20" s="0" t="s">
        <v>479</v>
      </c>
      <c r="E20" s="0" t="n">
        <v>30</v>
      </c>
      <c r="F20" s="13" t="n">
        <v>0.53</v>
      </c>
      <c r="G20" s="0" t="n">
        <v>2.3</v>
      </c>
      <c r="H20" s="0" t="n">
        <v>3.2</v>
      </c>
      <c r="I20" s="0" t="n">
        <v>4</v>
      </c>
      <c r="J20" s="0" t="n">
        <v>0.7</v>
      </c>
      <c r="K20" s="0" t="n">
        <v>45</v>
      </c>
      <c r="L20" s="0" t="n">
        <v>1.96</v>
      </c>
      <c r="M20" s="6" t="s">
        <v>455</v>
      </c>
      <c r="N20" s="6" t="s">
        <v>487</v>
      </c>
      <c r="O20" s="6" t="s">
        <v>481</v>
      </c>
      <c r="P20" s="6" t="s">
        <v>488</v>
      </c>
      <c r="T20" s="13"/>
    </row>
    <row r="21" customFormat="false" ht="15" hidden="false" customHeight="false" outlineLevel="0" collapsed="false">
      <c r="A21" s="0" t="s">
        <v>384</v>
      </c>
      <c r="B21" s="0" t="s">
        <v>245</v>
      </c>
      <c r="C21" s="0" t="s">
        <v>114</v>
      </c>
      <c r="D21" s="0" t="s">
        <v>479</v>
      </c>
      <c r="E21" s="0" t="n">
        <v>30</v>
      </c>
      <c r="F21" s="13" t="n">
        <v>0.53</v>
      </c>
      <c r="G21" s="0" t="n">
        <v>4.5</v>
      </c>
      <c r="H21" s="0" t="n">
        <v>2</v>
      </c>
      <c r="I21" s="0" t="n">
        <v>5.4</v>
      </c>
      <c r="J21" s="0" t="n">
        <v>2.3</v>
      </c>
      <c r="K21" s="0" t="n">
        <v>45</v>
      </c>
      <c r="L21" s="0" t="n">
        <v>4.13</v>
      </c>
      <c r="M21" s="6" t="s">
        <v>455</v>
      </c>
      <c r="N21" s="6" t="s">
        <v>489</v>
      </c>
      <c r="O21" s="6" t="s">
        <v>481</v>
      </c>
      <c r="P21" s="6" t="s">
        <v>490</v>
      </c>
      <c r="T21" s="13"/>
    </row>
    <row r="22" customFormat="false" ht="15" hidden="false" customHeight="false" outlineLevel="0" collapsed="false">
      <c r="A22" s="0" t="s">
        <v>407</v>
      </c>
      <c r="B22" s="0" t="s">
        <v>297</v>
      </c>
      <c r="C22" s="0" t="s">
        <v>109</v>
      </c>
      <c r="D22" s="0" t="s">
        <v>491</v>
      </c>
      <c r="E22" s="0" t="n">
        <v>30</v>
      </c>
      <c r="F22" s="13" t="n">
        <v>0.73</v>
      </c>
      <c r="G22" s="0" t="n">
        <v>3.3</v>
      </c>
      <c r="H22" s="0" t="n">
        <v>2.6</v>
      </c>
      <c r="I22" s="0" t="n">
        <v>4.9</v>
      </c>
      <c r="J22" s="0" t="n">
        <v>1.3</v>
      </c>
      <c r="K22" s="0" t="n">
        <v>45</v>
      </c>
      <c r="L22" s="0" t="n">
        <v>2.42</v>
      </c>
      <c r="M22" s="6" t="s">
        <v>455</v>
      </c>
      <c r="N22" s="6" t="s">
        <v>492</v>
      </c>
      <c r="O22" s="6" t="s">
        <v>481</v>
      </c>
      <c r="P22" s="6" t="s">
        <v>488</v>
      </c>
      <c r="T22" s="13"/>
    </row>
    <row r="23" customFormat="false" ht="15" hidden="false" customHeight="false" outlineLevel="0" collapsed="false">
      <c r="A23" s="0" t="s">
        <v>408</v>
      </c>
      <c r="B23" s="0" t="s">
        <v>299</v>
      </c>
      <c r="C23" s="0" t="s">
        <v>109</v>
      </c>
      <c r="D23" s="0" t="s">
        <v>491</v>
      </c>
      <c r="E23" s="0" t="n">
        <v>30</v>
      </c>
      <c r="F23" s="13" t="n">
        <v>0.73</v>
      </c>
      <c r="G23" s="0" t="n">
        <v>4</v>
      </c>
      <c r="H23" s="0" t="n">
        <v>2.2</v>
      </c>
      <c r="I23" s="0" t="n">
        <v>5.9</v>
      </c>
      <c r="J23" s="0" t="n">
        <v>1.8</v>
      </c>
      <c r="K23" s="0" t="n">
        <v>45</v>
      </c>
      <c r="L23" s="0" t="n">
        <v>2.93</v>
      </c>
      <c r="M23" s="6" t="s">
        <v>455</v>
      </c>
      <c r="N23" s="6" t="s">
        <v>493</v>
      </c>
      <c r="O23" s="6" t="s">
        <v>481</v>
      </c>
      <c r="P23" s="6" t="s">
        <v>486</v>
      </c>
      <c r="T23" s="13"/>
    </row>
    <row r="24" customFormat="false" ht="15" hidden="false" customHeight="false" outlineLevel="0" collapsed="false">
      <c r="A24" s="0" t="s">
        <v>409</v>
      </c>
      <c r="B24" s="0" t="s">
        <v>302</v>
      </c>
      <c r="C24" s="0" t="s">
        <v>109</v>
      </c>
      <c r="D24" s="0" t="s">
        <v>491</v>
      </c>
      <c r="E24" s="0" t="n">
        <v>30</v>
      </c>
      <c r="F24" s="13" t="n">
        <v>0.73</v>
      </c>
      <c r="G24" s="0" t="n">
        <v>4.6</v>
      </c>
      <c r="H24" s="0" t="n">
        <v>1.9</v>
      </c>
      <c r="I24" s="0" t="n">
        <v>5.2</v>
      </c>
      <c r="J24" s="0" t="n">
        <v>2.4</v>
      </c>
      <c r="K24" s="0" t="n">
        <v>45</v>
      </c>
      <c r="L24" s="0" t="n">
        <v>3.47</v>
      </c>
      <c r="M24" s="6" t="s">
        <v>455</v>
      </c>
      <c r="N24" s="6" t="s">
        <v>494</v>
      </c>
      <c r="O24" s="6" t="s">
        <v>481</v>
      </c>
      <c r="P24" s="6" t="s">
        <v>490</v>
      </c>
      <c r="T24" s="13"/>
    </row>
    <row r="25" customFormat="false" ht="15" hidden="false" customHeight="false" outlineLevel="0" collapsed="false">
      <c r="A25" s="0" t="s">
        <v>410</v>
      </c>
      <c r="B25" s="0" t="s">
        <v>304</v>
      </c>
      <c r="C25" s="0" t="s">
        <v>109</v>
      </c>
      <c r="D25" s="0" t="s">
        <v>491</v>
      </c>
      <c r="E25" s="0" t="n">
        <v>30</v>
      </c>
      <c r="F25" s="13" t="n">
        <v>0.73</v>
      </c>
      <c r="G25" s="0" t="n">
        <v>0.8</v>
      </c>
      <c r="H25" s="0" t="n">
        <v>3.1</v>
      </c>
      <c r="I25" s="0" t="n">
        <v>10.7</v>
      </c>
      <c r="J25" s="0" t="n">
        <v>0.2</v>
      </c>
      <c r="K25" s="0" t="n">
        <v>45</v>
      </c>
      <c r="L25" s="0" t="n">
        <v>0.53</v>
      </c>
      <c r="M25" s="6" t="s">
        <v>455</v>
      </c>
      <c r="N25" s="6" t="s">
        <v>495</v>
      </c>
      <c r="O25" s="6" t="s">
        <v>481</v>
      </c>
      <c r="P25" s="6" t="s">
        <v>482</v>
      </c>
      <c r="T25" s="13"/>
    </row>
    <row r="26" customFormat="false" ht="15" hidden="false" customHeight="false" outlineLevel="0" collapsed="false">
      <c r="A26" s="0" t="s">
        <v>411</v>
      </c>
      <c r="B26" s="0" t="s">
        <v>306</v>
      </c>
      <c r="C26" s="0" t="s">
        <v>109</v>
      </c>
      <c r="D26" s="0" t="s">
        <v>491</v>
      </c>
      <c r="E26" s="0" t="n">
        <v>30</v>
      </c>
      <c r="F26" s="13" t="n">
        <v>0.73</v>
      </c>
      <c r="G26" s="0" t="n">
        <v>3.6</v>
      </c>
      <c r="H26" s="0" t="n">
        <v>2</v>
      </c>
      <c r="I26" s="0" t="n">
        <v>7.2</v>
      </c>
      <c r="J26" s="0" t="n">
        <v>1.9</v>
      </c>
      <c r="K26" s="0" t="n">
        <v>45</v>
      </c>
      <c r="L26" s="0" t="n">
        <v>2.89</v>
      </c>
      <c r="M26" s="6" t="s">
        <v>455</v>
      </c>
      <c r="N26" s="6" t="s">
        <v>496</v>
      </c>
      <c r="O26" s="6" t="s">
        <v>481</v>
      </c>
      <c r="P26" s="6" t="s">
        <v>484</v>
      </c>
      <c r="T26" s="13"/>
    </row>
    <row r="27" customFormat="false" ht="15" hidden="false" customHeight="false" outlineLevel="0" collapsed="false">
      <c r="A27" s="0" t="s">
        <v>389</v>
      </c>
      <c r="B27" s="0" t="s">
        <v>255</v>
      </c>
      <c r="C27" s="0" t="s">
        <v>120</v>
      </c>
      <c r="D27" s="0" t="s">
        <v>497</v>
      </c>
      <c r="E27" s="0" t="n">
        <v>30</v>
      </c>
      <c r="F27" s="13" t="n">
        <v>0.83</v>
      </c>
      <c r="G27" s="0" t="n">
        <v>3.5</v>
      </c>
      <c r="H27" s="0" t="n">
        <v>2.3</v>
      </c>
      <c r="I27" s="0" t="n">
        <v>8.4</v>
      </c>
      <c r="J27" s="0" t="n">
        <v>1.5</v>
      </c>
      <c r="K27" s="0" t="n">
        <v>45</v>
      </c>
      <c r="L27" s="0" t="n">
        <v>2.67</v>
      </c>
      <c r="M27" s="6" t="s">
        <v>455</v>
      </c>
      <c r="N27" s="6" t="s">
        <v>498</v>
      </c>
      <c r="O27" s="6" t="s">
        <v>481</v>
      </c>
      <c r="P27" s="6" t="s">
        <v>484</v>
      </c>
      <c r="T27" s="13"/>
    </row>
    <row r="28" customFormat="false" ht="15" hidden="false" customHeight="false" outlineLevel="0" collapsed="false">
      <c r="A28" s="0" t="s">
        <v>390</v>
      </c>
      <c r="B28" s="0" t="s">
        <v>258</v>
      </c>
      <c r="C28" s="0" t="s">
        <v>120</v>
      </c>
      <c r="D28" s="0" t="s">
        <v>497</v>
      </c>
      <c r="E28" s="0" t="n">
        <v>30</v>
      </c>
      <c r="F28" s="13" t="n">
        <v>0.7</v>
      </c>
      <c r="G28" s="0" t="n">
        <v>3.8</v>
      </c>
      <c r="H28" s="0" t="n">
        <v>2.1</v>
      </c>
      <c r="I28" s="0" t="n">
        <v>6.2</v>
      </c>
      <c r="J28" s="0" t="n">
        <v>1.8</v>
      </c>
      <c r="K28" s="0" t="n">
        <v>45</v>
      </c>
      <c r="L28" s="0" t="n">
        <v>3.07</v>
      </c>
      <c r="M28" s="6" t="s">
        <v>455</v>
      </c>
      <c r="N28" s="6" t="s">
        <v>499</v>
      </c>
      <c r="O28" s="6" t="s">
        <v>481</v>
      </c>
      <c r="P28" s="6" t="s">
        <v>486</v>
      </c>
      <c r="T28" s="13"/>
    </row>
    <row r="29" customFormat="false" ht="15" hidden="false" customHeight="false" outlineLevel="0" collapsed="false">
      <c r="A29" s="0" t="s">
        <v>391</v>
      </c>
      <c r="B29" s="0" t="s">
        <v>260</v>
      </c>
      <c r="C29" s="0" t="s">
        <v>120</v>
      </c>
      <c r="D29" s="0" t="s">
        <v>497</v>
      </c>
      <c r="E29" s="0" t="n">
        <v>30</v>
      </c>
      <c r="F29" s="13" t="n">
        <v>0.7</v>
      </c>
      <c r="G29" s="0" t="n">
        <v>0.7</v>
      </c>
      <c r="H29" s="0" t="n">
        <v>2.5</v>
      </c>
      <c r="I29" s="0" t="n">
        <v>11.5</v>
      </c>
      <c r="J29" s="0" t="n">
        <v>0.3</v>
      </c>
      <c r="K29" s="0" t="n">
        <v>45</v>
      </c>
      <c r="L29" s="0" t="n">
        <v>0.6</v>
      </c>
      <c r="M29" s="6" t="s">
        <v>455</v>
      </c>
      <c r="N29" s="6" t="s">
        <v>500</v>
      </c>
      <c r="O29" s="6" t="s">
        <v>481</v>
      </c>
      <c r="P29" s="6" t="s">
        <v>482</v>
      </c>
      <c r="T29" s="13"/>
    </row>
    <row r="30" customFormat="false" ht="15" hidden="false" customHeight="false" outlineLevel="0" collapsed="false">
      <c r="A30" s="0" t="s">
        <v>392</v>
      </c>
      <c r="B30" s="0" t="s">
        <v>263</v>
      </c>
      <c r="C30" s="0" t="s">
        <v>120</v>
      </c>
      <c r="D30" s="0" t="s">
        <v>497</v>
      </c>
      <c r="E30" s="0" t="n">
        <v>30</v>
      </c>
      <c r="F30" s="13" t="n">
        <v>0.7</v>
      </c>
      <c r="G30" s="0" t="n">
        <v>3.6</v>
      </c>
      <c r="H30" s="0" t="n">
        <v>2.7</v>
      </c>
      <c r="I30" s="0" t="n">
        <v>5.7</v>
      </c>
      <c r="J30" s="0" t="n">
        <v>1.4</v>
      </c>
      <c r="K30" s="0" t="n">
        <v>45</v>
      </c>
      <c r="L30" s="0" t="n">
        <v>2.78</v>
      </c>
      <c r="M30" s="6" t="s">
        <v>455</v>
      </c>
      <c r="N30" s="6" t="s">
        <v>501</v>
      </c>
      <c r="O30" s="6" t="s">
        <v>481</v>
      </c>
      <c r="P30" s="6" t="s">
        <v>488</v>
      </c>
      <c r="T30" s="13"/>
    </row>
    <row r="31" customFormat="false" ht="15" hidden="false" customHeight="false" outlineLevel="0" collapsed="false">
      <c r="A31" s="0" t="s">
        <v>393</v>
      </c>
      <c r="B31" s="0" t="s">
        <v>265</v>
      </c>
      <c r="C31" s="0" t="s">
        <v>120</v>
      </c>
      <c r="D31" s="0" t="s">
        <v>497</v>
      </c>
      <c r="E31" s="0" t="n">
        <v>30</v>
      </c>
      <c r="F31" s="13" t="n">
        <v>0.7</v>
      </c>
      <c r="G31" s="0" t="n">
        <v>4.8</v>
      </c>
      <c r="H31" s="0" t="n">
        <v>2.4</v>
      </c>
      <c r="I31" s="0" t="n">
        <v>6.1</v>
      </c>
      <c r="J31" s="0" t="n">
        <v>2</v>
      </c>
      <c r="K31" s="0" t="n">
        <v>45</v>
      </c>
      <c r="L31" s="0" t="n">
        <v>3.53</v>
      </c>
      <c r="M31" s="6" t="s">
        <v>455</v>
      </c>
      <c r="N31" s="6" t="s">
        <v>502</v>
      </c>
      <c r="O31" s="6" t="s">
        <v>481</v>
      </c>
      <c r="P31" s="6" t="s">
        <v>490</v>
      </c>
      <c r="T31" s="13"/>
    </row>
    <row r="32" customFormat="false" ht="15" hidden="false" customHeight="false" outlineLevel="0" collapsed="false">
      <c r="A32" s="0" t="s">
        <v>398</v>
      </c>
      <c r="B32" s="0" t="s">
        <v>277</v>
      </c>
      <c r="C32" s="0" t="s">
        <v>97</v>
      </c>
      <c r="D32" s="0" t="s">
        <v>503</v>
      </c>
      <c r="E32" s="0" t="n">
        <v>30</v>
      </c>
      <c r="F32" s="13" t="n">
        <v>0.57</v>
      </c>
      <c r="G32" s="0" t="n">
        <v>0.6</v>
      </c>
      <c r="H32" s="0" t="n">
        <v>3.1</v>
      </c>
      <c r="I32" s="0" t="n">
        <v>11.4</v>
      </c>
      <c r="J32" s="0" t="n">
        <v>0.2</v>
      </c>
      <c r="K32" s="0" t="n">
        <v>45</v>
      </c>
      <c r="L32" s="0" t="n">
        <v>0.53</v>
      </c>
      <c r="M32" s="6" t="s">
        <v>455</v>
      </c>
      <c r="N32" s="6" t="s">
        <v>504</v>
      </c>
      <c r="O32" s="6" t="s">
        <v>481</v>
      </c>
      <c r="P32" s="6" t="s">
        <v>482</v>
      </c>
      <c r="T32" s="13"/>
    </row>
    <row r="33" customFormat="false" ht="15" hidden="false" customHeight="false" outlineLevel="0" collapsed="false">
      <c r="A33" s="0" t="s">
        <v>399</v>
      </c>
      <c r="B33" s="0" t="s">
        <v>281</v>
      </c>
      <c r="C33" s="0" t="s">
        <v>97</v>
      </c>
      <c r="D33" s="0" t="s">
        <v>503</v>
      </c>
      <c r="E33" s="0" t="n">
        <v>30</v>
      </c>
      <c r="F33" s="13" t="n">
        <v>0.67</v>
      </c>
      <c r="G33" s="0" t="n">
        <v>4.4</v>
      </c>
      <c r="H33" s="0" t="n">
        <v>2.7</v>
      </c>
      <c r="I33" s="0" t="n">
        <v>6.5</v>
      </c>
      <c r="J33" s="0" t="n">
        <v>1.6</v>
      </c>
      <c r="K33" s="0" t="n">
        <v>45</v>
      </c>
      <c r="L33" s="0" t="n">
        <v>2.91</v>
      </c>
      <c r="M33" s="6" t="s">
        <v>455</v>
      </c>
      <c r="N33" s="6" t="s">
        <v>505</v>
      </c>
      <c r="O33" s="6" t="s">
        <v>481</v>
      </c>
      <c r="P33" s="6" t="s">
        <v>490</v>
      </c>
      <c r="T33" s="13"/>
    </row>
    <row r="34" customFormat="false" ht="15" hidden="false" customHeight="false" outlineLevel="0" collapsed="false">
      <c r="A34" s="0" t="s">
        <v>400</v>
      </c>
      <c r="B34" s="0" t="s">
        <v>283</v>
      </c>
      <c r="C34" s="0" t="s">
        <v>97</v>
      </c>
      <c r="D34" s="0" t="s">
        <v>503</v>
      </c>
      <c r="E34" s="0" t="n">
        <v>30</v>
      </c>
      <c r="F34" s="13" t="n">
        <v>0.57</v>
      </c>
      <c r="G34" s="0" t="n">
        <v>3.2</v>
      </c>
      <c r="H34" s="0" t="n">
        <v>3.9</v>
      </c>
      <c r="I34" s="0" t="n">
        <v>8</v>
      </c>
      <c r="J34" s="0" t="n">
        <v>0.8</v>
      </c>
      <c r="K34" s="0" t="n">
        <v>45</v>
      </c>
      <c r="L34" s="0" t="n">
        <v>2.89</v>
      </c>
      <c r="M34" s="6" t="s">
        <v>455</v>
      </c>
      <c r="N34" s="6" t="s">
        <v>506</v>
      </c>
      <c r="O34" s="6" t="s">
        <v>481</v>
      </c>
      <c r="P34" s="6" t="s">
        <v>484</v>
      </c>
      <c r="T34" s="13"/>
    </row>
    <row r="35" customFormat="false" ht="15" hidden="false" customHeight="false" outlineLevel="0" collapsed="false">
      <c r="A35" s="0" t="s">
        <v>401</v>
      </c>
      <c r="B35" s="0" t="s">
        <v>285</v>
      </c>
      <c r="C35" s="0" t="s">
        <v>97</v>
      </c>
      <c r="D35" s="0" t="s">
        <v>503</v>
      </c>
      <c r="E35" s="0" t="n">
        <v>30</v>
      </c>
      <c r="F35" s="13" t="n">
        <v>0.7</v>
      </c>
      <c r="G35" s="0" t="n">
        <v>5.2</v>
      </c>
      <c r="H35" s="0" t="n">
        <v>1.7</v>
      </c>
      <c r="I35" s="0" t="n">
        <v>7.1</v>
      </c>
      <c r="J35" s="0" t="n">
        <v>3.1</v>
      </c>
      <c r="K35" s="0" t="n">
        <v>45</v>
      </c>
      <c r="L35" s="0" t="n">
        <v>4.02</v>
      </c>
      <c r="M35" s="6" t="s">
        <v>455</v>
      </c>
      <c r="N35" s="6" t="s">
        <v>507</v>
      </c>
      <c r="O35" s="6" t="s">
        <v>481</v>
      </c>
      <c r="P35" s="6" t="s">
        <v>486</v>
      </c>
      <c r="T35" s="13"/>
    </row>
    <row r="36" customFormat="false" ht="15" hidden="false" customHeight="false" outlineLevel="0" collapsed="false">
      <c r="A36" s="0" t="s">
        <v>402</v>
      </c>
      <c r="B36" s="0" t="s">
        <v>287</v>
      </c>
      <c r="C36" s="0" t="s">
        <v>97</v>
      </c>
      <c r="D36" s="0" t="s">
        <v>503</v>
      </c>
      <c r="E36" s="0" t="n">
        <v>30</v>
      </c>
      <c r="F36" s="13" t="n">
        <v>0.7</v>
      </c>
      <c r="G36" s="0" t="n">
        <v>3.1</v>
      </c>
      <c r="H36" s="0" t="n">
        <v>2.7</v>
      </c>
      <c r="I36" s="0" t="n">
        <v>7.1</v>
      </c>
      <c r="J36" s="0" t="n">
        <v>1.2</v>
      </c>
      <c r="K36" s="0" t="n">
        <v>45</v>
      </c>
      <c r="L36" s="0" t="n">
        <v>2.27</v>
      </c>
      <c r="M36" s="6" t="s">
        <v>455</v>
      </c>
      <c r="N36" s="6" t="s">
        <v>508</v>
      </c>
      <c r="O36" s="6" t="s">
        <v>481</v>
      </c>
      <c r="P36" s="6" t="s">
        <v>488</v>
      </c>
      <c r="T36" s="13"/>
    </row>
    <row r="37" customFormat="false" ht="15" hidden="false" customHeight="false" outlineLevel="0" collapsed="false">
      <c r="A37" s="0" t="s">
        <v>403</v>
      </c>
      <c r="B37" s="0" t="s">
        <v>289</v>
      </c>
      <c r="C37" s="0" t="s">
        <v>98</v>
      </c>
      <c r="D37" s="0" t="s">
        <v>509</v>
      </c>
      <c r="E37" s="0" t="n">
        <v>30</v>
      </c>
      <c r="F37" s="13" t="n">
        <v>0.6</v>
      </c>
      <c r="G37" s="0" t="n">
        <v>5.3</v>
      </c>
      <c r="H37" s="0" t="n">
        <v>3.3</v>
      </c>
      <c r="I37" s="0" t="n">
        <v>5.2</v>
      </c>
      <c r="J37" s="0" t="n">
        <v>1.6</v>
      </c>
      <c r="K37" s="0" t="n">
        <v>45</v>
      </c>
      <c r="L37" s="0" t="n">
        <v>4</v>
      </c>
      <c r="M37" s="6" t="s">
        <v>455</v>
      </c>
      <c r="N37" s="6" t="s">
        <v>510</v>
      </c>
      <c r="O37" s="6" t="s">
        <v>481</v>
      </c>
      <c r="P37" s="6" t="s">
        <v>490</v>
      </c>
      <c r="T37" s="13"/>
    </row>
    <row r="38" customFormat="false" ht="15" hidden="false" customHeight="false" outlineLevel="0" collapsed="false">
      <c r="A38" s="0" t="s">
        <v>404</v>
      </c>
      <c r="B38" s="0" t="s">
        <v>291</v>
      </c>
      <c r="C38" s="0" t="s">
        <v>98</v>
      </c>
      <c r="D38" s="0" t="s">
        <v>509</v>
      </c>
      <c r="E38" s="0" t="n">
        <v>30</v>
      </c>
      <c r="F38" s="13" t="n">
        <v>0.6</v>
      </c>
      <c r="G38" s="0" t="n">
        <v>4</v>
      </c>
      <c r="H38" s="0" t="n">
        <v>2.1</v>
      </c>
      <c r="I38" s="0" t="n">
        <v>6.6</v>
      </c>
      <c r="J38" s="0" t="n">
        <v>1.9</v>
      </c>
      <c r="K38" s="0" t="n">
        <v>45</v>
      </c>
      <c r="L38" s="0" t="n">
        <v>3.42</v>
      </c>
      <c r="M38" s="6" t="s">
        <v>455</v>
      </c>
      <c r="N38" s="6" t="s">
        <v>511</v>
      </c>
      <c r="O38" s="6" t="s">
        <v>481</v>
      </c>
      <c r="P38" s="6" t="s">
        <v>486</v>
      </c>
      <c r="T38" s="13"/>
    </row>
    <row r="39" customFormat="false" ht="15" hidden="false" customHeight="false" outlineLevel="0" collapsed="false">
      <c r="A39" s="0" t="s">
        <v>405</v>
      </c>
      <c r="B39" s="0" t="s">
        <v>293</v>
      </c>
      <c r="C39" s="0" t="s">
        <v>98</v>
      </c>
      <c r="D39" s="0" t="s">
        <v>509</v>
      </c>
      <c r="E39" s="0" t="n">
        <v>30</v>
      </c>
      <c r="F39" s="13" t="n">
        <v>0.63</v>
      </c>
      <c r="G39" s="0" t="n">
        <v>2.4</v>
      </c>
      <c r="H39" s="0" t="n">
        <v>3.1</v>
      </c>
      <c r="I39" s="0" t="n">
        <v>5.5</v>
      </c>
      <c r="J39" s="0" t="n">
        <v>0.8</v>
      </c>
      <c r="K39" s="0" t="n">
        <v>45</v>
      </c>
      <c r="L39" s="0" t="n">
        <v>2.29</v>
      </c>
      <c r="M39" s="6" t="s">
        <v>455</v>
      </c>
      <c r="N39" s="6" t="s">
        <v>512</v>
      </c>
      <c r="O39" s="6" t="s">
        <v>481</v>
      </c>
      <c r="P39" s="6" t="s">
        <v>488</v>
      </c>
      <c r="T39" s="13"/>
    </row>
    <row r="40" customFormat="false" ht="15" hidden="false" customHeight="false" outlineLevel="0" collapsed="false">
      <c r="A40" s="0" t="s">
        <v>406</v>
      </c>
      <c r="B40" s="0" t="s">
        <v>295</v>
      </c>
      <c r="C40" s="0" t="s">
        <v>98</v>
      </c>
      <c r="D40" s="0" t="s">
        <v>509</v>
      </c>
      <c r="E40" s="0" t="n">
        <v>30</v>
      </c>
      <c r="F40" s="13" t="n">
        <v>0.6</v>
      </c>
      <c r="G40" s="0" t="n">
        <v>3.3</v>
      </c>
      <c r="H40" s="0" t="n">
        <v>3.2</v>
      </c>
      <c r="I40" s="0" t="n">
        <v>8</v>
      </c>
      <c r="J40" s="0" t="n">
        <v>1</v>
      </c>
      <c r="K40" s="0" t="n">
        <v>45</v>
      </c>
      <c r="L40" s="0" t="n">
        <v>3.11</v>
      </c>
      <c r="M40" s="6" t="s">
        <v>455</v>
      </c>
      <c r="N40" s="6" t="s">
        <v>513</v>
      </c>
      <c r="O40" s="6" t="s">
        <v>481</v>
      </c>
      <c r="P40" s="6" t="s">
        <v>484</v>
      </c>
      <c r="T40" s="13"/>
    </row>
    <row r="41" customFormat="false" ht="15" hidden="false" customHeight="false" outlineLevel="0" collapsed="false">
      <c r="A41" s="0" t="s">
        <v>394</v>
      </c>
      <c r="B41" s="0" t="s">
        <v>267</v>
      </c>
      <c r="C41" s="0" t="s">
        <v>121</v>
      </c>
      <c r="D41" s="0" t="s">
        <v>514</v>
      </c>
      <c r="E41" s="0" t="n">
        <v>30</v>
      </c>
      <c r="F41" s="13" t="n">
        <v>0.67</v>
      </c>
      <c r="G41" s="0" t="n">
        <v>4.9</v>
      </c>
      <c r="H41" s="0" t="n">
        <v>1.6</v>
      </c>
      <c r="I41" s="0" t="n">
        <v>5.2</v>
      </c>
      <c r="J41" s="0" t="n">
        <v>3</v>
      </c>
      <c r="K41" s="0" t="n">
        <v>45</v>
      </c>
      <c r="L41" s="0" t="n">
        <v>3.8</v>
      </c>
      <c r="M41" s="6" t="s">
        <v>455</v>
      </c>
      <c r="N41" s="6" t="s">
        <v>515</v>
      </c>
      <c r="O41" s="6" t="s">
        <v>481</v>
      </c>
      <c r="P41" s="6" t="s">
        <v>490</v>
      </c>
      <c r="T41" s="13"/>
    </row>
    <row r="42" customFormat="false" ht="15" hidden="false" customHeight="false" outlineLevel="0" collapsed="false">
      <c r="A42" s="0" t="s">
        <v>395</v>
      </c>
      <c r="B42" s="0" t="s">
        <v>270</v>
      </c>
      <c r="C42" s="0" t="s">
        <v>121</v>
      </c>
      <c r="D42" s="0" t="s">
        <v>514</v>
      </c>
      <c r="E42" s="0" t="n">
        <v>30</v>
      </c>
      <c r="F42" s="13" t="n">
        <v>0.67</v>
      </c>
      <c r="G42" s="0" t="n">
        <v>2.1</v>
      </c>
      <c r="H42" s="0" t="n">
        <v>2.5</v>
      </c>
      <c r="I42" s="0" t="n">
        <v>5.1</v>
      </c>
      <c r="J42" s="0" t="n">
        <v>0.9</v>
      </c>
      <c r="K42" s="0" t="n">
        <v>45</v>
      </c>
      <c r="L42" s="0" t="n">
        <v>1.6</v>
      </c>
      <c r="M42" s="6" t="s">
        <v>455</v>
      </c>
      <c r="N42" s="6" t="s">
        <v>516</v>
      </c>
      <c r="O42" s="6" t="s">
        <v>481</v>
      </c>
      <c r="P42" s="6" t="s">
        <v>488</v>
      </c>
      <c r="T42" s="13"/>
    </row>
    <row r="43" customFormat="false" ht="15" hidden="false" customHeight="false" outlineLevel="0" collapsed="false">
      <c r="A43" s="0" t="s">
        <v>396</v>
      </c>
      <c r="B43" s="0" t="s">
        <v>272</v>
      </c>
      <c r="C43" s="0" t="s">
        <v>121</v>
      </c>
      <c r="D43" s="0" t="s">
        <v>514</v>
      </c>
      <c r="E43" s="0" t="n">
        <v>30</v>
      </c>
      <c r="F43" s="13" t="n">
        <v>0.57</v>
      </c>
      <c r="G43" s="0" t="n">
        <v>2.6</v>
      </c>
      <c r="H43" s="0" t="n">
        <v>2.8</v>
      </c>
      <c r="I43" s="0" t="n">
        <v>6.1</v>
      </c>
      <c r="J43" s="0" t="n">
        <v>0.9</v>
      </c>
      <c r="K43" s="0" t="n">
        <v>45</v>
      </c>
      <c r="L43" s="0" t="n">
        <v>2.27</v>
      </c>
      <c r="M43" s="6" t="s">
        <v>455</v>
      </c>
      <c r="N43" s="6" t="s">
        <v>517</v>
      </c>
      <c r="O43" s="6" t="s">
        <v>481</v>
      </c>
      <c r="P43" s="6" t="s">
        <v>484</v>
      </c>
      <c r="T43" s="13"/>
    </row>
    <row r="44" customFormat="false" ht="15" hidden="false" customHeight="false" outlineLevel="0" collapsed="false">
      <c r="A44" s="0" t="s">
        <v>397</v>
      </c>
      <c r="B44" s="0" t="s">
        <v>275</v>
      </c>
      <c r="C44" s="0" t="s">
        <v>121</v>
      </c>
      <c r="D44" s="0" t="s">
        <v>514</v>
      </c>
      <c r="E44" s="0" t="n">
        <v>30</v>
      </c>
      <c r="F44" s="13" t="n">
        <v>0.67</v>
      </c>
      <c r="G44" s="0" t="n">
        <v>4.5</v>
      </c>
      <c r="H44" s="0" t="n">
        <v>2</v>
      </c>
      <c r="I44" s="0" t="n">
        <v>5.4</v>
      </c>
      <c r="J44" s="0" t="n">
        <v>2.3</v>
      </c>
      <c r="K44" s="0" t="n">
        <v>45</v>
      </c>
      <c r="L44" s="0" t="n">
        <v>3.29</v>
      </c>
      <c r="M44" s="6" t="s">
        <v>455</v>
      </c>
      <c r="N44" s="6" t="s">
        <v>518</v>
      </c>
      <c r="O44" s="6" t="s">
        <v>481</v>
      </c>
      <c r="P44" s="6" t="s">
        <v>486</v>
      </c>
      <c r="T44" s="13"/>
    </row>
    <row r="45" customFormat="false" ht="15" hidden="false" customHeight="false" outlineLevel="0" collapsed="false">
      <c r="A45" s="0" t="s">
        <v>385</v>
      </c>
      <c r="B45" s="0" t="s">
        <v>247</v>
      </c>
      <c r="C45" s="0" t="s">
        <v>115</v>
      </c>
      <c r="D45" s="0" t="s">
        <v>519</v>
      </c>
      <c r="E45" s="0" t="n">
        <v>30</v>
      </c>
      <c r="F45" s="13" t="n">
        <v>0.63</v>
      </c>
      <c r="G45" s="0" t="n">
        <v>3</v>
      </c>
      <c r="H45" s="0" t="n">
        <v>2.3</v>
      </c>
      <c r="I45" s="0" t="n">
        <v>9.4</v>
      </c>
      <c r="J45" s="0" t="n">
        <v>1.3</v>
      </c>
      <c r="K45" s="0" t="n">
        <v>45</v>
      </c>
      <c r="L45" s="0" t="n">
        <v>2.49</v>
      </c>
      <c r="M45" s="6" t="s">
        <v>455</v>
      </c>
      <c r="N45" s="6" t="s">
        <v>520</v>
      </c>
      <c r="O45" s="6" t="s">
        <v>481</v>
      </c>
      <c r="P45" s="6" t="s">
        <v>484</v>
      </c>
      <c r="T45" s="13"/>
    </row>
    <row r="46" customFormat="false" ht="15" hidden="false" customHeight="false" outlineLevel="0" collapsed="false">
      <c r="A46" s="0" t="s">
        <v>386</v>
      </c>
      <c r="B46" s="0" t="s">
        <v>249</v>
      </c>
      <c r="C46" s="0" t="s">
        <v>115</v>
      </c>
      <c r="D46" s="0" t="s">
        <v>519</v>
      </c>
      <c r="E46" s="0" t="n">
        <v>30</v>
      </c>
      <c r="F46" s="13" t="n">
        <v>0.63</v>
      </c>
      <c r="G46" s="0" t="n">
        <v>4.1</v>
      </c>
      <c r="H46" s="0" t="n">
        <v>2.1</v>
      </c>
      <c r="I46" s="0" t="n">
        <v>6.3</v>
      </c>
      <c r="J46" s="0" t="n">
        <v>2</v>
      </c>
      <c r="K46" s="0" t="n">
        <v>45</v>
      </c>
      <c r="L46" s="0" t="n">
        <v>3.22</v>
      </c>
      <c r="M46" s="6" t="s">
        <v>455</v>
      </c>
      <c r="N46" s="6" t="s">
        <v>521</v>
      </c>
      <c r="O46" s="6" t="s">
        <v>481</v>
      </c>
      <c r="P46" s="6" t="s">
        <v>486</v>
      </c>
      <c r="T46" s="13"/>
    </row>
    <row r="47" customFormat="false" ht="15" hidden="false" customHeight="false" outlineLevel="0" collapsed="false">
      <c r="A47" s="0" t="s">
        <v>387</v>
      </c>
      <c r="B47" s="0" t="s">
        <v>251</v>
      </c>
      <c r="C47" s="0" t="s">
        <v>115</v>
      </c>
      <c r="D47" s="0" t="s">
        <v>519</v>
      </c>
      <c r="E47" s="0" t="n">
        <v>30</v>
      </c>
      <c r="F47" s="13" t="n">
        <v>0.63</v>
      </c>
      <c r="G47" s="0" t="n">
        <v>2.8</v>
      </c>
      <c r="H47" s="0" t="n">
        <v>2.7</v>
      </c>
      <c r="I47" s="0" t="n">
        <v>6.1</v>
      </c>
      <c r="J47" s="0" t="n">
        <v>1</v>
      </c>
      <c r="K47" s="0" t="n">
        <v>45</v>
      </c>
      <c r="L47" s="0" t="n">
        <v>2.11</v>
      </c>
      <c r="M47" s="6" t="s">
        <v>455</v>
      </c>
      <c r="N47" s="6" t="s">
        <v>522</v>
      </c>
      <c r="O47" s="6" t="s">
        <v>481</v>
      </c>
      <c r="P47" s="6" t="s">
        <v>488</v>
      </c>
      <c r="T47" s="13"/>
    </row>
    <row r="48" customFormat="false" ht="15" hidden="false" customHeight="false" outlineLevel="0" collapsed="false">
      <c r="A48" s="0" t="s">
        <v>388</v>
      </c>
      <c r="B48" s="0" t="s">
        <v>253</v>
      </c>
      <c r="C48" s="0" t="s">
        <v>115</v>
      </c>
      <c r="D48" s="0" t="s">
        <v>519</v>
      </c>
      <c r="E48" s="0" t="n">
        <v>30</v>
      </c>
      <c r="F48" s="13" t="n">
        <v>0.6</v>
      </c>
      <c r="G48" s="0" t="n">
        <v>5.2</v>
      </c>
      <c r="H48" s="0" t="n">
        <v>2.4</v>
      </c>
      <c r="I48" s="0" t="n">
        <v>4.9</v>
      </c>
      <c r="J48" s="0" t="n">
        <v>2.1</v>
      </c>
      <c r="K48" s="0" t="n">
        <v>45</v>
      </c>
      <c r="L48" s="0" t="n">
        <v>3.76</v>
      </c>
      <c r="M48" s="6" t="s">
        <v>455</v>
      </c>
      <c r="N48" s="6" t="s">
        <v>523</v>
      </c>
      <c r="O48" s="6" t="s">
        <v>481</v>
      </c>
      <c r="P48" s="6" t="s">
        <v>490</v>
      </c>
      <c r="T48" s="13"/>
    </row>
    <row r="49" customFormat="false" ht="15" hidden="false" customHeight="false" outlineLevel="0" collapsed="false">
      <c r="A49" s="0" t="s">
        <v>347</v>
      </c>
      <c r="B49" s="0" t="s">
        <v>143</v>
      </c>
      <c r="C49" s="0" t="s">
        <v>79</v>
      </c>
      <c r="D49" s="0" t="s">
        <v>524</v>
      </c>
      <c r="E49" s="0" t="n">
        <v>30</v>
      </c>
      <c r="F49" s="13" t="n">
        <v>0.57</v>
      </c>
      <c r="G49" s="0" t="n">
        <v>7.5</v>
      </c>
      <c r="H49" s="0" t="n">
        <v>3.4</v>
      </c>
      <c r="I49" s="0" t="n">
        <v>7.7</v>
      </c>
      <c r="J49" s="0" t="n">
        <v>2.2</v>
      </c>
      <c r="K49" s="0" t="n">
        <v>45</v>
      </c>
      <c r="L49" s="0" t="n">
        <v>4.93</v>
      </c>
      <c r="M49" s="6" t="s">
        <v>455</v>
      </c>
      <c r="N49" s="6" t="s">
        <v>525</v>
      </c>
      <c r="O49" s="6" t="s">
        <v>457</v>
      </c>
      <c r="P49" s="6" t="s">
        <v>464</v>
      </c>
      <c r="T49" s="13"/>
    </row>
    <row r="50" customFormat="false" ht="15" hidden="false" customHeight="false" outlineLevel="0" collapsed="false">
      <c r="A50" s="0" t="s">
        <v>348</v>
      </c>
      <c r="B50" s="0" t="s">
        <v>148</v>
      </c>
      <c r="C50" s="0" t="s">
        <v>79</v>
      </c>
      <c r="D50" s="0" t="s">
        <v>524</v>
      </c>
      <c r="E50" s="0" t="n">
        <v>30</v>
      </c>
      <c r="F50" s="13" t="n">
        <v>0.57</v>
      </c>
      <c r="G50" s="0" t="n">
        <v>3.9</v>
      </c>
      <c r="H50" s="0" t="n">
        <v>8.4</v>
      </c>
      <c r="I50" s="0" t="n">
        <v>12.1</v>
      </c>
      <c r="J50" s="0" t="n">
        <v>0.5</v>
      </c>
      <c r="K50" s="0" t="n">
        <v>45</v>
      </c>
      <c r="L50" s="0" t="n">
        <v>3.11</v>
      </c>
      <c r="M50" s="6" t="s">
        <v>455</v>
      </c>
      <c r="N50" s="6" t="s">
        <v>526</v>
      </c>
      <c r="O50" s="6" t="s">
        <v>457</v>
      </c>
      <c r="P50" s="6" t="s">
        <v>460</v>
      </c>
      <c r="T50" s="13"/>
    </row>
    <row r="51" customFormat="false" ht="15" hidden="false" customHeight="false" outlineLevel="0" collapsed="false">
      <c r="A51" s="0" t="s">
        <v>349</v>
      </c>
      <c r="B51" s="0" t="s">
        <v>151</v>
      </c>
      <c r="C51" s="0" t="s">
        <v>79</v>
      </c>
      <c r="D51" s="0" t="s">
        <v>524</v>
      </c>
      <c r="E51" s="0" t="n">
        <v>30</v>
      </c>
      <c r="F51" s="13" t="n">
        <v>0.6</v>
      </c>
      <c r="G51" s="0" t="n">
        <v>3.6</v>
      </c>
      <c r="H51" s="0" t="n">
        <v>6</v>
      </c>
      <c r="I51" s="0" t="n">
        <v>12.4</v>
      </c>
      <c r="J51" s="0" t="n">
        <v>0.6</v>
      </c>
      <c r="K51" s="0" t="n">
        <v>45</v>
      </c>
      <c r="L51" s="0" t="n">
        <v>2.27</v>
      </c>
      <c r="M51" s="6" t="s">
        <v>455</v>
      </c>
      <c r="N51" s="6" t="s">
        <v>527</v>
      </c>
      <c r="O51" s="6" t="s">
        <v>457</v>
      </c>
      <c r="P51" s="6" t="s">
        <v>466</v>
      </c>
      <c r="T51" s="13"/>
    </row>
    <row r="52" customFormat="false" ht="15" hidden="false" customHeight="false" outlineLevel="0" collapsed="false">
      <c r="A52" s="0" t="s">
        <v>350</v>
      </c>
      <c r="B52" s="0" t="s">
        <v>154</v>
      </c>
      <c r="C52" s="0" t="s">
        <v>79</v>
      </c>
      <c r="D52" s="0" t="s">
        <v>524</v>
      </c>
      <c r="E52" s="0" t="n">
        <v>30</v>
      </c>
      <c r="F52" s="13" t="n">
        <v>0.63</v>
      </c>
      <c r="G52" s="0" t="n">
        <v>7.3</v>
      </c>
      <c r="H52" s="0" t="n">
        <v>4.1</v>
      </c>
      <c r="I52" s="0" t="n">
        <v>12</v>
      </c>
      <c r="J52" s="0" t="n">
        <v>1.8</v>
      </c>
      <c r="K52" s="0" t="n">
        <v>45</v>
      </c>
      <c r="L52" s="0" t="n">
        <v>5.84</v>
      </c>
      <c r="M52" s="6" t="s">
        <v>455</v>
      </c>
      <c r="N52" s="6" t="s">
        <v>528</v>
      </c>
      <c r="O52" s="6" t="s">
        <v>457</v>
      </c>
      <c r="P52" s="6" t="s">
        <v>462</v>
      </c>
      <c r="T52" s="13"/>
    </row>
    <row r="53" customFormat="false" ht="15" hidden="false" customHeight="false" outlineLevel="0" collapsed="false">
      <c r="A53" s="0" t="s">
        <v>356</v>
      </c>
      <c r="B53" s="0" t="s">
        <v>172</v>
      </c>
      <c r="C53" s="0" t="s">
        <v>102</v>
      </c>
      <c r="D53" s="0" t="s">
        <v>529</v>
      </c>
      <c r="E53" s="0" t="n">
        <v>30</v>
      </c>
      <c r="F53" s="13" t="n">
        <v>0.7</v>
      </c>
      <c r="G53" s="0" t="n">
        <v>4.7</v>
      </c>
      <c r="H53" s="0" t="n">
        <v>6.6</v>
      </c>
      <c r="I53" s="0" t="n">
        <v>17.1</v>
      </c>
      <c r="J53" s="0" t="n">
        <v>0.7</v>
      </c>
      <c r="K53" s="0" t="n">
        <v>45</v>
      </c>
      <c r="L53" s="0" t="n">
        <v>3.56</v>
      </c>
      <c r="M53" s="6" t="s">
        <v>455</v>
      </c>
      <c r="N53" s="6" t="s">
        <v>530</v>
      </c>
      <c r="O53" s="6" t="s">
        <v>457</v>
      </c>
      <c r="P53" s="6" t="s">
        <v>460</v>
      </c>
      <c r="T53" s="13"/>
    </row>
    <row r="54" customFormat="false" ht="15" hidden="false" customHeight="false" outlineLevel="0" collapsed="false">
      <c r="A54" s="0" t="s">
        <v>357</v>
      </c>
      <c r="B54" s="0" t="s">
        <v>175</v>
      </c>
      <c r="C54" s="0" t="s">
        <v>102</v>
      </c>
      <c r="D54" s="0" t="s">
        <v>529</v>
      </c>
      <c r="E54" s="0" t="n">
        <v>30</v>
      </c>
      <c r="F54" s="13" t="n">
        <v>0.7</v>
      </c>
      <c r="G54" s="0" t="n">
        <v>3.6</v>
      </c>
      <c r="H54" s="0" t="n">
        <v>6.3</v>
      </c>
      <c r="I54" s="0" t="n">
        <v>16.7</v>
      </c>
      <c r="J54" s="0" t="n">
        <v>0.6</v>
      </c>
      <c r="K54" s="0" t="n">
        <v>45</v>
      </c>
      <c r="L54" s="0" t="n">
        <v>2.47</v>
      </c>
      <c r="M54" s="6" t="s">
        <v>455</v>
      </c>
      <c r="N54" s="6" t="s">
        <v>531</v>
      </c>
      <c r="O54" s="6" t="s">
        <v>457</v>
      </c>
      <c r="P54" s="6" t="s">
        <v>466</v>
      </c>
      <c r="T54" s="13"/>
    </row>
    <row r="55" customFormat="false" ht="15" hidden="false" customHeight="false" outlineLevel="0" collapsed="false">
      <c r="A55" s="0" t="s">
        <v>358</v>
      </c>
      <c r="B55" s="0" t="s">
        <v>178</v>
      </c>
      <c r="C55" s="0" t="s">
        <v>102</v>
      </c>
      <c r="D55" s="0" t="s">
        <v>529</v>
      </c>
      <c r="E55" s="0" t="n">
        <v>30</v>
      </c>
      <c r="F55" s="13" t="n">
        <v>0.7</v>
      </c>
      <c r="G55" s="0" t="n">
        <v>7.7</v>
      </c>
      <c r="H55" s="0" t="n">
        <v>3.3</v>
      </c>
      <c r="I55" s="0" t="n">
        <v>15.5</v>
      </c>
      <c r="J55" s="0" t="n">
        <v>2.3</v>
      </c>
      <c r="K55" s="0" t="n">
        <v>45</v>
      </c>
      <c r="L55" s="0" t="n">
        <v>6.71</v>
      </c>
      <c r="M55" s="6" t="s">
        <v>455</v>
      </c>
      <c r="N55" s="6" t="s">
        <v>532</v>
      </c>
      <c r="O55" s="6" t="s">
        <v>457</v>
      </c>
      <c r="P55" s="6" t="s">
        <v>462</v>
      </c>
      <c r="T55" s="13"/>
    </row>
    <row r="56" customFormat="false" ht="15" hidden="false" customHeight="false" outlineLevel="0" collapsed="false">
      <c r="A56" s="0" t="s">
        <v>359</v>
      </c>
      <c r="B56" s="0" t="s">
        <v>181</v>
      </c>
      <c r="C56" s="0" t="s">
        <v>102</v>
      </c>
      <c r="D56" s="0" t="s">
        <v>529</v>
      </c>
      <c r="E56" s="0" t="n">
        <v>30</v>
      </c>
      <c r="F56" s="13" t="n">
        <v>0.63</v>
      </c>
      <c r="G56" s="0" t="n">
        <v>6.2</v>
      </c>
      <c r="H56" s="0" t="n">
        <v>4.4</v>
      </c>
      <c r="I56" s="0" t="n">
        <v>14.3</v>
      </c>
      <c r="J56" s="0" t="n">
        <v>1.4</v>
      </c>
      <c r="K56" s="0" t="n">
        <v>45</v>
      </c>
      <c r="L56" s="0" t="n">
        <v>5.31</v>
      </c>
      <c r="M56" s="6" t="s">
        <v>455</v>
      </c>
      <c r="N56" s="6" t="s">
        <v>533</v>
      </c>
      <c r="O56" s="6" t="s">
        <v>457</v>
      </c>
      <c r="P56" s="6" t="s">
        <v>458</v>
      </c>
      <c r="T56" s="13"/>
    </row>
    <row r="57" customFormat="false" ht="15" hidden="false" customHeight="false" outlineLevel="0" collapsed="false">
      <c r="A57" s="0" t="s">
        <v>360</v>
      </c>
      <c r="B57" s="0" t="s">
        <v>184</v>
      </c>
      <c r="C57" s="0" t="s">
        <v>102</v>
      </c>
      <c r="D57" s="0" t="s">
        <v>529</v>
      </c>
      <c r="E57" s="0" t="n">
        <v>30</v>
      </c>
      <c r="F57" s="13" t="n">
        <v>0.63</v>
      </c>
      <c r="G57" s="0" t="n">
        <v>10.9</v>
      </c>
      <c r="H57" s="0" t="n">
        <v>3.6</v>
      </c>
      <c r="I57" s="0" t="n">
        <v>8.9</v>
      </c>
      <c r="J57" s="0" t="n">
        <v>3</v>
      </c>
      <c r="K57" s="0" t="n">
        <v>45</v>
      </c>
      <c r="L57" s="0" t="n">
        <v>9.6</v>
      </c>
      <c r="M57" s="6" t="s">
        <v>455</v>
      </c>
      <c r="N57" s="6" t="s">
        <v>534</v>
      </c>
      <c r="O57" s="6" t="s">
        <v>457</v>
      </c>
      <c r="P57" s="6" t="s">
        <v>464</v>
      </c>
      <c r="T57" s="13"/>
    </row>
    <row r="58" customFormat="false" ht="15" hidden="false" customHeight="false" outlineLevel="0" collapsed="false">
      <c r="A58" s="0" t="s">
        <v>412</v>
      </c>
      <c r="B58" s="0" t="s">
        <v>308</v>
      </c>
      <c r="C58" s="0" t="s">
        <v>108</v>
      </c>
      <c r="D58" s="0" t="s">
        <v>535</v>
      </c>
      <c r="E58" s="0" t="n">
        <v>30</v>
      </c>
      <c r="F58" s="13" t="n">
        <v>0.53</v>
      </c>
      <c r="G58" s="0" t="n">
        <v>2.5</v>
      </c>
      <c r="H58" s="0" t="n">
        <v>2.6</v>
      </c>
      <c r="I58" s="0" t="n">
        <v>5.7</v>
      </c>
      <c r="J58" s="0" t="n">
        <v>1</v>
      </c>
      <c r="K58" s="0" t="n">
        <v>45</v>
      </c>
      <c r="L58" s="0" t="n">
        <v>1.78</v>
      </c>
      <c r="M58" s="6" t="s">
        <v>455</v>
      </c>
      <c r="N58" s="6" t="s">
        <v>536</v>
      </c>
      <c r="O58" s="6" t="s">
        <v>481</v>
      </c>
      <c r="P58" s="6" t="s">
        <v>488</v>
      </c>
      <c r="T58" s="13"/>
    </row>
    <row r="59" customFormat="false" ht="15" hidden="false" customHeight="false" outlineLevel="0" collapsed="false">
      <c r="A59" s="0" t="s">
        <v>413</v>
      </c>
      <c r="B59" s="0" t="s">
        <v>310</v>
      </c>
      <c r="C59" s="0" t="s">
        <v>108</v>
      </c>
      <c r="D59" s="0" t="s">
        <v>535</v>
      </c>
      <c r="E59" s="0" t="n">
        <v>30</v>
      </c>
      <c r="F59" s="13" t="n">
        <v>0.43</v>
      </c>
      <c r="G59" s="0" t="n">
        <v>3.9</v>
      </c>
      <c r="H59" s="0" t="n">
        <v>2.9</v>
      </c>
      <c r="I59" s="0" t="n">
        <v>5.5</v>
      </c>
      <c r="J59" s="0" t="n">
        <v>1.4</v>
      </c>
      <c r="K59" s="0" t="n">
        <v>45</v>
      </c>
      <c r="L59" s="0" t="n">
        <v>2.89</v>
      </c>
      <c r="M59" s="6" t="s">
        <v>455</v>
      </c>
      <c r="N59" s="6" t="s">
        <v>537</v>
      </c>
      <c r="O59" s="6" t="s">
        <v>481</v>
      </c>
      <c r="P59" s="6" t="s">
        <v>486</v>
      </c>
      <c r="T59" s="13"/>
    </row>
    <row r="60" customFormat="false" ht="15" hidden="false" customHeight="false" outlineLevel="0" collapsed="false">
      <c r="A60" s="0" t="s">
        <v>414</v>
      </c>
      <c r="B60" s="0" t="s">
        <v>312</v>
      </c>
      <c r="C60" s="0" t="s">
        <v>108</v>
      </c>
      <c r="D60" s="0" t="s">
        <v>535</v>
      </c>
      <c r="E60" s="0" t="n">
        <v>30</v>
      </c>
      <c r="F60" s="13" t="n">
        <v>0.43</v>
      </c>
      <c r="G60" s="0" t="n">
        <v>3.7</v>
      </c>
      <c r="H60" s="0" t="n">
        <v>3.4</v>
      </c>
      <c r="I60" s="0" t="n">
        <v>6</v>
      </c>
      <c r="J60" s="0" t="n">
        <v>1.1</v>
      </c>
      <c r="K60" s="0" t="n">
        <v>45</v>
      </c>
      <c r="L60" s="0" t="n">
        <v>2.78</v>
      </c>
      <c r="M60" s="6" t="s">
        <v>455</v>
      </c>
      <c r="N60" s="6" t="s">
        <v>538</v>
      </c>
      <c r="O60" s="6" t="s">
        <v>481</v>
      </c>
      <c r="P60" s="6" t="s">
        <v>490</v>
      </c>
      <c r="T60" s="13"/>
    </row>
    <row r="61" customFormat="false" ht="15" hidden="false" customHeight="false" outlineLevel="0" collapsed="false">
      <c r="A61" s="0" t="s">
        <v>415</v>
      </c>
      <c r="B61" s="0" t="s">
        <v>314</v>
      </c>
      <c r="C61" s="0" t="s">
        <v>108</v>
      </c>
      <c r="D61" s="0" t="s">
        <v>535</v>
      </c>
      <c r="E61" s="0" t="n">
        <v>30</v>
      </c>
      <c r="F61" s="13" t="n">
        <v>0.43</v>
      </c>
      <c r="G61" s="0" t="n">
        <v>3.4</v>
      </c>
      <c r="H61" s="0" t="n">
        <v>3.8</v>
      </c>
      <c r="I61" s="0" t="n">
        <v>7.4</v>
      </c>
      <c r="J61" s="0" t="n">
        <v>0.9</v>
      </c>
      <c r="K61" s="0" t="n">
        <v>45</v>
      </c>
      <c r="L61" s="0" t="n">
        <v>2.6</v>
      </c>
      <c r="M61" s="6" t="s">
        <v>455</v>
      </c>
      <c r="N61" s="6" t="s">
        <v>539</v>
      </c>
      <c r="O61" s="6" t="s">
        <v>481</v>
      </c>
      <c r="P61" s="6" t="s">
        <v>484</v>
      </c>
      <c r="T61" s="13"/>
    </row>
    <row r="62" customFormat="false" ht="15" hidden="false" customHeight="false" outlineLevel="0" collapsed="false">
      <c r="A62" s="0" t="s">
        <v>416</v>
      </c>
      <c r="B62" s="0" t="s">
        <v>317</v>
      </c>
      <c r="C62" s="0" t="s">
        <v>108</v>
      </c>
      <c r="D62" s="0" t="s">
        <v>535</v>
      </c>
      <c r="E62" s="0" t="n">
        <v>30</v>
      </c>
      <c r="F62" s="13" t="n">
        <v>0.43</v>
      </c>
      <c r="G62" s="0" t="n">
        <v>0.7</v>
      </c>
      <c r="H62" s="0" t="n">
        <v>2.8</v>
      </c>
      <c r="I62" s="0" t="n">
        <v>10.1</v>
      </c>
      <c r="J62" s="0" t="n">
        <v>0.3</v>
      </c>
      <c r="K62" s="0" t="n">
        <v>45</v>
      </c>
      <c r="L62" s="0" t="n">
        <v>0.51</v>
      </c>
      <c r="M62" s="6" t="s">
        <v>455</v>
      </c>
      <c r="N62" s="6" t="s">
        <v>540</v>
      </c>
      <c r="O62" s="6" t="s">
        <v>481</v>
      </c>
      <c r="P62" s="6" t="s">
        <v>482</v>
      </c>
      <c r="T62" s="13"/>
    </row>
    <row r="63" customFormat="false" ht="15" hidden="false" customHeight="false" outlineLevel="0" collapsed="false">
      <c r="A63" s="0" t="s">
        <v>366</v>
      </c>
      <c r="B63" s="0" t="s">
        <v>202</v>
      </c>
      <c r="C63" s="0" t="s">
        <v>90</v>
      </c>
      <c r="D63" s="0" t="s">
        <v>541</v>
      </c>
      <c r="E63" s="0" t="n">
        <v>30</v>
      </c>
      <c r="F63" s="13" t="n">
        <v>0.63</v>
      </c>
      <c r="G63" s="0" t="n">
        <v>8.5</v>
      </c>
      <c r="H63" s="0" t="n">
        <v>4.5</v>
      </c>
      <c r="I63" s="0" t="n">
        <v>15.3</v>
      </c>
      <c r="J63" s="0" t="n">
        <v>1.9</v>
      </c>
      <c r="K63" s="0" t="n">
        <v>45</v>
      </c>
      <c r="L63" s="0" t="n">
        <v>6.8</v>
      </c>
      <c r="M63" s="6" t="s">
        <v>455</v>
      </c>
      <c r="N63" s="6" t="s">
        <v>542</v>
      </c>
      <c r="O63" s="6" t="s">
        <v>457</v>
      </c>
      <c r="P63" s="6" t="s">
        <v>462</v>
      </c>
      <c r="T63" s="13"/>
    </row>
    <row r="64" customFormat="false" ht="15" hidden="false" customHeight="false" outlineLevel="0" collapsed="false">
      <c r="A64" s="0" t="s">
        <v>367</v>
      </c>
      <c r="B64" s="0" t="s">
        <v>205</v>
      </c>
      <c r="C64" s="0" t="s">
        <v>90</v>
      </c>
      <c r="D64" s="0" t="s">
        <v>541</v>
      </c>
      <c r="E64" s="0" t="n">
        <v>30</v>
      </c>
      <c r="F64" s="13" t="n">
        <v>0.57</v>
      </c>
      <c r="G64" s="0" t="n">
        <v>5.6</v>
      </c>
      <c r="H64" s="0" t="n">
        <v>9.6</v>
      </c>
      <c r="I64" s="0" t="n">
        <v>16.6</v>
      </c>
      <c r="J64" s="0" t="n">
        <v>0.6</v>
      </c>
      <c r="K64" s="0" t="n">
        <v>45</v>
      </c>
      <c r="L64" s="0" t="n">
        <v>4.71</v>
      </c>
      <c r="M64" s="6" t="s">
        <v>455</v>
      </c>
      <c r="N64" s="6" t="s">
        <v>543</v>
      </c>
      <c r="O64" s="6" t="s">
        <v>457</v>
      </c>
      <c r="P64" s="6" t="s">
        <v>460</v>
      </c>
      <c r="T64" s="13"/>
    </row>
    <row r="65" customFormat="false" ht="15" hidden="false" customHeight="false" outlineLevel="0" collapsed="false">
      <c r="A65" s="0" t="s">
        <v>368</v>
      </c>
      <c r="B65" s="0" t="s">
        <v>207</v>
      </c>
      <c r="C65" s="0" t="s">
        <v>90</v>
      </c>
      <c r="D65" s="0" t="s">
        <v>541</v>
      </c>
      <c r="E65" s="0" t="n">
        <v>30</v>
      </c>
      <c r="F65" s="13" t="n">
        <v>0.63</v>
      </c>
      <c r="G65" s="0" t="n">
        <v>2.9</v>
      </c>
      <c r="H65" s="0" t="n">
        <v>6.7</v>
      </c>
      <c r="I65" s="0" t="n">
        <v>18.8</v>
      </c>
      <c r="J65" s="0" t="n">
        <v>0.4</v>
      </c>
      <c r="K65" s="0" t="n">
        <v>45</v>
      </c>
      <c r="L65" s="0" t="n">
        <v>2.38</v>
      </c>
      <c r="M65" s="6" t="s">
        <v>455</v>
      </c>
      <c r="N65" s="6" t="s">
        <v>544</v>
      </c>
      <c r="O65" s="6" t="s">
        <v>457</v>
      </c>
      <c r="P65" s="6" t="s">
        <v>466</v>
      </c>
      <c r="T65" s="13"/>
    </row>
    <row r="66" customFormat="false" ht="15" hidden="false" customHeight="false" outlineLevel="0" collapsed="false">
      <c r="A66" s="0" t="s">
        <v>369</v>
      </c>
      <c r="B66" s="0" t="s">
        <v>209</v>
      </c>
      <c r="C66" s="0" t="s">
        <v>90</v>
      </c>
      <c r="D66" s="0" t="s">
        <v>541</v>
      </c>
      <c r="E66" s="0" t="n">
        <v>30</v>
      </c>
      <c r="F66" s="13" t="n">
        <v>0.57</v>
      </c>
      <c r="G66" s="0" t="n">
        <v>8.4</v>
      </c>
      <c r="H66" s="0" t="n">
        <v>4.7</v>
      </c>
      <c r="I66" s="0" t="n">
        <v>8.8</v>
      </c>
      <c r="J66" s="0" t="n">
        <v>1.8</v>
      </c>
      <c r="K66" s="0" t="n">
        <v>45</v>
      </c>
      <c r="L66" s="0" t="n">
        <v>6.89</v>
      </c>
      <c r="M66" s="6" t="s">
        <v>455</v>
      </c>
      <c r="N66" s="6" t="s">
        <v>545</v>
      </c>
      <c r="O66" s="6" t="s">
        <v>457</v>
      </c>
      <c r="P66" s="6" t="s">
        <v>464</v>
      </c>
      <c r="T66" s="13"/>
    </row>
    <row r="67" customFormat="false" ht="15" hidden="false" customHeight="false" outlineLevel="0" collapsed="false">
      <c r="A67" s="0" t="s">
        <v>375</v>
      </c>
      <c r="B67" s="0" t="s">
        <v>224</v>
      </c>
      <c r="C67" s="0" t="s">
        <v>84</v>
      </c>
      <c r="D67" s="0" t="s">
        <v>546</v>
      </c>
      <c r="E67" s="0" t="n">
        <v>30</v>
      </c>
      <c r="F67" s="13" t="n">
        <v>0.83</v>
      </c>
      <c r="G67" s="0" t="n">
        <v>9.5</v>
      </c>
      <c r="H67" s="0" t="n">
        <v>3.7</v>
      </c>
      <c r="I67" s="0" t="n">
        <v>12.1</v>
      </c>
      <c r="J67" s="0" t="n">
        <v>2.6</v>
      </c>
      <c r="K67" s="0" t="n">
        <v>45</v>
      </c>
      <c r="L67" s="0" t="n">
        <v>7.24</v>
      </c>
      <c r="M67" s="6" t="s">
        <v>455</v>
      </c>
      <c r="N67" s="6" t="s">
        <v>547</v>
      </c>
      <c r="O67" s="6" t="s">
        <v>457</v>
      </c>
      <c r="P67" s="6" t="s">
        <v>458</v>
      </c>
      <c r="T67" s="13"/>
    </row>
    <row r="68" customFormat="false" ht="15" hidden="false" customHeight="false" outlineLevel="0" collapsed="false">
      <c r="A68" s="0" t="s">
        <v>376</v>
      </c>
      <c r="B68" s="0" t="s">
        <v>227</v>
      </c>
      <c r="C68" s="0" t="s">
        <v>84</v>
      </c>
      <c r="D68" s="0" t="s">
        <v>546</v>
      </c>
      <c r="E68" s="0" t="n">
        <v>30</v>
      </c>
      <c r="F68" s="13" t="n">
        <v>0.83</v>
      </c>
      <c r="G68" s="0" t="n">
        <v>7.9</v>
      </c>
      <c r="H68" s="0" t="n">
        <v>3.7</v>
      </c>
      <c r="I68" s="0" t="n">
        <v>15.4</v>
      </c>
      <c r="J68" s="0" t="n">
        <v>2.2</v>
      </c>
      <c r="K68" s="0" t="n">
        <v>45</v>
      </c>
      <c r="L68" s="0" t="n">
        <v>6.58</v>
      </c>
      <c r="M68" s="6" t="s">
        <v>455</v>
      </c>
      <c r="N68" s="6" t="s">
        <v>548</v>
      </c>
      <c r="O68" s="6" t="s">
        <v>457</v>
      </c>
      <c r="P68" s="6" t="s">
        <v>462</v>
      </c>
      <c r="T68" s="13"/>
    </row>
    <row r="69" customFormat="false" ht="15" hidden="false" customHeight="false" outlineLevel="0" collapsed="false">
      <c r="A69" s="0" t="s">
        <v>377</v>
      </c>
      <c r="B69" s="0" t="s">
        <v>229</v>
      </c>
      <c r="C69" s="0" t="s">
        <v>84</v>
      </c>
      <c r="D69" s="0" t="s">
        <v>546</v>
      </c>
      <c r="E69" s="0" t="n">
        <v>30</v>
      </c>
      <c r="F69" s="13" t="n">
        <v>0.83</v>
      </c>
      <c r="G69" s="0" t="n">
        <v>3.7</v>
      </c>
      <c r="H69" s="0" t="n">
        <v>8.1</v>
      </c>
      <c r="I69" s="0" t="n">
        <v>16.5</v>
      </c>
      <c r="J69" s="0" t="n">
        <v>0.5</v>
      </c>
      <c r="K69" s="0" t="n">
        <v>45</v>
      </c>
      <c r="L69" s="0" t="n">
        <v>3.13</v>
      </c>
      <c r="M69" s="6" t="s">
        <v>455</v>
      </c>
      <c r="N69" s="6" t="s">
        <v>549</v>
      </c>
      <c r="O69" s="6" t="s">
        <v>457</v>
      </c>
      <c r="P69" s="6" t="s">
        <v>466</v>
      </c>
      <c r="T69" s="13"/>
    </row>
    <row r="70" customFormat="false" ht="15" hidden="false" customHeight="false" outlineLevel="0" collapsed="false">
      <c r="A70" s="0" t="s">
        <v>378</v>
      </c>
      <c r="B70" s="0" t="s">
        <v>231</v>
      </c>
      <c r="C70" s="0" t="s">
        <v>84</v>
      </c>
      <c r="D70" s="0" t="s">
        <v>546</v>
      </c>
      <c r="E70" s="0" t="n">
        <v>30</v>
      </c>
      <c r="F70" s="13" t="n">
        <v>0.83</v>
      </c>
      <c r="G70" s="0" t="n">
        <v>3.9</v>
      </c>
      <c r="H70" s="0" t="n">
        <v>6.1</v>
      </c>
      <c r="I70" s="0" t="n">
        <v>19.1</v>
      </c>
      <c r="J70" s="0" t="n">
        <v>0.6</v>
      </c>
      <c r="K70" s="0" t="n">
        <v>45</v>
      </c>
      <c r="L70" s="0" t="n">
        <v>3.07</v>
      </c>
      <c r="M70" s="6" t="s">
        <v>455</v>
      </c>
      <c r="N70" s="6" t="s">
        <v>550</v>
      </c>
      <c r="O70" s="6" t="s">
        <v>457</v>
      </c>
      <c r="P70" s="6" t="s">
        <v>460</v>
      </c>
      <c r="T70" s="13"/>
    </row>
    <row r="71" customFormat="false" ht="15" hidden="false" customHeight="false" outlineLevel="0" collapsed="false">
      <c r="A71" s="0" t="s">
        <v>379</v>
      </c>
      <c r="B71" s="0" t="s">
        <v>234</v>
      </c>
      <c r="C71" s="0" t="s">
        <v>84</v>
      </c>
      <c r="D71" s="0" t="s">
        <v>546</v>
      </c>
      <c r="E71" s="0" t="n">
        <v>30</v>
      </c>
      <c r="F71" s="13" t="n">
        <v>0.83</v>
      </c>
      <c r="G71" s="0" t="n">
        <v>11.1</v>
      </c>
      <c r="H71" s="0" t="n">
        <v>2.7</v>
      </c>
      <c r="I71" s="0" t="n">
        <v>11.4</v>
      </c>
      <c r="J71" s="0" t="n">
        <v>4.2</v>
      </c>
      <c r="K71" s="0" t="n">
        <v>45</v>
      </c>
      <c r="L71" s="0" t="n">
        <v>8.24</v>
      </c>
      <c r="M71" s="6" t="s">
        <v>455</v>
      </c>
      <c r="N71" s="6" t="s">
        <v>551</v>
      </c>
      <c r="O71" s="6" t="s">
        <v>457</v>
      </c>
      <c r="P71" s="6" t="s">
        <v>464</v>
      </c>
      <c r="T7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6"/>
    <col collapsed="false" customWidth="true" hidden="false" outlineLevel="0" max="8" min="7" style="0" width="7"/>
  </cols>
  <sheetData>
    <row r="1" customFormat="false" ht="15" hidden="false" customHeight="false" outlineLevel="0" collapsed="false">
      <c r="A1" s="9" t="s">
        <v>41</v>
      </c>
      <c r="B1" s="9" t="s">
        <v>552</v>
      </c>
      <c r="C1" s="9" t="s">
        <v>553</v>
      </c>
      <c r="D1" s="9" t="s">
        <v>554</v>
      </c>
      <c r="E1" s="9" t="s">
        <v>555</v>
      </c>
      <c r="F1" s="9" t="s">
        <v>556</v>
      </c>
      <c r="G1" s="9" t="s">
        <v>557</v>
      </c>
      <c r="H1" s="9" t="s">
        <v>558</v>
      </c>
    </row>
    <row r="2" customFormat="false" ht="15" hidden="false" customHeight="false" outlineLevel="0" collapsed="false">
      <c r="A2" s="0" t="s">
        <v>211</v>
      </c>
      <c r="B2" s="0" t="s">
        <v>559</v>
      </c>
      <c r="C2" s="0" t="s">
        <v>560</v>
      </c>
      <c r="D2" s="0" t="n">
        <v>5</v>
      </c>
      <c r="E2" s="0" t="n">
        <v>5</v>
      </c>
      <c r="F2" s="0" t="n">
        <v>0</v>
      </c>
      <c r="G2" s="0" t="n">
        <v>10</v>
      </c>
      <c r="H2" s="0" t="n">
        <v>10</v>
      </c>
    </row>
    <row r="3" customFormat="false" ht="15" hidden="false" customHeight="false" outlineLevel="0" collapsed="false">
      <c r="A3" s="0" t="s">
        <v>211</v>
      </c>
      <c r="B3" s="0" t="s">
        <v>561</v>
      </c>
      <c r="C3" s="0" t="s">
        <v>79</v>
      </c>
      <c r="D3" s="0" t="n">
        <v>3</v>
      </c>
      <c r="E3" s="0" t="n">
        <v>5</v>
      </c>
      <c r="F3" s="0" t="n">
        <v>0</v>
      </c>
      <c r="G3" s="0" t="n">
        <v>8</v>
      </c>
      <c r="H3" s="0" t="n">
        <v>8</v>
      </c>
    </row>
    <row r="4" customFormat="false" ht="15" hidden="false" customHeight="false" outlineLevel="0" collapsed="false">
      <c r="A4" s="0" t="s">
        <v>211</v>
      </c>
      <c r="B4" s="0" t="s">
        <v>562</v>
      </c>
      <c r="C4" s="0" t="s">
        <v>78</v>
      </c>
      <c r="D4" s="0" t="n">
        <v>10</v>
      </c>
      <c r="E4" s="0" t="n">
        <v>2</v>
      </c>
      <c r="F4" s="0" t="n">
        <v>0</v>
      </c>
      <c r="G4" s="0" t="n">
        <v>12</v>
      </c>
      <c r="H4" s="0" t="n">
        <v>12</v>
      </c>
    </row>
    <row r="5" customFormat="false" ht="15" hidden="false" customHeight="false" outlineLevel="0" collapsed="false">
      <c r="A5" s="0" t="s">
        <v>211</v>
      </c>
      <c r="B5" s="0" t="s">
        <v>563</v>
      </c>
      <c r="C5" s="0" t="s">
        <v>102</v>
      </c>
      <c r="D5" s="0" t="n">
        <v>7</v>
      </c>
      <c r="E5" s="0" t="n">
        <v>2</v>
      </c>
      <c r="F5" s="0" t="n">
        <v>8</v>
      </c>
      <c r="G5" s="0" t="n">
        <v>9</v>
      </c>
      <c r="H5" s="0" t="n">
        <v>17</v>
      </c>
    </row>
    <row r="6" customFormat="false" ht="15" hidden="false" customHeight="false" outlineLevel="0" collapsed="false">
      <c r="A6" s="0" t="s">
        <v>211</v>
      </c>
      <c r="B6" s="0" t="s">
        <v>564</v>
      </c>
      <c r="C6" s="0" t="s">
        <v>565</v>
      </c>
      <c r="D6" s="0" t="n">
        <v>5</v>
      </c>
      <c r="E6" s="0" t="n">
        <v>8</v>
      </c>
      <c r="F6" s="0" t="n">
        <v>0</v>
      </c>
      <c r="G6" s="0" t="n">
        <v>13</v>
      </c>
      <c r="H6" s="0" t="n">
        <v>13</v>
      </c>
    </row>
    <row r="7" customFormat="false" ht="15" hidden="false" customHeight="false" outlineLevel="0" collapsed="false">
      <c r="A7" s="0" t="s">
        <v>211</v>
      </c>
      <c r="B7" s="0" t="s">
        <v>566</v>
      </c>
      <c r="C7" s="0" t="s">
        <v>79</v>
      </c>
      <c r="D7" s="0" t="n">
        <v>3</v>
      </c>
      <c r="E7" s="0" t="n">
        <v>1</v>
      </c>
      <c r="F7" s="0" t="n">
        <v>12</v>
      </c>
      <c r="G7" s="0" t="n">
        <v>4</v>
      </c>
      <c r="H7" s="0" t="n">
        <v>16</v>
      </c>
    </row>
    <row r="8" customFormat="false" ht="15" hidden="false" customHeight="false" outlineLevel="0" collapsed="false">
      <c r="A8" s="0" t="s">
        <v>211</v>
      </c>
      <c r="B8" s="0" t="s">
        <v>567</v>
      </c>
      <c r="C8" s="0" t="s">
        <v>568</v>
      </c>
      <c r="D8" s="0" t="n">
        <v>3</v>
      </c>
      <c r="E8" s="0" t="n">
        <v>8</v>
      </c>
      <c r="F8" s="0" t="n">
        <v>0</v>
      </c>
      <c r="G8" s="0" t="n">
        <v>11</v>
      </c>
      <c r="H8" s="0" t="n">
        <v>11</v>
      </c>
    </row>
    <row r="9" customFormat="false" ht="15" hidden="false" customHeight="false" outlineLevel="0" collapsed="false">
      <c r="A9" s="0" t="s">
        <v>211</v>
      </c>
      <c r="B9" s="0" t="s">
        <v>569</v>
      </c>
      <c r="C9" s="0" t="s">
        <v>90</v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2</v>
      </c>
    </row>
    <row r="10" customFormat="false" ht="15" hidden="false" customHeight="false" outlineLevel="0" collapsed="false">
      <c r="A10" s="0" t="s">
        <v>211</v>
      </c>
      <c r="B10" s="0" t="s">
        <v>570</v>
      </c>
      <c r="C10" s="0" t="s">
        <v>571</v>
      </c>
      <c r="D10" s="0" t="n">
        <v>4</v>
      </c>
      <c r="E10" s="0" t="n">
        <v>6</v>
      </c>
      <c r="F10" s="0" t="n">
        <v>6</v>
      </c>
      <c r="G10" s="0" t="n">
        <v>10</v>
      </c>
      <c r="H10" s="0" t="n">
        <v>16</v>
      </c>
    </row>
    <row r="11" customFormat="false" ht="15" hidden="false" customHeight="false" outlineLevel="0" collapsed="false">
      <c r="A11" s="0" t="s">
        <v>211</v>
      </c>
      <c r="B11" s="0" t="s">
        <v>572</v>
      </c>
      <c r="C11" s="0" t="s">
        <v>560</v>
      </c>
      <c r="D11" s="0" t="n">
        <v>5</v>
      </c>
      <c r="E11" s="0" t="n">
        <v>5</v>
      </c>
      <c r="F11" s="0" t="n">
        <v>5</v>
      </c>
      <c r="G11" s="0" t="n">
        <v>10</v>
      </c>
      <c r="H11" s="0" t="n">
        <v>15</v>
      </c>
    </row>
    <row r="12" customFormat="false" ht="15" hidden="false" customHeight="false" outlineLevel="0" collapsed="false">
      <c r="A12" s="0" t="s">
        <v>211</v>
      </c>
      <c r="B12" s="0" t="s">
        <v>573</v>
      </c>
      <c r="C12" s="0" t="s">
        <v>84</v>
      </c>
      <c r="D12" s="0" t="n">
        <v>1</v>
      </c>
      <c r="E12" s="0" t="n">
        <v>1</v>
      </c>
      <c r="F12" s="0" t="n">
        <v>0</v>
      </c>
      <c r="G12" s="0" t="n">
        <v>2</v>
      </c>
      <c r="H12" s="0" t="n">
        <v>2</v>
      </c>
    </row>
    <row r="13" customFormat="false" ht="15" hidden="false" customHeight="false" outlineLevel="0" collapsed="false">
      <c r="A13" s="0" t="s">
        <v>211</v>
      </c>
      <c r="B13" s="0" t="s">
        <v>574</v>
      </c>
      <c r="C13" s="0" t="s">
        <v>575</v>
      </c>
      <c r="D13" s="0" t="n">
        <v>8</v>
      </c>
      <c r="E13" s="0" t="n">
        <v>16</v>
      </c>
      <c r="F13" s="0" t="n">
        <v>0</v>
      </c>
      <c r="G13" s="0" t="n">
        <v>24</v>
      </c>
      <c r="H13" s="0" t="n">
        <v>24</v>
      </c>
    </row>
    <row r="14" customFormat="false" ht="15" hidden="false" customHeight="false" outlineLevel="0" collapsed="false">
      <c r="A14" s="0" t="s">
        <v>211</v>
      </c>
      <c r="B14" s="0" t="s">
        <v>576</v>
      </c>
      <c r="C14" s="0" t="s">
        <v>571</v>
      </c>
      <c r="D14" s="0" t="n">
        <v>5</v>
      </c>
      <c r="E14" s="0" t="n">
        <v>1</v>
      </c>
      <c r="F14" s="0" t="n">
        <v>1</v>
      </c>
      <c r="G14" s="0" t="n">
        <v>6</v>
      </c>
      <c r="H14" s="0" t="n">
        <v>7</v>
      </c>
    </row>
    <row r="15" customFormat="false" ht="15" hidden="false" customHeight="false" outlineLevel="0" collapsed="false">
      <c r="A15" s="0" t="s">
        <v>211</v>
      </c>
      <c r="B15" s="0" t="s">
        <v>577</v>
      </c>
      <c r="C15" s="0" t="s">
        <v>578</v>
      </c>
      <c r="D15" s="0" t="n">
        <v>0</v>
      </c>
      <c r="E15" s="0" t="n">
        <v>11</v>
      </c>
      <c r="F15" s="0" t="n">
        <v>5</v>
      </c>
      <c r="G15" s="0" t="n">
        <v>11</v>
      </c>
      <c r="H15" s="0" t="n">
        <v>16</v>
      </c>
    </row>
    <row r="16" customFormat="false" ht="15" hidden="false" customHeight="false" outlineLevel="0" collapsed="false">
      <c r="A16" s="0" t="s">
        <v>211</v>
      </c>
      <c r="B16" s="0" t="s">
        <v>579</v>
      </c>
      <c r="C16" s="0" t="s">
        <v>580</v>
      </c>
      <c r="D16" s="0" t="n">
        <v>2</v>
      </c>
      <c r="E16" s="0" t="n">
        <v>8</v>
      </c>
      <c r="F16" s="0" t="n">
        <v>0</v>
      </c>
      <c r="G16" s="0" t="n">
        <v>10</v>
      </c>
      <c r="H16" s="0" t="n">
        <v>10</v>
      </c>
    </row>
    <row r="17" customFormat="false" ht="15" hidden="false" customHeight="false" outlineLevel="0" collapsed="false">
      <c r="A17" s="0" t="s">
        <v>214</v>
      </c>
      <c r="B17" s="0" t="s">
        <v>559</v>
      </c>
      <c r="C17" s="0" t="s">
        <v>560</v>
      </c>
      <c r="D17" s="0" t="n">
        <v>1</v>
      </c>
      <c r="E17" s="0" t="n">
        <v>3</v>
      </c>
      <c r="F17" s="0" t="n">
        <v>0</v>
      </c>
      <c r="G17" s="0" t="n">
        <v>4</v>
      </c>
      <c r="H17" s="0" t="n">
        <v>4</v>
      </c>
    </row>
    <row r="18" customFormat="false" ht="15" hidden="false" customHeight="false" outlineLevel="0" collapsed="false">
      <c r="A18" s="0" t="s">
        <v>214</v>
      </c>
      <c r="B18" s="0" t="s">
        <v>561</v>
      </c>
      <c r="C18" s="0" t="s">
        <v>79</v>
      </c>
      <c r="D18" s="0" t="n">
        <v>2</v>
      </c>
      <c r="E18" s="0" t="n">
        <v>7</v>
      </c>
      <c r="F18" s="0" t="n">
        <v>0</v>
      </c>
      <c r="G18" s="0" t="n">
        <v>9</v>
      </c>
      <c r="H18" s="0" t="n">
        <v>9</v>
      </c>
    </row>
    <row r="19" customFormat="false" ht="15" hidden="false" customHeight="false" outlineLevel="0" collapsed="false">
      <c r="A19" s="0" t="s">
        <v>214</v>
      </c>
      <c r="B19" s="0" t="s">
        <v>562</v>
      </c>
      <c r="C19" s="0" t="s">
        <v>78</v>
      </c>
      <c r="D19" s="0" t="n">
        <v>4</v>
      </c>
      <c r="E19" s="0" t="n">
        <v>2</v>
      </c>
      <c r="F19" s="0" t="n">
        <v>0</v>
      </c>
      <c r="G19" s="0" t="n">
        <v>6</v>
      </c>
      <c r="H19" s="0" t="n">
        <v>6</v>
      </c>
    </row>
    <row r="20" customFormat="false" ht="15" hidden="false" customHeight="false" outlineLevel="0" collapsed="false">
      <c r="A20" s="0" t="s">
        <v>214</v>
      </c>
      <c r="B20" s="0" t="s">
        <v>563</v>
      </c>
      <c r="C20" s="0" t="s">
        <v>102</v>
      </c>
      <c r="D20" s="0" t="n">
        <v>6</v>
      </c>
      <c r="E20" s="0" t="n">
        <v>6</v>
      </c>
      <c r="F20" s="0" t="n">
        <v>0</v>
      </c>
      <c r="G20" s="0" t="n">
        <v>12</v>
      </c>
      <c r="H20" s="0" t="n">
        <v>12</v>
      </c>
    </row>
    <row r="21" customFormat="false" ht="15" hidden="false" customHeight="false" outlineLevel="0" collapsed="false">
      <c r="A21" s="0" t="s">
        <v>214</v>
      </c>
      <c r="B21" s="0" t="s">
        <v>564</v>
      </c>
      <c r="C21" s="0" t="s">
        <v>565</v>
      </c>
      <c r="D21" s="0" t="n">
        <v>3</v>
      </c>
      <c r="E21" s="0" t="n">
        <v>6</v>
      </c>
      <c r="F21" s="0" t="n">
        <v>0</v>
      </c>
      <c r="G21" s="0" t="n">
        <v>9</v>
      </c>
      <c r="H21" s="0" t="n">
        <v>9</v>
      </c>
    </row>
    <row r="22" customFormat="false" ht="15" hidden="false" customHeight="false" outlineLevel="0" collapsed="false">
      <c r="A22" s="0" t="s">
        <v>214</v>
      </c>
      <c r="B22" s="0" t="s">
        <v>566</v>
      </c>
      <c r="C22" s="0" t="s">
        <v>79</v>
      </c>
      <c r="D22" s="0" t="n">
        <v>1</v>
      </c>
      <c r="E22" s="0" t="n">
        <v>5</v>
      </c>
      <c r="F22" s="0" t="n">
        <v>2</v>
      </c>
      <c r="G22" s="0" t="n">
        <v>6</v>
      </c>
      <c r="H22" s="0" t="n">
        <v>8</v>
      </c>
    </row>
    <row r="23" customFormat="false" ht="15" hidden="false" customHeight="false" outlineLevel="0" collapsed="false">
      <c r="A23" s="0" t="s">
        <v>214</v>
      </c>
      <c r="B23" s="0" t="s">
        <v>567</v>
      </c>
      <c r="C23" s="0" t="s">
        <v>568</v>
      </c>
      <c r="D23" s="0" t="n">
        <v>3</v>
      </c>
      <c r="E23" s="0" t="n">
        <v>2</v>
      </c>
      <c r="F23" s="0" t="n">
        <v>0</v>
      </c>
      <c r="G23" s="0" t="n">
        <v>5</v>
      </c>
      <c r="H23" s="0" t="n">
        <v>5</v>
      </c>
    </row>
    <row r="24" customFormat="false" ht="15" hidden="false" customHeight="false" outlineLevel="0" collapsed="false">
      <c r="A24" s="0" t="s">
        <v>214</v>
      </c>
      <c r="B24" s="0" t="s">
        <v>569</v>
      </c>
      <c r="C24" s="0" t="s">
        <v>90</v>
      </c>
      <c r="D24" s="0" t="n">
        <v>3</v>
      </c>
      <c r="E24" s="0" t="n">
        <v>0</v>
      </c>
      <c r="F24" s="0" t="n">
        <v>0</v>
      </c>
      <c r="G24" s="0" t="n">
        <v>3</v>
      </c>
      <c r="H24" s="0" t="n">
        <v>3</v>
      </c>
    </row>
    <row r="25" customFormat="false" ht="15" hidden="false" customHeight="false" outlineLevel="0" collapsed="false">
      <c r="A25" s="0" t="s">
        <v>214</v>
      </c>
      <c r="B25" s="0" t="s">
        <v>570</v>
      </c>
      <c r="C25" s="0" t="s">
        <v>571</v>
      </c>
      <c r="D25" s="0" t="n">
        <v>10</v>
      </c>
      <c r="E25" s="0" t="n">
        <v>5</v>
      </c>
      <c r="F25" s="0" t="n">
        <v>1</v>
      </c>
      <c r="G25" s="0" t="n">
        <v>15</v>
      </c>
      <c r="H25" s="0" t="n">
        <v>16</v>
      </c>
    </row>
    <row r="26" customFormat="false" ht="15" hidden="false" customHeight="false" outlineLevel="0" collapsed="false">
      <c r="A26" s="0" t="s">
        <v>214</v>
      </c>
      <c r="B26" s="0" t="s">
        <v>572</v>
      </c>
      <c r="C26" s="0" t="s">
        <v>560</v>
      </c>
      <c r="D26" s="0" t="n">
        <v>1</v>
      </c>
      <c r="E26" s="0" t="n">
        <v>3</v>
      </c>
      <c r="F26" s="0" t="n">
        <v>2</v>
      </c>
      <c r="G26" s="0" t="n">
        <v>4</v>
      </c>
      <c r="H26" s="0" t="n">
        <v>6</v>
      </c>
    </row>
    <row r="27" customFormat="false" ht="15" hidden="false" customHeight="false" outlineLevel="0" collapsed="false">
      <c r="A27" s="0" t="s">
        <v>214</v>
      </c>
      <c r="B27" s="0" t="s">
        <v>573</v>
      </c>
      <c r="C27" s="0" t="s">
        <v>84</v>
      </c>
      <c r="D27" s="0" t="n">
        <v>5</v>
      </c>
      <c r="E27" s="0" t="n">
        <v>1</v>
      </c>
      <c r="F27" s="0" t="n">
        <v>0</v>
      </c>
      <c r="G27" s="0" t="n">
        <v>6</v>
      </c>
      <c r="H27" s="0" t="n">
        <v>6</v>
      </c>
    </row>
    <row r="28" customFormat="false" ht="15" hidden="false" customHeight="false" outlineLevel="0" collapsed="false">
      <c r="A28" s="0" t="s">
        <v>214</v>
      </c>
      <c r="B28" s="0" t="s">
        <v>574</v>
      </c>
      <c r="C28" s="0" t="s">
        <v>575</v>
      </c>
      <c r="D28" s="0" t="n">
        <v>2</v>
      </c>
      <c r="E28" s="0" t="n">
        <v>7</v>
      </c>
      <c r="F28" s="0" t="n">
        <v>0</v>
      </c>
      <c r="G28" s="0" t="n">
        <v>9</v>
      </c>
      <c r="H28" s="0" t="n">
        <v>9</v>
      </c>
    </row>
    <row r="29" customFormat="false" ht="15" hidden="false" customHeight="false" outlineLevel="0" collapsed="false">
      <c r="A29" s="0" t="s">
        <v>214</v>
      </c>
      <c r="B29" s="0" t="s">
        <v>576</v>
      </c>
      <c r="C29" s="0" t="s">
        <v>571</v>
      </c>
      <c r="D29" s="0" t="n">
        <v>4</v>
      </c>
      <c r="E29" s="0" t="n">
        <v>1</v>
      </c>
      <c r="F29" s="0" t="n">
        <v>1</v>
      </c>
      <c r="G29" s="0" t="n">
        <v>5</v>
      </c>
      <c r="H29" s="0" t="n">
        <v>6</v>
      </c>
    </row>
    <row r="30" customFormat="false" ht="15" hidden="false" customHeight="false" outlineLevel="0" collapsed="false">
      <c r="A30" s="0" t="s">
        <v>214</v>
      </c>
      <c r="B30" s="0" t="s">
        <v>577</v>
      </c>
      <c r="C30" s="0" t="s">
        <v>578</v>
      </c>
      <c r="D30" s="0" t="n">
        <v>5</v>
      </c>
      <c r="E30" s="0" t="n">
        <v>3</v>
      </c>
      <c r="F30" s="0" t="n">
        <v>4</v>
      </c>
      <c r="G30" s="0" t="n">
        <v>8</v>
      </c>
      <c r="H30" s="0" t="n">
        <v>12</v>
      </c>
    </row>
    <row r="31" customFormat="false" ht="15" hidden="false" customHeight="false" outlineLevel="0" collapsed="false">
      <c r="A31" s="0" t="s">
        <v>214</v>
      </c>
      <c r="B31" s="0" t="s">
        <v>579</v>
      </c>
      <c r="C31" s="0" t="s">
        <v>580</v>
      </c>
      <c r="D31" s="0" t="n">
        <v>13</v>
      </c>
      <c r="E31" s="0" t="n">
        <v>9</v>
      </c>
      <c r="F31" s="0" t="n">
        <v>0</v>
      </c>
      <c r="G31" s="0" t="n">
        <v>22</v>
      </c>
      <c r="H31" s="0" t="n">
        <v>22</v>
      </c>
    </row>
    <row r="32" customFormat="false" ht="15" hidden="false" customHeight="false" outlineLevel="0" collapsed="false">
      <c r="A32" s="0" t="s">
        <v>217</v>
      </c>
      <c r="B32" s="0" t="s">
        <v>559</v>
      </c>
      <c r="C32" s="0" t="s">
        <v>560</v>
      </c>
      <c r="D32" s="0" t="n">
        <v>3</v>
      </c>
      <c r="E32" s="0" t="n">
        <v>6</v>
      </c>
      <c r="F32" s="0" t="n">
        <v>0</v>
      </c>
      <c r="G32" s="0" t="n">
        <v>9</v>
      </c>
      <c r="H32" s="0" t="n">
        <v>9</v>
      </c>
    </row>
    <row r="33" customFormat="false" ht="15" hidden="false" customHeight="false" outlineLevel="0" collapsed="false">
      <c r="A33" s="0" t="s">
        <v>217</v>
      </c>
      <c r="B33" s="0" t="s">
        <v>562</v>
      </c>
      <c r="C33" s="0" t="s">
        <v>78</v>
      </c>
      <c r="D33" s="0" t="n">
        <v>13</v>
      </c>
      <c r="E33" s="0" t="n">
        <v>2</v>
      </c>
      <c r="F33" s="0" t="n">
        <v>0</v>
      </c>
      <c r="G33" s="0" t="n">
        <v>15</v>
      </c>
      <c r="H33" s="0" t="n">
        <v>15</v>
      </c>
    </row>
    <row r="34" customFormat="false" ht="15" hidden="false" customHeight="false" outlineLevel="0" collapsed="false">
      <c r="A34" s="0" t="s">
        <v>217</v>
      </c>
      <c r="B34" s="0" t="s">
        <v>563</v>
      </c>
      <c r="C34" s="0" t="s">
        <v>102</v>
      </c>
      <c r="D34" s="0" t="n">
        <v>11</v>
      </c>
      <c r="E34" s="0" t="n">
        <v>0</v>
      </c>
      <c r="F34" s="0" t="n">
        <v>8</v>
      </c>
      <c r="G34" s="0" t="n">
        <v>11</v>
      </c>
      <c r="H34" s="0" t="n">
        <v>19</v>
      </c>
    </row>
    <row r="35" customFormat="false" ht="15" hidden="false" customHeight="false" outlineLevel="0" collapsed="false">
      <c r="A35" s="0" t="s">
        <v>217</v>
      </c>
      <c r="B35" s="0" t="s">
        <v>564</v>
      </c>
      <c r="C35" s="0" t="s">
        <v>565</v>
      </c>
      <c r="D35" s="0" t="n">
        <v>15</v>
      </c>
      <c r="E35" s="0" t="n">
        <v>6</v>
      </c>
      <c r="F35" s="0" t="n">
        <v>0</v>
      </c>
      <c r="G35" s="0" t="n">
        <v>21</v>
      </c>
      <c r="H35" s="0" t="n">
        <v>21</v>
      </c>
    </row>
    <row r="36" customFormat="false" ht="15" hidden="false" customHeight="false" outlineLevel="0" collapsed="false">
      <c r="A36" s="0" t="s">
        <v>217</v>
      </c>
      <c r="B36" s="0" t="s">
        <v>566</v>
      </c>
      <c r="C36" s="0" t="s">
        <v>79</v>
      </c>
      <c r="D36" s="0" t="n">
        <v>8</v>
      </c>
      <c r="E36" s="0" t="n">
        <v>10</v>
      </c>
      <c r="F36" s="0" t="n">
        <v>6</v>
      </c>
      <c r="G36" s="0" t="n">
        <v>18</v>
      </c>
      <c r="H36" s="0" t="n">
        <v>24</v>
      </c>
    </row>
    <row r="37" customFormat="false" ht="15" hidden="false" customHeight="false" outlineLevel="0" collapsed="false">
      <c r="A37" s="0" t="s">
        <v>217</v>
      </c>
      <c r="B37" s="0" t="s">
        <v>567</v>
      </c>
      <c r="C37" s="0" t="s">
        <v>568</v>
      </c>
      <c r="D37" s="0" t="n">
        <v>5</v>
      </c>
      <c r="E37" s="0" t="n">
        <v>8</v>
      </c>
      <c r="F37" s="0" t="n">
        <v>0</v>
      </c>
      <c r="G37" s="0" t="n">
        <v>13</v>
      </c>
      <c r="H37" s="0" t="n">
        <v>13</v>
      </c>
    </row>
    <row r="38" customFormat="false" ht="15" hidden="false" customHeight="false" outlineLevel="0" collapsed="false">
      <c r="A38" s="0" t="s">
        <v>217</v>
      </c>
      <c r="B38" s="0" t="s">
        <v>569</v>
      </c>
      <c r="C38" s="0" t="s">
        <v>90</v>
      </c>
      <c r="D38" s="0" t="n">
        <v>5</v>
      </c>
      <c r="E38" s="0" t="n">
        <v>5</v>
      </c>
      <c r="F38" s="0" t="n">
        <v>0</v>
      </c>
      <c r="G38" s="0" t="n">
        <v>10</v>
      </c>
      <c r="H38" s="0" t="n">
        <v>10</v>
      </c>
    </row>
    <row r="39" customFormat="false" ht="15" hidden="false" customHeight="false" outlineLevel="0" collapsed="false">
      <c r="A39" s="0" t="s">
        <v>217</v>
      </c>
      <c r="B39" s="0" t="s">
        <v>570</v>
      </c>
      <c r="C39" s="0" t="s">
        <v>571</v>
      </c>
      <c r="D39" s="0" t="n">
        <v>5</v>
      </c>
      <c r="E39" s="0" t="n">
        <v>5</v>
      </c>
      <c r="F39" s="0" t="n">
        <v>14</v>
      </c>
      <c r="G39" s="0" t="n">
        <v>10</v>
      </c>
      <c r="H39" s="0" t="n">
        <v>24</v>
      </c>
    </row>
    <row r="40" customFormat="false" ht="15" hidden="false" customHeight="false" outlineLevel="0" collapsed="false">
      <c r="A40" s="0" t="s">
        <v>217</v>
      </c>
      <c r="B40" s="0" t="s">
        <v>572</v>
      </c>
      <c r="C40" s="0" t="s">
        <v>560</v>
      </c>
      <c r="D40" s="0" t="n">
        <v>4</v>
      </c>
      <c r="E40" s="0" t="n">
        <v>21</v>
      </c>
      <c r="F40" s="0" t="n">
        <v>1</v>
      </c>
      <c r="G40" s="0" t="n">
        <v>25</v>
      </c>
      <c r="H40" s="0" t="n">
        <v>26</v>
      </c>
    </row>
    <row r="41" customFormat="false" ht="15" hidden="false" customHeight="false" outlineLevel="0" collapsed="false">
      <c r="A41" s="0" t="s">
        <v>217</v>
      </c>
      <c r="B41" s="0" t="s">
        <v>573</v>
      </c>
      <c r="C41" s="0" t="s">
        <v>84</v>
      </c>
      <c r="D41" s="0" t="n">
        <v>4</v>
      </c>
      <c r="E41" s="0" t="n">
        <v>2</v>
      </c>
      <c r="F41" s="0" t="n">
        <v>0</v>
      </c>
      <c r="G41" s="0" t="n">
        <v>6</v>
      </c>
      <c r="H41" s="0" t="n">
        <v>6</v>
      </c>
    </row>
    <row r="42" customFormat="false" ht="15" hidden="false" customHeight="false" outlineLevel="0" collapsed="false">
      <c r="A42" s="0" t="s">
        <v>217</v>
      </c>
      <c r="B42" s="0" t="s">
        <v>574</v>
      </c>
      <c r="C42" s="0" t="s">
        <v>575</v>
      </c>
      <c r="D42" s="0" t="n">
        <v>10</v>
      </c>
      <c r="E42" s="0" t="n">
        <v>13</v>
      </c>
      <c r="F42" s="0" t="n">
        <v>0</v>
      </c>
      <c r="G42" s="0" t="n">
        <v>23</v>
      </c>
      <c r="H42" s="0" t="n">
        <v>23</v>
      </c>
    </row>
    <row r="43" customFormat="false" ht="15" hidden="false" customHeight="false" outlineLevel="0" collapsed="false">
      <c r="A43" s="0" t="s">
        <v>217</v>
      </c>
      <c r="B43" s="0" t="s">
        <v>576</v>
      </c>
      <c r="C43" s="0" t="s">
        <v>571</v>
      </c>
      <c r="D43" s="0" t="n">
        <v>9</v>
      </c>
      <c r="E43" s="0" t="n">
        <v>6</v>
      </c>
      <c r="F43" s="0" t="n">
        <v>4</v>
      </c>
      <c r="G43" s="0" t="n">
        <v>15</v>
      </c>
      <c r="H43" s="0" t="n">
        <v>19</v>
      </c>
    </row>
    <row r="44" customFormat="false" ht="15" hidden="false" customHeight="false" outlineLevel="0" collapsed="false">
      <c r="A44" s="0" t="s">
        <v>217</v>
      </c>
      <c r="B44" s="0" t="s">
        <v>577</v>
      </c>
      <c r="C44" s="0" t="s">
        <v>578</v>
      </c>
      <c r="D44" s="0" t="n">
        <v>6</v>
      </c>
      <c r="E44" s="0" t="n">
        <v>12</v>
      </c>
      <c r="F44" s="0" t="n">
        <v>14</v>
      </c>
      <c r="G44" s="0" t="n">
        <v>18</v>
      </c>
      <c r="H44" s="0" t="n">
        <v>32</v>
      </c>
    </row>
    <row r="45" customFormat="false" ht="15" hidden="false" customHeight="false" outlineLevel="0" collapsed="false">
      <c r="A45" s="0" t="s">
        <v>217</v>
      </c>
      <c r="B45" s="0" t="s">
        <v>579</v>
      </c>
      <c r="C45" s="0" t="s">
        <v>580</v>
      </c>
      <c r="D45" s="0" t="n">
        <v>11</v>
      </c>
      <c r="E45" s="0" t="n">
        <v>5</v>
      </c>
      <c r="F45" s="0" t="n">
        <v>0</v>
      </c>
      <c r="G45" s="0" t="n">
        <v>16</v>
      </c>
      <c r="H45" s="0" t="n">
        <v>16</v>
      </c>
    </row>
    <row r="46" customFormat="false" ht="15" hidden="false" customHeight="false" outlineLevel="0" collapsed="false">
      <c r="A46" s="0" t="s">
        <v>217</v>
      </c>
      <c r="B46" s="0" t="s">
        <v>581</v>
      </c>
      <c r="C46" s="0" t="s">
        <v>568</v>
      </c>
      <c r="D46" s="0" t="n">
        <v>13</v>
      </c>
      <c r="E46" s="0" t="n">
        <v>6</v>
      </c>
      <c r="F46" s="0" t="n">
        <v>4</v>
      </c>
      <c r="G46" s="0" t="n">
        <v>19</v>
      </c>
      <c r="H46" s="0" t="n">
        <v>23</v>
      </c>
    </row>
    <row r="47" customFormat="false" ht="15" hidden="false" customHeight="false" outlineLevel="0" collapsed="false">
      <c r="A47" s="0" t="s">
        <v>219</v>
      </c>
      <c r="B47" s="0" t="s">
        <v>559</v>
      </c>
      <c r="C47" s="0" t="s">
        <v>560</v>
      </c>
      <c r="D47" s="0" t="n">
        <v>0</v>
      </c>
      <c r="E47" s="0" t="n">
        <v>6</v>
      </c>
      <c r="F47" s="0" t="n">
        <v>0</v>
      </c>
      <c r="G47" s="0" t="n">
        <v>6</v>
      </c>
      <c r="H47" s="0" t="n">
        <v>6</v>
      </c>
    </row>
    <row r="48" customFormat="false" ht="15" hidden="false" customHeight="false" outlineLevel="0" collapsed="false">
      <c r="A48" s="0" t="s">
        <v>219</v>
      </c>
      <c r="B48" s="0" t="s">
        <v>561</v>
      </c>
      <c r="C48" s="0" t="s">
        <v>79</v>
      </c>
      <c r="D48" s="0" t="n">
        <v>5</v>
      </c>
      <c r="E48" s="0" t="n">
        <v>7</v>
      </c>
      <c r="F48" s="0" t="n">
        <v>0</v>
      </c>
      <c r="G48" s="0" t="n">
        <v>12</v>
      </c>
      <c r="H48" s="0" t="n">
        <v>12</v>
      </c>
    </row>
    <row r="49" customFormat="false" ht="15" hidden="false" customHeight="false" outlineLevel="0" collapsed="false">
      <c r="A49" s="0" t="s">
        <v>219</v>
      </c>
      <c r="B49" s="0" t="s">
        <v>562</v>
      </c>
      <c r="C49" s="0" t="s">
        <v>78</v>
      </c>
      <c r="D49" s="0" t="n">
        <v>10</v>
      </c>
      <c r="E49" s="0" t="n">
        <v>1</v>
      </c>
      <c r="F49" s="0" t="n">
        <v>0</v>
      </c>
      <c r="G49" s="0" t="n">
        <v>11</v>
      </c>
      <c r="H49" s="0" t="n">
        <v>11</v>
      </c>
    </row>
    <row r="50" customFormat="false" ht="15" hidden="false" customHeight="false" outlineLevel="0" collapsed="false">
      <c r="A50" s="0" t="s">
        <v>219</v>
      </c>
      <c r="B50" s="0" t="s">
        <v>563</v>
      </c>
      <c r="C50" s="0" t="s">
        <v>102</v>
      </c>
      <c r="D50" s="0" t="n">
        <v>4</v>
      </c>
      <c r="E50" s="0" t="n">
        <v>8</v>
      </c>
      <c r="F50" s="0" t="n">
        <v>6</v>
      </c>
      <c r="G50" s="0" t="n">
        <v>12</v>
      </c>
      <c r="H50" s="0" t="n">
        <v>18</v>
      </c>
    </row>
    <row r="51" customFormat="false" ht="15" hidden="false" customHeight="false" outlineLevel="0" collapsed="false">
      <c r="A51" s="0" t="s">
        <v>219</v>
      </c>
      <c r="B51" s="0" t="s">
        <v>564</v>
      </c>
      <c r="C51" s="0" t="s">
        <v>565</v>
      </c>
      <c r="D51" s="0" t="n">
        <v>10</v>
      </c>
      <c r="E51" s="0" t="n">
        <v>15</v>
      </c>
      <c r="F51" s="0" t="n">
        <v>0</v>
      </c>
      <c r="G51" s="0" t="n">
        <v>25</v>
      </c>
      <c r="H51" s="0" t="n">
        <v>25</v>
      </c>
    </row>
    <row r="52" customFormat="false" ht="15" hidden="false" customHeight="false" outlineLevel="0" collapsed="false">
      <c r="A52" s="0" t="s">
        <v>219</v>
      </c>
      <c r="B52" s="0" t="s">
        <v>566</v>
      </c>
      <c r="C52" s="0" t="s">
        <v>79</v>
      </c>
      <c r="D52" s="0" t="n">
        <v>4</v>
      </c>
      <c r="E52" s="0" t="n">
        <v>10</v>
      </c>
      <c r="F52" s="0" t="n">
        <v>6</v>
      </c>
      <c r="G52" s="0" t="n">
        <v>14</v>
      </c>
      <c r="H52" s="0" t="n">
        <v>20</v>
      </c>
    </row>
    <row r="53" customFormat="false" ht="15" hidden="false" customHeight="false" outlineLevel="0" collapsed="false">
      <c r="A53" s="0" t="s">
        <v>219</v>
      </c>
      <c r="B53" s="0" t="s">
        <v>567</v>
      </c>
      <c r="C53" s="0" t="s">
        <v>568</v>
      </c>
      <c r="D53" s="0" t="n">
        <v>11</v>
      </c>
      <c r="E53" s="0" t="n">
        <v>15</v>
      </c>
      <c r="F53" s="0" t="n">
        <v>0</v>
      </c>
      <c r="G53" s="0" t="n">
        <v>26</v>
      </c>
      <c r="H53" s="0" t="n">
        <v>26</v>
      </c>
    </row>
    <row r="54" customFormat="false" ht="15" hidden="false" customHeight="false" outlineLevel="0" collapsed="false">
      <c r="A54" s="0" t="s">
        <v>219</v>
      </c>
      <c r="B54" s="0" t="s">
        <v>569</v>
      </c>
      <c r="C54" s="0" t="s">
        <v>90</v>
      </c>
      <c r="D54" s="0" t="n">
        <v>16</v>
      </c>
      <c r="E54" s="0" t="n">
        <v>2</v>
      </c>
      <c r="F54" s="0" t="n">
        <v>0</v>
      </c>
      <c r="G54" s="0" t="n">
        <v>18</v>
      </c>
      <c r="H54" s="0" t="n">
        <v>18</v>
      </c>
    </row>
    <row r="55" customFormat="false" ht="15" hidden="false" customHeight="false" outlineLevel="0" collapsed="false">
      <c r="A55" s="0" t="s">
        <v>219</v>
      </c>
      <c r="B55" s="0" t="s">
        <v>570</v>
      </c>
      <c r="C55" s="0" t="s">
        <v>571</v>
      </c>
      <c r="D55" s="0" t="n">
        <v>5</v>
      </c>
      <c r="E55" s="0" t="n">
        <v>11</v>
      </c>
      <c r="F55" s="0" t="n">
        <v>10</v>
      </c>
      <c r="G55" s="0" t="n">
        <v>16</v>
      </c>
      <c r="H55" s="0" t="n">
        <v>26</v>
      </c>
    </row>
    <row r="56" customFormat="false" ht="15" hidden="false" customHeight="false" outlineLevel="0" collapsed="false">
      <c r="A56" s="0" t="s">
        <v>219</v>
      </c>
      <c r="B56" s="0" t="s">
        <v>582</v>
      </c>
      <c r="C56" s="0" t="s">
        <v>103</v>
      </c>
      <c r="D56" s="0" t="n">
        <v>10</v>
      </c>
      <c r="E56" s="0" t="n">
        <v>2</v>
      </c>
      <c r="F56" s="0" t="n">
        <v>4</v>
      </c>
      <c r="G56" s="0" t="n">
        <v>12</v>
      </c>
      <c r="H56" s="0" t="n">
        <v>16</v>
      </c>
    </row>
    <row r="57" customFormat="false" ht="15" hidden="false" customHeight="false" outlineLevel="0" collapsed="false">
      <c r="A57" s="0" t="s">
        <v>219</v>
      </c>
      <c r="B57" s="0" t="s">
        <v>583</v>
      </c>
      <c r="C57" s="0" t="s">
        <v>90</v>
      </c>
      <c r="D57" s="0" t="n">
        <v>3</v>
      </c>
      <c r="E57" s="0" t="n">
        <v>4</v>
      </c>
      <c r="F57" s="0" t="n">
        <v>0</v>
      </c>
      <c r="G57" s="0" t="n">
        <v>7</v>
      </c>
      <c r="H57" s="0" t="n">
        <v>7</v>
      </c>
    </row>
    <row r="58" customFormat="false" ht="15" hidden="false" customHeight="false" outlineLevel="0" collapsed="false">
      <c r="A58" s="0" t="s">
        <v>219</v>
      </c>
      <c r="B58" s="0" t="s">
        <v>584</v>
      </c>
      <c r="C58" s="0" t="s">
        <v>560</v>
      </c>
      <c r="D58" s="0" t="n">
        <v>10</v>
      </c>
      <c r="E58" s="0" t="n">
        <v>10</v>
      </c>
      <c r="F58" s="0" t="n">
        <v>0</v>
      </c>
      <c r="G58" s="0" t="n">
        <v>20</v>
      </c>
      <c r="H58" s="0" t="n">
        <v>20</v>
      </c>
    </row>
    <row r="59" customFormat="false" ht="15" hidden="false" customHeight="false" outlineLevel="0" collapsed="false">
      <c r="A59" s="0" t="s">
        <v>219</v>
      </c>
      <c r="B59" s="0" t="s">
        <v>585</v>
      </c>
      <c r="C59" s="0" t="s">
        <v>84</v>
      </c>
      <c r="D59" s="0" t="n">
        <v>11</v>
      </c>
      <c r="E59" s="0" t="n">
        <v>1</v>
      </c>
      <c r="F59" s="0" t="n">
        <v>15</v>
      </c>
      <c r="G59" s="0" t="n">
        <v>12</v>
      </c>
      <c r="H59" s="0" t="n">
        <v>27</v>
      </c>
    </row>
    <row r="60" customFormat="false" ht="15" hidden="false" customHeight="false" outlineLevel="0" collapsed="false">
      <c r="A60" s="0" t="s">
        <v>219</v>
      </c>
      <c r="B60" s="0" t="s">
        <v>585</v>
      </c>
      <c r="C60" s="0" t="s">
        <v>78</v>
      </c>
      <c r="D60" s="0" t="n">
        <v>6</v>
      </c>
      <c r="E60" s="0" t="n">
        <v>8</v>
      </c>
      <c r="F60" s="0" t="n">
        <v>3</v>
      </c>
      <c r="G60" s="0" t="n">
        <v>14</v>
      </c>
      <c r="H60" s="0" t="n">
        <v>17</v>
      </c>
    </row>
    <row r="61" customFormat="false" ht="15" hidden="false" customHeight="false" outlineLevel="0" collapsed="false">
      <c r="A61" s="0" t="s">
        <v>219</v>
      </c>
      <c r="B61" s="0" t="s">
        <v>586</v>
      </c>
      <c r="C61" s="0" t="s">
        <v>587</v>
      </c>
      <c r="D61" s="0" t="n">
        <v>10</v>
      </c>
      <c r="E61" s="0" t="n">
        <v>5</v>
      </c>
      <c r="F61" s="0" t="n">
        <v>13</v>
      </c>
      <c r="G61" s="0" t="n">
        <v>15</v>
      </c>
      <c r="H61" s="0" t="n">
        <v>28</v>
      </c>
    </row>
    <row r="62" customFormat="false" ht="15" hidden="false" customHeight="false" outlineLevel="0" collapsed="false">
      <c r="A62" s="0" t="s">
        <v>222</v>
      </c>
      <c r="B62" s="0" t="s">
        <v>559</v>
      </c>
      <c r="C62" s="0" t="s">
        <v>560</v>
      </c>
      <c r="D62" s="0" t="n">
        <v>1</v>
      </c>
      <c r="E62" s="0" t="n">
        <v>2</v>
      </c>
      <c r="F62" s="0" t="n">
        <v>0</v>
      </c>
      <c r="G62" s="0" t="n">
        <v>3</v>
      </c>
      <c r="H62" s="0" t="n">
        <v>3</v>
      </c>
    </row>
    <row r="63" customFormat="false" ht="15" hidden="false" customHeight="false" outlineLevel="0" collapsed="false">
      <c r="A63" s="0" t="s">
        <v>222</v>
      </c>
      <c r="B63" s="0" t="s">
        <v>561</v>
      </c>
      <c r="C63" s="0" t="s">
        <v>79</v>
      </c>
      <c r="D63" s="0" t="n">
        <v>5</v>
      </c>
      <c r="E63" s="0" t="n">
        <v>2</v>
      </c>
      <c r="F63" s="0" t="n">
        <v>0</v>
      </c>
      <c r="G63" s="0" t="n">
        <v>7</v>
      </c>
      <c r="H63" s="0" t="n">
        <v>7</v>
      </c>
    </row>
    <row r="64" customFormat="false" ht="15" hidden="false" customHeight="false" outlineLevel="0" collapsed="false">
      <c r="A64" s="0" t="s">
        <v>222</v>
      </c>
      <c r="B64" s="0" t="s">
        <v>562</v>
      </c>
      <c r="C64" s="0" t="s">
        <v>78</v>
      </c>
      <c r="D64" s="0" t="n">
        <v>4</v>
      </c>
      <c r="E64" s="0" t="n">
        <v>0</v>
      </c>
      <c r="F64" s="0" t="n">
        <v>0</v>
      </c>
      <c r="G64" s="0" t="n">
        <v>4</v>
      </c>
      <c r="H64" s="0" t="n">
        <v>4</v>
      </c>
    </row>
    <row r="65" customFormat="false" ht="15" hidden="false" customHeight="false" outlineLevel="0" collapsed="false">
      <c r="A65" s="0" t="s">
        <v>222</v>
      </c>
      <c r="B65" s="0" t="s">
        <v>563</v>
      </c>
      <c r="C65" s="0" t="s">
        <v>102</v>
      </c>
      <c r="D65" s="0" t="n">
        <v>1</v>
      </c>
      <c r="E65" s="0" t="n">
        <v>3</v>
      </c>
      <c r="F65" s="0" t="n">
        <v>2</v>
      </c>
      <c r="G65" s="0" t="n">
        <v>4</v>
      </c>
      <c r="H65" s="0" t="n">
        <v>6</v>
      </c>
    </row>
    <row r="66" customFormat="false" ht="15" hidden="false" customHeight="false" outlineLevel="0" collapsed="false">
      <c r="A66" s="0" t="s">
        <v>222</v>
      </c>
      <c r="B66" s="0" t="s">
        <v>564</v>
      </c>
      <c r="C66" s="0" t="s">
        <v>565</v>
      </c>
      <c r="D66" s="0" t="n">
        <v>10</v>
      </c>
      <c r="E66" s="0" t="n">
        <v>6</v>
      </c>
      <c r="F66" s="0" t="n">
        <v>0</v>
      </c>
      <c r="G66" s="0" t="n">
        <v>16</v>
      </c>
      <c r="H66" s="0" t="n">
        <v>16</v>
      </c>
    </row>
    <row r="67" customFormat="false" ht="15" hidden="false" customHeight="false" outlineLevel="0" collapsed="false">
      <c r="A67" s="0" t="s">
        <v>222</v>
      </c>
      <c r="B67" s="0" t="s">
        <v>566</v>
      </c>
      <c r="C67" s="0" t="s">
        <v>79</v>
      </c>
      <c r="D67" s="0" t="n">
        <v>4</v>
      </c>
      <c r="E67" s="0" t="n">
        <v>1</v>
      </c>
      <c r="F67" s="0" t="n">
        <v>1</v>
      </c>
      <c r="G67" s="0" t="n">
        <v>5</v>
      </c>
      <c r="H67" s="0" t="n">
        <v>6</v>
      </c>
    </row>
    <row r="68" customFormat="false" ht="15" hidden="false" customHeight="false" outlineLevel="0" collapsed="false">
      <c r="A68" s="0" t="s">
        <v>222</v>
      </c>
      <c r="B68" s="0" t="s">
        <v>567</v>
      </c>
      <c r="C68" s="0" t="s">
        <v>568</v>
      </c>
      <c r="D68" s="0" t="n">
        <v>4</v>
      </c>
      <c r="E68" s="0" t="n">
        <v>8</v>
      </c>
      <c r="F68" s="0" t="n">
        <v>0</v>
      </c>
      <c r="G68" s="0" t="n">
        <v>12</v>
      </c>
      <c r="H68" s="0" t="n">
        <v>12</v>
      </c>
    </row>
    <row r="69" customFormat="false" ht="15" hidden="false" customHeight="false" outlineLevel="0" collapsed="false">
      <c r="A69" s="0" t="s">
        <v>222</v>
      </c>
      <c r="B69" s="0" t="s">
        <v>569</v>
      </c>
      <c r="C69" s="0" t="s">
        <v>90</v>
      </c>
      <c r="D69" s="0" t="n">
        <v>3</v>
      </c>
      <c r="E69" s="0" t="n">
        <v>1</v>
      </c>
      <c r="F69" s="0" t="n">
        <v>0</v>
      </c>
      <c r="G69" s="0" t="n">
        <v>4</v>
      </c>
      <c r="H69" s="0" t="n">
        <v>4</v>
      </c>
    </row>
    <row r="70" customFormat="false" ht="15" hidden="false" customHeight="false" outlineLevel="0" collapsed="false">
      <c r="A70" s="0" t="s">
        <v>222</v>
      </c>
      <c r="B70" s="0" t="s">
        <v>570</v>
      </c>
      <c r="C70" s="0" t="s">
        <v>571</v>
      </c>
      <c r="D70" s="0" t="n">
        <v>6</v>
      </c>
      <c r="E70" s="0" t="n">
        <v>9</v>
      </c>
      <c r="F70" s="0" t="n">
        <v>2</v>
      </c>
      <c r="G70" s="0" t="n">
        <v>15</v>
      </c>
      <c r="H70" s="0" t="n">
        <v>17</v>
      </c>
    </row>
    <row r="71" customFormat="false" ht="15" hidden="false" customHeight="false" outlineLevel="0" collapsed="false">
      <c r="A71" s="0" t="s">
        <v>222</v>
      </c>
      <c r="B71" s="0" t="s">
        <v>572</v>
      </c>
      <c r="C71" s="0" t="s">
        <v>560</v>
      </c>
      <c r="D71" s="0" t="n">
        <v>1</v>
      </c>
      <c r="E71" s="0" t="n">
        <v>2</v>
      </c>
      <c r="F71" s="0" t="n">
        <v>2</v>
      </c>
      <c r="G71" s="0" t="n">
        <v>3</v>
      </c>
      <c r="H71" s="0" t="n">
        <v>5</v>
      </c>
    </row>
    <row r="72" customFormat="false" ht="15" hidden="false" customHeight="false" outlineLevel="0" collapsed="false">
      <c r="A72" s="0" t="s">
        <v>222</v>
      </c>
      <c r="B72" s="0" t="s">
        <v>573</v>
      </c>
      <c r="C72" s="0" t="s">
        <v>84</v>
      </c>
      <c r="D72" s="0" t="n">
        <v>7</v>
      </c>
      <c r="E72" s="0" t="n">
        <v>0</v>
      </c>
      <c r="F72" s="0" t="n">
        <v>0</v>
      </c>
      <c r="G72" s="0" t="n">
        <v>7</v>
      </c>
      <c r="H72" s="0" t="n">
        <v>7</v>
      </c>
    </row>
    <row r="73" customFormat="false" ht="15" hidden="false" customHeight="false" outlineLevel="0" collapsed="false">
      <c r="A73" s="0" t="s">
        <v>222</v>
      </c>
      <c r="B73" s="0" t="s">
        <v>574</v>
      </c>
      <c r="C73" s="0" t="s">
        <v>575</v>
      </c>
      <c r="D73" s="0" t="n">
        <v>2</v>
      </c>
      <c r="E73" s="0" t="n">
        <v>4</v>
      </c>
      <c r="F73" s="0" t="n">
        <v>0</v>
      </c>
      <c r="G73" s="0" t="n">
        <v>6</v>
      </c>
      <c r="H73" s="0" t="n">
        <v>6</v>
      </c>
    </row>
    <row r="74" customFormat="false" ht="15" hidden="false" customHeight="false" outlineLevel="0" collapsed="false">
      <c r="A74" s="0" t="s">
        <v>222</v>
      </c>
      <c r="B74" s="0" t="s">
        <v>576</v>
      </c>
      <c r="C74" s="0" t="s">
        <v>571</v>
      </c>
      <c r="D74" s="0" t="n">
        <v>1</v>
      </c>
      <c r="E74" s="0" t="n">
        <v>1</v>
      </c>
      <c r="F74" s="0" t="n">
        <v>2</v>
      </c>
      <c r="G74" s="0" t="n">
        <v>2</v>
      </c>
      <c r="H74" s="0" t="n">
        <v>4</v>
      </c>
    </row>
    <row r="75" customFormat="false" ht="15" hidden="false" customHeight="false" outlineLevel="0" collapsed="false">
      <c r="A75" s="0" t="s">
        <v>222</v>
      </c>
      <c r="B75" s="0" t="s">
        <v>577</v>
      </c>
      <c r="C75" s="0" t="s">
        <v>578</v>
      </c>
      <c r="D75" s="0" t="n">
        <v>7</v>
      </c>
      <c r="E75" s="0" t="n">
        <v>6</v>
      </c>
      <c r="F75" s="0" t="n">
        <v>5</v>
      </c>
      <c r="G75" s="0" t="n">
        <v>13</v>
      </c>
      <c r="H75" s="0" t="n">
        <v>18</v>
      </c>
    </row>
    <row r="76" customFormat="false" ht="15" hidden="false" customHeight="false" outlineLevel="0" collapsed="false">
      <c r="A76" s="0" t="s">
        <v>222</v>
      </c>
      <c r="B76" s="0" t="s">
        <v>579</v>
      </c>
      <c r="C76" s="0" t="s">
        <v>580</v>
      </c>
      <c r="D76" s="0" t="n">
        <v>8</v>
      </c>
      <c r="E76" s="0" t="n">
        <v>7</v>
      </c>
      <c r="F76" s="0" t="n">
        <v>0</v>
      </c>
      <c r="G76" s="0" t="n">
        <v>15</v>
      </c>
      <c r="H76" s="0" t="n">
        <v>15</v>
      </c>
    </row>
    <row r="77" customFormat="false" ht="15" hidden="false" customHeight="false" outlineLevel="0" collapsed="false">
      <c r="A77" s="0" t="s">
        <v>187</v>
      </c>
      <c r="B77" s="0" t="s">
        <v>559</v>
      </c>
      <c r="C77" s="0" t="s">
        <v>588</v>
      </c>
      <c r="D77" s="0" t="n">
        <v>1</v>
      </c>
      <c r="E77" s="0" t="n">
        <v>10</v>
      </c>
      <c r="F77" s="0" t="n">
        <v>3</v>
      </c>
      <c r="G77" s="0" t="n">
        <v>11</v>
      </c>
      <c r="H77" s="0" t="n">
        <v>14</v>
      </c>
    </row>
    <row r="78" customFormat="false" ht="15" hidden="false" customHeight="false" outlineLevel="0" collapsed="false">
      <c r="A78" s="0" t="s">
        <v>187</v>
      </c>
      <c r="B78" s="0" t="s">
        <v>561</v>
      </c>
      <c r="C78" s="0" t="s">
        <v>103</v>
      </c>
      <c r="D78" s="0" t="n">
        <v>4</v>
      </c>
      <c r="E78" s="0" t="n">
        <v>9</v>
      </c>
      <c r="F78" s="0" t="n">
        <v>0</v>
      </c>
      <c r="G78" s="0" t="n">
        <v>13</v>
      </c>
      <c r="H78" s="0" t="n">
        <v>13</v>
      </c>
    </row>
    <row r="79" customFormat="false" ht="15" hidden="false" customHeight="false" outlineLevel="0" collapsed="false">
      <c r="A79" s="0" t="s">
        <v>187</v>
      </c>
      <c r="B79" s="0" t="s">
        <v>562</v>
      </c>
      <c r="C79" s="0" t="s">
        <v>102</v>
      </c>
      <c r="D79" s="0" t="n">
        <v>3</v>
      </c>
      <c r="E79" s="0" t="n">
        <v>1</v>
      </c>
      <c r="F79" s="0" t="n">
        <v>0</v>
      </c>
      <c r="G79" s="0" t="n">
        <v>4</v>
      </c>
      <c r="H79" s="0" t="n">
        <v>4</v>
      </c>
    </row>
    <row r="80" customFormat="false" ht="15" hidden="false" customHeight="false" outlineLevel="0" collapsed="false">
      <c r="A80" s="0" t="s">
        <v>187</v>
      </c>
      <c r="B80" s="0" t="s">
        <v>574</v>
      </c>
      <c r="C80" s="0" t="s">
        <v>568</v>
      </c>
      <c r="D80" s="0" t="n">
        <v>4</v>
      </c>
      <c r="E80" s="0" t="n">
        <v>1</v>
      </c>
      <c r="F80" s="0" t="n">
        <v>1</v>
      </c>
      <c r="G80" s="0" t="n">
        <v>5</v>
      </c>
      <c r="H80" s="0" t="n">
        <v>6</v>
      </c>
    </row>
    <row r="81" customFormat="false" ht="15" hidden="false" customHeight="false" outlineLevel="0" collapsed="false">
      <c r="A81" s="0" t="s">
        <v>187</v>
      </c>
      <c r="B81" s="0" t="s">
        <v>576</v>
      </c>
      <c r="C81" s="0" t="s">
        <v>589</v>
      </c>
      <c r="D81" s="0" t="n">
        <v>9</v>
      </c>
      <c r="E81" s="0" t="n">
        <v>9</v>
      </c>
      <c r="F81" s="0" t="n">
        <v>0</v>
      </c>
      <c r="G81" s="0" t="n">
        <v>18</v>
      </c>
      <c r="H81" s="0" t="n">
        <v>18</v>
      </c>
    </row>
    <row r="82" customFormat="false" ht="15" hidden="false" customHeight="false" outlineLevel="0" collapsed="false">
      <c r="A82" s="0" t="s">
        <v>187</v>
      </c>
      <c r="B82" s="0" t="s">
        <v>577</v>
      </c>
      <c r="C82" s="0" t="s">
        <v>85</v>
      </c>
      <c r="D82" s="0" t="n">
        <v>6</v>
      </c>
      <c r="E82" s="0" t="n">
        <v>11</v>
      </c>
      <c r="F82" s="0" t="n">
        <v>3</v>
      </c>
      <c r="G82" s="0" t="n">
        <v>17</v>
      </c>
      <c r="H82" s="0" t="n">
        <v>20</v>
      </c>
    </row>
    <row r="83" customFormat="false" ht="15" hidden="false" customHeight="false" outlineLevel="0" collapsed="false">
      <c r="A83" s="0" t="s">
        <v>187</v>
      </c>
      <c r="B83" s="0" t="s">
        <v>579</v>
      </c>
      <c r="C83" s="0" t="s">
        <v>590</v>
      </c>
      <c r="D83" s="0" t="n">
        <v>4</v>
      </c>
      <c r="E83" s="0" t="n">
        <v>1</v>
      </c>
      <c r="F83" s="0" t="n">
        <v>7</v>
      </c>
      <c r="G83" s="0" t="n">
        <v>5</v>
      </c>
      <c r="H83" s="0" t="n">
        <v>12</v>
      </c>
    </row>
    <row r="84" customFormat="false" ht="15" hidden="false" customHeight="false" outlineLevel="0" collapsed="false">
      <c r="A84" s="0" t="s">
        <v>187</v>
      </c>
      <c r="B84" s="0" t="s">
        <v>581</v>
      </c>
      <c r="C84" s="0" t="s">
        <v>591</v>
      </c>
      <c r="D84" s="0" t="n">
        <v>5</v>
      </c>
      <c r="E84" s="0" t="n">
        <v>4</v>
      </c>
      <c r="F84" s="0" t="n">
        <v>10</v>
      </c>
      <c r="G84" s="0" t="n">
        <v>9</v>
      </c>
      <c r="H84" s="0" t="n">
        <v>19</v>
      </c>
    </row>
    <row r="85" customFormat="false" ht="15" hidden="false" customHeight="false" outlineLevel="0" collapsed="false">
      <c r="A85" s="0" t="s">
        <v>187</v>
      </c>
      <c r="B85" s="0" t="s">
        <v>592</v>
      </c>
      <c r="C85" s="0" t="s">
        <v>90</v>
      </c>
      <c r="D85" s="0" t="n">
        <v>2</v>
      </c>
      <c r="E85" s="0" t="n">
        <v>6</v>
      </c>
      <c r="F85" s="0" t="n">
        <v>0</v>
      </c>
      <c r="G85" s="0" t="n">
        <v>8</v>
      </c>
      <c r="H85" s="0" t="n">
        <v>8</v>
      </c>
    </row>
    <row r="86" customFormat="false" ht="15" hidden="false" customHeight="false" outlineLevel="0" collapsed="false">
      <c r="A86" s="0" t="s">
        <v>187</v>
      </c>
      <c r="B86" s="0" t="s">
        <v>593</v>
      </c>
      <c r="C86" s="0" t="s">
        <v>594</v>
      </c>
      <c r="D86" s="0" t="n">
        <v>0</v>
      </c>
      <c r="E86" s="0" t="n">
        <v>7</v>
      </c>
      <c r="F86" s="0" t="n">
        <v>4</v>
      </c>
      <c r="G86" s="0" t="n">
        <v>7</v>
      </c>
      <c r="H86" s="0" t="n">
        <v>11</v>
      </c>
    </row>
    <row r="87" customFormat="false" ht="15" hidden="false" customHeight="false" outlineLevel="0" collapsed="false">
      <c r="A87" s="0" t="s">
        <v>187</v>
      </c>
      <c r="B87" s="0" t="s">
        <v>582</v>
      </c>
      <c r="C87" s="0" t="s">
        <v>595</v>
      </c>
      <c r="D87" s="0" t="n">
        <v>9</v>
      </c>
      <c r="E87" s="0" t="n">
        <v>6</v>
      </c>
      <c r="F87" s="0" t="n">
        <v>9</v>
      </c>
      <c r="G87" s="0" t="n">
        <v>15</v>
      </c>
      <c r="H87" s="0" t="n">
        <v>24</v>
      </c>
    </row>
    <row r="88" customFormat="false" ht="15" hidden="false" customHeight="false" outlineLevel="0" collapsed="false">
      <c r="A88" s="0" t="s">
        <v>187</v>
      </c>
      <c r="B88" s="0" t="s">
        <v>583</v>
      </c>
      <c r="C88" s="0" t="s">
        <v>78</v>
      </c>
      <c r="D88" s="0" t="n">
        <v>2</v>
      </c>
      <c r="E88" s="0" t="n">
        <v>7</v>
      </c>
      <c r="F88" s="0" t="n">
        <v>0</v>
      </c>
      <c r="G88" s="0" t="n">
        <v>9</v>
      </c>
      <c r="H88" s="0" t="n">
        <v>9</v>
      </c>
    </row>
    <row r="89" customFormat="false" ht="15" hidden="false" customHeight="false" outlineLevel="0" collapsed="false">
      <c r="A89" s="0" t="s">
        <v>187</v>
      </c>
      <c r="B89" s="0" t="s">
        <v>584</v>
      </c>
      <c r="C89" s="0" t="s">
        <v>596</v>
      </c>
      <c r="D89" s="0" t="n">
        <v>2</v>
      </c>
      <c r="E89" s="0" t="n">
        <v>4</v>
      </c>
      <c r="F89" s="0" t="n">
        <v>5</v>
      </c>
      <c r="G89" s="0" t="n">
        <v>6</v>
      </c>
      <c r="H89" s="0" t="n">
        <v>11</v>
      </c>
    </row>
    <row r="90" customFormat="false" ht="15" hidden="false" customHeight="false" outlineLevel="0" collapsed="false">
      <c r="A90" s="0" t="s">
        <v>187</v>
      </c>
      <c r="B90" s="0" t="s">
        <v>585</v>
      </c>
      <c r="C90" s="0" t="s">
        <v>597</v>
      </c>
      <c r="D90" s="0" t="n">
        <v>2</v>
      </c>
      <c r="E90" s="0" t="n">
        <v>5</v>
      </c>
      <c r="F90" s="0" t="n">
        <v>6</v>
      </c>
      <c r="G90" s="0" t="n">
        <v>7</v>
      </c>
      <c r="H90" s="0" t="n">
        <v>13</v>
      </c>
    </row>
    <row r="91" customFormat="false" ht="15" hidden="false" customHeight="false" outlineLevel="0" collapsed="false">
      <c r="A91" s="0" t="s">
        <v>187</v>
      </c>
      <c r="B91" s="0" t="s">
        <v>585</v>
      </c>
      <c r="C91" s="0" t="s">
        <v>598</v>
      </c>
      <c r="D91" s="0" t="n">
        <v>1</v>
      </c>
      <c r="E91" s="0" t="n">
        <v>6</v>
      </c>
      <c r="F91" s="0" t="n">
        <v>8</v>
      </c>
      <c r="G91" s="0" t="n">
        <v>7</v>
      </c>
      <c r="H91" s="0" t="n">
        <v>15</v>
      </c>
    </row>
    <row r="92" customFormat="false" ht="15" hidden="false" customHeight="false" outlineLevel="0" collapsed="false">
      <c r="A92" s="0" t="s">
        <v>190</v>
      </c>
      <c r="B92" s="0" t="s">
        <v>559</v>
      </c>
      <c r="C92" s="0" t="s">
        <v>588</v>
      </c>
      <c r="D92" s="0" t="n">
        <v>2</v>
      </c>
      <c r="E92" s="0" t="n">
        <v>8</v>
      </c>
      <c r="F92" s="0" t="n">
        <v>1</v>
      </c>
      <c r="G92" s="0" t="n">
        <v>10</v>
      </c>
      <c r="H92" s="0" t="n">
        <v>11</v>
      </c>
    </row>
    <row r="93" customFormat="false" ht="15" hidden="false" customHeight="false" outlineLevel="0" collapsed="false">
      <c r="A93" s="0" t="s">
        <v>190</v>
      </c>
      <c r="B93" s="0" t="s">
        <v>561</v>
      </c>
      <c r="C93" s="0" t="s">
        <v>103</v>
      </c>
      <c r="D93" s="0" t="n">
        <v>1</v>
      </c>
      <c r="E93" s="0" t="n">
        <v>3</v>
      </c>
      <c r="F93" s="0" t="n">
        <v>0</v>
      </c>
      <c r="G93" s="0" t="n">
        <v>4</v>
      </c>
      <c r="H93" s="0" t="n">
        <v>4</v>
      </c>
    </row>
    <row r="94" customFormat="false" ht="15" hidden="false" customHeight="false" outlineLevel="0" collapsed="false">
      <c r="A94" s="0" t="s">
        <v>190</v>
      </c>
      <c r="B94" s="0" t="s">
        <v>562</v>
      </c>
      <c r="C94" s="0" t="s">
        <v>102</v>
      </c>
      <c r="D94" s="0" t="n">
        <v>0</v>
      </c>
      <c r="E94" s="0" t="n">
        <v>3</v>
      </c>
      <c r="F94" s="0" t="n">
        <v>0</v>
      </c>
      <c r="G94" s="0" t="n">
        <v>3</v>
      </c>
      <c r="H94" s="0" t="n">
        <v>3</v>
      </c>
    </row>
    <row r="95" customFormat="false" ht="15" hidden="false" customHeight="false" outlineLevel="0" collapsed="false">
      <c r="A95" s="0" t="s">
        <v>190</v>
      </c>
      <c r="B95" s="0" t="s">
        <v>593</v>
      </c>
      <c r="C95" s="0" t="s">
        <v>103</v>
      </c>
      <c r="D95" s="0" t="n">
        <v>1</v>
      </c>
      <c r="E95" s="0" t="n">
        <v>1</v>
      </c>
      <c r="F95" s="0" t="n">
        <v>1</v>
      </c>
      <c r="G95" s="0" t="n">
        <v>2</v>
      </c>
      <c r="H95" s="0" t="n">
        <v>3</v>
      </c>
    </row>
    <row r="96" customFormat="false" ht="15" hidden="false" customHeight="false" outlineLevel="0" collapsed="false">
      <c r="A96" s="0" t="s">
        <v>190</v>
      </c>
      <c r="B96" s="0" t="s">
        <v>582</v>
      </c>
      <c r="C96" s="0" t="s">
        <v>84</v>
      </c>
      <c r="D96" s="0" t="n">
        <v>3</v>
      </c>
      <c r="E96" s="0" t="n">
        <v>1</v>
      </c>
      <c r="F96" s="0" t="n">
        <v>1</v>
      </c>
      <c r="G96" s="0" t="n">
        <v>4</v>
      </c>
      <c r="H96" s="0" t="n">
        <v>5</v>
      </c>
    </row>
    <row r="97" customFormat="false" ht="15" hidden="false" customHeight="false" outlineLevel="0" collapsed="false">
      <c r="A97" s="0" t="s">
        <v>190</v>
      </c>
      <c r="B97" s="0" t="s">
        <v>583</v>
      </c>
      <c r="C97" s="0" t="s">
        <v>587</v>
      </c>
      <c r="D97" s="0" t="n">
        <v>0</v>
      </c>
      <c r="E97" s="0" t="n">
        <v>9</v>
      </c>
      <c r="F97" s="0" t="n">
        <v>3</v>
      </c>
      <c r="G97" s="0" t="n">
        <v>9</v>
      </c>
      <c r="H97" s="0" t="n">
        <v>12</v>
      </c>
    </row>
    <row r="98" customFormat="false" ht="15" hidden="false" customHeight="false" outlineLevel="0" collapsed="false">
      <c r="A98" s="0" t="s">
        <v>190</v>
      </c>
      <c r="B98" s="0" t="s">
        <v>585</v>
      </c>
      <c r="C98" s="0" t="s">
        <v>90</v>
      </c>
      <c r="D98" s="0" t="n">
        <v>2</v>
      </c>
      <c r="E98" s="0" t="n">
        <v>0</v>
      </c>
      <c r="F98" s="0" t="n">
        <v>0</v>
      </c>
      <c r="G98" s="0" t="n">
        <v>2</v>
      </c>
      <c r="H98" s="0" t="n">
        <v>2</v>
      </c>
    </row>
    <row r="99" customFormat="false" ht="15" hidden="false" customHeight="false" outlineLevel="0" collapsed="false">
      <c r="A99" s="0" t="s">
        <v>190</v>
      </c>
      <c r="B99" s="0" t="s">
        <v>585</v>
      </c>
      <c r="C99" s="0" t="s">
        <v>599</v>
      </c>
      <c r="D99" s="0" t="n">
        <v>0</v>
      </c>
      <c r="E99" s="0" t="n">
        <v>2</v>
      </c>
      <c r="F99" s="0" t="n">
        <v>0</v>
      </c>
      <c r="G99" s="0" t="n">
        <v>2</v>
      </c>
      <c r="H99" s="0" t="n">
        <v>2</v>
      </c>
    </row>
    <row r="100" customFormat="false" ht="15" hidden="false" customHeight="false" outlineLevel="0" collapsed="false">
      <c r="A100" s="0" t="s">
        <v>190</v>
      </c>
      <c r="B100" s="0" t="s">
        <v>586</v>
      </c>
      <c r="C100" s="0" t="s">
        <v>596</v>
      </c>
      <c r="D100" s="0" t="n">
        <v>0</v>
      </c>
      <c r="E100" s="0" t="n">
        <v>1</v>
      </c>
      <c r="F100" s="0" t="n">
        <v>0</v>
      </c>
      <c r="G100" s="0" t="n">
        <v>1</v>
      </c>
      <c r="H100" s="0" t="n">
        <v>1</v>
      </c>
    </row>
    <row r="101" customFormat="false" ht="15" hidden="false" customHeight="false" outlineLevel="0" collapsed="false">
      <c r="A101" s="0" t="s">
        <v>190</v>
      </c>
      <c r="B101" s="0" t="s">
        <v>600</v>
      </c>
      <c r="C101" s="0" t="s">
        <v>79</v>
      </c>
      <c r="D101" s="0" t="n">
        <v>2</v>
      </c>
      <c r="E101" s="0" t="n">
        <v>3</v>
      </c>
      <c r="F101" s="0" t="n">
        <v>0</v>
      </c>
      <c r="G101" s="0" t="n">
        <v>5</v>
      </c>
      <c r="H101" s="0" t="n">
        <v>5</v>
      </c>
    </row>
    <row r="102" customFormat="false" ht="15" hidden="false" customHeight="false" outlineLevel="0" collapsed="false">
      <c r="A102" s="0" t="s">
        <v>190</v>
      </c>
      <c r="B102" s="0" t="s">
        <v>600</v>
      </c>
      <c r="C102" s="0" t="s">
        <v>597</v>
      </c>
      <c r="D102" s="0" t="n">
        <v>0</v>
      </c>
      <c r="E102" s="0" t="n">
        <v>1</v>
      </c>
      <c r="F102" s="0" t="n">
        <v>0</v>
      </c>
      <c r="G102" s="0" t="n">
        <v>1</v>
      </c>
      <c r="H102" s="0" t="n">
        <v>1</v>
      </c>
    </row>
    <row r="103" customFormat="false" ht="15" hidden="false" customHeight="false" outlineLevel="0" collapsed="false">
      <c r="A103" s="0" t="s">
        <v>190</v>
      </c>
      <c r="B103" s="0" t="s">
        <v>601</v>
      </c>
      <c r="C103" s="0" t="s">
        <v>79</v>
      </c>
      <c r="D103" s="0" t="n">
        <v>1</v>
      </c>
      <c r="E103" s="0" t="n">
        <v>2</v>
      </c>
      <c r="F103" s="0" t="n">
        <v>0</v>
      </c>
      <c r="G103" s="0" t="n">
        <v>3</v>
      </c>
      <c r="H103" s="0" t="n">
        <v>3</v>
      </c>
    </row>
    <row r="104" customFormat="false" ht="15" hidden="false" customHeight="false" outlineLevel="0" collapsed="false">
      <c r="A104" s="0" t="s">
        <v>190</v>
      </c>
      <c r="B104" s="0" t="s">
        <v>602</v>
      </c>
      <c r="C104" s="0" t="s">
        <v>587</v>
      </c>
      <c r="D104" s="0" t="n">
        <v>1</v>
      </c>
      <c r="E104" s="0" t="n">
        <v>2</v>
      </c>
      <c r="F104" s="0" t="n">
        <v>0</v>
      </c>
      <c r="G104" s="0" t="n">
        <v>3</v>
      </c>
      <c r="H104" s="0" t="n">
        <v>3</v>
      </c>
    </row>
    <row r="105" customFormat="false" ht="15" hidden="false" customHeight="false" outlineLevel="0" collapsed="false">
      <c r="A105" s="0" t="s">
        <v>190</v>
      </c>
      <c r="B105" s="0" t="s">
        <v>603</v>
      </c>
      <c r="C105" s="0" t="s">
        <v>599</v>
      </c>
      <c r="D105" s="0" t="n">
        <v>2</v>
      </c>
      <c r="E105" s="0" t="n">
        <v>2</v>
      </c>
      <c r="F105" s="0" t="n">
        <v>0</v>
      </c>
      <c r="G105" s="0" t="n">
        <v>4</v>
      </c>
      <c r="H105" s="0" t="n">
        <v>4</v>
      </c>
    </row>
    <row r="106" customFormat="false" ht="15" hidden="false" customHeight="false" outlineLevel="0" collapsed="false">
      <c r="A106" s="0" t="s">
        <v>190</v>
      </c>
      <c r="B106" s="0" t="s">
        <v>603</v>
      </c>
      <c r="C106" s="0" t="s">
        <v>85</v>
      </c>
      <c r="D106" s="0" t="n">
        <v>3</v>
      </c>
      <c r="E106" s="0" t="n">
        <v>4</v>
      </c>
      <c r="F106" s="0" t="n">
        <v>0</v>
      </c>
      <c r="G106" s="0" t="n">
        <v>7</v>
      </c>
      <c r="H106" s="0" t="n">
        <v>7</v>
      </c>
    </row>
    <row r="107" customFormat="false" ht="15" hidden="false" customHeight="false" outlineLevel="0" collapsed="false">
      <c r="A107" s="0" t="s">
        <v>193</v>
      </c>
      <c r="B107" s="0" t="s">
        <v>559</v>
      </c>
      <c r="C107" s="0" t="s">
        <v>588</v>
      </c>
      <c r="D107" s="0" t="n">
        <v>1</v>
      </c>
      <c r="E107" s="0" t="n">
        <v>15</v>
      </c>
      <c r="F107" s="0" t="n">
        <v>8</v>
      </c>
      <c r="G107" s="0" t="n">
        <v>16</v>
      </c>
      <c r="H107" s="0" t="n">
        <v>24</v>
      </c>
    </row>
    <row r="108" customFormat="false" ht="15" hidden="false" customHeight="false" outlineLevel="0" collapsed="false">
      <c r="A108" s="0" t="s">
        <v>193</v>
      </c>
      <c r="B108" s="0" t="s">
        <v>561</v>
      </c>
      <c r="C108" s="0" t="s">
        <v>103</v>
      </c>
      <c r="D108" s="0" t="n">
        <v>13</v>
      </c>
      <c r="E108" s="0" t="n">
        <v>10</v>
      </c>
      <c r="F108" s="0" t="n">
        <v>0</v>
      </c>
      <c r="G108" s="0" t="n">
        <v>23</v>
      </c>
      <c r="H108" s="0" t="n">
        <v>23</v>
      </c>
    </row>
    <row r="109" customFormat="false" ht="15" hidden="false" customHeight="false" outlineLevel="0" collapsed="false">
      <c r="A109" s="0" t="s">
        <v>193</v>
      </c>
      <c r="B109" s="0" t="s">
        <v>562</v>
      </c>
      <c r="C109" s="0" t="s">
        <v>102</v>
      </c>
      <c r="D109" s="0" t="n">
        <v>10</v>
      </c>
      <c r="E109" s="0" t="n">
        <v>4</v>
      </c>
      <c r="F109" s="0" t="n">
        <v>0</v>
      </c>
      <c r="G109" s="0" t="n">
        <v>14</v>
      </c>
      <c r="H109" s="0" t="n">
        <v>14</v>
      </c>
    </row>
    <row r="110" customFormat="false" ht="15" hidden="false" customHeight="false" outlineLevel="0" collapsed="false">
      <c r="A110" s="0" t="s">
        <v>193</v>
      </c>
      <c r="B110" s="0" t="s">
        <v>574</v>
      </c>
      <c r="C110" s="0" t="s">
        <v>568</v>
      </c>
      <c r="D110" s="0" t="n">
        <v>13</v>
      </c>
      <c r="E110" s="0" t="n">
        <v>6</v>
      </c>
      <c r="F110" s="0" t="n">
        <v>4</v>
      </c>
      <c r="G110" s="0" t="n">
        <v>19</v>
      </c>
      <c r="H110" s="0" t="n">
        <v>23</v>
      </c>
    </row>
    <row r="111" customFormat="false" ht="15" hidden="false" customHeight="false" outlineLevel="0" collapsed="false">
      <c r="A111" s="0" t="s">
        <v>193</v>
      </c>
      <c r="B111" s="0" t="s">
        <v>576</v>
      </c>
      <c r="C111" s="0" t="s">
        <v>589</v>
      </c>
      <c r="D111" s="0" t="n">
        <v>7</v>
      </c>
      <c r="E111" s="0" t="n">
        <v>16</v>
      </c>
      <c r="F111" s="0" t="n">
        <v>0</v>
      </c>
      <c r="G111" s="0" t="n">
        <v>23</v>
      </c>
      <c r="H111" s="0" t="n">
        <v>23</v>
      </c>
    </row>
    <row r="112" customFormat="false" ht="15" hidden="false" customHeight="false" outlineLevel="0" collapsed="false">
      <c r="A112" s="0" t="s">
        <v>193</v>
      </c>
      <c r="B112" s="0" t="s">
        <v>577</v>
      </c>
      <c r="C112" s="0" t="s">
        <v>85</v>
      </c>
      <c r="D112" s="0" t="n">
        <v>2</v>
      </c>
      <c r="E112" s="0" t="n">
        <v>14</v>
      </c>
      <c r="F112" s="0" t="n">
        <v>8</v>
      </c>
      <c r="G112" s="0" t="n">
        <v>16</v>
      </c>
      <c r="H112" s="0" t="n">
        <v>24</v>
      </c>
    </row>
    <row r="113" customFormat="false" ht="15" hidden="false" customHeight="false" outlineLevel="0" collapsed="false">
      <c r="A113" s="0" t="s">
        <v>193</v>
      </c>
      <c r="B113" s="0" t="s">
        <v>579</v>
      </c>
      <c r="C113" s="0" t="s">
        <v>590</v>
      </c>
      <c r="D113" s="0" t="n">
        <v>10</v>
      </c>
      <c r="E113" s="0" t="n">
        <v>8</v>
      </c>
      <c r="F113" s="0" t="n">
        <v>16</v>
      </c>
      <c r="G113" s="0" t="n">
        <v>18</v>
      </c>
      <c r="H113" s="0" t="n">
        <v>34</v>
      </c>
    </row>
    <row r="114" customFormat="false" ht="15" hidden="false" customHeight="false" outlineLevel="0" collapsed="false">
      <c r="A114" s="0" t="s">
        <v>193</v>
      </c>
      <c r="B114" s="0" t="s">
        <v>581</v>
      </c>
      <c r="C114" s="0" t="s">
        <v>591</v>
      </c>
      <c r="D114" s="0" t="n">
        <v>15</v>
      </c>
      <c r="E114" s="0" t="n">
        <v>7</v>
      </c>
      <c r="F114" s="0" t="n">
        <v>12</v>
      </c>
      <c r="G114" s="0" t="n">
        <v>22</v>
      </c>
      <c r="H114" s="0" t="n">
        <v>34</v>
      </c>
    </row>
    <row r="115" customFormat="false" ht="15" hidden="false" customHeight="false" outlineLevel="0" collapsed="false">
      <c r="A115" s="0" t="s">
        <v>193</v>
      </c>
      <c r="B115" s="0" t="s">
        <v>593</v>
      </c>
      <c r="C115" s="0" t="s">
        <v>103</v>
      </c>
      <c r="D115" s="0" t="n">
        <v>2</v>
      </c>
      <c r="E115" s="0" t="n">
        <v>8</v>
      </c>
      <c r="F115" s="0" t="n">
        <v>1</v>
      </c>
      <c r="G115" s="0" t="n">
        <v>10</v>
      </c>
      <c r="H115" s="0" t="n">
        <v>11</v>
      </c>
    </row>
    <row r="116" customFormat="false" ht="15" hidden="false" customHeight="false" outlineLevel="0" collapsed="false">
      <c r="A116" s="0" t="s">
        <v>193</v>
      </c>
      <c r="B116" s="0" t="s">
        <v>582</v>
      </c>
      <c r="C116" s="0" t="s">
        <v>84</v>
      </c>
      <c r="D116" s="0" t="n">
        <v>14</v>
      </c>
      <c r="E116" s="0" t="n">
        <v>5</v>
      </c>
      <c r="F116" s="0" t="n">
        <v>11</v>
      </c>
      <c r="G116" s="0" t="n">
        <v>19</v>
      </c>
      <c r="H116" s="0" t="n">
        <v>30</v>
      </c>
    </row>
    <row r="117" customFormat="false" ht="15" hidden="false" customHeight="false" outlineLevel="0" collapsed="false">
      <c r="A117" s="0" t="s">
        <v>193</v>
      </c>
      <c r="B117" s="0" t="s">
        <v>583</v>
      </c>
      <c r="C117" s="0" t="s">
        <v>587</v>
      </c>
      <c r="D117" s="0" t="n">
        <v>4</v>
      </c>
      <c r="E117" s="0" t="n">
        <v>14</v>
      </c>
      <c r="F117" s="0" t="n">
        <v>8</v>
      </c>
      <c r="G117" s="0" t="n">
        <v>18</v>
      </c>
      <c r="H117" s="0" t="n">
        <v>26</v>
      </c>
    </row>
    <row r="118" customFormat="false" ht="15" hidden="false" customHeight="false" outlineLevel="0" collapsed="false">
      <c r="A118" s="0" t="s">
        <v>193</v>
      </c>
      <c r="B118" s="0" t="s">
        <v>585</v>
      </c>
      <c r="C118" s="0" t="s">
        <v>90</v>
      </c>
      <c r="D118" s="0" t="n">
        <v>12</v>
      </c>
      <c r="E118" s="0" t="n">
        <v>22</v>
      </c>
      <c r="F118" s="0" t="n">
        <v>0</v>
      </c>
      <c r="G118" s="0" t="n">
        <v>34</v>
      </c>
      <c r="H118" s="0" t="n">
        <v>34</v>
      </c>
    </row>
    <row r="119" customFormat="false" ht="15" hidden="false" customHeight="false" outlineLevel="0" collapsed="false">
      <c r="A119" s="0" t="s">
        <v>193</v>
      </c>
      <c r="B119" s="0" t="s">
        <v>585</v>
      </c>
      <c r="C119" s="0" t="s">
        <v>599</v>
      </c>
      <c r="D119" s="0" t="n">
        <v>6</v>
      </c>
      <c r="E119" s="0" t="n">
        <v>8</v>
      </c>
      <c r="F119" s="0" t="n">
        <v>0</v>
      </c>
      <c r="G119" s="0" t="n">
        <v>14</v>
      </c>
      <c r="H119" s="0" t="n">
        <v>14</v>
      </c>
    </row>
    <row r="120" customFormat="false" ht="15" hidden="false" customHeight="false" outlineLevel="0" collapsed="false">
      <c r="A120" s="0" t="s">
        <v>193</v>
      </c>
      <c r="B120" s="0" t="s">
        <v>586</v>
      </c>
      <c r="C120" s="0" t="s">
        <v>596</v>
      </c>
      <c r="D120" s="0" t="n">
        <v>16</v>
      </c>
      <c r="E120" s="0" t="n">
        <v>14</v>
      </c>
      <c r="F120" s="0" t="n">
        <v>0</v>
      </c>
      <c r="G120" s="0" t="n">
        <v>30</v>
      </c>
      <c r="H120" s="0" t="n">
        <v>30</v>
      </c>
    </row>
    <row r="121" customFormat="false" ht="15" hidden="false" customHeight="false" outlineLevel="0" collapsed="false">
      <c r="A121" s="0" t="s">
        <v>193</v>
      </c>
      <c r="B121" s="0" t="s">
        <v>600</v>
      </c>
      <c r="C121" s="0" t="s">
        <v>79</v>
      </c>
      <c r="D121" s="0" t="n">
        <v>12</v>
      </c>
      <c r="E121" s="0" t="n">
        <v>19</v>
      </c>
      <c r="F121" s="0" t="n">
        <v>0</v>
      </c>
      <c r="G121" s="0" t="n">
        <v>31</v>
      </c>
      <c r="H121" s="0" t="n">
        <v>31</v>
      </c>
    </row>
    <row r="122" customFormat="false" ht="15" hidden="false" customHeight="false" outlineLevel="0" collapsed="false">
      <c r="A122" s="0" t="s">
        <v>196</v>
      </c>
      <c r="B122" s="0" t="s">
        <v>559</v>
      </c>
      <c r="C122" s="0" t="s">
        <v>588</v>
      </c>
      <c r="D122" s="0" t="n">
        <v>0</v>
      </c>
      <c r="E122" s="0" t="n">
        <v>13</v>
      </c>
      <c r="F122" s="0" t="n">
        <v>8</v>
      </c>
      <c r="G122" s="0" t="n">
        <v>13</v>
      </c>
      <c r="H122" s="0" t="n">
        <v>21</v>
      </c>
    </row>
    <row r="123" customFormat="false" ht="15" hidden="false" customHeight="false" outlineLevel="0" collapsed="false">
      <c r="A123" s="0" t="s">
        <v>196</v>
      </c>
      <c r="B123" s="0" t="s">
        <v>561</v>
      </c>
      <c r="C123" s="0" t="s">
        <v>103</v>
      </c>
      <c r="D123" s="0" t="n">
        <v>12</v>
      </c>
      <c r="E123" s="0" t="n">
        <v>9</v>
      </c>
      <c r="F123" s="0" t="n">
        <v>0</v>
      </c>
      <c r="G123" s="0" t="n">
        <v>21</v>
      </c>
      <c r="H123" s="0" t="n">
        <v>21</v>
      </c>
    </row>
    <row r="124" customFormat="false" ht="15" hidden="false" customHeight="false" outlineLevel="0" collapsed="false">
      <c r="A124" s="0" t="s">
        <v>196</v>
      </c>
      <c r="B124" s="0" t="s">
        <v>562</v>
      </c>
      <c r="C124" s="0" t="s">
        <v>102</v>
      </c>
      <c r="D124" s="0" t="n">
        <v>13</v>
      </c>
      <c r="E124" s="0" t="n">
        <v>4</v>
      </c>
      <c r="F124" s="0" t="n">
        <v>0</v>
      </c>
      <c r="G124" s="0" t="n">
        <v>17</v>
      </c>
      <c r="H124" s="0" t="n">
        <v>17</v>
      </c>
    </row>
    <row r="125" customFormat="false" ht="15" hidden="false" customHeight="false" outlineLevel="0" collapsed="false">
      <c r="A125" s="0" t="s">
        <v>196</v>
      </c>
      <c r="B125" s="0" t="s">
        <v>584</v>
      </c>
      <c r="C125" s="0" t="s">
        <v>604</v>
      </c>
      <c r="D125" s="0" t="n">
        <v>5</v>
      </c>
      <c r="E125" s="0" t="n">
        <v>4</v>
      </c>
      <c r="F125" s="0" t="n">
        <v>0</v>
      </c>
      <c r="G125" s="0" t="n">
        <v>9</v>
      </c>
      <c r="H125" s="0" t="n">
        <v>9</v>
      </c>
    </row>
    <row r="126" customFormat="false" ht="15" hidden="false" customHeight="false" outlineLevel="0" collapsed="false">
      <c r="A126" s="0" t="s">
        <v>196</v>
      </c>
      <c r="B126" s="0" t="s">
        <v>585</v>
      </c>
      <c r="C126" s="0" t="s">
        <v>78</v>
      </c>
      <c r="D126" s="0" t="n">
        <v>6</v>
      </c>
      <c r="E126" s="0" t="n">
        <v>3</v>
      </c>
      <c r="F126" s="0" t="n">
        <v>3</v>
      </c>
      <c r="G126" s="0" t="n">
        <v>9</v>
      </c>
      <c r="H126" s="0" t="n">
        <v>12</v>
      </c>
    </row>
    <row r="127" customFormat="false" ht="15" hidden="false" customHeight="false" outlineLevel="0" collapsed="false">
      <c r="A127" s="0" t="s">
        <v>196</v>
      </c>
      <c r="B127" s="0" t="s">
        <v>585</v>
      </c>
      <c r="C127" s="0" t="s">
        <v>604</v>
      </c>
      <c r="D127" s="0" t="n">
        <v>10</v>
      </c>
      <c r="E127" s="0" t="n">
        <v>12</v>
      </c>
      <c r="F127" s="0" t="n">
        <v>0</v>
      </c>
      <c r="G127" s="0" t="n">
        <v>22</v>
      </c>
      <c r="H127" s="0" t="n">
        <v>22</v>
      </c>
    </row>
    <row r="128" customFormat="false" ht="15" hidden="false" customHeight="false" outlineLevel="0" collapsed="false">
      <c r="A128" s="0" t="s">
        <v>196</v>
      </c>
      <c r="B128" s="0" t="s">
        <v>586</v>
      </c>
      <c r="C128" s="0" t="s">
        <v>84</v>
      </c>
      <c r="D128" s="0" t="n">
        <v>5</v>
      </c>
      <c r="E128" s="0" t="n">
        <v>10</v>
      </c>
      <c r="F128" s="0" t="n">
        <v>5</v>
      </c>
      <c r="G128" s="0" t="n">
        <v>15</v>
      </c>
      <c r="H128" s="0" t="n">
        <v>20</v>
      </c>
    </row>
    <row r="129" customFormat="false" ht="15" hidden="false" customHeight="false" outlineLevel="0" collapsed="false">
      <c r="A129" s="0" t="s">
        <v>196</v>
      </c>
      <c r="B129" s="0" t="s">
        <v>586</v>
      </c>
      <c r="C129" s="0" t="s">
        <v>90</v>
      </c>
      <c r="D129" s="0" t="n">
        <v>10</v>
      </c>
      <c r="E129" s="0" t="n">
        <v>9</v>
      </c>
      <c r="F129" s="0" t="n">
        <v>0</v>
      </c>
      <c r="G129" s="0" t="n">
        <v>19</v>
      </c>
      <c r="H129" s="0" t="n">
        <v>19</v>
      </c>
    </row>
    <row r="130" customFormat="false" ht="15" hidden="false" customHeight="false" outlineLevel="0" collapsed="false">
      <c r="A130" s="0" t="s">
        <v>196</v>
      </c>
      <c r="B130" s="0" t="s">
        <v>600</v>
      </c>
      <c r="C130" s="0" t="s">
        <v>560</v>
      </c>
      <c r="D130" s="0" t="n">
        <v>11</v>
      </c>
      <c r="E130" s="0" t="n">
        <v>6</v>
      </c>
      <c r="F130" s="0" t="n">
        <v>0</v>
      </c>
      <c r="G130" s="0" t="n">
        <v>17</v>
      </c>
      <c r="H130" s="0" t="n">
        <v>17</v>
      </c>
    </row>
    <row r="131" customFormat="false" ht="15" hidden="false" customHeight="false" outlineLevel="0" collapsed="false">
      <c r="A131" s="0" t="s">
        <v>196</v>
      </c>
      <c r="B131" s="0" t="s">
        <v>605</v>
      </c>
      <c r="C131" s="0" t="s">
        <v>606</v>
      </c>
      <c r="D131" s="0" t="n">
        <v>5</v>
      </c>
      <c r="E131" s="0" t="n">
        <v>1</v>
      </c>
      <c r="F131" s="0" t="n">
        <v>0</v>
      </c>
      <c r="G131" s="0" t="n">
        <v>6</v>
      </c>
      <c r="H131" s="0" t="n">
        <v>6</v>
      </c>
    </row>
    <row r="132" customFormat="false" ht="15" hidden="false" customHeight="false" outlineLevel="0" collapsed="false">
      <c r="A132" s="0" t="s">
        <v>196</v>
      </c>
      <c r="B132" s="0" t="s">
        <v>607</v>
      </c>
      <c r="C132" s="0" t="s">
        <v>78</v>
      </c>
      <c r="D132" s="0" t="n">
        <v>6</v>
      </c>
      <c r="E132" s="0" t="n">
        <v>4</v>
      </c>
      <c r="F132" s="0" t="n">
        <v>0</v>
      </c>
      <c r="G132" s="0" t="n">
        <v>10</v>
      </c>
      <c r="H132" s="0" t="n">
        <v>10</v>
      </c>
    </row>
    <row r="133" customFormat="false" ht="15" hidden="false" customHeight="false" outlineLevel="0" collapsed="false">
      <c r="A133" s="0" t="s">
        <v>196</v>
      </c>
      <c r="B133" s="0" t="s">
        <v>608</v>
      </c>
      <c r="C133" s="0" t="s">
        <v>591</v>
      </c>
      <c r="D133" s="0" t="n">
        <v>10</v>
      </c>
      <c r="E133" s="0" t="n">
        <v>8</v>
      </c>
      <c r="F133" s="0" t="n">
        <v>0</v>
      </c>
      <c r="G133" s="0" t="n">
        <v>18</v>
      </c>
      <c r="H133" s="0" t="n">
        <v>18</v>
      </c>
    </row>
    <row r="134" customFormat="false" ht="15" hidden="false" customHeight="false" outlineLevel="0" collapsed="false">
      <c r="A134" s="0" t="s">
        <v>196</v>
      </c>
      <c r="B134" s="0" t="s">
        <v>609</v>
      </c>
      <c r="C134" s="0" t="s">
        <v>610</v>
      </c>
      <c r="D134" s="0" t="n">
        <v>7</v>
      </c>
      <c r="E134" s="0" t="n">
        <v>11</v>
      </c>
      <c r="F134" s="0" t="n">
        <v>0</v>
      </c>
      <c r="G134" s="0" t="n">
        <v>18</v>
      </c>
      <c r="H134" s="0" t="n">
        <v>18</v>
      </c>
    </row>
    <row r="135" customFormat="false" ht="15" hidden="false" customHeight="false" outlineLevel="0" collapsed="false">
      <c r="A135" s="0" t="s">
        <v>196</v>
      </c>
      <c r="B135" s="0" t="s">
        <v>611</v>
      </c>
      <c r="C135" s="0" t="s">
        <v>595</v>
      </c>
      <c r="D135" s="0" t="n">
        <v>16</v>
      </c>
      <c r="E135" s="0" t="n">
        <v>6</v>
      </c>
      <c r="F135" s="0" t="n">
        <v>0</v>
      </c>
      <c r="G135" s="0" t="n">
        <v>22</v>
      </c>
      <c r="H135" s="0" t="n">
        <v>22</v>
      </c>
    </row>
    <row r="136" customFormat="false" ht="15" hidden="false" customHeight="false" outlineLevel="0" collapsed="false">
      <c r="A136" s="0" t="s">
        <v>196</v>
      </c>
      <c r="B136" s="0" t="s">
        <v>612</v>
      </c>
      <c r="C136" s="0" t="s">
        <v>613</v>
      </c>
      <c r="D136" s="0" t="n">
        <v>6</v>
      </c>
      <c r="E136" s="0" t="n">
        <v>6</v>
      </c>
      <c r="F136" s="0" t="n">
        <v>0</v>
      </c>
      <c r="G136" s="0" t="n">
        <v>12</v>
      </c>
      <c r="H136" s="0" t="n">
        <v>12</v>
      </c>
    </row>
    <row r="137" customFormat="false" ht="15" hidden="false" customHeight="false" outlineLevel="0" collapsed="false">
      <c r="A137" s="0" t="s">
        <v>199</v>
      </c>
      <c r="B137" s="0" t="s">
        <v>559</v>
      </c>
      <c r="C137" s="0" t="s">
        <v>588</v>
      </c>
      <c r="D137" s="0" t="n">
        <v>5</v>
      </c>
      <c r="E137" s="0" t="n">
        <v>1</v>
      </c>
      <c r="F137" s="0" t="n">
        <v>3</v>
      </c>
      <c r="G137" s="0" t="n">
        <v>6</v>
      </c>
      <c r="H137" s="0" t="n">
        <v>9</v>
      </c>
    </row>
    <row r="138" customFormat="false" ht="15" hidden="false" customHeight="false" outlineLevel="0" collapsed="false">
      <c r="A138" s="0" t="s">
        <v>199</v>
      </c>
      <c r="B138" s="0" t="s">
        <v>561</v>
      </c>
      <c r="C138" s="0" t="s">
        <v>103</v>
      </c>
      <c r="D138" s="0" t="n">
        <v>2</v>
      </c>
      <c r="E138" s="0" t="n">
        <v>4</v>
      </c>
      <c r="F138" s="0" t="n">
        <v>0</v>
      </c>
      <c r="G138" s="0" t="n">
        <v>6</v>
      </c>
      <c r="H138" s="0" t="n">
        <v>6</v>
      </c>
    </row>
    <row r="139" customFormat="false" ht="15" hidden="false" customHeight="false" outlineLevel="0" collapsed="false">
      <c r="A139" s="0" t="s">
        <v>199</v>
      </c>
      <c r="B139" s="0" t="s">
        <v>562</v>
      </c>
      <c r="C139" s="0" t="s">
        <v>102</v>
      </c>
      <c r="D139" s="0" t="n">
        <v>7</v>
      </c>
      <c r="E139" s="0" t="n">
        <v>3</v>
      </c>
      <c r="F139" s="0" t="n">
        <v>0</v>
      </c>
      <c r="G139" s="0" t="n">
        <v>10</v>
      </c>
      <c r="H139" s="0" t="n">
        <v>10</v>
      </c>
    </row>
    <row r="140" customFormat="false" ht="15" hidden="false" customHeight="false" outlineLevel="0" collapsed="false">
      <c r="A140" s="0" t="s">
        <v>199</v>
      </c>
      <c r="B140" s="0" t="s">
        <v>574</v>
      </c>
      <c r="C140" s="0" t="s">
        <v>568</v>
      </c>
      <c r="D140" s="0" t="n">
        <v>7</v>
      </c>
      <c r="E140" s="0" t="n">
        <v>5</v>
      </c>
      <c r="F140" s="0" t="n">
        <v>1</v>
      </c>
      <c r="G140" s="0" t="n">
        <v>12</v>
      </c>
      <c r="H140" s="0" t="n">
        <v>13</v>
      </c>
    </row>
    <row r="141" customFormat="false" ht="15" hidden="false" customHeight="false" outlineLevel="0" collapsed="false">
      <c r="A141" s="0" t="s">
        <v>199</v>
      </c>
      <c r="B141" s="0" t="s">
        <v>576</v>
      </c>
      <c r="C141" s="0" t="s">
        <v>589</v>
      </c>
      <c r="D141" s="0" t="n">
        <v>3</v>
      </c>
      <c r="E141" s="0" t="n">
        <v>5</v>
      </c>
      <c r="F141" s="0" t="n">
        <v>0</v>
      </c>
      <c r="G141" s="0" t="n">
        <v>8</v>
      </c>
      <c r="H141" s="0" t="n">
        <v>8</v>
      </c>
    </row>
    <row r="142" customFormat="false" ht="15" hidden="false" customHeight="false" outlineLevel="0" collapsed="false">
      <c r="A142" s="0" t="s">
        <v>199</v>
      </c>
      <c r="B142" s="0" t="s">
        <v>577</v>
      </c>
      <c r="C142" s="0" t="s">
        <v>85</v>
      </c>
      <c r="D142" s="0" t="n">
        <v>1</v>
      </c>
      <c r="E142" s="0" t="n">
        <v>5</v>
      </c>
      <c r="F142" s="0" t="n">
        <v>7</v>
      </c>
      <c r="G142" s="0" t="n">
        <v>6</v>
      </c>
      <c r="H142" s="0" t="n">
        <v>13</v>
      </c>
    </row>
    <row r="143" customFormat="false" ht="15" hidden="false" customHeight="false" outlineLevel="0" collapsed="false">
      <c r="A143" s="0" t="s">
        <v>199</v>
      </c>
      <c r="B143" s="0" t="s">
        <v>579</v>
      </c>
      <c r="C143" s="0" t="s">
        <v>590</v>
      </c>
      <c r="D143" s="0" t="n">
        <v>8</v>
      </c>
      <c r="E143" s="0" t="n">
        <v>3</v>
      </c>
      <c r="F143" s="0" t="n">
        <v>8</v>
      </c>
      <c r="G143" s="0" t="n">
        <v>11</v>
      </c>
      <c r="H143" s="0" t="n">
        <v>19</v>
      </c>
    </row>
    <row r="144" customFormat="false" ht="15" hidden="false" customHeight="false" outlineLevel="0" collapsed="false">
      <c r="A144" s="0" t="s">
        <v>199</v>
      </c>
      <c r="B144" s="0" t="s">
        <v>581</v>
      </c>
      <c r="C144" s="0" t="s">
        <v>591</v>
      </c>
      <c r="D144" s="0" t="n">
        <v>1</v>
      </c>
      <c r="E144" s="0" t="n">
        <v>2</v>
      </c>
      <c r="F144" s="0" t="n">
        <v>8</v>
      </c>
      <c r="G144" s="0" t="n">
        <v>3</v>
      </c>
      <c r="H144" s="0" t="n">
        <v>11</v>
      </c>
    </row>
    <row r="145" customFormat="false" ht="15" hidden="false" customHeight="false" outlineLevel="0" collapsed="false">
      <c r="A145" s="0" t="s">
        <v>199</v>
      </c>
      <c r="B145" s="0" t="s">
        <v>593</v>
      </c>
      <c r="C145" s="0" t="s">
        <v>103</v>
      </c>
      <c r="D145" s="0" t="n">
        <v>2</v>
      </c>
      <c r="E145" s="0" t="n">
        <v>4</v>
      </c>
      <c r="F145" s="0" t="n">
        <v>0</v>
      </c>
      <c r="G145" s="0" t="n">
        <v>6</v>
      </c>
      <c r="H145" s="0" t="n">
        <v>6</v>
      </c>
    </row>
    <row r="146" customFormat="false" ht="15" hidden="false" customHeight="false" outlineLevel="0" collapsed="false">
      <c r="A146" s="0" t="s">
        <v>199</v>
      </c>
      <c r="B146" s="0" t="s">
        <v>582</v>
      </c>
      <c r="C146" s="0" t="s">
        <v>84</v>
      </c>
      <c r="D146" s="0" t="n">
        <v>4</v>
      </c>
      <c r="E146" s="0" t="n">
        <v>2</v>
      </c>
      <c r="F146" s="0" t="n">
        <v>0</v>
      </c>
      <c r="G146" s="0" t="n">
        <v>6</v>
      </c>
      <c r="H146" s="0" t="n">
        <v>6</v>
      </c>
    </row>
    <row r="147" customFormat="false" ht="15" hidden="false" customHeight="false" outlineLevel="0" collapsed="false">
      <c r="A147" s="0" t="s">
        <v>199</v>
      </c>
      <c r="B147" s="0" t="s">
        <v>583</v>
      </c>
      <c r="C147" s="0" t="s">
        <v>587</v>
      </c>
      <c r="D147" s="0" t="n">
        <v>1</v>
      </c>
      <c r="E147" s="0" t="n">
        <v>0</v>
      </c>
      <c r="F147" s="0" t="n">
        <v>3</v>
      </c>
      <c r="G147" s="0" t="n">
        <v>1</v>
      </c>
      <c r="H147" s="0" t="n">
        <v>4</v>
      </c>
    </row>
    <row r="148" customFormat="false" ht="15" hidden="false" customHeight="false" outlineLevel="0" collapsed="false">
      <c r="A148" s="0" t="s">
        <v>199</v>
      </c>
      <c r="B148" s="0" t="s">
        <v>585</v>
      </c>
      <c r="C148" s="0" t="s">
        <v>90</v>
      </c>
      <c r="D148" s="0" t="n">
        <v>3</v>
      </c>
      <c r="E148" s="0" t="n">
        <v>1</v>
      </c>
      <c r="F148" s="0" t="n">
        <v>0</v>
      </c>
      <c r="G148" s="0" t="n">
        <v>4</v>
      </c>
      <c r="H148" s="0" t="n">
        <v>4</v>
      </c>
    </row>
    <row r="149" customFormat="false" ht="15" hidden="false" customHeight="false" outlineLevel="0" collapsed="false">
      <c r="A149" s="0" t="s">
        <v>199</v>
      </c>
      <c r="B149" s="0" t="s">
        <v>585</v>
      </c>
      <c r="C149" s="0" t="s">
        <v>599</v>
      </c>
      <c r="D149" s="0" t="n">
        <v>5</v>
      </c>
      <c r="E149" s="0" t="n">
        <v>0</v>
      </c>
      <c r="F149" s="0" t="n">
        <v>0</v>
      </c>
      <c r="G149" s="0" t="n">
        <v>5</v>
      </c>
      <c r="H149" s="0" t="n">
        <v>5</v>
      </c>
    </row>
    <row r="150" customFormat="false" ht="15" hidden="false" customHeight="false" outlineLevel="0" collapsed="false">
      <c r="A150" s="0" t="s">
        <v>199</v>
      </c>
      <c r="B150" s="0" t="s">
        <v>586</v>
      </c>
      <c r="C150" s="0" t="s">
        <v>596</v>
      </c>
      <c r="D150" s="0" t="n">
        <v>0</v>
      </c>
      <c r="E150" s="0" t="n">
        <v>3</v>
      </c>
      <c r="F150" s="0" t="n">
        <v>0</v>
      </c>
      <c r="G150" s="0" t="n">
        <v>3</v>
      </c>
      <c r="H150" s="0" t="n">
        <v>3</v>
      </c>
    </row>
    <row r="151" customFormat="false" ht="15" hidden="false" customHeight="false" outlineLevel="0" collapsed="false">
      <c r="A151" s="0" t="s">
        <v>199</v>
      </c>
      <c r="B151" s="0" t="s">
        <v>600</v>
      </c>
      <c r="C151" s="0" t="s">
        <v>79</v>
      </c>
      <c r="D151" s="0" t="n">
        <v>1</v>
      </c>
      <c r="E151" s="0" t="n">
        <v>5</v>
      </c>
      <c r="F151" s="0" t="n">
        <v>0</v>
      </c>
      <c r="G151" s="0" t="n">
        <v>6</v>
      </c>
      <c r="H151" s="0" t="n">
        <v>6</v>
      </c>
    </row>
    <row r="152" customFormat="false" ht="15" hidden="false" customHeight="false" outlineLevel="0" collapsed="false">
      <c r="A152" s="0" t="s">
        <v>157</v>
      </c>
      <c r="B152" s="0" t="s">
        <v>559</v>
      </c>
      <c r="C152" s="0" t="s">
        <v>90</v>
      </c>
      <c r="D152" s="0" t="n">
        <v>1</v>
      </c>
      <c r="E152" s="0" t="n">
        <v>2</v>
      </c>
      <c r="F152" s="0" t="n">
        <v>0</v>
      </c>
      <c r="G152" s="0" t="n">
        <v>3</v>
      </c>
      <c r="H152" s="0" t="n">
        <v>3</v>
      </c>
    </row>
    <row r="153" customFormat="false" ht="15" hidden="false" customHeight="false" outlineLevel="0" collapsed="false">
      <c r="A153" s="0" t="s">
        <v>157</v>
      </c>
      <c r="B153" s="0" t="s">
        <v>561</v>
      </c>
      <c r="C153" s="0" t="s">
        <v>91</v>
      </c>
      <c r="D153" s="0" t="n">
        <v>5</v>
      </c>
      <c r="E153" s="0" t="n">
        <v>4</v>
      </c>
      <c r="F153" s="0" t="n">
        <v>0</v>
      </c>
      <c r="G153" s="0" t="n">
        <v>9</v>
      </c>
      <c r="H153" s="0" t="n">
        <v>9</v>
      </c>
    </row>
    <row r="154" customFormat="false" ht="15" hidden="false" customHeight="false" outlineLevel="0" collapsed="false">
      <c r="A154" s="0" t="s">
        <v>157</v>
      </c>
      <c r="B154" s="0" t="s">
        <v>567</v>
      </c>
      <c r="C154" s="0" t="s">
        <v>79</v>
      </c>
      <c r="D154" s="0" t="n">
        <v>6</v>
      </c>
      <c r="E154" s="0" t="n">
        <v>4</v>
      </c>
      <c r="F154" s="0" t="n">
        <v>3</v>
      </c>
      <c r="G154" s="0" t="n">
        <v>10</v>
      </c>
      <c r="H154" s="0" t="n">
        <v>13</v>
      </c>
    </row>
    <row r="155" customFormat="false" ht="15" hidden="false" customHeight="false" outlineLevel="0" collapsed="false">
      <c r="A155" s="0" t="s">
        <v>157</v>
      </c>
      <c r="B155" s="0" t="s">
        <v>614</v>
      </c>
      <c r="C155" s="0" t="s">
        <v>84</v>
      </c>
      <c r="D155" s="0" t="n">
        <v>0</v>
      </c>
      <c r="E155" s="0" t="n">
        <v>3</v>
      </c>
      <c r="F155" s="0" t="n">
        <v>0</v>
      </c>
      <c r="G155" s="0" t="n">
        <v>3</v>
      </c>
      <c r="H155" s="0" t="n">
        <v>3</v>
      </c>
    </row>
    <row r="156" customFormat="false" ht="15" hidden="false" customHeight="false" outlineLevel="0" collapsed="false">
      <c r="A156" s="0" t="s">
        <v>157</v>
      </c>
      <c r="B156" s="0" t="s">
        <v>569</v>
      </c>
      <c r="C156" s="0" t="s">
        <v>79</v>
      </c>
      <c r="D156" s="0" t="n">
        <v>3</v>
      </c>
      <c r="E156" s="0" t="n">
        <v>3</v>
      </c>
      <c r="F156" s="0" t="n">
        <v>2</v>
      </c>
      <c r="G156" s="0" t="n">
        <v>6</v>
      </c>
      <c r="H156" s="0" t="n">
        <v>8</v>
      </c>
    </row>
    <row r="157" customFormat="false" ht="15" hidden="false" customHeight="false" outlineLevel="0" collapsed="false">
      <c r="A157" s="0" t="s">
        <v>157</v>
      </c>
      <c r="B157" s="0" t="s">
        <v>593</v>
      </c>
      <c r="C157" s="0" t="s">
        <v>595</v>
      </c>
      <c r="D157" s="0" t="n">
        <v>2</v>
      </c>
      <c r="E157" s="0" t="n">
        <v>0</v>
      </c>
      <c r="F157" s="0" t="n">
        <v>2</v>
      </c>
      <c r="G157" s="0" t="n">
        <v>2</v>
      </c>
      <c r="H157" s="0" t="n">
        <v>4</v>
      </c>
    </row>
    <row r="158" customFormat="false" ht="15" hidden="false" customHeight="false" outlineLevel="0" collapsed="false">
      <c r="A158" s="0" t="s">
        <v>157</v>
      </c>
      <c r="B158" s="0" t="s">
        <v>582</v>
      </c>
      <c r="C158" s="0" t="s">
        <v>615</v>
      </c>
      <c r="D158" s="0" t="n">
        <v>0</v>
      </c>
      <c r="E158" s="0" t="n">
        <v>5</v>
      </c>
      <c r="F158" s="0" t="n">
        <v>1</v>
      </c>
      <c r="G158" s="0" t="n">
        <v>5</v>
      </c>
      <c r="H158" s="0" t="n">
        <v>6</v>
      </c>
    </row>
    <row r="159" customFormat="false" ht="15" hidden="false" customHeight="false" outlineLevel="0" collapsed="false">
      <c r="A159" s="0" t="s">
        <v>157</v>
      </c>
      <c r="B159" s="0" t="s">
        <v>583</v>
      </c>
      <c r="C159" s="0" t="s">
        <v>594</v>
      </c>
      <c r="D159" s="0" t="n">
        <v>3</v>
      </c>
      <c r="E159" s="0" t="n">
        <v>2</v>
      </c>
      <c r="F159" s="0" t="n">
        <v>0</v>
      </c>
      <c r="G159" s="0" t="n">
        <v>5</v>
      </c>
      <c r="H159" s="0" t="n">
        <v>5</v>
      </c>
    </row>
    <row r="160" customFormat="false" ht="15" hidden="false" customHeight="false" outlineLevel="0" collapsed="false">
      <c r="A160" s="0" t="s">
        <v>157</v>
      </c>
      <c r="B160" s="0" t="s">
        <v>584</v>
      </c>
      <c r="C160" s="0" t="s">
        <v>565</v>
      </c>
      <c r="D160" s="0" t="n">
        <v>1</v>
      </c>
      <c r="E160" s="0" t="n">
        <v>0</v>
      </c>
      <c r="F160" s="0" t="n">
        <v>0</v>
      </c>
      <c r="G160" s="0" t="n">
        <v>1</v>
      </c>
      <c r="H160" s="0" t="n">
        <v>1</v>
      </c>
    </row>
    <row r="161" customFormat="false" ht="15" hidden="false" customHeight="false" outlineLevel="0" collapsed="false">
      <c r="A161" s="0" t="s">
        <v>157</v>
      </c>
      <c r="B161" s="0" t="s">
        <v>585</v>
      </c>
      <c r="C161" s="0" t="s">
        <v>587</v>
      </c>
      <c r="D161" s="0" t="n">
        <v>5</v>
      </c>
      <c r="E161" s="0" t="n">
        <v>2</v>
      </c>
      <c r="F161" s="0" t="n">
        <v>1</v>
      </c>
      <c r="G161" s="0" t="n">
        <v>7</v>
      </c>
      <c r="H161" s="0" t="n">
        <v>8</v>
      </c>
    </row>
    <row r="162" customFormat="false" ht="15" hidden="false" customHeight="false" outlineLevel="0" collapsed="false">
      <c r="A162" s="0" t="s">
        <v>157</v>
      </c>
      <c r="B162" s="0" t="s">
        <v>585</v>
      </c>
      <c r="C162" s="0" t="s">
        <v>565</v>
      </c>
      <c r="D162" s="0" t="n">
        <v>5</v>
      </c>
      <c r="E162" s="0" t="n">
        <v>0</v>
      </c>
      <c r="F162" s="0" t="n">
        <v>0</v>
      </c>
      <c r="G162" s="0" t="n">
        <v>5</v>
      </c>
      <c r="H162" s="0" t="n">
        <v>5</v>
      </c>
    </row>
    <row r="163" customFormat="false" ht="15" hidden="false" customHeight="false" outlineLevel="0" collapsed="false">
      <c r="A163" s="0" t="s">
        <v>157</v>
      </c>
      <c r="B163" s="0" t="s">
        <v>586</v>
      </c>
      <c r="C163" s="0" t="s">
        <v>594</v>
      </c>
      <c r="D163" s="0" t="n">
        <v>2</v>
      </c>
      <c r="E163" s="0" t="n">
        <v>0</v>
      </c>
      <c r="F163" s="0" t="n">
        <v>0</v>
      </c>
      <c r="G163" s="0" t="n">
        <v>2</v>
      </c>
      <c r="H163" s="0" t="n">
        <v>2</v>
      </c>
    </row>
    <row r="164" customFormat="false" ht="15" hidden="false" customHeight="false" outlineLevel="0" collapsed="false">
      <c r="A164" s="0" t="s">
        <v>157</v>
      </c>
      <c r="B164" s="0" t="s">
        <v>600</v>
      </c>
      <c r="C164" s="0" t="s">
        <v>597</v>
      </c>
      <c r="D164" s="0" t="n">
        <v>1</v>
      </c>
      <c r="E164" s="0" t="n">
        <v>1</v>
      </c>
      <c r="F164" s="0" t="n">
        <v>3</v>
      </c>
      <c r="G164" s="0" t="n">
        <v>2</v>
      </c>
      <c r="H164" s="0" t="n">
        <v>5</v>
      </c>
    </row>
    <row r="165" customFormat="false" ht="15" hidden="false" customHeight="false" outlineLevel="0" collapsed="false">
      <c r="A165" s="0" t="s">
        <v>157</v>
      </c>
      <c r="B165" s="0" t="s">
        <v>600</v>
      </c>
      <c r="C165" s="0" t="s">
        <v>79</v>
      </c>
      <c r="D165" s="0" t="n">
        <v>2</v>
      </c>
      <c r="E165" s="0" t="n">
        <v>2</v>
      </c>
      <c r="F165" s="0" t="n">
        <v>0</v>
      </c>
      <c r="G165" s="0" t="n">
        <v>4</v>
      </c>
      <c r="H165" s="0" t="n">
        <v>4</v>
      </c>
    </row>
    <row r="166" customFormat="false" ht="15" hidden="false" customHeight="false" outlineLevel="0" collapsed="false">
      <c r="A166" s="0" t="s">
        <v>157</v>
      </c>
      <c r="B166" s="0" t="s">
        <v>616</v>
      </c>
      <c r="C166" s="0" t="s">
        <v>85</v>
      </c>
      <c r="D166" s="0" t="n">
        <v>5</v>
      </c>
      <c r="E166" s="0" t="n">
        <v>3</v>
      </c>
      <c r="F166" s="0" t="n">
        <v>3</v>
      </c>
      <c r="G166" s="0" t="n">
        <v>8</v>
      </c>
      <c r="H166" s="0" t="n">
        <v>11</v>
      </c>
    </row>
    <row r="167" customFormat="false" ht="15" hidden="false" customHeight="false" outlineLevel="0" collapsed="false">
      <c r="A167" s="0" t="s">
        <v>160</v>
      </c>
      <c r="B167" s="0" t="s">
        <v>559</v>
      </c>
      <c r="C167" s="0" t="s">
        <v>90</v>
      </c>
      <c r="D167" s="0" t="n">
        <v>8</v>
      </c>
      <c r="E167" s="0" t="n">
        <v>4</v>
      </c>
      <c r="F167" s="0" t="n">
        <v>0</v>
      </c>
      <c r="G167" s="0" t="n">
        <v>12</v>
      </c>
      <c r="H167" s="0" t="n">
        <v>12</v>
      </c>
    </row>
    <row r="168" customFormat="false" ht="15" hidden="false" customHeight="false" outlineLevel="0" collapsed="false">
      <c r="A168" s="0" t="s">
        <v>160</v>
      </c>
      <c r="B168" s="0" t="s">
        <v>561</v>
      </c>
      <c r="C168" s="0" t="s">
        <v>91</v>
      </c>
      <c r="D168" s="0" t="n">
        <v>5</v>
      </c>
      <c r="E168" s="0" t="n">
        <v>8</v>
      </c>
      <c r="F168" s="0" t="n">
        <v>0</v>
      </c>
      <c r="G168" s="0" t="n">
        <v>13</v>
      </c>
      <c r="H168" s="0" t="n">
        <v>13</v>
      </c>
    </row>
    <row r="169" customFormat="false" ht="15" hidden="false" customHeight="false" outlineLevel="0" collapsed="false">
      <c r="A169" s="0" t="s">
        <v>160</v>
      </c>
      <c r="B169" s="0" t="s">
        <v>567</v>
      </c>
      <c r="C169" s="0" t="s">
        <v>79</v>
      </c>
      <c r="D169" s="0" t="n">
        <v>8</v>
      </c>
      <c r="E169" s="0" t="n">
        <v>8</v>
      </c>
      <c r="F169" s="0" t="n">
        <v>4</v>
      </c>
      <c r="G169" s="0" t="n">
        <v>16</v>
      </c>
      <c r="H169" s="0" t="n">
        <v>20</v>
      </c>
    </row>
    <row r="170" customFormat="false" ht="15" hidden="false" customHeight="false" outlineLevel="0" collapsed="false">
      <c r="A170" s="0" t="s">
        <v>160</v>
      </c>
      <c r="B170" s="0" t="s">
        <v>614</v>
      </c>
      <c r="C170" s="0" t="s">
        <v>84</v>
      </c>
      <c r="D170" s="0" t="n">
        <v>6</v>
      </c>
      <c r="E170" s="0" t="n">
        <v>7</v>
      </c>
      <c r="F170" s="0" t="n">
        <v>0</v>
      </c>
      <c r="G170" s="0" t="n">
        <v>13</v>
      </c>
      <c r="H170" s="0" t="n">
        <v>13</v>
      </c>
    </row>
    <row r="171" customFormat="false" ht="15" hidden="false" customHeight="false" outlineLevel="0" collapsed="false">
      <c r="A171" s="0" t="s">
        <v>160</v>
      </c>
      <c r="B171" s="0" t="s">
        <v>569</v>
      </c>
      <c r="C171" s="0" t="s">
        <v>79</v>
      </c>
      <c r="D171" s="0" t="n">
        <v>13</v>
      </c>
      <c r="E171" s="0" t="n">
        <v>2</v>
      </c>
      <c r="F171" s="0" t="n">
        <v>13</v>
      </c>
      <c r="G171" s="0" t="n">
        <v>15</v>
      </c>
      <c r="H171" s="0" t="n">
        <v>28</v>
      </c>
    </row>
    <row r="172" customFormat="false" ht="15" hidden="false" customHeight="false" outlineLevel="0" collapsed="false">
      <c r="A172" s="0" t="s">
        <v>160</v>
      </c>
      <c r="B172" s="0" t="s">
        <v>593</v>
      </c>
      <c r="C172" s="0" t="s">
        <v>595</v>
      </c>
      <c r="D172" s="0" t="n">
        <v>7</v>
      </c>
      <c r="E172" s="0" t="n">
        <v>1</v>
      </c>
      <c r="F172" s="0" t="n">
        <v>6</v>
      </c>
      <c r="G172" s="0" t="n">
        <v>8</v>
      </c>
      <c r="H172" s="0" t="n">
        <v>14</v>
      </c>
    </row>
    <row r="173" customFormat="false" ht="15" hidden="false" customHeight="false" outlineLevel="0" collapsed="false">
      <c r="A173" s="0" t="s">
        <v>160</v>
      </c>
      <c r="B173" s="0" t="s">
        <v>582</v>
      </c>
      <c r="C173" s="0" t="s">
        <v>615</v>
      </c>
      <c r="D173" s="0" t="n">
        <v>1</v>
      </c>
      <c r="E173" s="0" t="n">
        <v>7</v>
      </c>
      <c r="F173" s="0" t="n">
        <v>10</v>
      </c>
      <c r="G173" s="0" t="n">
        <v>8</v>
      </c>
      <c r="H173" s="0" t="n">
        <v>18</v>
      </c>
    </row>
    <row r="174" customFormat="false" ht="15" hidden="false" customHeight="false" outlineLevel="0" collapsed="false">
      <c r="A174" s="0" t="s">
        <v>160</v>
      </c>
      <c r="B174" s="0" t="s">
        <v>583</v>
      </c>
      <c r="C174" s="0" t="s">
        <v>594</v>
      </c>
      <c r="D174" s="0" t="n">
        <v>7</v>
      </c>
      <c r="E174" s="0" t="n">
        <v>6</v>
      </c>
      <c r="F174" s="0" t="n">
        <v>1</v>
      </c>
      <c r="G174" s="0" t="n">
        <v>13</v>
      </c>
      <c r="H174" s="0" t="n">
        <v>14</v>
      </c>
    </row>
    <row r="175" customFormat="false" ht="15" hidden="false" customHeight="false" outlineLevel="0" collapsed="false">
      <c r="A175" s="0" t="s">
        <v>160</v>
      </c>
      <c r="B175" s="0" t="s">
        <v>584</v>
      </c>
      <c r="C175" s="0" t="s">
        <v>565</v>
      </c>
      <c r="D175" s="0" t="n">
        <v>17</v>
      </c>
      <c r="E175" s="0" t="n">
        <v>10</v>
      </c>
      <c r="F175" s="0" t="n">
        <v>0</v>
      </c>
      <c r="G175" s="0" t="n">
        <v>27</v>
      </c>
      <c r="H175" s="0" t="n">
        <v>27</v>
      </c>
    </row>
    <row r="176" customFormat="false" ht="15" hidden="false" customHeight="false" outlineLevel="0" collapsed="false">
      <c r="A176" s="0" t="s">
        <v>160</v>
      </c>
      <c r="B176" s="0" t="s">
        <v>585</v>
      </c>
      <c r="C176" s="0" t="s">
        <v>587</v>
      </c>
      <c r="D176" s="0" t="n">
        <v>5</v>
      </c>
      <c r="E176" s="0" t="n">
        <v>11</v>
      </c>
      <c r="F176" s="0" t="n">
        <v>6</v>
      </c>
      <c r="G176" s="0" t="n">
        <v>16</v>
      </c>
      <c r="H176" s="0" t="n">
        <v>22</v>
      </c>
    </row>
    <row r="177" customFormat="false" ht="15" hidden="false" customHeight="false" outlineLevel="0" collapsed="false">
      <c r="A177" s="0" t="s">
        <v>160</v>
      </c>
      <c r="B177" s="0" t="s">
        <v>585</v>
      </c>
      <c r="C177" s="0" t="s">
        <v>565</v>
      </c>
      <c r="D177" s="0" t="n">
        <v>6</v>
      </c>
      <c r="E177" s="0" t="n">
        <v>4</v>
      </c>
      <c r="F177" s="0" t="n">
        <v>0</v>
      </c>
      <c r="G177" s="0" t="n">
        <v>10</v>
      </c>
      <c r="H177" s="0" t="n">
        <v>10</v>
      </c>
    </row>
    <row r="178" customFormat="false" ht="15" hidden="false" customHeight="false" outlineLevel="0" collapsed="false">
      <c r="A178" s="0" t="s">
        <v>160</v>
      </c>
      <c r="B178" s="0" t="s">
        <v>586</v>
      </c>
      <c r="C178" s="0" t="s">
        <v>594</v>
      </c>
      <c r="D178" s="0" t="n">
        <v>0</v>
      </c>
      <c r="E178" s="0" t="n">
        <v>13</v>
      </c>
      <c r="F178" s="0" t="n">
        <v>0</v>
      </c>
      <c r="G178" s="0" t="n">
        <v>13</v>
      </c>
      <c r="H178" s="0" t="n">
        <v>13</v>
      </c>
    </row>
    <row r="179" customFormat="false" ht="15" hidden="false" customHeight="false" outlineLevel="0" collapsed="false">
      <c r="A179" s="0" t="s">
        <v>160</v>
      </c>
      <c r="B179" s="0" t="s">
        <v>600</v>
      </c>
      <c r="C179" s="0" t="s">
        <v>597</v>
      </c>
      <c r="D179" s="0" t="n">
        <v>11</v>
      </c>
      <c r="E179" s="0" t="n">
        <v>1</v>
      </c>
      <c r="F179" s="0" t="n">
        <v>9</v>
      </c>
      <c r="G179" s="0" t="n">
        <v>12</v>
      </c>
      <c r="H179" s="0" t="n">
        <v>21</v>
      </c>
    </row>
    <row r="180" customFormat="false" ht="15" hidden="false" customHeight="false" outlineLevel="0" collapsed="false">
      <c r="A180" s="0" t="s">
        <v>160</v>
      </c>
      <c r="B180" s="0" t="s">
        <v>600</v>
      </c>
      <c r="C180" s="0" t="s">
        <v>79</v>
      </c>
      <c r="D180" s="0" t="n">
        <v>6</v>
      </c>
      <c r="E180" s="0" t="n">
        <v>9</v>
      </c>
      <c r="F180" s="0" t="n">
        <v>0</v>
      </c>
      <c r="G180" s="0" t="n">
        <v>15</v>
      </c>
      <c r="H180" s="0" t="n">
        <v>15</v>
      </c>
    </row>
    <row r="181" customFormat="false" ht="15" hidden="false" customHeight="false" outlineLevel="0" collapsed="false">
      <c r="A181" s="0" t="s">
        <v>160</v>
      </c>
      <c r="B181" s="0" t="s">
        <v>616</v>
      </c>
      <c r="C181" s="0" t="s">
        <v>85</v>
      </c>
      <c r="D181" s="0" t="n">
        <v>13</v>
      </c>
      <c r="E181" s="0" t="n">
        <v>1</v>
      </c>
      <c r="F181" s="0" t="n">
        <v>0</v>
      </c>
      <c r="G181" s="0" t="n">
        <v>14</v>
      </c>
      <c r="H181" s="0" t="n">
        <v>14</v>
      </c>
    </row>
    <row r="182" customFormat="false" ht="15" hidden="false" customHeight="false" outlineLevel="0" collapsed="false">
      <c r="A182" s="0" t="s">
        <v>163</v>
      </c>
      <c r="B182" s="0" t="s">
        <v>559</v>
      </c>
      <c r="C182" s="0" t="s">
        <v>90</v>
      </c>
      <c r="D182" s="0" t="n">
        <v>8</v>
      </c>
      <c r="E182" s="0" t="n">
        <v>4</v>
      </c>
      <c r="F182" s="0" t="n">
        <v>0</v>
      </c>
      <c r="G182" s="0" t="n">
        <v>12</v>
      </c>
      <c r="H182" s="0" t="n">
        <v>12</v>
      </c>
    </row>
    <row r="183" customFormat="false" ht="15" hidden="false" customHeight="false" outlineLevel="0" collapsed="false">
      <c r="A183" s="0" t="s">
        <v>163</v>
      </c>
      <c r="B183" s="0" t="s">
        <v>561</v>
      </c>
      <c r="C183" s="0" t="s">
        <v>91</v>
      </c>
      <c r="D183" s="0" t="n">
        <v>0</v>
      </c>
      <c r="E183" s="0" t="n">
        <v>3</v>
      </c>
      <c r="F183" s="0" t="n">
        <v>0</v>
      </c>
      <c r="G183" s="0" t="n">
        <v>3</v>
      </c>
      <c r="H183" s="0" t="n">
        <v>3</v>
      </c>
    </row>
    <row r="184" customFormat="false" ht="15" hidden="false" customHeight="false" outlineLevel="0" collapsed="false">
      <c r="A184" s="0" t="s">
        <v>163</v>
      </c>
      <c r="B184" s="0" t="s">
        <v>567</v>
      </c>
      <c r="C184" s="0" t="s">
        <v>79</v>
      </c>
      <c r="D184" s="0" t="n">
        <v>2</v>
      </c>
      <c r="E184" s="0" t="n">
        <v>11</v>
      </c>
      <c r="F184" s="0" t="n">
        <v>7</v>
      </c>
      <c r="G184" s="0" t="n">
        <v>13</v>
      </c>
      <c r="H184" s="0" t="n">
        <v>20</v>
      </c>
    </row>
    <row r="185" customFormat="false" ht="15" hidden="false" customHeight="false" outlineLevel="0" collapsed="false">
      <c r="A185" s="0" t="s">
        <v>163</v>
      </c>
      <c r="B185" s="0" t="s">
        <v>614</v>
      </c>
      <c r="C185" s="0" t="s">
        <v>84</v>
      </c>
      <c r="D185" s="0" t="n">
        <v>8</v>
      </c>
      <c r="E185" s="0" t="n">
        <v>7</v>
      </c>
      <c r="F185" s="0" t="n">
        <v>0</v>
      </c>
      <c r="G185" s="0" t="n">
        <v>15</v>
      </c>
      <c r="H185" s="0" t="n">
        <v>15</v>
      </c>
    </row>
    <row r="186" customFormat="false" ht="15" hidden="false" customHeight="false" outlineLevel="0" collapsed="false">
      <c r="A186" s="0" t="s">
        <v>163</v>
      </c>
      <c r="B186" s="0" t="s">
        <v>569</v>
      </c>
      <c r="C186" s="0" t="s">
        <v>79</v>
      </c>
      <c r="D186" s="0" t="n">
        <v>6</v>
      </c>
      <c r="E186" s="0" t="n">
        <v>2</v>
      </c>
      <c r="F186" s="0" t="n">
        <v>10</v>
      </c>
      <c r="G186" s="0" t="n">
        <v>8</v>
      </c>
      <c r="H186" s="0" t="n">
        <v>18</v>
      </c>
    </row>
    <row r="187" customFormat="false" ht="15" hidden="false" customHeight="false" outlineLevel="0" collapsed="false">
      <c r="A187" s="0" t="s">
        <v>163</v>
      </c>
      <c r="B187" s="0" t="s">
        <v>593</v>
      </c>
      <c r="C187" s="0" t="s">
        <v>595</v>
      </c>
      <c r="D187" s="0" t="n">
        <v>3</v>
      </c>
      <c r="E187" s="0" t="n">
        <v>0</v>
      </c>
      <c r="F187" s="0" t="n">
        <v>2</v>
      </c>
      <c r="G187" s="0" t="n">
        <v>3</v>
      </c>
      <c r="H187" s="0" t="n">
        <v>5</v>
      </c>
    </row>
    <row r="188" customFormat="false" ht="15" hidden="false" customHeight="false" outlineLevel="0" collapsed="false">
      <c r="A188" s="0" t="s">
        <v>163</v>
      </c>
      <c r="B188" s="0" t="s">
        <v>582</v>
      </c>
      <c r="C188" s="0" t="s">
        <v>615</v>
      </c>
      <c r="D188" s="0" t="n">
        <v>0</v>
      </c>
      <c r="E188" s="0" t="n">
        <v>2</v>
      </c>
      <c r="F188" s="0" t="n">
        <v>9</v>
      </c>
      <c r="G188" s="0" t="n">
        <v>2</v>
      </c>
      <c r="H188" s="0" t="n">
        <v>11</v>
      </c>
    </row>
    <row r="189" customFormat="false" ht="15" hidden="false" customHeight="false" outlineLevel="0" collapsed="false">
      <c r="A189" s="0" t="s">
        <v>163</v>
      </c>
      <c r="B189" s="0" t="s">
        <v>583</v>
      </c>
      <c r="C189" s="0" t="s">
        <v>594</v>
      </c>
      <c r="D189" s="0" t="n">
        <v>3</v>
      </c>
      <c r="E189" s="0" t="n">
        <v>7</v>
      </c>
      <c r="F189" s="0" t="n">
        <v>4</v>
      </c>
      <c r="G189" s="0" t="n">
        <v>10</v>
      </c>
      <c r="H189" s="0" t="n">
        <v>14</v>
      </c>
    </row>
    <row r="190" customFormat="false" ht="15" hidden="false" customHeight="false" outlineLevel="0" collapsed="false">
      <c r="A190" s="0" t="s">
        <v>163</v>
      </c>
      <c r="B190" s="0" t="s">
        <v>584</v>
      </c>
      <c r="C190" s="0" t="s">
        <v>565</v>
      </c>
      <c r="D190" s="0" t="n">
        <v>6</v>
      </c>
      <c r="E190" s="0" t="n">
        <v>1</v>
      </c>
      <c r="F190" s="0" t="n">
        <v>0</v>
      </c>
      <c r="G190" s="0" t="n">
        <v>7</v>
      </c>
      <c r="H190" s="0" t="n">
        <v>7</v>
      </c>
    </row>
    <row r="191" customFormat="false" ht="15" hidden="false" customHeight="false" outlineLevel="0" collapsed="false">
      <c r="A191" s="0" t="s">
        <v>163</v>
      </c>
      <c r="B191" s="0" t="s">
        <v>585</v>
      </c>
      <c r="C191" s="0" t="s">
        <v>587</v>
      </c>
      <c r="D191" s="0" t="n">
        <v>2</v>
      </c>
      <c r="E191" s="0" t="n">
        <v>10</v>
      </c>
      <c r="F191" s="0" t="n">
        <v>2</v>
      </c>
      <c r="G191" s="0" t="n">
        <v>12</v>
      </c>
      <c r="H191" s="0" t="n">
        <v>14</v>
      </c>
    </row>
    <row r="192" customFormat="false" ht="15" hidden="false" customHeight="false" outlineLevel="0" collapsed="false">
      <c r="A192" s="0" t="s">
        <v>163</v>
      </c>
      <c r="B192" s="0" t="s">
        <v>585</v>
      </c>
      <c r="C192" s="0" t="s">
        <v>565</v>
      </c>
      <c r="D192" s="0" t="n">
        <v>4</v>
      </c>
      <c r="E192" s="0" t="n">
        <v>0</v>
      </c>
      <c r="F192" s="0" t="n">
        <v>0</v>
      </c>
      <c r="G192" s="0" t="n">
        <v>4</v>
      </c>
      <c r="H192" s="0" t="n">
        <v>4</v>
      </c>
    </row>
    <row r="193" customFormat="false" ht="15" hidden="false" customHeight="false" outlineLevel="0" collapsed="false">
      <c r="A193" s="0" t="s">
        <v>163</v>
      </c>
      <c r="B193" s="0" t="s">
        <v>586</v>
      </c>
      <c r="C193" s="0" t="s">
        <v>594</v>
      </c>
      <c r="D193" s="0" t="n">
        <v>3</v>
      </c>
      <c r="E193" s="0" t="n">
        <v>6</v>
      </c>
      <c r="F193" s="0" t="n">
        <v>0</v>
      </c>
      <c r="G193" s="0" t="n">
        <v>9</v>
      </c>
      <c r="H193" s="0" t="n">
        <v>9</v>
      </c>
    </row>
    <row r="194" customFormat="false" ht="15" hidden="false" customHeight="false" outlineLevel="0" collapsed="false">
      <c r="A194" s="0" t="s">
        <v>163</v>
      </c>
      <c r="B194" s="0" t="s">
        <v>600</v>
      </c>
      <c r="C194" s="0" t="s">
        <v>597</v>
      </c>
      <c r="D194" s="0" t="n">
        <v>8</v>
      </c>
      <c r="E194" s="0" t="n">
        <v>1</v>
      </c>
      <c r="F194" s="0" t="n">
        <v>13</v>
      </c>
      <c r="G194" s="0" t="n">
        <v>9</v>
      </c>
      <c r="H194" s="0" t="n">
        <v>22</v>
      </c>
    </row>
    <row r="195" customFormat="false" ht="15" hidden="false" customHeight="false" outlineLevel="0" collapsed="false">
      <c r="A195" s="0" t="s">
        <v>163</v>
      </c>
      <c r="B195" s="0" t="s">
        <v>600</v>
      </c>
      <c r="C195" s="0" t="s">
        <v>79</v>
      </c>
      <c r="D195" s="0" t="n">
        <v>4</v>
      </c>
      <c r="E195" s="0" t="n">
        <v>5</v>
      </c>
      <c r="F195" s="0" t="n">
        <v>0</v>
      </c>
      <c r="G195" s="0" t="n">
        <v>9</v>
      </c>
      <c r="H195" s="0" t="n">
        <v>9</v>
      </c>
    </row>
    <row r="196" customFormat="false" ht="15" hidden="false" customHeight="false" outlineLevel="0" collapsed="false">
      <c r="A196" s="0" t="s">
        <v>163</v>
      </c>
      <c r="B196" s="0" t="s">
        <v>616</v>
      </c>
      <c r="C196" s="0" t="s">
        <v>85</v>
      </c>
      <c r="D196" s="0" t="n">
        <v>6</v>
      </c>
      <c r="E196" s="0" t="n">
        <v>2</v>
      </c>
      <c r="F196" s="0" t="n">
        <v>0</v>
      </c>
      <c r="G196" s="0" t="n">
        <v>8</v>
      </c>
      <c r="H196" s="0" t="n">
        <v>8</v>
      </c>
    </row>
    <row r="197" customFormat="false" ht="15" hidden="false" customHeight="false" outlineLevel="0" collapsed="false">
      <c r="A197" s="0" t="s">
        <v>166</v>
      </c>
      <c r="B197" s="0" t="s">
        <v>559</v>
      </c>
      <c r="C197" s="0" t="s">
        <v>90</v>
      </c>
      <c r="D197" s="0" t="n">
        <v>5</v>
      </c>
      <c r="E197" s="0" t="n">
        <v>2</v>
      </c>
      <c r="F197" s="0" t="n">
        <v>0</v>
      </c>
      <c r="G197" s="0" t="n">
        <v>7</v>
      </c>
      <c r="H197" s="0" t="n">
        <v>7</v>
      </c>
    </row>
    <row r="198" customFormat="false" ht="15" hidden="false" customHeight="false" outlineLevel="0" collapsed="false">
      <c r="A198" s="0" t="s">
        <v>166</v>
      </c>
      <c r="B198" s="0" t="s">
        <v>561</v>
      </c>
      <c r="C198" s="0" t="s">
        <v>91</v>
      </c>
      <c r="D198" s="0" t="n">
        <v>4</v>
      </c>
      <c r="E198" s="0" t="n">
        <v>4</v>
      </c>
      <c r="F198" s="0" t="n">
        <v>0</v>
      </c>
      <c r="G198" s="0" t="n">
        <v>8</v>
      </c>
      <c r="H198" s="0" t="n">
        <v>8</v>
      </c>
    </row>
    <row r="199" customFormat="false" ht="15" hidden="false" customHeight="false" outlineLevel="0" collapsed="false">
      <c r="A199" s="0" t="s">
        <v>166</v>
      </c>
      <c r="B199" s="0" t="s">
        <v>567</v>
      </c>
      <c r="C199" s="0" t="s">
        <v>79</v>
      </c>
      <c r="D199" s="0" t="n">
        <v>3</v>
      </c>
      <c r="E199" s="0" t="n">
        <v>7</v>
      </c>
      <c r="F199" s="0" t="n">
        <v>6</v>
      </c>
      <c r="G199" s="0" t="n">
        <v>10</v>
      </c>
      <c r="H199" s="0" t="n">
        <v>16</v>
      </c>
    </row>
    <row r="200" customFormat="false" ht="15" hidden="false" customHeight="false" outlineLevel="0" collapsed="false">
      <c r="A200" s="0" t="s">
        <v>166</v>
      </c>
      <c r="B200" s="0" t="s">
        <v>614</v>
      </c>
      <c r="C200" s="0" t="s">
        <v>84</v>
      </c>
      <c r="D200" s="0" t="n">
        <v>5</v>
      </c>
      <c r="E200" s="0" t="n">
        <v>6</v>
      </c>
      <c r="F200" s="0" t="n">
        <v>0</v>
      </c>
      <c r="G200" s="0" t="n">
        <v>11</v>
      </c>
      <c r="H200" s="0" t="n">
        <v>11</v>
      </c>
    </row>
    <row r="201" customFormat="false" ht="15" hidden="false" customHeight="false" outlineLevel="0" collapsed="false">
      <c r="A201" s="0" t="s">
        <v>166</v>
      </c>
      <c r="B201" s="0" t="s">
        <v>569</v>
      </c>
      <c r="C201" s="0" t="s">
        <v>79</v>
      </c>
      <c r="D201" s="0" t="n">
        <v>8</v>
      </c>
      <c r="E201" s="0" t="n">
        <v>3</v>
      </c>
      <c r="F201" s="0" t="n">
        <v>12</v>
      </c>
      <c r="G201" s="0" t="n">
        <v>11</v>
      </c>
      <c r="H201" s="0" t="n">
        <v>23</v>
      </c>
    </row>
    <row r="202" customFormat="false" ht="15" hidden="false" customHeight="false" outlineLevel="0" collapsed="false">
      <c r="A202" s="0" t="s">
        <v>166</v>
      </c>
      <c r="B202" s="0" t="s">
        <v>593</v>
      </c>
      <c r="C202" s="0" t="s">
        <v>595</v>
      </c>
      <c r="D202" s="0" t="n">
        <v>0</v>
      </c>
      <c r="E202" s="0" t="n">
        <v>2</v>
      </c>
      <c r="F202" s="0" t="n">
        <v>2</v>
      </c>
      <c r="G202" s="0" t="n">
        <v>2</v>
      </c>
      <c r="H202" s="0" t="n">
        <v>4</v>
      </c>
    </row>
    <row r="203" customFormat="false" ht="15" hidden="false" customHeight="false" outlineLevel="0" collapsed="false">
      <c r="A203" s="0" t="s">
        <v>166</v>
      </c>
      <c r="B203" s="0" t="s">
        <v>582</v>
      </c>
      <c r="C203" s="0" t="s">
        <v>615</v>
      </c>
      <c r="D203" s="0" t="n">
        <v>3</v>
      </c>
      <c r="E203" s="0" t="n">
        <v>2</v>
      </c>
      <c r="F203" s="0" t="n">
        <v>3</v>
      </c>
      <c r="G203" s="0" t="n">
        <v>5</v>
      </c>
      <c r="H203" s="0" t="n">
        <v>8</v>
      </c>
    </row>
    <row r="204" customFormat="false" ht="15" hidden="false" customHeight="false" outlineLevel="0" collapsed="false">
      <c r="A204" s="0" t="s">
        <v>166</v>
      </c>
      <c r="B204" s="0" t="s">
        <v>583</v>
      </c>
      <c r="C204" s="0" t="s">
        <v>594</v>
      </c>
      <c r="D204" s="0" t="n">
        <v>5</v>
      </c>
      <c r="E204" s="0" t="n">
        <v>2</v>
      </c>
      <c r="F204" s="0" t="n">
        <v>2</v>
      </c>
      <c r="G204" s="0" t="n">
        <v>7</v>
      </c>
      <c r="H204" s="0" t="n">
        <v>9</v>
      </c>
    </row>
    <row r="205" customFormat="false" ht="15" hidden="false" customHeight="false" outlineLevel="0" collapsed="false">
      <c r="A205" s="0" t="s">
        <v>166</v>
      </c>
      <c r="B205" s="0" t="s">
        <v>584</v>
      </c>
      <c r="C205" s="0" t="s">
        <v>565</v>
      </c>
      <c r="D205" s="0" t="n">
        <v>2</v>
      </c>
      <c r="E205" s="0" t="n">
        <v>3</v>
      </c>
      <c r="F205" s="0" t="n">
        <v>0</v>
      </c>
      <c r="G205" s="0" t="n">
        <v>5</v>
      </c>
      <c r="H205" s="0" t="n">
        <v>5</v>
      </c>
    </row>
    <row r="206" customFormat="false" ht="15" hidden="false" customHeight="false" outlineLevel="0" collapsed="false">
      <c r="A206" s="0" t="s">
        <v>166</v>
      </c>
      <c r="B206" s="0" t="s">
        <v>585</v>
      </c>
      <c r="C206" s="0" t="s">
        <v>587</v>
      </c>
      <c r="D206" s="0" t="n">
        <v>5</v>
      </c>
      <c r="E206" s="0" t="n">
        <v>9</v>
      </c>
      <c r="F206" s="0" t="n">
        <v>2</v>
      </c>
      <c r="G206" s="0" t="n">
        <v>14</v>
      </c>
      <c r="H206" s="0" t="n">
        <v>16</v>
      </c>
    </row>
    <row r="207" customFormat="false" ht="15" hidden="false" customHeight="false" outlineLevel="0" collapsed="false">
      <c r="A207" s="0" t="s">
        <v>166</v>
      </c>
      <c r="B207" s="0" t="s">
        <v>585</v>
      </c>
      <c r="C207" s="0" t="s">
        <v>565</v>
      </c>
      <c r="D207" s="0" t="n">
        <v>2</v>
      </c>
      <c r="E207" s="0" t="n">
        <v>2</v>
      </c>
      <c r="F207" s="0" t="n">
        <v>0</v>
      </c>
      <c r="G207" s="0" t="n">
        <v>4</v>
      </c>
      <c r="H207" s="0" t="n">
        <v>4</v>
      </c>
    </row>
    <row r="208" customFormat="false" ht="15" hidden="false" customHeight="false" outlineLevel="0" collapsed="false">
      <c r="A208" s="0" t="s">
        <v>166</v>
      </c>
      <c r="B208" s="0" t="s">
        <v>586</v>
      </c>
      <c r="C208" s="0" t="s">
        <v>594</v>
      </c>
      <c r="D208" s="0" t="n">
        <v>1</v>
      </c>
      <c r="E208" s="0" t="n">
        <v>4</v>
      </c>
      <c r="F208" s="0" t="n">
        <v>0</v>
      </c>
      <c r="G208" s="0" t="n">
        <v>5</v>
      </c>
      <c r="H208" s="0" t="n">
        <v>5</v>
      </c>
    </row>
    <row r="209" customFormat="false" ht="15" hidden="false" customHeight="false" outlineLevel="0" collapsed="false">
      <c r="A209" s="0" t="s">
        <v>166</v>
      </c>
      <c r="B209" s="0" t="s">
        <v>600</v>
      </c>
      <c r="C209" s="0" t="s">
        <v>597</v>
      </c>
      <c r="D209" s="0" t="n">
        <v>2</v>
      </c>
      <c r="E209" s="0" t="n">
        <v>0</v>
      </c>
      <c r="F209" s="0" t="n">
        <v>6</v>
      </c>
      <c r="G209" s="0" t="n">
        <v>2</v>
      </c>
      <c r="H209" s="0" t="n">
        <v>8</v>
      </c>
    </row>
    <row r="210" customFormat="false" ht="15" hidden="false" customHeight="false" outlineLevel="0" collapsed="false">
      <c r="A210" s="0" t="s">
        <v>166</v>
      </c>
      <c r="B210" s="0" t="s">
        <v>600</v>
      </c>
      <c r="C210" s="0" t="s">
        <v>79</v>
      </c>
      <c r="D210" s="0" t="n">
        <v>2</v>
      </c>
      <c r="E210" s="0" t="n">
        <v>4</v>
      </c>
      <c r="F210" s="0" t="n">
        <v>0</v>
      </c>
      <c r="G210" s="0" t="n">
        <v>6</v>
      </c>
      <c r="H210" s="0" t="n">
        <v>6</v>
      </c>
    </row>
    <row r="211" customFormat="false" ht="15" hidden="false" customHeight="false" outlineLevel="0" collapsed="false">
      <c r="A211" s="0" t="s">
        <v>166</v>
      </c>
      <c r="B211" s="0" t="s">
        <v>616</v>
      </c>
      <c r="C211" s="0" t="s">
        <v>85</v>
      </c>
      <c r="D211" s="0" t="n">
        <v>4</v>
      </c>
      <c r="E211" s="0" t="n">
        <v>3</v>
      </c>
      <c r="F211" s="0" t="n">
        <v>5</v>
      </c>
      <c r="G211" s="0" t="n">
        <v>7</v>
      </c>
      <c r="H211" s="0" t="n">
        <v>12</v>
      </c>
    </row>
    <row r="212" customFormat="false" ht="15" hidden="false" customHeight="false" outlineLevel="0" collapsed="false">
      <c r="A212" s="0" t="s">
        <v>169</v>
      </c>
      <c r="B212" s="0" t="s">
        <v>559</v>
      </c>
      <c r="C212" s="0" t="s">
        <v>90</v>
      </c>
      <c r="D212" s="0" t="n">
        <v>1</v>
      </c>
      <c r="E212" s="0" t="n">
        <v>1</v>
      </c>
      <c r="F212" s="0" t="n">
        <v>0</v>
      </c>
      <c r="G212" s="0" t="n">
        <v>2</v>
      </c>
      <c r="H212" s="0" t="n">
        <v>2</v>
      </c>
    </row>
    <row r="213" customFormat="false" ht="15" hidden="false" customHeight="false" outlineLevel="0" collapsed="false">
      <c r="A213" s="0" t="s">
        <v>169</v>
      </c>
      <c r="B213" s="0" t="s">
        <v>561</v>
      </c>
      <c r="C213" s="0" t="s">
        <v>91</v>
      </c>
      <c r="D213" s="0" t="n">
        <v>2</v>
      </c>
      <c r="E213" s="0" t="n">
        <v>1</v>
      </c>
      <c r="F213" s="0" t="n">
        <v>0</v>
      </c>
      <c r="G213" s="0" t="n">
        <v>3</v>
      </c>
      <c r="H213" s="0" t="n">
        <v>3</v>
      </c>
    </row>
    <row r="214" customFormat="false" ht="15" hidden="false" customHeight="false" outlineLevel="0" collapsed="false">
      <c r="A214" s="0" t="s">
        <v>169</v>
      </c>
      <c r="B214" s="0" t="s">
        <v>567</v>
      </c>
      <c r="C214" s="0" t="s">
        <v>79</v>
      </c>
      <c r="D214" s="0" t="n">
        <v>3</v>
      </c>
      <c r="E214" s="0" t="n">
        <v>3</v>
      </c>
      <c r="F214" s="0" t="n">
        <v>2</v>
      </c>
      <c r="G214" s="0" t="n">
        <v>6</v>
      </c>
      <c r="H214" s="0" t="n">
        <v>8</v>
      </c>
    </row>
    <row r="215" customFormat="false" ht="15" hidden="false" customHeight="false" outlineLevel="0" collapsed="false">
      <c r="A215" s="0" t="s">
        <v>169</v>
      </c>
      <c r="B215" s="0" t="s">
        <v>614</v>
      </c>
      <c r="C215" s="0" t="s">
        <v>84</v>
      </c>
      <c r="D215" s="0" t="n">
        <v>2</v>
      </c>
      <c r="E215" s="0" t="n">
        <v>2</v>
      </c>
      <c r="F215" s="0" t="n">
        <v>0</v>
      </c>
      <c r="G215" s="0" t="n">
        <v>4</v>
      </c>
      <c r="H215" s="0" t="n">
        <v>4</v>
      </c>
    </row>
    <row r="216" customFormat="false" ht="15" hidden="false" customHeight="false" outlineLevel="0" collapsed="false">
      <c r="A216" s="0" t="s">
        <v>169</v>
      </c>
      <c r="B216" s="0" t="s">
        <v>569</v>
      </c>
      <c r="C216" s="0" t="s">
        <v>79</v>
      </c>
      <c r="D216" s="0" t="n">
        <v>4</v>
      </c>
      <c r="E216" s="0" t="n">
        <v>1</v>
      </c>
      <c r="F216" s="0" t="n">
        <v>2</v>
      </c>
      <c r="G216" s="0" t="n">
        <v>5</v>
      </c>
      <c r="H216" s="0" t="n">
        <v>7</v>
      </c>
    </row>
    <row r="217" customFormat="false" ht="15" hidden="false" customHeight="false" outlineLevel="0" collapsed="false">
      <c r="A217" s="0" t="s">
        <v>169</v>
      </c>
      <c r="B217" s="0" t="s">
        <v>617</v>
      </c>
      <c r="C217" s="0" t="s">
        <v>618</v>
      </c>
      <c r="D217" s="0" t="n">
        <v>5</v>
      </c>
      <c r="E217" s="0" t="n">
        <v>1</v>
      </c>
      <c r="F217" s="0" t="n">
        <v>0</v>
      </c>
      <c r="G217" s="0" t="n">
        <v>6</v>
      </c>
      <c r="H217" s="0" t="n">
        <v>6</v>
      </c>
    </row>
    <row r="218" customFormat="false" ht="15" hidden="false" customHeight="false" outlineLevel="0" collapsed="false">
      <c r="A218" s="0" t="s">
        <v>169</v>
      </c>
      <c r="B218" s="0" t="s">
        <v>619</v>
      </c>
      <c r="C218" s="0" t="s">
        <v>620</v>
      </c>
      <c r="D218" s="0" t="n">
        <v>5</v>
      </c>
      <c r="E218" s="0" t="n">
        <v>5</v>
      </c>
      <c r="F218" s="0" t="n">
        <v>0</v>
      </c>
      <c r="G218" s="0" t="n">
        <v>10</v>
      </c>
      <c r="H218" s="0" t="n">
        <v>10</v>
      </c>
    </row>
    <row r="219" customFormat="false" ht="15" hidden="false" customHeight="false" outlineLevel="0" collapsed="false">
      <c r="A219" s="0" t="s">
        <v>169</v>
      </c>
      <c r="B219" s="0" t="s">
        <v>621</v>
      </c>
      <c r="C219" s="0" t="s">
        <v>571</v>
      </c>
      <c r="D219" s="0" t="n">
        <v>5</v>
      </c>
      <c r="E219" s="0" t="n">
        <v>0</v>
      </c>
      <c r="F219" s="0" t="n">
        <v>3</v>
      </c>
      <c r="G219" s="0" t="n">
        <v>5</v>
      </c>
      <c r="H219" s="0" t="n">
        <v>8</v>
      </c>
    </row>
    <row r="220" customFormat="false" ht="15" hidden="false" customHeight="false" outlineLevel="0" collapsed="false">
      <c r="A220" s="0" t="s">
        <v>169</v>
      </c>
      <c r="B220" s="0" t="s">
        <v>621</v>
      </c>
      <c r="C220" s="0" t="s">
        <v>560</v>
      </c>
      <c r="D220" s="0" t="n">
        <v>2</v>
      </c>
      <c r="E220" s="0" t="n">
        <v>3</v>
      </c>
      <c r="F220" s="0" t="n">
        <v>0</v>
      </c>
      <c r="G220" s="0" t="n">
        <v>5</v>
      </c>
      <c r="H220" s="0" t="n">
        <v>5</v>
      </c>
    </row>
    <row r="221" customFormat="false" ht="15" hidden="false" customHeight="false" outlineLevel="0" collapsed="false">
      <c r="A221" s="0" t="s">
        <v>169</v>
      </c>
      <c r="B221" s="0" t="s">
        <v>622</v>
      </c>
      <c r="C221" s="0" t="s">
        <v>623</v>
      </c>
      <c r="D221" s="0" t="n">
        <v>1</v>
      </c>
      <c r="E221" s="0" t="n">
        <v>1</v>
      </c>
      <c r="F221" s="0" t="n">
        <v>3</v>
      </c>
      <c r="G221" s="0" t="n">
        <v>2</v>
      </c>
      <c r="H221" s="0" t="n">
        <v>5</v>
      </c>
    </row>
    <row r="222" customFormat="false" ht="15" hidden="false" customHeight="false" outlineLevel="0" collapsed="false">
      <c r="A222" s="0" t="s">
        <v>169</v>
      </c>
      <c r="B222" s="0" t="s">
        <v>622</v>
      </c>
      <c r="C222" s="0" t="s">
        <v>624</v>
      </c>
      <c r="D222" s="0" t="n">
        <v>2</v>
      </c>
      <c r="E222" s="0" t="n">
        <v>2</v>
      </c>
      <c r="F222" s="0" t="n">
        <v>5</v>
      </c>
      <c r="G222" s="0" t="n">
        <v>4</v>
      </c>
      <c r="H222" s="0" t="n">
        <v>9</v>
      </c>
    </row>
    <row r="223" customFormat="false" ht="15" hidden="false" customHeight="false" outlineLevel="0" collapsed="false">
      <c r="A223" s="0" t="s">
        <v>169</v>
      </c>
      <c r="B223" s="0" t="s">
        <v>625</v>
      </c>
      <c r="C223" s="0" t="s">
        <v>571</v>
      </c>
      <c r="D223" s="0" t="n">
        <v>2</v>
      </c>
      <c r="E223" s="0" t="n">
        <v>5</v>
      </c>
      <c r="F223" s="0" t="n">
        <v>2</v>
      </c>
      <c r="G223" s="0" t="n">
        <v>7</v>
      </c>
      <c r="H223" s="0" t="n">
        <v>9</v>
      </c>
    </row>
    <row r="224" customFormat="false" ht="15" hidden="false" customHeight="false" outlineLevel="0" collapsed="false">
      <c r="A224" s="0" t="s">
        <v>169</v>
      </c>
      <c r="B224" s="0" t="s">
        <v>626</v>
      </c>
      <c r="C224" s="0" t="s">
        <v>620</v>
      </c>
      <c r="D224" s="0" t="n">
        <v>5</v>
      </c>
      <c r="E224" s="0" t="n">
        <v>12</v>
      </c>
      <c r="F224" s="0" t="n">
        <v>0</v>
      </c>
      <c r="G224" s="0" t="n">
        <v>17</v>
      </c>
      <c r="H224" s="0" t="n">
        <v>17</v>
      </c>
    </row>
    <row r="225" customFormat="false" ht="15" hidden="false" customHeight="false" outlineLevel="0" collapsed="false">
      <c r="A225" s="0" t="s">
        <v>169</v>
      </c>
      <c r="B225" s="0" t="s">
        <v>627</v>
      </c>
      <c r="C225" s="0" t="s">
        <v>575</v>
      </c>
      <c r="D225" s="0" t="n">
        <v>3</v>
      </c>
      <c r="E225" s="0" t="n">
        <v>7</v>
      </c>
      <c r="F225" s="0" t="n">
        <v>1</v>
      </c>
      <c r="G225" s="0" t="n">
        <v>10</v>
      </c>
      <c r="H225" s="0" t="n">
        <v>11</v>
      </c>
    </row>
    <row r="226" customFormat="false" ht="15" hidden="false" customHeight="false" outlineLevel="0" collapsed="false">
      <c r="A226" s="0" t="s">
        <v>169</v>
      </c>
      <c r="B226" s="0" t="s">
        <v>628</v>
      </c>
      <c r="C226" s="0" t="s">
        <v>629</v>
      </c>
      <c r="D226" s="0" t="n">
        <v>4</v>
      </c>
      <c r="E226" s="0" t="n">
        <v>3</v>
      </c>
      <c r="F226" s="0" t="n">
        <v>0</v>
      </c>
      <c r="G226" s="0" t="n">
        <v>7</v>
      </c>
      <c r="H226" s="0" t="n">
        <v>7</v>
      </c>
    </row>
    <row r="227" customFormat="false" ht="15" hidden="false" customHeight="false" outlineLevel="0" collapsed="false">
      <c r="A227" s="0" t="s">
        <v>237</v>
      </c>
      <c r="B227" s="0" t="s">
        <v>559</v>
      </c>
      <c r="C227" s="0" t="s">
        <v>630</v>
      </c>
      <c r="D227" s="0" t="n">
        <v>2</v>
      </c>
      <c r="E227" s="0" t="n">
        <v>0</v>
      </c>
      <c r="F227" s="0" t="n">
        <v>0</v>
      </c>
      <c r="G227" s="0" t="n">
        <v>2</v>
      </c>
      <c r="H227" s="0" t="n">
        <v>2</v>
      </c>
    </row>
    <row r="228" customFormat="false" ht="15" hidden="false" customHeight="false" outlineLevel="0" collapsed="false">
      <c r="A228" s="0" t="s">
        <v>237</v>
      </c>
      <c r="B228" s="0" t="s">
        <v>561</v>
      </c>
      <c r="C228" s="0" t="s">
        <v>109</v>
      </c>
      <c r="D228" s="0" t="n">
        <v>2</v>
      </c>
      <c r="E228" s="0" t="n">
        <v>0</v>
      </c>
      <c r="F228" s="0" t="n">
        <v>0</v>
      </c>
      <c r="G228" s="0" t="n">
        <v>2</v>
      </c>
      <c r="H228" s="0" t="n">
        <v>2</v>
      </c>
    </row>
    <row r="229" customFormat="false" ht="15" hidden="false" customHeight="false" outlineLevel="0" collapsed="false">
      <c r="A229" s="0" t="s">
        <v>237</v>
      </c>
      <c r="B229" s="0" t="s">
        <v>627</v>
      </c>
      <c r="C229" s="0" t="s">
        <v>630</v>
      </c>
      <c r="D229" s="0" t="n">
        <v>0</v>
      </c>
      <c r="E229" s="0" t="n">
        <v>1</v>
      </c>
      <c r="F229" s="0" t="n">
        <v>1</v>
      </c>
      <c r="G229" s="0" t="n">
        <v>1</v>
      </c>
      <c r="H229" s="0" t="n">
        <v>2</v>
      </c>
    </row>
    <row r="230" customFormat="false" ht="15" hidden="false" customHeight="false" outlineLevel="0" collapsed="false">
      <c r="A230" s="0" t="s">
        <v>237</v>
      </c>
      <c r="B230" s="0" t="s">
        <v>628</v>
      </c>
      <c r="C230" s="0" t="s">
        <v>631</v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1</v>
      </c>
    </row>
    <row r="231" customFormat="false" ht="15" hidden="false" customHeight="false" outlineLevel="0" collapsed="false">
      <c r="A231" s="0" t="s">
        <v>237</v>
      </c>
      <c r="B231" s="0" t="s">
        <v>632</v>
      </c>
      <c r="C231" s="0" t="s">
        <v>633</v>
      </c>
      <c r="D231" s="0" t="n">
        <v>0</v>
      </c>
      <c r="E231" s="0" t="n">
        <v>1</v>
      </c>
      <c r="F231" s="0" t="n">
        <v>0</v>
      </c>
      <c r="G231" s="0" t="n">
        <v>1</v>
      </c>
      <c r="H231" s="0" t="n">
        <v>1</v>
      </c>
    </row>
    <row r="232" customFormat="false" ht="15" hidden="false" customHeight="false" outlineLevel="0" collapsed="false">
      <c r="A232" s="0" t="s">
        <v>237</v>
      </c>
      <c r="B232" s="0" t="s">
        <v>634</v>
      </c>
      <c r="C232" s="0" t="s">
        <v>631</v>
      </c>
      <c r="D232" s="0" t="n">
        <v>0</v>
      </c>
      <c r="E232" s="0" t="n">
        <v>1</v>
      </c>
      <c r="F232" s="0" t="n">
        <v>0</v>
      </c>
      <c r="G232" s="0" t="n">
        <v>1</v>
      </c>
      <c r="H232" s="0" t="n">
        <v>1</v>
      </c>
    </row>
    <row r="233" customFormat="false" ht="15" hidden="false" customHeight="false" outlineLevel="0" collapsed="false">
      <c r="A233" s="0" t="s">
        <v>237</v>
      </c>
      <c r="B233" s="0" t="s">
        <v>593</v>
      </c>
      <c r="C233" s="0" t="s">
        <v>120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</row>
    <row r="234" customFormat="false" ht="15" hidden="false" customHeight="false" outlineLevel="0" collapsed="false">
      <c r="A234" s="0" t="s">
        <v>237</v>
      </c>
      <c r="B234" s="0" t="s">
        <v>583</v>
      </c>
      <c r="C234" s="0" t="s">
        <v>97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</row>
    <row r="235" customFormat="false" ht="15" hidden="false" customHeight="false" outlineLevel="0" collapsed="false">
      <c r="A235" s="0" t="s">
        <v>237</v>
      </c>
      <c r="B235" s="0" t="s">
        <v>586</v>
      </c>
      <c r="C235" s="0" t="s">
        <v>630</v>
      </c>
      <c r="D235" s="0" t="n">
        <v>1</v>
      </c>
      <c r="E235" s="0" t="n">
        <v>0</v>
      </c>
      <c r="F235" s="0" t="n">
        <v>0</v>
      </c>
      <c r="G235" s="0" t="n">
        <v>1</v>
      </c>
      <c r="H235" s="0" t="n">
        <v>1</v>
      </c>
    </row>
    <row r="236" customFormat="false" ht="15" hidden="false" customHeight="false" outlineLevel="0" collapsed="false">
      <c r="A236" s="0" t="s">
        <v>237</v>
      </c>
      <c r="B236" s="0" t="s">
        <v>635</v>
      </c>
      <c r="C236" s="0" t="s">
        <v>631</v>
      </c>
      <c r="D236" s="0" t="n">
        <v>0</v>
      </c>
      <c r="E236" s="0" t="n">
        <v>4</v>
      </c>
      <c r="F236" s="0" t="n">
        <v>0</v>
      </c>
      <c r="G236" s="0" t="n">
        <v>4</v>
      </c>
      <c r="H236" s="0" t="n">
        <v>4</v>
      </c>
    </row>
    <row r="237" customFormat="false" ht="15" hidden="false" customHeight="false" outlineLevel="0" collapsed="false">
      <c r="A237" s="0" t="s">
        <v>237</v>
      </c>
      <c r="B237" s="0" t="s">
        <v>636</v>
      </c>
      <c r="C237" s="0" t="s">
        <v>631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</row>
    <row r="238" customFormat="false" ht="15" hidden="false" customHeight="false" outlineLevel="0" collapsed="false">
      <c r="A238" s="0" t="s">
        <v>237</v>
      </c>
      <c r="B238" s="0" t="s">
        <v>637</v>
      </c>
      <c r="C238" s="0" t="s">
        <v>630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</row>
    <row r="239" customFormat="false" ht="15" hidden="false" customHeight="false" outlineLevel="0" collapsed="false">
      <c r="A239" s="0" t="s">
        <v>237</v>
      </c>
      <c r="B239" s="0" t="s">
        <v>603</v>
      </c>
      <c r="C239" s="0" t="s">
        <v>97</v>
      </c>
      <c r="D239" s="0" t="n">
        <v>2</v>
      </c>
      <c r="E239" s="0" t="n">
        <v>2</v>
      </c>
      <c r="F239" s="0" t="n">
        <v>0</v>
      </c>
      <c r="G239" s="0" t="n">
        <v>4</v>
      </c>
      <c r="H239" s="0" t="n">
        <v>4</v>
      </c>
    </row>
    <row r="240" customFormat="false" ht="15" hidden="false" customHeight="false" outlineLevel="0" collapsed="false">
      <c r="A240" s="0" t="s">
        <v>237</v>
      </c>
      <c r="B240" s="0" t="s">
        <v>638</v>
      </c>
      <c r="C240" s="0" t="s">
        <v>639</v>
      </c>
      <c r="D240" s="0" t="n">
        <v>0</v>
      </c>
      <c r="E240" s="0" t="n">
        <v>3</v>
      </c>
      <c r="F240" s="0" t="n">
        <v>0</v>
      </c>
      <c r="G240" s="0" t="n">
        <v>3</v>
      </c>
      <c r="H240" s="0" t="n">
        <v>3</v>
      </c>
    </row>
    <row r="241" customFormat="false" ht="15" hidden="false" customHeight="false" outlineLevel="0" collapsed="false">
      <c r="A241" s="0" t="s">
        <v>237</v>
      </c>
      <c r="B241" s="0" t="s">
        <v>640</v>
      </c>
      <c r="C241" s="0" t="s">
        <v>120</v>
      </c>
      <c r="D241" s="0" t="n">
        <v>1</v>
      </c>
      <c r="E241" s="0" t="n">
        <v>0</v>
      </c>
      <c r="F241" s="0" t="n">
        <v>0</v>
      </c>
      <c r="G241" s="0" t="n">
        <v>1</v>
      </c>
      <c r="H241" s="0" t="n">
        <v>1</v>
      </c>
    </row>
    <row r="242" customFormat="false" ht="15" hidden="false" customHeight="false" outlineLevel="0" collapsed="false">
      <c r="A242" s="0" t="s">
        <v>239</v>
      </c>
      <c r="B242" s="0" t="s">
        <v>559</v>
      </c>
      <c r="C242" s="0" t="s">
        <v>630</v>
      </c>
      <c r="D242" s="0" t="n">
        <v>2</v>
      </c>
      <c r="E242" s="0" t="n">
        <v>0</v>
      </c>
      <c r="F242" s="0" t="n">
        <v>0</v>
      </c>
      <c r="G242" s="0" t="n">
        <v>2</v>
      </c>
      <c r="H242" s="0" t="n">
        <v>2</v>
      </c>
    </row>
    <row r="243" customFormat="false" ht="15" hidden="false" customHeight="false" outlineLevel="0" collapsed="false">
      <c r="A243" s="0" t="s">
        <v>239</v>
      </c>
      <c r="B243" s="0" t="s">
        <v>561</v>
      </c>
      <c r="C243" s="0" t="s">
        <v>109</v>
      </c>
      <c r="D243" s="0" t="n">
        <v>2</v>
      </c>
      <c r="E243" s="0" t="n">
        <v>0</v>
      </c>
      <c r="F243" s="0" t="n">
        <v>0</v>
      </c>
      <c r="G243" s="0" t="n">
        <v>2</v>
      </c>
      <c r="H243" s="0" t="n">
        <v>2</v>
      </c>
    </row>
    <row r="244" customFormat="false" ht="15" hidden="false" customHeight="false" outlineLevel="0" collapsed="false">
      <c r="A244" s="0" t="s">
        <v>239</v>
      </c>
      <c r="B244" s="0" t="s">
        <v>627</v>
      </c>
      <c r="C244" s="0" t="s">
        <v>630</v>
      </c>
      <c r="D244" s="0" t="n">
        <v>0</v>
      </c>
      <c r="E244" s="0" t="n">
        <v>5</v>
      </c>
      <c r="F244" s="0" t="n">
        <v>1</v>
      </c>
      <c r="G244" s="0" t="n">
        <v>5</v>
      </c>
      <c r="H244" s="0" t="n">
        <v>6</v>
      </c>
    </row>
    <row r="245" customFormat="false" ht="15" hidden="false" customHeight="false" outlineLevel="0" collapsed="false">
      <c r="A245" s="0" t="s">
        <v>239</v>
      </c>
      <c r="B245" s="0" t="s">
        <v>628</v>
      </c>
      <c r="C245" s="0" t="s">
        <v>631</v>
      </c>
      <c r="D245" s="0" t="n">
        <v>1</v>
      </c>
      <c r="E245" s="0" t="n">
        <v>1</v>
      </c>
      <c r="F245" s="0" t="n">
        <v>4</v>
      </c>
      <c r="G245" s="0" t="n">
        <v>2</v>
      </c>
      <c r="H245" s="0" t="n">
        <v>6</v>
      </c>
    </row>
    <row r="246" customFormat="false" ht="15" hidden="false" customHeight="false" outlineLevel="0" collapsed="false">
      <c r="A246" s="0" t="s">
        <v>239</v>
      </c>
      <c r="B246" s="0" t="s">
        <v>632</v>
      </c>
      <c r="C246" s="0" t="s">
        <v>633</v>
      </c>
      <c r="D246" s="0" t="n">
        <v>5</v>
      </c>
      <c r="E246" s="0" t="n">
        <v>0</v>
      </c>
      <c r="F246" s="0" t="n">
        <v>5</v>
      </c>
      <c r="G246" s="0" t="n">
        <v>5</v>
      </c>
      <c r="H246" s="0" t="n">
        <v>10</v>
      </c>
    </row>
    <row r="247" customFormat="false" ht="15" hidden="false" customHeight="false" outlineLevel="0" collapsed="false">
      <c r="A247" s="0" t="s">
        <v>239</v>
      </c>
      <c r="B247" s="0" t="s">
        <v>634</v>
      </c>
      <c r="C247" s="0" t="s">
        <v>631</v>
      </c>
      <c r="D247" s="0" t="n">
        <v>2</v>
      </c>
      <c r="E247" s="0" t="n">
        <v>3</v>
      </c>
      <c r="F247" s="0" t="n">
        <v>0</v>
      </c>
      <c r="G247" s="0" t="n">
        <v>5</v>
      </c>
      <c r="H247" s="0" t="n">
        <v>5</v>
      </c>
    </row>
    <row r="248" customFormat="false" ht="15" hidden="false" customHeight="false" outlineLevel="0" collapsed="false">
      <c r="A248" s="0" t="s">
        <v>239</v>
      </c>
      <c r="B248" s="0" t="s">
        <v>593</v>
      </c>
      <c r="C248" s="0" t="s">
        <v>120</v>
      </c>
      <c r="D248" s="0" t="n">
        <v>3</v>
      </c>
      <c r="E248" s="0" t="n">
        <v>9</v>
      </c>
      <c r="F248" s="0" t="n">
        <v>3</v>
      </c>
      <c r="G248" s="0" t="n">
        <v>12</v>
      </c>
      <c r="H248" s="0" t="n">
        <v>15</v>
      </c>
    </row>
    <row r="249" customFormat="false" ht="15" hidden="false" customHeight="false" outlineLevel="0" collapsed="false">
      <c r="A249" s="0" t="s">
        <v>239</v>
      </c>
      <c r="B249" s="0" t="s">
        <v>583</v>
      </c>
      <c r="C249" s="0" t="s">
        <v>97</v>
      </c>
      <c r="D249" s="0" t="n">
        <v>1</v>
      </c>
      <c r="E249" s="0" t="n">
        <v>4</v>
      </c>
      <c r="F249" s="0" t="n">
        <v>0</v>
      </c>
      <c r="G249" s="0" t="n">
        <v>5</v>
      </c>
      <c r="H249" s="0" t="n">
        <v>5</v>
      </c>
    </row>
    <row r="250" customFormat="false" ht="15" hidden="false" customHeight="false" outlineLevel="0" collapsed="false">
      <c r="A250" s="0" t="s">
        <v>239</v>
      </c>
      <c r="B250" s="0" t="s">
        <v>586</v>
      </c>
      <c r="C250" s="0" t="s">
        <v>630</v>
      </c>
      <c r="D250" s="0" t="n">
        <v>1</v>
      </c>
      <c r="E250" s="0" t="n">
        <v>8</v>
      </c>
      <c r="F250" s="0" t="n">
        <v>6</v>
      </c>
      <c r="G250" s="0" t="n">
        <v>9</v>
      </c>
      <c r="H250" s="0" t="n">
        <v>15</v>
      </c>
    </row>
    <row r="251" customFormat="false" ht="15" hidden="false" customHeight="false" outlineLevel="0" collapsed="false">
      <c r="A251" s="0" t="s">
        <v>239</v>
      </c>
      <c r="B251" s="0" t="s">
        <v>635</v>
      </c>
      <c r="C251" s="0" t="s">
        <v>631</v>
      </c>
      <c r="D251" s="0" t="n">
        <v>2</v>
      </c>
      <c r="E251" s="0" t="n">
        <v>0</v>
      </c>
      <c r="F251" s="0" t="n">
        <v>0</v>
      </c>
      <c r="G251" s="0" t="n">
        <v>2</v>
      </c>
      <c r="H251" s="0" t="n">
        <v>2</v>
      </c>
    </row>
    <row r="252" customFormat="false" ht="15" hidden="false" customHeight="false" outlineLevel="0" collapsed="false">
      <c r="A252" s="0" t="s">
        <v>239</v>
      </c>
      <c r="B252" s="0" t="s">
        <v>636</v>
      </c>
      <c r="C252" s="0" t="s">
        <v>631</v>
      </c>
      <c r="D252" s="0" t="n">
        <v>1</v>
      </c>
      <c r="E252" s="0" t="n">
        <v>1</v>
      </c>
      <c r="F252" s="0" t="n">
        <v>1</v>
      </c>
      <c r="G252" s="0" t="n">
        <v>2</v>
      </c>
      <c r="H252" s="0" t="n">
        <v>3</v>
      </c>
    </row>
    <row r="253" customFormat="false" ht="15" hidden="false" customHeight="false" outlineLevel="0" collapsed="false">
      <c r="A253" s="0" t="s">
        <v>239</v>
      </c>
      <c r="B253" s="0" t="s">
        <v>637</v>
      </c>
      <c r="C253" s="0" t="s">
        <v>630</v>
      </c>
      <c r="D253" s="0" t="n">
        <v>1</v>
      </c>
      <c r="E253" s="0" t="n">
        <v>0</v>
      </c>
      <c r="F253" s="0" t="n">
        <v>0</v>
      </c>
      <c r="G253" s="0" t="n">
        <v>1</v>
      </c>
      <c r="H253" s="0" t="n">
        <v>1</v>
      </c>
    </row>
    <row r="254" customFormat="false" ht="15" hidden="false" customHeight="false" outlineLevel="0" collapsed="false">
      <c r="A254" s="0" t="s">
        <v>239</v>
      </c>
      <c r="B254" s="0" t="s">
        <v>603</v>
      </c>
      <c r="C254" s="0" t="s">
        <v>97</v>
      </c>
      <c r="D254" s="0" t="n">
        <v>4</v>
      </c>
      <c r="E254" s="0" t="n">
        <v>1</v>
      </c>
      <c r="F254" s="0" t="n">
        <v>0</v>
      </c>
      <c r="G254" s="0" t="n">
        <v>5</v>
      </c>
      <c r="H254" s="0" t="n">
        <v>5</v>
      </c>
    </row>
    <row r="255" customFormat="false" ht="15" hidden="false" customHeight="false" outlineLevel="0" collapsed="false">
      <c r="A255" s="0" t="s">
        <v>239</v>
      </c>
      <c r="B255" s="0" t="s">
        <v>638</v>
      </c>
      <c r="C255" s="0" t="s">
        <v>639</v>
      </c>
      <c r="D255" s="0" t="n">
        <v>1</v>
      </c>
      <c r="E255" s="0" t="n">
        <v>2</v>
      </c>
      <c r="F255" s="0" t="n">
        <v>8</v>
      </c>
      <c r="G255" s="0" t="n">
        <v>3</v>
      </c>
      <c r="H255" s="0" t="n">
        <v>11</v>
      </c>
    </row>
    <row r="256" customFormat="false" ht="15" hidden="false" customHeight="false" outlineLevel="0" collapsed="false">
      <c r="A256" s="0" t="s">
        <v>239</v>
      </c>
      <c r="B256" s="0" t="s">
        <v>640</v>
      </c>
      <c r="C256" s="0" t="s">
        <v>120</v>
      </c>
      <c r="D256" s="0" t="n">
        <v>6</v>
      </c>
      <c r="E256" s="0" t="n">
        <v>2</v>
      </c>
      <c r="F256" s="0" t="n">
        <v>4</v>
      </c>
      <c r="G256" s="0" t="n">
        <v>8</v>
      </c>
      <c r="H256" s="0" t="n">
        <v>12</v>
      </c>
    </row>
    <row r="257" customFormat="false" ht="15" hidden="false" customHeight="false" outlineLevel="0" collapsed="false">
      <c r="A257" s="0" t="s">
        <v>241</v>
      </c>
      <c r="B257" s="0" t="s">
        <v>559</v>
      </c>
      <c r="C257" s="0" t="s">
        <v>630</v>
      </c>
      <c r="D257" s="0" t="n">
        <v>2</v>
      </c>
      <c r="E257" s="0" t="n">
        <v>0</v>
      </c>
      <c r="F257" s="0" t="n">
        <v>0</v>
      </c>
      <c r="G257" s="0" t="n">
        <v>2</v>
      </c>
      <c r="H257" s="0" t="n">
        <v>2</v>
      </c>
    </row>
    <row r="258" customFormat="false" ht="15" hidden="false" customHeight="false" outlineLevel="0" collapsed="false">
      <c r="A258" s="0" t="s">
        <v>241</v>
      </c>
      <c r="B258" s="0" t="s">
        <v>561</v>
      </c>
      <c r="C258" s="0" t="s">
        <v>109</v>
      </c>
      <c r="D258" s="0" t="n">
        <v>3</v>
      </c>
      <c r="E258" s="0" t="n">
        <v>0</v>
      </c>
      <c r="F258" s="0" t="n">
        <v>0</v>
      </c>
      <c r="G258" s="0" t="n">
        <v>3</v>
      </c>
      <c r="H258" s="0" t="n">
        <v>3</v>
      </c>
    </row>
    <row r="259" customFormat="false" ht="15" hidden="false" customHeight="false" outlineLevel="0" collapsed="false">
      <c r="A259" s="0" t="s">
        <v>241</v>
      </c>
      <c r="B259" s="0" t="s">
        <v>627</v>
      </c>
      <c r="C259" s="0" t="s">
        <v>630</v>
      </c>
      <c r="D259" s="0" t="n">
        <v>0</v>
      </c>
      <c r="E259" s="0" t="n">
        <v>6</v>
      </c>
      <c r="F259" s="0" t="n">
        <v>4</v>
      </c>
      <c r="G259" s="0" t="n">
        <v>6</v>
      </c>
      <c r="H259" s="0" t="n">
        <v>10</v>
      </c>
    </row>
    <row r="260" customFormat="false" ht="15" hidden="false" customHeight="false" outlineLevel="0" collapsed="false">
      <c r="A260" s="0" t="s">
        <v>241</v>
      </c>
      <c r="B260" s="0" t="s">
        <v>628</v>
      </c>
      <c r="C260" s="0" t="s">
        <v>631</v>
      </c>
      <c r="D260" s="0" t="n">
        <v>4</v>
      </c>
      <c r="E260" s="0" t="n">
        <v>3</v>
      </c>
      <c r="F260" s="0" t="n">
        <v>6</v>
      </c>
      <c r="G260" s="0" t="n">
        <v>7</v>
      </c>
      <c r="H260" s="0" t="n">
        <v>13</v>
      </c>
    </row>
    <row r="261" customFormat="false" ht="15" hidden="false" customHeight="false" outlineLevel="0" collapsed="false">
      <c r="A261" s="0" t="s">
        <v>241</v>
      </c>
      <c r="B261" s="0" t="s">
        <v>632</v>
      </c>
      <c r="C261" s="0" t="s">
        <v>633</v>
      </c>
      <c r="D261" s="0" t="n">
        <v>4</v>
      </c>
      <c r="E261" s="0" t="n">
        <v>12</v>
      </c>
      <c r="F261" s="0" t="n">
        <v>4</v>
      </c>
      <c r="G261" s="0" t="n">
        <v>16</v>
      </c>
      <c r="H261" s="0" t="n">
        <v>20</v>
      </c>
    </row>
    <row r="262" customFormat="false" ht="15" hidden="false" customHeight="false" outlineLevel="0" collapsed="false">
      <c r="A262" s="0" t="s">
        <v>241</v>
      </c>
      <c r="B262" s="0" t="s">
        <v>634</v>
      </c>
      <c r="C262" s="0" t="s">
        <v>631</v>
      </c>
      <c r="D262" s="0" t="n">
        <v>4</v>
      </c>
      <c r="E262" s="0" t="n">
        <v>2</v>
      </c>
      <c r="F262" s="0" t="n">
        <v>3</v>
      </c>
      <c r="G262" s="0" t="n">
        <v>6</v>
      </c>
      <c r="H262" s="0" t="n">
        <v>9</v>
      </c>
    </row>
    <row r="263" customFormat="false" ht="15" hidden="false" customHeight="false" outlineLevel="0" collapsed="false">
      <c r="A263" s="0" t="s">
        <v>241</v>
      </c>
      <c r="B263" s="0" t="s">
        <v>593</v>
      </c>
      <c r="C263" s="0" t="s">
        <v>120</v>
      </c>
      <c r="D263" s="0" t="n">
        <v>3</v>
      </c>
      <c r="E263" s="0" t="n">
        <v>1</v>
      </c>
      <c r="F263" s="0" t="n">
        <v>4</v>
      </c>
      <c r="G263" s="0" t="n">
        <v>4</v>
      </c>
      <c r="H263" s="0" t="n">
        <v>8</v>
      </c>
    </row>
    <row r="264" customFormat="false" ht="15" hidden="false" customHeight="false" outlineLevel="0" collapsed="false">
      <c r="A264" s="0" t="s">
        <v>241</v>
      </c>
      <c r="B264" s="0" t="s">
        <v>583</v>
      </c>
      <c r="C264" s="0" t="s">
        <v>97</v>
      </c>
      <c r="D264" s="0" t="n">
        <v>1</v>
      </c>
      <c r="E264" s="0" t="n">
        <v>2</v>
      </c>
      <c r="F264" s="0" t="n">
        <v>0</v>
      </c>
      <c r="G264" s="0" t="n">
        <v>3</v>
      </c>
      <c r="H264" s="0" t="n">
        <v>3</v>
      </c>
    </row>
    <row r="265" customFormat="false" ht="15" hidden="false" customHeight="false" outlineLevel="0" collapsed="false">
      <c r="A265" s="0" t="s">
        <v>241</v>
      </c>
      <c r="B265" s="0" t="s">
        <v>586</v>
      </c>
      <c r="C265" s="0" t="s">
        <v>630</v>
      </c>
      <c r="D265" s="0" t="n">
        <v>2</v>
      </c>
      <c r="E265" s="0" t="n">
        <v>4</v>
      </c>
      <c r="F265" s="0" t="n">
        <v>7</v>
      </c>
      <c r="G265" s="0" t="n">
        <v>6</v>
      </c>
      <c r="H265" s="0" t="n">
        <v>13</v>
      </c>
    </row>
    <row r="266" customFormat="false" ht="15" hidden="false" customHeight="false" outlineLevel="0" collapsed="false">
      <c r="A266" s="0" t="s">
        <v>241</v>
      </c>
      <c r="B266" s="0" t="s">
        <v>635</v>
      </c>
      <c r="C266" s="0" t="s">
        <v>631</v>
      </c>
      <c r="D266" s="0" t="n">
        <v>2</v>
      </c>
      <c r="E266" s="0" t="n">
        <v>5</v>
      </c>
      <c r="F266" s="0" t="n">
        <v>0</v>
      </c>
      <c r="G266" s="0" t="n">
        <v>7</v>
      </c>
      <c r="H266" s="0" t="n">
        <v>7</v>
      </c>
    </row>
    <row r="267" customFormat="false" ht="15" hidden="false" customHeight="false" outlineLevel="0" collapsed="false">
      <c r="A267" s="0" t="s">
        <v>241</v>
      </c>
      <c r="B267" s="0" t="s">
        <v>636</v>
      </c>
      <c r="C267" s="0" t="s">
        <v>631</v>
      </c>
      <c r="D267" s="0" t="n">
        <v>2</v>
      </c>
      <c r="E267" s="0" t="n">
        <v>7</v>
      </c>
      <c r="F267" s="0" t="n">
        <v>2</v>
      </c>
      <c r="G267" s="0" t="n">
        <v>9</v>
      </c>
      <c r="H267" s="0" t="n">
        <v>11</v>
      </c>
    </row>
    <row r="268" customFormat="false" ht="15" hidden="false" customHeight="false" outlineLevel="0" collapsed="false">
      <c r="A268" s="0" t="s">
        <v>241</v>
      </c>
      <c r="B268" s="0" t="s">
        <v>637</v>
      </c>
      <c r="C268" s="0" t="s">
        <v>630</v>
      </c>
      <c r="D268" s="0" t="n">
        <v>1</v>
      </c>
      <c r="E268" s="0" t="n">
        <v>2</v>
      </c>
      <c r="F268" s="0" t="n">
        <v>0</v>
      </c>
      <c r="G268" s="0" t="n">
        <v>3</v>
      </c>
      <c r="H268" s="0" t="n">
        <v>3</v>
      </c>
    </row>
    <row r="269" customFormat="false" ht="15" hidden="false" customHeight="false" outlineLevel="0" collapsed="false">
      <c r="A269" s="0" t="s">
        <v>241</v>
      </c>
      <c r="B269" s="0" t="s">
        <v>603</v>
      </c>
      <c r="C269" s="0" t="s">
        <v>97</v>
      </c>
      <c r="D269" s="0" t="n">
        <v>6</v>
      </c>
      <c r="E269" s="0" t="n">
        <v>1</v>
      </c>
      <c r="F269" s="0" t="n">
        <v>5</v>
      </c>
      <c r="G269" s="0" t="n">
        <v>7</v>
      </c>
      <c r="H269" s="0" t="n">
        <v>12</v>
      </c>
    </row>
    <row r="270" customFormat="false" ht="15" hidden="false" customHeight="false" outlineLevel="0" collapsed="false">
      <c r="A270" s="0" t="s">
        <v>241</v>
      </c>
      <c r="B270" s="0" t="s">
        <v>638</v>
      </c>
      <c r="C270" s="0" t="s">
        <v>639</v>
      </c>
      <c r="D270" s="0" t="n">
        <v>4</v>
      </c>
      <c r="E270" s="0" t="n">
        <v>4</v>
      </c>
      <c r="F270" s="0" t="n">
        <v>5</v>
      </c>
      <c r="G270" s="0" t="n">
        <v>8</v>
      </c>
      <c r="H270" s="0" t="n">
        <v>13</v>
      </c>
    </row>
    <row r="271" customFormat="false" ht="15" hidden="false" customHeight="false" outlineLevel="0" collapsed="false">
      <c r="A271" s="0" t="s">
        <v>241</v>
      </c>
      <c r="B271" s="0" t="s">
        <v>640</v>
      </c>
      <c r="C271" s="0" t="s">
        <v>120</v>
      </c>
      <c r="D271" s="0" t="n">
        <v>0</v>
      </c>
      <c r="E271" s="0" t="n">
        <v>5</v>
      </c>
      <c r="F271" s="0" t="n">
        <v>6</v>
      </c>
      <c r="G271" s="0" t="n">
        <v>5</v>
      </c>
      <c r="H271" s="0" t="n">
        <v>11</v>
      </c>
    </row>
    <row r="272" customFormat="false" ht="15" hidden="false" customHeight="false" outlineLevel="0" collapsed="false">
      <c r="A272" s="0" t="s">
        <v>243</v>
      </c>
      <c r="B272" s="0" t="s">
        <v>559</v>
      </c>
      <c r="C272" s="0" t="s">
        <v>630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</row>
    <row r="273" customFormat="false" ht="15" hidden="false" customHeight="false" outlineLevel="0" collapsed="false">
      <c r="A273" s="0" t="s">
        <v>243</v>
      </c>
      <c r="B273" s="0" t="s">
        <v>561</v>
      </c>
      <c r="C273" s="0" t="s">
        <v>109</v>
      </c>
      <c r="D273" s="0" t="n">
        <v>1</v>
      </c>
      <c r="E273" s="0" t="n">
        <v>0</v>
      </c>
      <c r="F273" s="0" t="n">
        <v>0</v>
      </c>
      <c r="G273" s="0" t="n">
        <v>1</v>
      </c>
      <c r="H273" s="0" t="n">
        <v>1</v>
      </c>
    </row>
    <row r="274" customFormat="false" ht="15" hidden="false" customHeight="false" outlineLevel="0" collapsed="false">
      <c r="A274" s="0" t="s">
        <v>243</v>
      </c>
      <c r="B274" s="0" t="s">
        <v>627</v>
      </c>
      <c r="C274" s="0" t="s">
        <v>630</v>
      </c>
      <c r="D274" s="0" t="n">
        <v>0</v>
      </c>
      <c r="E274" s="0" t="n">
        <v>2</v>
      </c>
      <c r="F274" s="0" t="n">
        <v>1</v>
      </c>
      <c r="G274" s="0" t="n">
        <v>2</v>
      </c>
      <c r="H274" s="0" t="n">
        <v>3</v>
      </c>
    </row>
    <row r="275" customFormat="false" ht="15" hidden="false" customHeight="false" outlineLevel="0" collapsed="false">
      <c r="A275" s="0" t="s">
        <v>243</v>
      </c>
      <c r="B275" s="0" t="s">
        <v>628</v>
      </c>
      <c r="C275" s="0" t="s">
        <v>631</v>
      </c>
      <c r="D275" s="0" t="n">
        <v>0</v>
      </c>
      <c r="E275" s="0" t="n">
        <v>4</v>
      </c>
      <c r="F275" s="0" t="n">
        <v>1</v>
      </c>
      <c r="G275" s="0" t="n">
        <v>4</v>
      </c>
      <c r="H275" s="0" t="n">
        <v>5</v>
      </c>
    </row>
    <row r="276" customFormat="false" ht="15" hidden="false" customHeight="false" outlineLevel="0" collapsed="false">
      <c r="A276" s="0" t="s">
        <v>243</v>
      </c>
      <c r="B276" s="0" t="s">
        <v>632</v>
      </c>
      <c r="C276" s="0" t="s">
        <v>633</v>
      </c>
      <c r="D276" s="0" t="n">
        <v>2</v>
      </c>
      <c r="E276" s="0" t="n">
        <v>1</v>
      </c>
      <c r="F276" s="0" t="n">
        <v>2</v>
      </c>
      <c r="G276" s="0" t="n">
        <v>3</v>
      </c>
      <c r="H276" s="0" t="n">
        <v>5</v>
      </c>
    </row>
    <row r="277" customFormat="false" ht="15" hidden="false" customHeight="false" outlineLevel="0" collapsed="false">
      <c r="A277" s="0" t="s">
        <v>243</v>
      </c>
      <c r="B277" s="0" t="s">
        <v>634</v>
      </c>
      <c r="C277" s="0" t="s">
        <v>631</v>
      </c>
      <c r="D277" s="0" t="n">
        <v>1</v>
      </c>
      <c r="E277" s="0" t="n">
        <v>4</v>
      </c>
      <c r="F277" s="0" t="n">
        <v>2</v>
      </c>
      <c r="G277" s="0" t="n">
        <v>5</v>
      </c>
      <c r="H277" s="0" t="n">
        <v>7</v>
      </c>
    </row>
    <row r="278" customFormat="false" ht="15" hidden="false" customHeight="false" outlineLevel="0" collapsed="false">
      <c r="A278" s="0" t="s">
        <v>243</v>
      </c>
      <c r="B278" s="0" t="s">
        <v>593</v>
      </c>
      <c r="C278" s="0" t="s">
        <v>120</v>
      </c>
      <c r="D278" s="0" t="n">
        <v>2</v>
      </c>
      <c r="E278" s="0" t="n">
        <v>3</v>
      </c>
      <c r="F278" s="0" t="n">
        <v>2</v>
      </c>
      <c r="G278" s="0" t="n">
        <v>5</v>
      </c>
      <c r="H278" s="0" t="n">
        <v>7</v>
      </c>
    </row>
    <row r="279" customFormat="false" ht="15" hidden="false" customHeight="false" outlineLevel="0" collapsed="false">
      <c r="A279" s="0" t="s">
        <v>243</v>
      </c>
      <c r="B279" s="0" t="s">
        <v>583</v>
      </c>
      <c r="C279" s="0" t="s">
        <v>97</v>
      </c>
      <c r="D279" s="0" t="n">
        <v>7</v>
      </c>
      <c r="E279" s="0" t="n">
        <v>2</v>
      </c>
      <c r="F279" s="0" t="n">
        <v>0</v>
      </c>
      <c r="G279" s="0" t="n">
        <v>9</v>
      </c>
      <c r="H279" s="0" t="n">
        <v>9</v>
      </c>
    </row>
    <row r="280" customFormat="false" ht="15" hidden="false" customHeight="false" outlineLevel="0" collapsed="false">
      <c r="A280" s="0" t="s">
        <v>243</v>
      </c>
      <c r="B280" s="0" t="s">
        <v>586</v>
      </c>
      <c r="C280" s="0" t="s">
        <v>630</v>
      </c>
      <c r="D280" s="0" t="n">
        <v>5</v>
      </c>
      <c r="E280" s="0" t="n">
        <v>5</v>
      </c>
      <c r="F280" s="0" t="n">
        <v>1</v>
      </c>
      <c r="G280" s="0" t="n">
        <v>10</v>
      </c>
      <c r="H280" s="0" t="n">
        <v>11</v>
      </c>
    </row>
    <row r="281" customFormat="false" ht="15" hidden="false" customHeight="false" outlineLevel="0" collapsed="false">
      <c r="A281" s="0" t="s">
        <v>243</v>
      </c>
      <c r="B281" s="0" t="s">
        <v>635</v>
      </c>
      <c r="C281" s="0" t="s">
        <v>631</v>
      </c>
      <c r="D281" s="0" t="n">
        <v>7</v>
      </c>
      <c r="E281" s="0" t="n">
        <v>1</v>
      </c>
      <c r="F281" s="0" t="n">
        <v>0</v>
      </c>
      <c r="G281" s="0" t="n">
        <v>8</v>
      </c>
      <c r="H281" s="0" t="n">
        <v>8</v>
      </c>
    </row>
    <row r="282" customFormat="false" ht="15" hidden="false" customHeight="false" outlineLevel="0" collapsed="false">
      <c r="A282" s="0" t="s">
        <v>243</v>
      </c>
      <c r="B282" s="0" t="s">
        <v>636</v>
      </c>
      <c r="C282" s="0" t="s">
        <v>631</v>
      </c>
      <c r="D282" s="0" t="n">
        <v>0</v>
      </c>
      <c r="E282" s="0" t="n">
        <v>3</v>
      </c>
      <c r="F282" s="0" t="n">
        <v>1</v>
      </c>
      <c r="G282" s="0" t="n">
        <v>3</v>
      </c>
      <c r="H282" s="0" t="n">
        <v>4</v>
      </c>
    </row>
    <row r="283" customFormat="false" ht="15" hidden="false" customHeight="false" outlineLevel="0" collapsed="false">
      <c r="A283" s="0" t="s">
        <v>243</v>
      </c>
      <c r="B283" s="0" t="s">
        <v>637</v>
      </c>
      <c r="C283" s="0" t="s">
        <v>630</v>
      </c>
      <c r="D283" s="0" t="n">
        <v>1</v>
      </c>
      <c r="E283" s="0" t="n">
        <v>4</v>
      </c>
      <c r="F283" s="0" t="n">
        <v>0</v>
      </c>
      <c r="G283" s="0" t="n">
        <v>5</v>
      </c>
      <c r="H283" s="0" t="n">
        <v>5</v>
      </c>
    </row>
    <row r="284" customFormat="false" ht="15" hidden="false" customHeight="false" outlineLevel="0" collapsed="false">
      <c r="A284" s="0" t="s">
        <v>243</v>
      </c>
      <c r="B284" s="0" t="s">
        <v>603</v>
      </c>
      <c r="C284" s="0" t="s">
        <v>97</v>
      </c>
      <c r="D284" s="0" t="n">
        <v>4</v>
      </c>
      <c r="E284" s="0" t="n">
        <v>1</v>
      </c>
      <c r="F284" s="0" t="n">
        <v>4</v>
      </c>
      <c r="G284" s="0" t="n">
        <v>5</v>
      </c>
      <c r="H284" s="0" t="n">
        <v>9</v>
      </c>
    </row>
    <row r="285" customFormat="false" ht="15" hidden="false" customHeight="false" outlineLevel="0" collapsed="false">
      <c r="A285" s="0" t="s">
        <v>243</v>
      </c>
      <c r="B285" s="0" t="s">
        <v>638</v>
      </c>
      <c r="C285" s="0" t="s">
        <v>639</v>
      </c>
      <c r="D285" s="0" t="n">
        <v>4</v>
      </c>
      <c r="E285" s="0" t="n">
        <v>2</v>
      </c>
      <c r="F285" s="0" t="n">
        <v>2</v>
      </c>
      <c r="G285" s="0" t="n">
        <v>6</v>
      </c>
      <c r="H285" s="0" t="n">
        <v>8</v>
      </c>
    </row>
    <row r="286" customFormat="false" ht="15" hidden="false" customHeight="false" outlineLevel="0" collapsed="false">
      <c r="A286" s="0" t="s">
        <v>243</v>
      </c>
      <c r="B286" s="0" t="s">
        <v>640</v>
      </c>
      <c r="C286" s="0" t="s">
        <v>120</v>
      </c>
      <c r="D286" s="0" t="n">
        <v>2</v>
      </c>
      <c r="E286" s="0" t="n">
        <v>3</v>
      </c>
      <c r="F286" s="0" t="n">
        <v>1</v>
      </c>
      <c r="G286" s="0" t="n">
        <v>5</v>
      </c>
      <c r="H286" s="0" t="n">
        <v>6</v>
      </c>
    </row>
    <row r="287" customFormat="false" ht="15" hidden="false" customHeight="false" outlineLevel="0" collapsed="false">
      <c r="A287" s="0" t="s">
        <v>245</v>
      </c>
      <c r="B287" s="0" t="s">
        <v>559</v>
      </c>
      <c r="C287" s="0" t="s">
        <v>630</v>
      </c>
      <c r="D287" s="0" t="n">
        <v>4</v>
      </c>
      <c r="E287" s="0" t="n">
        <v>0</v>
      </c>
      <c r="F287" s="0" t="n">
        <v>0</v>
      </c>
      <c r="G287" s="0" t="n">
        <v>4</v>
      </c>
      <c r="H287" s="0" t="n">
        <v>4</v>
      </c>
    </row>
    <row r="288" customFormat="false" ht="15" hidden="false" customHeight="false" outlineLevel="0" collapsed="false">
      <c r="A288" s="0" t="s">
        <v>245</v>
      </c>
      <c r="B288" s="0" t="s">
        <v>561</v>
      </c>
      <c r="C288" s="0" t="s">
        <v>109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</row>
    <row r="289" customFormat="false" ht="15" hidden="false" customHeight="false" outlineLevel="0" collapsed="false">
      <c r="A289" s="0" t="s">
        <v>245</v>
      </c>
      <c r="B289" s="0" t="s">
        <v>627</v>
      </c>
      <c r="C289" s="0" t="s">
        <v>630</v>
      </c>
      <c r="D289" s="0" t="n">
        <v>7</v>
      </c>
      <c r="E289" s="0" t="n">
        <v>6</v>
      </c>
      <c r="F289" s="0" t="n">
        <v>6</v>
      </c>
      <c r="G289" s="0" t="n">
        <v>13</v>
      </c>
      <c r="H289" s="0" t="n">
        <v>19</v>
      </c>
    </row>
    <row r="290" customFormat="false" ht="15" hidden="false" customHeight="false" outlineLevel="0" collapsed="false">
      <c r="A290" s="0" t="s">
        <v>245</v>
      </c>
      <c r="B290" s="0" t="s">
        <v>628</v>
      </c>
      <c r="C290" s="0" t="s">
        <v>631</v>
      </c>
      <c r="D290" s="0" t="n">
        <v>0</v>
      </c>
      <c r="E290" s="0" t="n">
        <v>7</v>
      </c>
      <c r="F290" s="0" t="n">
        <v>7</v>
      </c>
      <c r="G290" s="0" t="n">
        <v>7</v>
      </c>
      <c r="H290" s="0" t="n">
        <v>14</v>
      </c>
    </row>
    <row r="291" customFormat="false" ht="15" hidden="false" customHeight="false" outlineLevel="0" collapsed="false">
      <c r="A291" s="0" t="s">
        <v>245</v>
      </c>
      <c r="B291" s="0" t="s">
        <v>632</v>
      </c>
      <c r="C291" s="0" t="s">
        <v>633</v>
      </c>
      <c r="D291" s="0" t="n">
        <v>0</v>
      </c>
      <c r="E291" s="0" t="n">
        <v>2</v>
      </c>
      <c r="F291" s="0" t="n">
        <v>2</v>
      </c>
      <c r="G291" s="0" t="n">
        <v>2</v>
      </c>
      <c r="H291" s="0" t="n">
        <v>4</v>
      </c>
    </row>
    <row r="292" customFormat="false" ht="15" hidden="false" customHeight="false" outlineLevel="0" collapsed="false">
      <c r="A292" s="0" t="s">
        <v>245</v>
      </c>
      <c r="B292" s="0" t="s">
        <v>634</v>
      </c>
      <c r="C292" s="0" t="s">
        <v>631</v>
      </c>
      <c r="D292" s="0" t="n">
        <v>4</v>
      </c>
      <c r="E292" s="0" t="n">
        <v>3</v>
      </c>
      <c r="F292" s="0" t="n">
        <v>6</v>
      </c>
      <c r="G292" s="0" t="n">
        <v>7</v>
      </c>
      <c r="H292" s="0" t="n">
        <v>13</v>
      </c>
    </row>
    <row r="293" customFormat="false" ht="15" hidden="false" customHeight="false" outlineLevel="0" collapsed="false">
      <c r="A293" s="0" t="s">
        <v>245</v>
      </c>
      <c r="B293" s="0" t="s">
        <v>593</v>
      </c>
      <c r="C293" s="0" t="s">
        <v>120</v>
      </c>
      <c r="D293" s="0" t="n">
        <v>3</v>
      </c>
      <c r="E293" s="0" t="n">
        <v>4</v>
      </c>
      <c r="F293" s="0" t="n">
        <v>10</v>
      </c>
      <c r="G293" s="0" t="n">
        <v>7</v>
      </c>
      <c r="H293" s="0" t="n">
        <v>17</v>
      </c>
    </row>
    <row r="294" customFormat="false" ht="15" hidden="false" customHeight="false" outlineLevel="0" collapsed="false">
      <c r="A294" s="0" t="s">
        <v>245</v>
      </c>
      <c r="B294" s="0" t="s">
        <v>583</v>
      </c>
      <c r="C294" s="0" t="s">
        <v>97</v>
      </c>
      <c r="D294" s="0" t="n">
        <v>7</v>
      </c>
      <c r="E294" s="0" t="n">
        <v>9</v>
      </c>
      <c r="F294" s="0" t="n">
        <v>0</v>
      </c>
      <c r="G294" s="0" t="n">
        <v>16</v>
      </c>
      <c r="H294" s="0" t="n">
        <v>16</v>
      </c>
    </row>
    <row r="295" customFormat="false" ht="15" hidden="false" customHeight="false" outlineLevel="0" collapsed="false">
      <c r="A295" s="0" t="s">
        <v>245</v>
      </c>
      <c r="B295" s="0" t="s">
        <v>586</v>
      </c>
      <c r="C295" s="0" t="s">
        <v>630</v>
      </c>
      <c r="D295" s="0" t="n">
        <v>2</v>
      </c>
      <c r="E295" s="0" t="n">
        <v>3</v>
      </c>
      <c r="F295" s="0" t="n">
        <v>0</v>
      </c>
      <c r="G295" s="0" t="n">
        <v>5</v>
      </c>
      <c r="H295" s="0" t="n">
        <v>5</v>
      </c>
    </row>
    <row r="296" customFormat="false" ht="15" hidden="false" customHeight="false" outlineLevel="0" collapsed="false">
      <c r="A296" s="0" t="s">
        <v>245</v>
      </c>
      <c r="B296" s="0" t="s">
        <v>635</v>
      </c>
      <c r="C296" s="0" t="s">
        <v>631</v>
      </c>
      <c r="D296" s="0" t="n">
        <v>5</v>
      </c>
      <c r="E296" s="0" t="n">
        <v>7</v>
      </c>
      <c r="F296" s="0" t="n">
        <v>0</v>
      </c>
      <c r="G296" s="0" t="n">
        <v>12</v>
      </c>
      <c r="H296" s="0" t="n">
        <v>12</v>
      </c>
    </row>
    <row r="297" customFormat="false" ht="15" hidden="false" customHeight="false" outlineLevel="0" collapsed="false">
      <c r="A297" s="0" t="s">
        <v>245</v>
      </c>
      <c r="B297" s="0" t="s">
        <v>636</v>
      </c>
      <c r="C297" s="0" t="s">
        <v>631</v>
      </c>
      <c r="D297" s="0" t="n">
        <v>0</v>
      </c>
      <c r="E297" s="0" t="n">
        <v>6</v>
      </c>
      <c r="F297" s="0" t="n">
        <v>9</v>
      </c>
      <c r="G297" s="0" t="n">
        <v>6</v>
      </c>
      <c r="H297" s="0" t="n">
        <v>15</v>
      </c>
    </row>
    <row r="298" customFormat="false" ht="15" hidden="false" customHeight="false" outlineLevel="0" collapsed="false">
      <c r="A298" s="0" t="s">
        <v>245</v>
      </c>
      <c r="B298" s="0" t="s">
        <v>637</v>
      </c>
      <c r="C298" s="0" t="s">
        <v>630</v>
      </c>
      <c r="D298" s="0" t="n">
        <v>1</v>
      </c>
      <c r="E298" s="0" t="n">
        <v>1</v>
      </c>
      <c r="F298" s="0" t="n">
        <v>0</v>
      </c>
      <c r="G298" s="0" t="n">
        <v>2</v>
      </c>
      <c r="H298" s="0" t="n">
        <v>2</v>
      </c>
    </row>
    <row r="299" customFormat="false" ht="15" hidden="false" customHeight="false" outlineLevel="0" collapsed="false">
      <c r="A299" s="0" t="s">
        <v>245</v>
      </c>
      <c r="B299" s="0" t="s">
        <v>603</v>
      </c>
      <c r="C299" s="0" t="s">
        <v>97</v>
      </c>
      <c r="D299" s="0" t="n">
        <v>4</v>
      </c>
      <c r="E299" s="0" t="n">
        <v>5</v>
      </c>
      <c r="F299" s="0" t="n">
        <v>8</v>
      </c>
      <c r="G299" s="0" t="n">
        <v>9</v>
      </c>
      <c r="H299" s="0" t="n">
        <v>17</v>
      </c>
    </row>
    <row r="300" customFormat="false" ht="15" hidden="false" customHeight="false" outlineLevel="0" collapsed="false">
      <c r="A300" s="0" t="s">
        <v>245</v>
      </c>
      <c r="B300" s="0" t="s">
        <v>638</v>
      </c>
      <c r="C300" s="0" t="s">
        <v>639</v>
      </c>
      <c r="D300" s="0" t="n">
        <v>7</v>
      </c>
      <c r="E300" s="0" t="n">
        <v>7</v>
      </c>
      <c r="F300" s="0" t="n">
        <v>8</v>
      </c>
      <c r="G300" s="0" t="n">
        <v>14</v>
      </c>
      <c r="H300" s="0" t="n">
        <v>22</v>
      </c>
    </row>
    <row r="301" customFormat="false" ht="15" hidden="false" customHeight="false" outlineLevel="0" collapsed="false">
      <c r="A301" s="0" t="s">
        <v>245</v>
      </c>
      <c r="B301" s="0" t="s">
        <v>640</v>
      </c>
      <c r="C301" s="0" t="s">
        <v>120</v>
      </c>
      <c r="D301" s="0" t="n">
        <v>11</v>
      </c>
      <c r="E301" s="0" t="n">
        <v>4</v>
      </c>
      <c r="F301" s="0" t="n">
        <v>11</v>
      </c>
      <c r="G301" s="0" t="n">
        <v>15</v>
      </c>
      <c r="H301" s="0" t="n">
        <v>26</v>
      </c>
    </row>
    <row r="302" customFormat="false" ht="15" hidden="false" customHeight="false" outlineLevel="0" collapsed="false">
      <c r="A302" s="0" t="s">
        <v>297</v>
      </c>
      <c r="B302" s="0" t="s">
        <v>559</v>
      </c>
      <c r="C302" s="0" t="s">
        <v>641</v>
      </c>
      <c r="D302" s="0" t="n">
        <v>3</v>
      </c>
      <c r="E302" s="0" t="n">
        <v>0</v>
      </c>
      <c r="F302" s="0" t="n">
        <v>0</v>
      </c>
      <c r="G302" s="0" t="n">
        <v>3</v>
      </c>
      <c r="H302" s="0" t="n">
        <v>3</v>
      </c>
    </row>
    <row r="303" customFormat="false" ht="15" hidden="false" customHeight="false" outlineLevel="0" collapsed="false">
      <c r="A303" s="0" t="s">
        <v>297</v>
      </c>
      <c r="B303" s="0" t="s">
        <v>561</v>
      </c>
      <c r="C303" s="0" t="s">
        <v>114</v>
      </c>
      <c r="D303" s="0" t="n">
        <v>1</v>
      </c>
      <c r="E303" s="0" t="n">
        <v>0</v>
      </c>
      <c r="F303" s="0" t="n">
        <v>0</v>
      </c>
      <c r="G303" s="0" t="n">
        <v>1</v>
      </c>
      <c r="H303" s="0" t="n">
        <v>1</v>
      </c>
    </row>
    <row r="304" customFormat="false" ht="15" hidden="false" customHeight="false" outlineLevel="0" collapsed="false">
      <c r="A304" s="0" t="s">
        <v>297</v>
      </c>
      <c r="B304" s="0" t="s">
        <v>579</v>
      </c>
      <c r="C304" s="0" t="s">
        <v>115</v>
      </c>
      <c r="D304" s="0" t="n">
        <v>0</v>
      </c>
      <c r="E304" s="0" t="n">
        <v>3</v>
      </c>
      <c r="F304" s="0" t="n">
        <v>3</v>
      </c>
      <c r="G304" s="0" t="n">
        <v>3</v>
      </c>
      <c r="H304" s="0" t="n">
        <v>6</v>
      </c>
    </row>
    <row r="305" customFormat="false" ht="15" hidden="false" customHeight="false" outlineLevel="0" collapsed="false">
      <c r="A305" s="0" t="s">
        <v>297</v>
      </c>
      <c r="B305" s="0" t="s">
        <v>627</v>
      </c>
      <c r="C305" s="0" t="s">
        <v>639</v>
      </c>
      <c r="D305" s="0" t="n">
        <v>3</v>
      </c>
      <c r="E305" s="0" t="n">
        <v>3</v>
      </c>
      <c r="F305" s="0" t="n">
        <v>0</v>
      </c>
      <c r="G305" s="0" t="n">
        <v>6</v>
      </c>
      <c r="H305" s="0" t="n">
        <v>6</v>
      </c>
    </row>
    <row r="306" customFormat="false" ht="15" hidden="false" customHeight="false" outlineLevel="0" collapsed="false">
      <c r="A306" s="0" t="s">
        <v>297</v>
      </c>
      <c r="B306" s="0" t="s">
        <v>642</v>
      </c>
      <c r="C306" s="0" t="s">
        <v>643</v>
      </c>
      <c r="D306" s="0" t="n">
        <v>8</v>
      </c>
      <c r="E306" s="0" t="n">
        <v>4</v>
      </c>
      <c r="F306" s="0" t="n">
        <v>4</v>
      </c>
      <c r="G306" s="0" t="n">
        <v>12</v>
      </c>
      <c r="H306" s="0" t="n">
        <v>16</v>
      </c>
    </row>
    <row r="307" customFormat="false" ht="15" hidden="false" customHeight="false" outlineLevel="0" collapsed="false">
      <c r="A307" s="0" t="s">
        <v>297</v>
      </c>
      <c r="B307" s="0" t="s">
        <v>644</v>
      </c>
      <c r="C307" s="0" t="s">
        <v>645</v>
      </c>
      <c r="D307" s="0" t="n">
        <v>7</v>
      </c>
      <c r="E307" s="0" t="n">
        <v>1</v>
      </c>
      <c r="F307" s="0" t="n">
        <v>0</v>
      </c>
      <c r="G307" s="0" t="n">
        <v>8</v>
      </c>
      <c r="H307" s="0" t="n">
        <v>8</v>
      </c>
    </row>
    <row r="308" customFormat="false" ht="15" hidden="false" customHeight="false" outlineLevel="0" collapsed="false">
      <c r="A308" s="0" t="s">
        <v>297</v>
      </c>
      <c r="B308" s="0" t="s">
        <v>584</v>
      </c>
      <c r="C308" s="0" t="s">
        <v>646</v>
      </c>
      <c r="D308" s="0" t="n">
        <v>4</v>
      </c>
      <c r="E308" s="0" t="n">
        <v>1</v>
      </c>
      <c r="F308" s="0" t="n">
        <v>0</v>
      </c>
      <c r="G308" s="0" t="n">
        <v>5</v>
      </c>
      <c r="H308" s="0" t="n">
        <v>5</v>
      </c>
    </row>
    <row r="309" customFormat="false" ht="15" hidden="false" customHeight="false" outlineLevel="0" collapsed="false">
      <c r="A309" s="0" t="s">
        <v>297</v>
      </c>
      <c r="B309" s="0" t="s">
        <v>585</v>
      </c>
      <c r="C309" s="0" t="s">
        <v>647</v>
      </c>
      <c r="D309" s="0" t="n">
        <v>5</v>
      </c>
      <c r="E309" s="0" t="n">
        <v>3</v>
      </c>
      <c r="F309" s="0" t="n">
        <v>0</v>
      </c>
      <c r="G309" s="0" t="n">
        <v>8</v>
      </c>
      <c r="H309" s="0" t="n">
        <v>8</v>
      </c>
    </row>
    <row r="310" customFormat="false" ht="15" hidden="false" customHeight="false" outlineLevel="0" collapsed="false">
      <c r="A310" s="0" t="s">
        <v>297</v>
      </c>
      <c r="B310" s="0" t="s">
        <v>648</v>
      </c>
      <c r="C310" s="0" t="s">
        <v>649</v>
      </c>
      <c r="D310" s="0" t="n">
        <v>2</v>
      </c>
      <c r="E310" s="0" t="n">
        <v>1</v>
      </c>
      <c r="F310" s="0" t="n">
        <v>0</v>
      </c>
      <c r="G310" s="0" t="n">
        <v>3</v>
      </c>
      <c r="H310" s="0" t="n">
        <v>3</v>
      </c>
    </row>
    <row r="311" customFormat="false" ht="15" hidden="false" customHeight="false" outlineLevel="0" collapsed="false">
      <c r="A311" s="0" t="s">
        <v>297</v>
      </c>
      <c r="B311" s="0" t="s">
        <v>636</v>
      </c>
      <c r="C311" s="0" t="s">
        <v>650</v>
      </c>
      <c r="D311" s="0" t="n">
        <v>7</v>
      </c>
      <c r="E311" s="0" t="n">
        <v>4</v>
      </c>
      <c r="F311" s="0" t="n">
        <v>0</v>
      </c>
      <c r="G311" s="0" t="n">
        <v>11</v>
      </c>
      <c r="H311" s="0" t="n">
        <v>11</v>
      </c>
    </row>
    <row r="312" customFormat="false" ht="15" hidden="false" customHeight="false" outlineLevel="0" collapsed="false">
      <c r="A312" s="0" t="s">
        <v>297</v>
      </c>
      <c r="B312" s="0" t="s">
        <v>601</v>
      </c>
      <c r="C312" s="0" t="s">
        <v>651</v>
      </c>
      <c r="D312" s="0" t="n">
        <v>4</v>
      </c>
      <c r="E312" s="0" t="n">
        <v>6</v>
      </c>
      <c r="F312" s="0" t="n">
        <v>0</v>
      </c>
      <c r="G312" s="0" t="n">
        <v>10</v>
      </c>
      <c r="H312" s="0" t="n">
        <v>10</v>
      </c>
    </row>
    <row r="313" customFormat="false" ht="15" hidden="false" customHeight="false" outlineLevel="0" collapsed="false">
      <c r="A313" s="0" t="s">
        <v>297</v>
      </c>
      <c r="B313" s="0" t="s">
        <v>652</v>
      </c>
      <c r="C313" s="0" t="s">
        <v>639</v>
      </c>
      <c r="D313" s="0" t="n">
        <v>3</v>
      </c>
      <c r="E313" s="0" t="n">
        <v>4</v>
      </c>
      <c r="F313" s="0" t="n">
        <v>3</v>
      </c>
      <c r="G313" s="0" t="n">
        <v>7</v>
      </c>
      <c r="H313" s="0" t="n">
        <v>10</v>
      </c>
    </row>
    <row r="314" customFormat="false" ht="15" hidden="false" customHeight="false" outlineLevel="0" collapsed="false">
      <c r="A314" s="0" t="s">
        <v>297</v>
      </c>
      <c r="B314" s="0" t="s">
        <v>653</v>
      </c>
      <c r="C314" s="0" t="s">
        <v>643</v>
      </c>
      <c r="D314" s="0" t="n">
        <v>6</v>
      </c>
      <c r="E314" s="0" t="n">
        <v>2</v>
      </c>
      <c r="F314" s="0" t="n">
        <v>0</v>
      </c>
      <c r="G314" s="0" t="n">
        <v>8</v>
      </c>
      <c r="H314" s="0" t="n">
        <v>8</v>
      </c>
    </row>
    <row r="315" customFormat="false" ht="15" hidden="false" customHeight="false" outlineLevel="0" collapsed="false">
      <c r="A315" s="0" t="s">
        <v>297</v>
      </c>
      <c r="B315" s="0" t="s">
        <v>654</v>
      </c>
      <c r="C315" s="0" t="s">
        <v>115</v>
      </c>
      <c r="D315" s="0" t="n">
        <v>1</v>
      </c>
      <c r="E315" s="0" t="n">
        <v>5</v>
      </c>
      <c r="F315" s="0" t="n">
        <v>4</v>
      </c>
      <c r="G315" s="0" t="n">
        <v>6</v>
      </c>
      <c r="H315" s="0" t="n">
        <v>10</v>
      </c>
    </row>
    <row r="316" customFormat="false" ht="15" hidden="false" customHeight="false" outlineLevel="0" collapsed="false">
      <c r="A316" s="0" t="s">
        <v>297</v>
      </c>
      <c r="B316" s="0" t="s">
        <v>655</v>
      </c>
      <c r="C316" s="0" t="s">
        <v>114</v>
      </c>
      <c r="D316" s="0" t="n">
        <v>1</v>
      </c>
      <c r="E316" s="0" t="n">
        <v>3</v>
      </c>
      <c r="F316" s="0" t="n">
        <v>0</v>
      </c>
      <c r="G316" s="0" t="n">
        <v>4</v>
      </c>
      <c r="H316" s="0" t="n">
        <v>4</v>
      </c>
    </row>
    <row r="317" customFormat="false" ht="15" hidden="false" customHeight="false" outlineLevel="0" collapsed="false">
      <c r="A317" s="0" t="s">
        <v>299</v>
      </c>
      <c r="B317" s="0" t="s">
        <v>559</v>
      </c>
      <c r="C317" s="0" t="s">
        <v>641</v>
      </c>
      <c r="D317" s="0" t="n">
        <v>8</v>
      </c>
      <c r="E317" s="0" t="n">
        <v>0</v>
      </c>
      <c r="F317" s="0" t="n">
        <v>0</v>
      </c>
      <c r="G317" s="0" t="n">
        <v>8</v>
      </c>
      <c r="H317" s="0" t="n">
        <v>8</v>
      </c>
    </row>
    <row r="318" customFormat="false" ht="15" hidden="false" customHeight="false" outlineLevel="0" collapsed="false">
      <c r="A318" s="0" t="s">
        <v>299</v>
      </c>
      <c r="B318" s="0" t="s">
        <v>561</v>
      </c>
      <c r="C318" s="0" t="s">
        <v>114</v>
      </c>
      <c r="D318" s="0" t="n">
        <v>1</v>
      </c>
      <c r="E318" s="0" t="n">
        <v>0</v>
      </c>
      <c r="F318" s="0" t="n">
        <v>0</v>
      </c>
      <c r="G318" s="0" t="n">
        <v>1</v>
      </c>
      <c r="H318" s="0" t="n">
        <v>1</v>
      </c>
    </row>
    <row r="319" customFormat="false" ht="15" hidden="false" customHeight="false" outlineLevel="0" collapsed="false">
      <c r="A319" s="0" t="s">
        <v>299</v>
      </c>
      <c r="B319" s="0" t="s">
        <v>579</v>
      </c>
      <c r="C319" s="0" t="s">
        <v>115</v>
      </c>
      <c r="D319" s="0" t="n">
        <v>2</v>
      </c>
      <c r="E319" s="0" t="n">
        <v>6</v>
      </c>
      <c r="F319" s="0" t="n">
        <v>3</v>
      </c>
      <c r="G319" s="0" t="n">
        <v>8</v>
      </c>
      <c r="H319" s="0" t="n">
        <v>11</v>
      </c>
    </row>
    <row r="320" customFormat="false" ht="15" hidden="false" customHeight="false" outlineLevel="0" collapsed="false">
      <c r="A320" s="0" t="s">
        <v>299</v>
      </c>
      <c r="B320" s="0" t="s">
        <v>627</v>
      </c>
      <c r="C320" s="0" t="s">
        <v>639</v>
      </c>
      <c r="D320" s="0" t="n">
        <v>7</v>
      </c>
      <c r="E320" s="0" t="n">
        <v>2</v>
      </c>
      <c r="F320" s="0" t="n">
        <v>1</v>
      </c>
      <c r="G320" s="0" t="n">
        <v>9</v>
      </c>
      <c r="H320" s="0" t="n">
        <v>10</v>
      </c>
    </row>
    <row r="321" customFormat="false" ht="15" hidden="false" customHeight="false" outlineLevel="0" collapsed="false">
      <c r="A321" s="0" t="s">
        <v>299</v>
      </c>
      <c r="B321" s="0" t="s">
        <v>642</v>
      </c>
      <c r="C321" s="0" t="s">
        <v>643</v>
      </c>
      <c r="D321" s="0" t="n">
        <v>7</v>
      </c>
      <c r="E321" s="0" t="n">
        <v>3</v>
      </c>
      <c r="F321" s="0" t="n">
        <v>7</v>
      </c>
      <c r="G321" s="0" t="n">
        <v>10</v>
      </c>
      <c r="H321" s="0" t="n">
        <v>17</v>
      </c>
    </row>
    <row r="322" customFormat="false" ht="15" hidden="false" customHeight="false" outlineLevel="0" collapsed="false">
      <c r="A322" s="0" t="s">
        <v>299</v>
      </c>
      <c r="B322" s="0" t="s">
        <v>644</v>
      </c>
      <c r="C322" s="0" t="s">
        <v>645</v>
      </c>
      <c r="D322" s="0" t="n">
        <v>7</v>
      </c>
      <c r="E322" s="0" t="n">
        <v>3</v>
      </c>
      <c r="F322" s="0" t="n">
        <v>1</v>
      </c>
      <c r="G322" s="0" t="n">
        <v>10</v>
      </c>
      <c r="H322" s="0" t="n">
        <v>11</v>
      </c>
    </row>
    <row r="323" customFormat="false" ht="15" hidden="false" customHeight="false" outlineLevel="0" collapsed="false">
      <c r="A323" s="0" t="s">
        <v>299</v>
      </c>
      <c r="B323" s="0" t="s">
        <v>584</v>
      </c>
      <c r="C323" s="0" t="s">
        <v>646</v>
      </c>
      <c r="D323" s="0" t="n">
        <v>3</v>
      </c>
      <c r="E323" s="0" t="n">
        <v>0</v>
      </c>
      <c r="F323" s="0" t="n">
        <v>0</v>
      </c>
      <c r="G323" s="0" t="n">
        <v>3</v>
      </c>
      <c r="H323" s="0" t="n">
        <v>3</v>
      </c>
    </row>
    <row r="324" customFormat="false" ht="15" hidden="false" customHeight="false" outlineLevel="0" collapsed="false">
      <c r="A324" s="0" t="s">
        <v>299</v>
      </c>
      <c r="B324" s="0" t="s">
        <v>585</v>
      </c>
      <c r="C324" s="0" t="s">
        <v>647</v>
      </c>
      <c r="D324" s="0" t="n">
        <v>4</v>
      </c>
      <c r="E324" s="0" t="n">
        <v>2</v>
      </c>
      <c r="F324" s="0" t="n">
        <v>0</v>
      </c>
      <c r="G324" s="0" t="n">
        <v>6</v>
      </c>
      <c r="H324" s="0" t="n">
        <v>6</v>
      </c>
    </row>
    <row r="325" customFormat="false" ht="15" hidden="false" customHeight="false" outlineLevel="0" collapsed="false">
      <c r="A325" s="0" t="s">
        <v>299</v>
      </c>
      <c r="B325" s="0" t="s">
        <v>648</v>
      </c>
      <c r="C325" s="0" t="s">
        <v>649</v>
      </c>
      <c r="D325" s="0" t="n">
        <v>3</v>
      </c>
      <c r="E325" s="0" t="n">
        <v>2</v>
      </c>
      <c r="F325" s="0" t="n">
        <v>0</v>
      </c>
      <c r="G325" s="0" t="n">
        <v>5</v>
      </c>
      <c r="H325" s="0" t="n">
        <v>5</v>
      </c>
    </row>
    <row r="326" customFormat="false" ht="15" hidden="false" customHeight="false" outlineLevel="0" collapsed="false">
      <c r="A326" s="0" t="s">
        <v>299</v>
      </c>
      <c r="B326" s="0" t="s">
        <v>636</v>
      </c>
      <c r="C326" s="0" t="s">
        <v>650</v>
      </c>
      <c r="D326" s="0" t="n">
        <v>4</v>
      </c>
      <c r="E326" s="0" t="n">
        <v>3</v>
      </c>
      <c r="F326" s="0" t="n">
        <v>0</v>
      </c>
      <c r="G326" s="0" t="n">
        <v>7</v>
      </c>
      <c r="H326" s="0" t="n">
        <v>7</v>
      </c>
    </row>
    <row r="327" customFormat="false" ht="15" hidden="false" customHeight="false" outlineLevel="0" collapsed="false">
      <c r="A327" s="0" t="s">
        <v>299</v>
      </c>
      <c r="B327" s="0" t="s">
        <v>601</v>
      </c>
      <c r="C327" s="0" t="s">
        <v>651</v>
      </c>
      <c r="D327" s="0" t="n">
        <v>5</v>
      </c>
      <c r="E327" s="0" t="n">
        <v>3</v>
      </c>
      <c r="F327" s="0" t="n">
        <v>0</v>
      </c>
      <c r="G327" s="0" t="n">
        <v>8</v>
      </c>
      <c r="H327" s="0" t="n">
        <v>8</v>
      </c>
    </row>
    <row r="328" customFormat="false" ht="15" hidden="false" customHeight="false" outlineLevel="0" collapsed="false">
      <c r="A328" s="0" t="s">
        <v>299</v>
      </c>
      <c r="B328" s="0" t="s">
        <v>652</v>
      </c>
      <c r="C328" s="0" t="s">
        <v>639</v>
      </c>
      <c r="D328" s="0" t="n">
        <v>1</v>
      </c>
      <c r="E328" s="0" t="n">
        <v>5</v>
      </c>
      <c r="F328" s="0" t="n">
        <v>0</v>
      </c>
      <c r="G328" s="0" t="n">
        <v>6</v>
      </c>
      <c r="H328" s="0" t="n">
        <v>6</v>
      </c>
    </row>
    <row r="329" customFormat="false" ht="15" hidden="false" customHeight="false" outlineLevel="0" collapsed="false">
      <c r="A329" s="0" t="s">
        <v>299</v>
      </c>
      <c r="B329" s="0" t="s">
        <v>653</v>
      </c>
      <c r="C329" s="0" t="s">
        <v>643</v>
      </c>
      <c r="D329" s="0" t="n">
        <v>9</v>
      </c>
      <c r="E329" s="0" t="n">
        <v>15</v>
      </c>
      <c r="F329" s="0" t="n">
        <v>0</v>
      </c>
      <c r="G329" s="0" t="n">
        <v>24</v>
      </c>
      <c r="H329" s="0" t="n">
        <v>24</v>
      </c>
    </row>
    <row r="330" customFormat="false" ht="15" hidden="false" customHeight="false" outlineLevel="0" collapsed="false">
      <c r="A330" s="0" t="s">
        <v>299</v>
      </c>
      <c r="B330" s="0" t="s">
        <v>654</v>
      </c>
      <c r="C330" s="0" t="s">
        <v>115</v>
      </c>
      <c r="D330" s="0" t="n">
        <v>0</v>
      </c>
      <c r="E330" s="0" t="n">
        <v>3</v>
      </c>
      <c r="F330" s="0" t="n">
        <v>4</v>
      </c>
      <c r="G330" s="0" t="n">
        <v>3</v>
      </c>
      <c r="H330" s="0" t="n">
        <v>7</v>
      </c>
    </row>
    <row r="331" customFormat="false" ht="15" hidden="false" customHeight="false" outlineLevel="0" collapsed="false">
      <c r="A331" s="0" t="s">
        <v>299</v>
      </c>
      <c r="B331" s="0" t="s">
        <v>655</v>
      </c>
      <c r="C331" s="0" t="s">
        <v>114</v>
      </c>
      <c r="D331" s="0" t="n">
        <v>1</v>
      </c>
      <c r="E331" s="0" t="n">
        <v>7</v>
      </c>
      <c r="F331" s="0" t="n">
        <v>0</v>
      </c>
      <c r="G331" s="0" t="n">
        <v>8</v>
      </c>
      <c r="H331" s="0" t="n">
        <v>8</v>
      </c>
    </row>
    <row r="332" customFormat="false" ht="15" hidden="false" customHeight="false" outlineLevel="0" collapsed="false">
      <c r="A332" s="0" t="s">
        <v>302</v>
      </c>
      <c r="B332" s="0" t="s">
        <v>559</v>
      </c>
      <c r="C332" s="0" t="s">
        <v>641</v>
      </c>
      <c r="D332" s="0" t="n">
        <v>1</v>
      </c>
      <c r="E332" s="0" t="n">
        <v>0</v>
      </c>
      <c r="F332" s="0" t="n">
        <v>0</v>
      </c>
      <c r="G332" s="0" t="n">
        <v>1</v>
      </c>
      <c r="H332" s="0" t="n">
        <v>1</v>
      </c>
    </row>
    <row r="333" customFormat="false" ht="15" hidden="false" customHeight="false" outlineLevel="0" collapsed="false">
      <c r="A333" s="0" t="s">
        <v>302</v>
      </c>
      <c r="B333" s="0" t="s">
        <v>561</v>
      </c>
      <c r="C333" s="0" t="s">
        <v>114</v>
      </c>
      <c r="D333" s="0" t="n">
        <v>3</v>
      </c>
      <c r="E333" s="0" t="n">
        <v>0</v>
      </c>
      <c r="F333" s="0" t="n">
        <v>0</v>
      </c>
      <c r="G333" s="0" t="n">
        <v>3</v>
      </c>
      <c r="H333" s="0" t="n">
        <v>3</v>
      </c>
    </row>
    <row r="334" customFormat="false" ht="15" hidden="false" customHeight="false" outlineLevel="0" collapsed="false">
      <c r="A334" s="0" t="s">
        <v>302</v>
      </c>
      <c r="B334" s="0" t="s">
        <v>579</v>
      </c>
      <c r="C334" s="0" t="s">
        <v>115</v>
      </c>
      <c r="D334" s="0" t="n">
        <v>2</v>
      </c>
      <c r="E334" s="0" t="n">
        <v>8</v>
      </c>
      <c r="F334" s="0" t="n">
        <v>3</v>
      </c>
      <c r="G334" s="0" t="n">
        <v>10</v>
      </c>
      <c r="H334" s="0" t="n">
        <v>13</v>
      </c>
    </row>
    <row r="335" customFormat="false" ht="15" hidden="false" customHeight="false" outlineLevel="0" collapsed="false">
      <c r="A335" s="0" t="s">
        <v>302</v>
      </c>
      <c r="B335" s="0" t="s">
        <v>627</v>
      </c>
      <c r="C335" s="0" t="s">
        <v>639</v>
      </c>
      <c r="D335" s="0" t="n">
        <v>5</v>
      </c>
      <c r="E335" s="0" t="n">
        <v>12</v>
      </c>
      <c r="F335" s="0" t="n">
        <v>0</v>
      </c>
      <c r="G335" s="0" t="n">
        <v>17</v>
      </c>
      <c r="H335" s="0" t="n">
        <v>17</v>
      </c>
    </row>
    <row r="336" customFormat="false" ht="15" hidden="false" customHeight="false" outlineLevel="0" collapsed="false">
      <c r="A336" s="0" t="s">
        <v>302</v>
      </c>
      <c r="B336" s="0" t="s">
        <v>642</v>
      </c>
      <c r="C336" s="0" t="s">
        <v>643</v>
      </c>
      <c r="D336" s="0" t="n">
        <v>5</v>
      </c>
      <c r="E336" s="0" t="n">
        <v>6</v>
      </c>
      <c r="F336" s="0" t="n">
        <v>2</v>
      </c>
      <c r="G336" s="0" t="n">
        <v>11</v>
      </c>
      <c r="H336" s="0" t="n">
        <v>13</v>
      </c>
    </row>
    <row r="337" customFormat="false" ht="15" hidden="false" customHeight="false" outlineLevel="0" collapsed="false">
      <c r="A337" s="0" t="s">
        <v>302</v>
      </c>
      <c r="B337" s="0" t="s">
        <v>644</v>
      </c>
      <c r="C337" s="0" t="s">
        <v>645</v>
      </c>
      <c r="D337" s="0" t="n">
        <v>2</v>
      </c>
      <c r="E337" s="0" t="n">
        <v>7</v>
      </c>
      <c r="F337" s="0" t="n">
        <v>1</v>
      </c>
      <c r="G337" s="0" t="n">
        <v>9</v>
      </c>
      <c r="H337" s="0" t="n">
        <v>10</v>
      </c>
    </row>
    <row r="338" customFormat="false" ht="15" hidden="false" customHeight="false" outlineLevel="0" collapsed="false">
      <c r="A338" s="0" t="s">
        <v>302</v>
      </c>
      <c r="B338" s="0" t="s">
        <v>584</v>
      </c>
      <c r="C338" s="0" t="s">
        <v>646</v>
      </c>
      <c r="D338" s="0" t="n">
        <v>2</v>
      </c>
      <c r="E338" s="0" t="n">
        <v>0</v>
      </c>
      <c r="F338" s="0" t="n">
        <v>0</v>
      </c>
      <c r="G338" s="0" t="n">
        <v>2</v>
      </c>
      <c r="H338" s="0" t="n">
        <v>2</v>
      </c>
    </row>
    <row r="339" customFormat="false" ht="15" hidden="false" customHeight="false" outlineLevel="0" collapsed="false">
      <c r="A339" s="0" t="s">
        <v>302</v>
      </c>
      <c r="B339" s="0" t="s">
        <v>585</v>
      </c>
      <c r="C339" s="0" t="s">
        <v>647</v>
      </c>
      <c r="D339" s="0" t="n">
        <v>5</v>
      </c>
      <c r="E339" s="0" t="n">
        <v>10</v>
      </c>
      <c r="F339" s="0" t="n">
        <v>0</v>
      </c>
      <c r="G339" s="0" t="n">
        <v>15</v>
      </c>
      <c r="H339" s="0" t="n">
        <v>15</v>
      </c>
    </row>
    <row r="340" customFormat="false" ht="15" hidden="false" customHeight="false" outlineLevel="0" collapsed="false">
      <c r="A340" s="0" t="s">
        <v>302</v>
      </c>
      <c r="B340" s="0" t="s">
        <v>648</v>
      </c>
      <c r="C340" s="0" t="s">
        <v>649</v>
      </c>
      <c r="D340" s="0" t="n">
        <v>7</v>
      </c>
      <c r="E340" s="0" t="n">
        <v>7</v>
      </c>
      <c r="F340" s="0" t="n">
        <v>0</v>
      </c>
      <c r="G340" s="0" t="n">
        <v>14</v>
      </c>
      <c r="H340" s="0" t="n">
        <v>14</v>
      </c>
    </row>
    <row r="341" customFormat="false" ht="15" hidden="false" customHeight="false" outlineLevel="0" collapsed="false">
      <c r="A341" s="0" t="s">
        <v>302</v>
      </c>
      <c r="B341" s="0" t="s">
        <v>636</v>
      </c>
      <c r="C341" s="0" t="s">
        <v>650</v>
      </c>
      <c r="D341" s="0" t="n">
        <v>3</v>
      </c>
      <c r="E341" s="0" t="n">
        <v>5</v>
      </c>
      <c r="F341" s="0" t="n">
        <v>0</v>
      </c>
      <c r="G341" s="0" t="n">
        <v>8</v>
      </c>
      <c r="H341" s="0" t="n">
        <v>8</v>
      </c>
    </row>
    <row r="342" customFormat="false" ht="15" hidden="false" customHeight="false" outlineLevel="0" collapsed="false">
      <c r="A342" s="0" t="s">
        <v>302</v>
      </c>
      <c r="B342" s="0" t="s">
        <v>601</v>
      </c>
      <c r="C342" s="0" t="s">
        <v>651</v>
      </c>
      <c r="D342" s="0" t="n">
        <v>7</v>
      </c>
      <c r="E342" s="0" t="n">
        <v>9</v>
      </c>
      <c r="F342" s="0" t="n">
        <v>0</v>
      </c>
      <c r="G342" s="0" t="n">
        <v>16</v>
      </c>
      <c r="H342" s="0" t="n">
        <v>16</v>
      </c>
    </row>
    <row r="343" customFormat="false" ht="15" hidden="false" customHeight="false" outlineLevel="0" collapsed="false">
      <c r="A343" s="0" t="s">
        <v>302</v>
      </c>
      <c r="B343" s="0" t="s">
        <v>652</v>
      </c>
      <c r="C343" s="0" t="s">
        <v>639</v>
      </c>
      <c r="D343" s="0" t="n">
        <v>1</v>
      </c>
      <c r="E343" s="0" t="n">
        <v>4</v>
      </c>
      <c r="F343" s="0" t="n">
        <v>13</v>
      </c>
      <c r="G343" s="0" t="n">
        <v>5</v>
      </c>
      <c r="H343" s="0" t="n">
        <v>18</v>
      </c>
    </row>
    <row r="344" customFormat="false" ht="15" hidden="false" customHeight="false" outlineLevel="0" collapsed="false">
      <c r="A344" s="0" t="s">
        <v>302</v>
      </c>
      <c r="B344" s="0" t="s">
        <v>653</v>
      </c>
      <c r="C344" s="0" t="s">
        <v>643</v>
      </c>
      <c r="D344" s="0" t="n">
        <v>3</v>
      </c>
      <c r="E344" s="0" t="n">
        <v>1</v>
      </c>
      <c r="F344" s="0" t="n">
        <v>0</v>
      </c>
      <c r="G344" s="0" t="n">
        <v>4</v>
      </c>
      <c r="H344" s="0" t="n">
        <v>4</v>
      </c>
    </row>
    <row r="345" customFormat="false" ht="15" hidden="false" customHeight="false" outlineLevel="0" collapsed="false">
      <c r="A345" s="0" t="s">
        <v>302</v>
      </c>
      <c r="B345" s="0" t="s">
        <v>654</v>
      </c>
      <c r="C345" s="0" t="s">
        <v>115</v>
      </c>
      <c r="D345" s="0" t="n">
        <v>2</v>
      </c>
      <c r="E345" s="0" t="n">
        <v>10</v>
      </c>
      <c r="F345" s="0" t="n">
        <v>6</v>
      </c>
      <c r="G345" s="0" t="n">
        <v>12</v>
      </c>
      <c r="H345" s="0" t="n">
        <v>18</v>
      </c>
    </row>
    <row r="346" customFormat="false" ht="15" hidden="false" customHeight="false" outlineLevel="0" collapsed="false">
      <c r="A346" s="0" t="s">
        <v>302</v>
      </c>
      <c r="B346" s="0" t="s">
        <v>655</v>
      </c>
      <c r="C346" s="0" t="s">
        <v>114</v>
      </c>
      <c r="D346" s="0" t="n">
        <v>1</v>
      </c>
      <c r="E346" s="0" t="n">
        <v>3</v>
      </c>
      <c r="F346" s="0" t="n">
        <v>0</v>
      </c>
      <c r="G346" s="0" t="n">
        <v>4</v>
      </c>
      <c r="H346" s="0" t="n">
        <v>4</v>
      </c>
    </row>
    <row r="347" customFormat="false" ht="15" hidden="false" customHeight="false" outlineLevel="0" collapsed="false">
      <c r="A347" s="0" t="s">
        <v>304</v>
      </c>
      <c r="B347" s="0" t="s">
        <v>559</v>
      </c>
      <c r="C347" s="0" t="s">
        <v>641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</row>
    <row r="348" customFormat="false" ht="15" hidden="false" customHeight="false" outlineLevel="0" collapsed="false">
      <c r="A348" s="0" t="s">
        <v>304</v>
      </c>
      <c r="B348" s="0" t="s">
        <v>561</v>
      </c>
      <c r="C348" s="0" t="s">
        <v>114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</row>
    <row r="349" customFormat="false" ht="15" hidden="false" customHeight="false" outlineLevel="0" collapsed="false">
      <c r="A349" s="0" t="s">
        <v>304</v>
      </c>
      <c r="B349" s="0" t="s">
        <v>579</v>
      </c>
      <c r="C349" s="0" t="s">
        <v>115</v>
      </c>
      <c r="D349" s="0" t="n">
        <v>2</v>
      </c>
      <c r="E349" s="0" t="n">
        <v>2</v>
      </c>
      <c r="F349" s="0" t="n">
        <v>3</v>
      </c>
      <c r="G349" s="0" t="n">
        <v>4</v>
      </c>
      <c r="H349" s="0" t="n">
        <v>7</v>
      </c>
    </row>
    <row r="350" customFormat="false" ht="15" hidden="false" customHeight="false" outlineLevel="0" collapsed="false">
      <c r="A350" s="0" t="s">
        <v>304</v>
      </c>
      <c r="B350" s="0" t="s">
        <v>627</v>
      </c>
      <c r="C350" s="0" t="s">
        <v>639</v>
      </c>
      <c r="D350" s="0" t="n">
        <v>1</v>
      </c>
      <c r="E350" s="0" t="n">
        <v>1</v>
      </c>
      <c r="F350" s="0" t="n">
        <v>0</v>
      </c>
      <c r="G350" s="0" t="n">
        <v>2</v>
      </c>
      <c r="H350" s="0" t="n">
        <v>2</v>
      </c>
    </row>
    <row r="351" customFormat="false" ht="15" hidden="false" customHeight="false" outlineLevel="0" collapsed="false">
      <c r="A351" s="0" t="s">
        <v>304</v>
      </c>
      <c r="B351" s="0" t="s">
        <v>642</v>
      </c>
      <c r="C351" s="0" t="s">
        <v>643</v>
      </c>
      <c r="D351" s="0" t="n">
        <v>0</v>
      </c>
      <c r="E351" s="0" t="n">
        <v>1</v>
      </c>
      <c r="F351" s="0" t="n">
        <v>0</v>
      </c>
      <c r="G351" s="0" t="n">
        <v>1</v>
      </c>
      <c r="H351" s="0" t="n">
        <v>1</v>
      </c>
    </row>
    <row r="352" customFormat="false" ht="15" hidden="false" customHeight="false" outlineLevel="0" collapsed="false">
      <c r="A352" s="0" t="s">
        <v>304</v>
      </c>
      <c r="B352" s="0" t="s">
        <v>644</v>
      </c>
      <c r="C352" s="0" t="s">
        <v>645</v>
      </c>
      <c r="D352" s="0" t="n">
        <v>2</v>
      </c>
      <c r="E352" s="0" t="n">
        <v>1</v>
      </c>
      <c r="F352" s="0" t="n">
        <v>0</v>
      </c>
      <c r="G352" s="0" t="n">
        <v>3</v>
      </c>
      <c r="H352" s="0" t="n">
        <v>3</v>
      </c>
    </row>
    <row r="353" customFormat="false" ht="15" hidden="false" customHeight="false" outlineLevel="0" collapsed="false">
      <c r="A353" s="0" t="s">
        <v>304</v>
      </c>
      <c r="B353" s="0" t="s">
        <v>584</v>
      </c>
      <c r="C353" s="0" t="s">
        <v>646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</row>
    <row r="354" customFormat="false" ht="15" hidden="false" customHeight="false" outlineLevel="0" collapsed="false">
      <c r="A354" s="0" t="s">
        <v>304</v>
      </c>
      <c r="B354" s="0" t="s">
        <v>585</v>
      </c>
      <c r="C354" s="0" t="s">
        <v>647</v>
      </c>
      <c r="D354" s="0" t="n">
        <v>1</v>
      </c>
      <c r="E354" s="0" t="n">
        <v>0</v>
      </c>
      <c r="F354" s="0" t="n">
        <v>0</v>
      </c>
      <c r="G354" s="0" t="n">
        <v>1</v>
      </c>
      <c r="H354" s="0" t="n">
        <v>1</v>
      </c>
    </row>
    <row r="355" customFormat="false" ht="15" hidden="false" customHeight="false" outlineLevel="0" collapsed="false">
      <c r="A355" s="0" t="s">
        <v>304</v>
      </c>
      <c r="B355" s="0" t="s">
        <v>648</v>
      </c>
      <c r="C355" s="0" t="s">
        <v>649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</row>
    <row r="356" customFormat="false" ht="15" hidden="false" customHeight="false" outlineLevel="0" collapsed="false">
      <c r="A356" s="0" t="s">
        <v>304</v>
      </c>
      <c r="B356" s="0" t="s">
        <v>636</v>
      </c>
      <c r="C356" s="0" t="s">
        <v>650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</row>
    <row r="357" customFormat="false" ht="15" hidden="false" customHeight="false" outlineLevel="0" collapsed="false">
      <c r="A357" s="0" t="s">
        <v>304</v>
      </c>
      <c r="B357" s="0" t="s">
        <v>601</v>
      </c>
      <c r="C357" s="0" t="s">
        <v>651</v>
      </c>
      <c r="D357" s="0" t="n">
        <v>1</v>
      </c>
      <c r="E357" s="0" t="n">
        <v>1</v>
      </c>
      <c r="F357" s="0" t="n">
        <v>0</v>
      </c>
      <c r="G357" s="0" t="n">
        <v>2</v>
      </c>
      <c r="H357" s="0" t="n">
        <v>2</v>
      </c>
    </row>
    <row r="358" customFormat="false" ht="15" hidden="false" customHeight="false" outlineLevel="0" collapsed="false">
      <c r="A358" s="0" t="s">
        <v>304</v>
      </c>
      <c r="B358" s="0" t="s">
        <v>652</v>
      </c>
      <c r="C358" s="0" t="s">
        <v>639</v>
      </c>
      <c r="D358" s="0" t="n">
        <v>0</v>
      </c>
      <c r="E358" s="0" t="n">
        <v>1</v>
      </c>
      <c r="F358" s="0" t="n">
        <v>0</v>
      </c>
      <c r="G358" s="0" t="n">
        <v>1</v>
      </c>
      <c r="H358" s="0" t="n">
        <v>1</v>
      </c>
    </row>
    <row r="359" customFormat="false" ht="15" hidden="false" customHeight="false" outlineLevel="0" collapsed="false">
      <c r="A359" s="0" t="s">
        <v>304</v>
      </c>
      <c r="B359" s="0" t="s">
        <v>653</v>
      </c>
      <c r="C359" s="0" t="s">
        <v>643</v>
      </c>
      <c r="D359" s="0" t="n">
        <v>3</v>
      </c>
      <c r="E359" s="0" t="n">
        <v>0</v>
      </c>
      <c r="F359" s="0" t="n">
        <v>0</v>
      </c>
      <c r="G359" s="0" t="n">
        <v>3</v>
      </c>
      <c r="H359" s="0" t="n">
        <v>3</v>
      </c>
    </row>
    <row r="360" customFormat="false" ht="15" hidden="false" customHeight="false" outlineLevel="0" collapsed="false">
      <c r="A360" s="0" t="s">
        <v>304</v>
      </c>
      <c r="B360" s="0" t="s">
        <v>654</v>
      </c>
      <c r="C360" s="0" t="s">
        <v>115</v>
      </c>
      <c r="D360" s="0" t="n">
        <v>0</v>
      </c>
      <c r="E360" s="0" t="n">
        <v>0</v>
      </c>
      <c r="F360" s="0" t="n">
        <v>2</v>
      </c>
      <c r="G360" s="0" t="n">
        <v>0</v>
      </c>
      <c r="H360" s="0" t="n">
        <v>2</v>
      </c>
    </row>
    <row r="361" customFormat="false" ht="15" hidden="false" customHeight="false" outlineLevel="0" collapsed="false">
      <c r="A361" s="0" t="s">
        <v>304</v>
      </c>
      <c r="B361" s="0" t="s">
        <v>655</v>
      </c>
      <c r="C361" s="0" t="s">
        <v>114</v>
      </c>
      <c r="D361" s="0" t="n">
        <v>0</v>
      </c>
      <c r="E361" s="0" t="n">
        <v>2</v>
      </c>
      <c r="F361" s="0" t="n">
        <v>0</v>
      </c>
      <c r="G361" s="0" t="n">
        <v>2</v>
      </c>
      <c r="H361" s="0" t="n">
        <v>2</v>
      </c>
    </row>
    <row r="362" customFormat="false" ht="15" hidden="false" customHeight="false" outlineLevel="0" collapsed="false">
      <c r="A362" s="0" t="s">
        <v>306</v>
      </c>
      <c r="B362" s="0" t="s">
        <v>559</v>
      </c>
      <c r="C362" s="0" t="s">
        <v>641</v>
      </c>
      <c r="D362" s="0" t="n">
        <v>10</v>
      </c>
      <c r="E362" s="0" t="n">
        <v>0</v>
      </c>
      <c r="F362" s="0" t="n">
        <v>0</v>
      </c>
      <c r="G362" s="0" t="n">
        <v>10</v>
      </c>
      <c r="H362" s="0" t="n">
        <v>10</v>
      </c>
    </row>
    <row r="363" customFormat="false" ht="15" hidden="false" customHeight="false" outlineLevel="0" collapsed="false">
      <c r="A363" s="0" t="s">
        <v>306</v>
      </c>
      <c r="B363" s="0" t="s">
        <v>561</v>
      </c>
      <c r="C363" s="0" t="s">
        <v>114</v>
      </c>
      <c r="D363" s="0" t="n">
        <v>3</v>
      </c>
      <c r="E363" s="0" t="n">
        <v>0</v>
      </c>
      <c r="F363" s="0" t="n">
        <v>0</v>
      </c>
      <c r="G363" s="0" t="n">
        <v>3</v>
      </c>
      <c r="H363" s="0" t="n">
        <v>3</v>
      </c>
    </row>
    <row r="364" customFormat="false" ht="15" hidden="false" customHeight="false" outlineLevel="0" collapsed="false">
      <c r="A364" s="0" t="s">
        <v>306</v>
      </c>
      <c r="B364" s="0" t="s">
        <v>579</v>
      </c>
      <c r="C364" s="0" t="s">
        <v>115</v>
      </c>
      <c r="D364" s="0" t="n">
        <v>9</v>
      </c>
      <c r="E364" s="0" t="n">
        <v>2</v>
      </c>
      <c r="F364" s="0" t="n">
        <v>1</v>
      </c>
      <c r="G364" s="0" t="n">
        <v>11</v>
      </c>
      <c r="H364" s="0" t="n">
        <v>12</v>
      </c>
    </row>
    <row r="365" customFormat="false" ht="15" hidden="false" customHeight="false" outlineLevel="0" collapsed="false">
      <c r="A365" s="0" t="s">
        <v>306</v>
      </c>
      <c r="B365" s="0" t="s">
        <v>627</v>
      </c>
      <c r="C365" s="0" t="s">
        <v>639</v>
      </c>
      <c r="D365" s="0" t="n">
        <v>7</v>
      </c>
      <c r="E365" s="0" t="n">
        <v>4</v>
      </c>
      <c r="F365" s="0" t="n">
        <v>0</v>
      </c>
      <c r="G365" s="0" t="n">
        <v>11</v>
      </c>
      <c r="H365" s="0" t="n">
        <v>11</v>
      </c>
    </row>
    <row r="366" customFormat="false" ht="15" hidden="false" customHeight="false" outlineLevel="0" collapsed="false">
      <c r="A366" s="0" t="s">
        <v>306</v>
      </c>
      <c r="B366" s="0" t="s">
        <v>642</v>
      </c>
      <c r="C366" s="0" t="s">
        <v>643</v>
      </c>
      <c r="D366" s="0" t="n">
        <v>2</v>
      </c>
      <c r="E366" s="0" t="n">
        <v>5</v>
      </c>
      <c r="F366" s="0" t="n">
        <v>2</v>
      </c>
      <c r="G366" s="0" t="n">
        <v>7</v>
      </c>
      <c r="H366" s="0" t="n">
        <v>9</v>
      </c>
    </row>
    <row r="367" customFormat="false" ht="15" hidden="false" customHeight="false" outlineLevel="0" collapsed="false">
      <c r="A367" s="0" t="s">
        <v>306</v>
      </c>
      <c r="B367" s="0" t="s">
        <v>644</v>
      </c>
      <c r="C367" s="0" t="s">
        <v>645</v>
      </c>
      <c r="D367" s="0" t="n">
        <v>2</v>
      </c>
      <c r="E367" s="0" t="n">
        <v>2</v>
      </c>
      <c r="F367" s="0" t="n">
        <v>11</v>
      </c>
      <c r="G367" s="0" t="n">
        <v>4</v>
      </c>
      <c r="H367" s="0" t="n">
        <v>15</v>
      </c>
    </row>
    <row r="368" customFormat="false" ht="15" hidden="false" customHeight="false" outlineLevel="0" collapsed="false">
      <c r="A368" s="0" t="s">
        <v>306</v>
      </c>
      <c r="B368" s="0" t="s">
        <v>584</v>
      </c>
      <c r="C368" s="0" t="s">
        <v>646</v>
      </c>
      <c r="D368" s="0" t="n">
        <v>2</v>
      </c>
      <c r="E368" s="0" t="n">
        <v>3</v>
      </c>
      <c r="F368" s="0" t="n">
        <v>0</v>
      </c>
      <c r="G368" s="0" t="n">
        <v>5</v>
      </c>
      <c r="H368" s="0" t="n">
        <v>5</v>
      </c>
    </row>
    <row r="369" customFormat="false" ht="15" hidden="false" customHeight="false" outlineLevel="0" collapsed="false">
      <c r="A369" s="0" t="s">
        <v>306</v>
      </c>
      <c r="B369" s="0" t="s">
        <v>585</v>
      </c>
      <c r="C369" s="0" t="s">
        <v>647</v>
      </c>
      <c r="D369" s="0" t="n">
        <v>1</v>
      </c>
      <c r="E369" s="0" t="n">
        <v>1</v>
      </c>
      <c r="F369" s="0" t="n">
        <v>0</v>
      </c>
      <c r="G369" s="0" t="n">
        <v>2</v>
      </c>
      <c r="H369" s="0" t="n">
        <v>2</v>
      </c>
    </row>
    <row r="370" customFormat="false" ht="15" hidden="false" customHeight="false" outlineLevel="0" collapsed="false">
      <c r="A370" s="0" t="s">
        <v>306</v>
      </c>
      <c r="B370" s="0" t="s">
        <v>648</v>
      </c>
      <c r="C370" s="0" t="s">
        <v>649</v>
      </c>
      <c r="D370" s="0" t="n">
        <v>2</v>
      </c>
      <c r="E370" s="0" t="n">
        <v>5</v>
      </c>
      <c r="F370" s="0" t="n">
        <v>0</v>
      </c>
      <c r="G370" s="0" t="n">
        <v>7</v>
      </c>
      <c r="H370" s="0" t="n">
        <v>7</v>
      </c>
    </row>
    <row r="371" customFormat="false" ht="15" hidden="false" customHeight="false" outlineLevel="0" collapsed="false">
      <c r="A371" s="0" t="s">
        <v>306</v>
      </c>
      <c r="B371" s="0" t="s">
        <v>636</v>
      </c>
      <c r="C371" s="0" t="s">
        <v>650</v>
      </c>
      <c r="D371" s="0" t="n">
        <v>2</v>
      </c>
      <c r="E371" s="0" t="n">
        <v>5</v>
      </c>
      <c r="F371" s="0" t="n">
        <v>0</v>
      </c>
      <c r="G371" s="0" t="n">
        <v>7</v>
      </c>
      <c r="H371" s="0" t="n">
        <v>7</v>
      </c>
    </row>
    <row r="372" customFormat="false" ht="15" hidden="false" customHeight="false" outlineLevel="0" collapsed="false">
      <c r="A372" s="0" t="s">
        <v>306</v>
      </c>
      <c r="B372" s="0" t="s">
        <v>601</v>
      </c>
      <c r="C372" s="0" t="s">
        <v>651</v>
      </c>
      <c r="D372" s="0" t="n">
        <v>2</v>
      </c>
      <c r="E372" s="0" t="n">
        <v>8</v>
      </c>
      <c r="F372" s="0" t="n">
        <v>0</v>
      </c>
      <c r="G372" s="0" t="n">
        <v>10</v>
      </c>
      <c r="H372" s="0" t="n">
        <v>10</v>
      </c>
    </row>
    <row r="373" customFormat="false" ht="15" hidden="false" customHeight="false" outlineLevel="0" collapsed="false">
      <c r="A373" s="0" t="s">
        <v>306</v>
      </c>
      <c r="B373" s="0" t="s">
        <v>652</v>
      </c>
      <c r="C373" s="0" t="s">
        <v>639</v>
      </c>
      <c r="D373" s="0" t="n">
        <v>1</v>
      </c>
      <c r="E373" s="0" t="n">
        <v>5</v>
      </c>
      <c r="F373" s="0" t="n">
        <v>5</v>
      </c>
      <c r="G373" s="0" t="n">
        <v>6</v>
      </c>
      <c r="H373" s="0" t="n">
        <v>11</v>
      </c>
    </row>
    <row r="374" customFormat="false" ht="15" hidden="false" customHeight="false" outlineLevel="0" collapsed="false">
      <c r="A374" s="0" t="s">
        <v>306</v>
      </c>
      <c r="B374" s="0" t="s">
        <v>653</v>
      </c>
      <c r="C374" s="0" t="s">
        <v>643</v>
      </c>
      <c r="D374" s="0" t="n">
        <v>5</v>
      </c>
      <c r="E374" s="0" t="n">
        <v>4</v>
      </c>
      <c r="F374" s="0" t="n">
        <v>0</v>
      </c>
      <c r="G374" s="0" t="n">
        <v>9</v>
      </c>
      <c r="H374" s="0" t="n">
        <v>9</v>
      </c>
    </row>
    <row r="375" customFormat="false" ht="15" hidden="false" customHeight="false" outlineLevel="0" collapsed="false">
      <c r="A375" s="0" t="s">
        <v>306</v>
      </c>
      <c r="B375" s="0" t="s">
        <v>654</v>
      </c>
      <c r="C375" s="0" t="s">
        <v>115</v>
      </c>
      <c r="D375" s="0" t="n">
        <v>3</v>
      </c>
      <c r="E375" s="0" t="n">
        <v>4</v>
      </c>
      <c r="F375" s="0" t="n">
        <v>6</v>
      </c>
      <c r="G375" s="0" t="n">
        <v>7</v>
      </c>
      <c r="H375" s="0" t="n">
        <v>13</v>
      </c>
    </row>
    <row r="376" customFormat="false" ht="15" hidden="false" customHeight="false" outlineLevel="0" collapsed="false">
      <c r="A376" s="0" t="s">
        <v>306</v>
      </c>
      <c r="B376" s="0" t="s">
        <v>655</v>
      </c>
      <c r="C376" s="0" t="s">
        <v>114</v>
      </c>
      <c r="D376" s="0" t="n">
        <v>1</v>
      </c>
      <c r="E376" s="0" t="n">
        <v>5</v>
      </c>
      <c r="F376" s="0" t="n">
        <v>0</v>
      </c>
      <c r="G376" s="0" t="n">
        <v>6</v>
      </c>
      <c r="H376" s="0" t="n">
        <v>6</v>
      </c>
    </row>
    <row r="377" customFormat="false" ht="15" hidden="false" customHeight="false" outlineLevel="0" collapsed="false">
      <c r="A377" s="0" t="s">
        <v>255</v>
      </c>
      <c r="B377" s="0" t="s">
        <v>559</v>
      </c>
      <c r="C377" s="0" t="s">
        <v>97</v>
      </c>
      <c r="D377" s="0" t="n">
        <v>4</v>
      </c>
      <c r="E377" s="0" t="n">
        <v>0</v>
      </c>
      <c r="F377" s="0" t="n">
        <v>0</v>
      </c>
      <c r="G377" s="0" t="n">
        <v>4</v>
      </c>
      <c r="H377" s="0" t="n">
        <v>4</v>
      </c>
    </row>
    <row r="378" customFormat="false" ht="15" hidden="false" customHeight="false" outlineLevel="0" collapsed="false">
      <c r="A378" s="0" t="s">
        <v>255</v>
      </c>
      <c r="B378" s="0" t="s">
        <v>561</v>
      </c>
      <c r="C378" s="0" t="s">
        <v>98</v>
      </c>
      <c r="D378" s="0" t="n">
        <v>8</v>
      </c>
      <c r="E378" s="0" t="n">
        <v>0</v>
      </c>
      <c r="F378" s="0" t="n">
        <v>0</v>
      </c>
      <c r="G378" s="0" t="n">
        <v>8</v>
      </c>
      <c r="H378" s="0" t="n">
        <v>8</v>
      </c>
    </row>
    <row r="379" customFormat="false" ht="15" hidden="false" customHeight="false" outlineLevel="0" collapsed="false">
      <c r="A379" s="0" t="s">
        <v>255</v>
      </c>
      <c r="B379" s="0" t="s">
        <v>567</v>
      </c>
      <c r="C379" s="0" t="s">
        <v>656</v>
      </c>
      <c r="D379" s="0" t="n">
        <v>5</v>
      </c>
      <c r="E379" s="0" t="n">
        <v>6</v>
      </c>
      <c r="F379" s="0" t="n">
        <v>6</v>
      </c>
      <c r="G379" s="0" t="n">
        <v>11</v>
      </c>
      <c r="H379" s="0" t="n">
        <v>17</v>
      </c>
    </row>
    <row r="380" customFormat="false" ht="15" hidden="false" customHeight="false" outlineLevel="0" collapsed="false">
      <c r="A380" s="0" t="s">
        <v>255</v>
      </c>
      <c r="B380" s="0" t="s">
        <v>614</v>
      </c>
      <c r="C380" s="0" t="s">
        <v>657</v>
      </c>
      <c r="D380" s="0" t="n">
        <v>4</v>
      </c>
      <c r="E380" s="0" t="n">
        <v>8</v>
      </c>
      <c r="F380" s="0" t="n">
        <v>0</v>
      </c>
      <c r="G380" s="0" t="n">
        <v>12</v>
      </c>
      <c r="H380" s="0" t="n">
        <v>12</v>
      </c>
    </row>
    <row r="381" customFormat="false" ht="15" hidden="false" customHeight="false" outlineLevel="0" collapsed="false">
      <c r="A381" s="0" t="s">
        <v>255</v>
      </c>
      <c r="B381" s="0" t="s">
        <v>569</v>
      </c>
      <c r="C381" s="0" t="s">
        <v>658</v>
      </c>
      <c r="D381" s="0" t="n">
        <v>6</v>
      </c>
      <c r="E381" s="0" t="n">
        <v>0</v>
      </c>
      <c r="F381" s="0" t="n">
        <v>0</v>
      </c>
      <c r="G381" s="0" t="n">
        <v>6</v>
      </c>
      <c r="H381" s="0" t="n">
        <v>6</v>
      </c>
    </row>
    <row r="382" customFormat="false" ht="15" hidden="false" customHeight="false" outlineLevel="0" collapsed="false">
      <c r="A382" s="0" t="s">
        <v>255</v>
      </c>
      <c r="B382" s="0" t="s">
        <v>617</v>
      </c>
      <c r="C382" s="0" t="s">
        <v>97</v>
      </c>
      <c r="D382" s="0" t="n">
        <v>2</v>
      </c>
      <c r="E382" s="0" t="n">
        <v>2</v>
      </c>
      <c r="F382" s="0" t="n">
        <v>3</v>
      </c>
      <c r="G382" s="0" t="n">
        <v>4</v>
      </c>
      <c r="H382" s="0" t="n">
        <v>7</v>
      </c>
    </row>
    <row r="383" customFormat="false" ht="15" hidden="false" customHeight="false" outlineLevel="0" collapsed="false">
      <c r="A383" s="0" t="s">
        <v>255</v>
      </c>
      <c r="B383" s="0" t="s">
        <v>642</v>
      </c>
      <c r="C383" s="0" t="s">
        <v>97</v>
      </c>
      <c r="D383" s="0" t="n">
        <v>4</v>
      </c>
      <c r="E383" s="0" t="n">
        <v>8</v>
      </c>
      <c r="F383" s="0" t="n">
        <v>7</v>
      </c>
      <c r="G383" s="0" t="n">
        <v>12</v>
      </c>
      <c r="H383" s="0" t="n">
        <v>19</v>
      </c>
    </row>
    <row r="384" customFormat="false" ht="15" hidden="false" customHeight="false" outlineLevel="0" collapsed="false">
      <c r="A384" s="0" t="s">
        <v>255</v>
      </c>
      <c r="B384" s="0" t="s">
        <v>659</v>
      </c>
      <c r="C384" s="0" t="s">
        <v>631</v>
      </c>
      <c r="D384" s="0" t="n">
        <v>2</v>
      </c>
      <c r="E384" s="0" t="n">
        <v>4</v>
      </c>
      <c r="F384" s="0" t="n">
        <v>1</v>
      </c>
      <c r="G384" s="0" t="n">
        <v>6</v>
      </c>
      <c r="H384" s="0" t="n">
        <v>7</v>
      </c>
    </row>
    <row r="385" customFormat="false" ht="15" hidden="false" customHeight="false" outlineLevel="0" collapsed="false">
      <c r="A385" s="0" t="s">
        <v>255</v>
      </c>
      <c r="B385" s="0" t="s">
        <v>593</v>
      </c>
      <c r="C385" s="0" t="s">
        <v>114</v>
      </c>
      <c r="D385" s="0" t="n">
        <v>0</v>
      </c>
      <c r="E385" s="0" t="n">
        <v>3</v>
      </c>
      <c r="F385" s="0" t="n">
        <v>1</v>
      </c>
      <c r="G385" s="0" t="n">
        <v>3</v>
      </c>
      <c r="H385" s="0" t="n">
        <v>4</v>
      </c>
    </row>
    <row r="386" customFormat="false" ht="15" hidden="false" customHeight="false" outlineLevel="0" collapsed="false">
      <c r="A386" s="0" t="s">
        <v>255</v>
      </c>
      <c r="B386" s="0" t="s">
        <v>660</v>
      </c>
      <c r="C386" s="0" t="s">
        <v>631</v>
      </c>
      <c r="D386" s="0" t="n">
        <v>3</v>
      </c>
      <c r="E386" s="0" t="n">
        <v>1</v>
      </c>
      <c r="F386" s="0" t="n">
        <v>0</v>
      </c>
      <c r="G386" s="0" t="n">
        <v>4</v>
      </c>
      <c r="H386" s="0" t="n">
        <v>4</v>
      </c>
    </row>
    <row r="387" customFormat="false" ht="15" hidden="false" customHeight="false" outlineLevel="0" collapsed="false">
      <c r="A387" s="0" t="s">
        <v>255</v>
      </c>
      <c r="B387" s="0" t="s">
        <v>584</v>
      </c>
      <c r="C387" s="0" t="s">
        <v>630</v>
      </c>
      <c r="D387" s="0" t="n">
        <v>3</v>
      </c>
      <c r="E387" s="0" t="n">
        <v>2</v>
      </c>
      <c r="F387" s="0" t="n">
        <v>0</v>
      </c>
      <c r="G387" s="0" t="n">
        <v>5</v>
      </c>
      <c r="H387" s="0" t="n">
        <v>5</v>
      </c>
    </row>
    <row r="388" customFormat="false" ht="15" hidden="false" customHeight="false" outlineLevel="0" collapsed="false">
      <c r="A388" s="0" t="s">
        <v>255</v>
      </c>
      <c r="B388" s="0" t="s">
        <v>600</v>
      </c>
      <c r="C388" s="0" t="s">
        <v>97</v>
      </c>
      <c r="D388" s="0" t="n">
        <v>4</v>
      </c>
      <c r="E388" s="0" t="n">
        <v>4</v>
      </c>
      <c r="F388" s="0" t="n">
        <v>0</v>
      </c>
      <c r="G388" s="0" t="n">
        <v>8</v>
      </c>
      <c r="H388" s="0" t="n">
        <v>8</v>
      </c>
    </row>
    <row r="389" customFormat="false" ht="15" hidden="false" customHeight="false" outlineLevel="0" collapsed="false">
      <c r="A389" s="0" t="s">
        <v>255</v>
      </c>
      <c r="B389" s="0" t="s">
        <v>648</v>
      </c>
      <c r="C389" s="0" t="s">
        <v>661</v>
      </c>
      <c r="D389" s="0" t="n">
        <v>3</v>
      </c>
      <c r="E389" s="0" t="n">
        <v>2</v>
      </c>
      <c r="F389" s="0" t="n">
        <v>0</v>
      </c>
      <c r="G389" s="0" t="n">
        <v>5</v>
      </c>
      <c r="H389" s="0" t="n">
        <v>5</v>
      </c>
    </row>
    <row r="390" customFormat="false" ht="15" hidden="false" customHeight="false" outlineLevel="0" collapsed="false">
      <c r="A390" s="0" t="s">
        <v>255</v>
      </c>
      <c r="B390" s="0" t="s">
        <v>648</v>
      </c>
      <c r="C390" s="0" t="s">
        <v>97</v>
      </c>
      <c r="D390" s="0" t="n">
        <v>6</v>
      </c>
      <c r="E390" s="0" t="n">
        <v>1</v>
      </c>
      <c r="F390" s="0" t="n">
        <v>3</v>
      </c>
      <c r="G390" s="0" t="n">
        <v>7</v>
      </c>
      <c r="H390" s="0" t="n">
        <v>10</v>
      </c>
    </row>
    <row r="391" customFormat="false" ht="15" hidden="false" customHeight="false" outlineLevel="0" collapsed="false">
      <c r="A391" s="0" t="s">
        <v>255</v>
      </c>
      <c r="B391" s="0" t="s">
        <v>662</v>
      </c>
      <c r="C391" s="0" t="s">
        <v>631</v>
      </c>
      <c r="D391" s="0" t="n">
        <v>3</v>
      </c>
      <c r="E391" s="0" t="n">
        <v>1</v>
      </c>
      <c r="F391" s="0" t="n">
        <v>0</v>
      </c>
      <c r="G391" s="0" t="n">
        <v>4</v>
      </c>
      <c r="H391" s="0" t="n">
        <v>4</v>
      </c>
    </row>
    <row r="392" customFormat="false" ht="15" hidden="false" customHeight="false" outlineLevel="0" collapsed="false">
      <c r="A392" s="0" t="s">
        <v>258</v>
      </c>
      <c r="B392" s="0" t="s">
        <v>559</v>
      </c>
      <c r="C392" s="0" t="s">
        <v>97</v>
      </c>
      <c r="D392" s="0" t="n">
        <v>4</v>
      </c>
      <c r="E392" s="0" t="n">
        <v>0</v>
      </c>
      <c r="F392" s="0" t="n">
        <v>0</v>
      </c>
      <c r="G392" s="0" t="n">
        <v>4</v>
      </c>
      <c r="H392" s="0" t="n">
        <v>4</v>
      </c>
    </row>
    <row r="393" customFormat="false" ht="15" hidden="false" customHeight="false" outlineLevel="0" collapsed="false">
      <c r="A393" s="0" t="s">
        <v>258</v>
      </c>
      <c r="B393" s="0" t="s">
        <v>561</v>
      </c>
      <c r="C393" s="0" t="s">
        <v>98</v>
      </c>
      <c r="D393" s="0" t="n">
        <v>8</v>
      </c>
      <c r="E393" s="0" t="n">
        <v>0</v>
      </c>
      <c r="F393" s="0" t="n">
        <v>0</v>
      </c>
      <c r="G393" s="0" t="n">
        <v>8</v>
      </c>
      <c r="H393" s="0" t="n">
        <v>8</v>
      </c>
    </row>
    <row r="394" customFormat="false" ht="15" hidden="false" customHeight="false" outlineLevel="0" collapsed="false">
      <c r="A394" s="0" t="s">
        <v>258</v>
      </c>
      <c r="B394" s="0" t="s">
        <v>617</v>
      </c>
      <c r="C394" s="0" t="s">
        <v>97</v>
      </c>
      <c r="D394" s="0" t="n">
        <v>2</v>
      </c>
      <c r="E394" s="0" t="n">
        <v>3</v>
      </c>
      <c r="F394" s="0" t="n">
        <v>1</v>
      </c>
      <c r="G394" s="0" t="n">
        <v>5</v>
      </c>
      <c r="H394" s="0" t="n">
        <v>6</v>
      </c>
    </row>
    <row r="395" customFormat="false" ht="15" hidden="false" customHeight="false" outlineLevel="0" collapsed="false">
      <c r="A395" s="0" t="s">
        <v>258</v>
      </c>
      <c r="B395" s="0" t="s">
        <v>642</v>
      </c>
      <c r="C395" s="0" t="s">
        <v>97</v>
      </c>
      <c r="D395" s="0" t="n">
        <v>2</v>
      </c>
      <c r="E395" s="0" t="n">
        <v>13</v>
      </c>
      <c r="F395" s="0" t="n">
        <v>10</v>
      </c>
      <c r="G395" s="0" t="n">
        <v>15</v>
      </c>
      <c r="H395" s="0" t="n">
        <v>25</v>
      </c>
    </row>
    <row r="396" customFormat="false" ht="15" hidden="false" customHeight="false" outlineLevel="0" collapsed="false">
      <c r="A396" s="0" t="s">
        <v>258</v>
      </c>
      <c r="B396" s="0" t="s">
        <v>659</v>
      </c>
      <c r="C396" s="0" t="s">
        <v>631</v>
      </c>
      <c r="D396" s="0" t="n">
        <v>4</v>
      </c>
      <c r="E396" s="0" t="n">
        <v>4</v>
      </c>
      <c r="F396" s="0" t="n">
        <v>4</v>
      </c>
      <c r="G396" s="0" t="n">
        <v>8</v>
      </c>
      <c r="H396" s="0" t="n">
        <v>12</v>
      </c>
    </row>
    <row r="397" customFormat="false" ht="15" hidden="false" customHeight="false" outlineLevel="0" collapsed="false">
      <c r="A397" s="0" t="s">
        <v>258</v>
      </c>
      <c r="B397" s="0" t="s">
        <v>593</v>
      </c>
      <c r="C397" s="0" t="s">
        <v>114</v>
      </c>
      <c r="D397" s="0" t="n">
        <v>7</v>
      </c>
      <c r="E397" s="0" t="n">
        <v>0</v>
      </c>
      <c r="F397" s="0" t="n">
        <v>0</v>
      </c>
      <c r="G397" s="0" t="n">
        <v>7</v>
      </c>
      <c r="H397" s="0" t="n">
        <v>7</v>
      </c>
    </row>
    <row r="398" customFormat="false" ht="15" hidden="false" customHeight="false" outlineLevel="0" collapsed="false">
      <c r="A398" s="0" t="s">
        <v>258</v>
      </c>
      <c r="B398" s="0" t="s">
        <v>660</v>
      </c>
      <c r="C398" s="0" t="s">
        <v>631</v>
      </c>
      <c r="D398" s="0" t="n">
        <v>1</v>
      </c>
      <c r="E398" s="0" t="n">
        <v>0</v>
      </c>
      <c r="F398" s="0" t="n">
        <v>3</v>
      </c>
      <c r="G398" s="0" t="n">
        <v>1</v>
      </c>
      <c r="H398" s="0" t="n">
        <v>4</v>
      </c>
    </row>
    <row r="399" customFormat="false" ht="15" hidden="false" customHeight="false" outlineLevel="0" collapsed="false">
      <c r="A399" s="0" t="s">
        <v>258</v>
      </c>
      <c r="B399" s="0" t="s">
        <v>584</v>
      </c>
      <c r="C399" s="0" t="s">
        <v>630</v>
      </c>
      <c r="D399" s="0" t="n">
        <v>3</v>
      </c>
      <c r="E399" s="0" t="n">
        <v>6</v>
      </c>
      <c r="F399" s="0" t="n">
        <v>0</v>
      </c>
      <c r="G399" s="0" t="n">
        <v>9</v>
      </c>
      <c r="H399" s="0" t="n">
        <v>9</v>
      </c>
    </row>
    <row r="400" customFormat="false" ht="15" hidden="false" customHeight="false" outlineLevel="0" collapsed="false">
      <c r="A400" s="0" t="s">
        <v>258</v>
      </c>
      <c r="B400" s="0" t="s">
        <v>600</v>
      </c>
      <c r="C400" s="0" t="s">
        <v>97</v>
      </c>
      <c r="D400" s="0" t="n">
        <v>4</v>
      </c>
      <c r="E400" s="0" t="n">
        <v>10</v>
      </c>
      <c r="F400" s="0" t="n">
        <v>0</v>
      </c>
      <c r="G400" s="0" t="n">
        <v>14</v>
      </c>
      <c r="H400" s="0" t="n">
        <v>14</v>
      </c>
    </row>
    <row r="401" customFormat="false" ht="15" hidden="false" customHeight="false" outlineLevel="0" collapsed="false">
      <c r="A401" s="0" t="s">
        <v>258</v>
      </c>
      <c r="B401" s="0" t="s">
        <v>648</v>
      </c>
      <c r="C401" s="0" t="s">
        <v>661</v>
      </c>
      <c r="D401" s="0" t="n">
        <v>2</v>
      </c>
      <c r="E401" s="0" t="n">
        <v>2</v>
      </c>
      <c r="F401" s="0" t="n">
        <v>0</v>
      </c>
      <c r="G401" s="0" t="n">
        <v>4</v>
      </c>
      <c r="H401" s="0" t="n">
        <v>4</v>
      </c>
    </row>
    <row r="402" customFormat="false" ht="15" hidden="false" customHeight="false" outlineLevel="0" collapsed="false">
      <c r="A402" s="0" t="s">
        <v>258</v>
      </c>
      <c r="B402" s="0" t="s">
        <v>648</v>
      </c>
      <c r="C402" s="0" t="s">
        <v>97</v>
      </c>
      <c r="D402" s="0" t="n">
        <v>4</v>
      </c>
      <c r="E402" s="0" t="n">
        <v>0</v>
      </c>
      <c r="F402" s="0" t="n">
        <v>3</v>
      </c>
      <c r="G402" s="0" t="n">
        <v>4</v>
      </c>
      <c r="H402" s="0" t="n">
        <v>7</v>
      </c>
    </row>
    <row r="403" customFormat="false" ht="15" hidden="false" customHeight="false" outlineLevel="0" collapsed="false">
      <c r="A403" s="0" t="s">
        <v>258</v>
      </c>
      <c r="B403" s="0" t="s">
        <v>662</v>
      </c>
      <c r="C403" s="0" t="s">
        <v>631</v>
      </c>
      <c r="D403" s="0" t="n">
        <v>2</v>
      </c>
      <c r="E403" s="0" t="n">
        <v>2</v>
      </c>
      <c r="F403" s="0" t="n">
        <v>0</v>
      </c>
      <c r="G403" s="0" t="n">
        <v>4</v>
      </c>
      <c r="H403" s="0" t="n">
        <v>4</v>
      </c>
    </row>
    <row r="404" customFormat="false" ht="15" hidden="false" customHeight="false" outlineLevel="0" collapsed="false">
      <c r="A404" s="0" t="s">
        <v>258</v>
      </c>
      <c r="B404" s="0" t="s">
        <v>616</v>
      </c>
      <c r="C404" s="0" t="s">
        <v>97</v>
      </c>
      <c r="D404" s="0" t="n">
        <v>4</v>
      </c>
      <c r="E404" s="0" t="n">
        <v>1</v>
      </c>
      <c r="F404" s="0" t="n">
        <v>8</v>
      </c>
      <c r="G404" s="0" t="n">
        <v>5</v>
      </c>
      <c r="H404" s="0" t="n">
        <v>13</v>
      </c>
    </row>
    <row r="405" customFormat="false" ht="15" hidden="false" customHeight="false" outlineLevel="0" collapsed="false">
      <c r="A405" s="0" t="s">
        <v>258</v>
      </c>
      <c r="B405" s="0" t="s">
        <v>663</v>
      </c>
      <c r="C405" s="0" t="s">
        <v>661</v>
      </c>
      <c r="D405" s="0" t="n">
        <v>13</v>
      </c>
      <c r="E405" s="0" t="n">
        <v>6</v>
      </c>
      <c r="F405" s="0" t="n">
        <v>0</v>
      </c>
      <c r="G405" s="0" t="n">
        <v>19</v>
      </c>
      <c r="H405" s="0" t="n">
        <v>19</v>
      </c>
    </row>
    <row r="406" customFormat="false" ht="15" hidden="false" customHeight="false" outlineLevel="0" collapsed="false">
      <c r="A406" s="0" t="s">
        <v>258</v>
      </c>
      <c r="B406" s="0" t="s">
        <v>602</v>
      </c>
      <c r="C406" s="0" t="s">
        <v>630</v>
      </c>
      <c r="D406" s="0" t="n">
        <v>1</v>
      </c>
      <c r="E406" s="0" t="n">
        <v>1</v>
      </c>
      <c r="F406" s="0" t="n">
        <v>0</v>
      </c>
      <c r="G406" s="0" t="n">
        <v>2</v>
      </c>
      <c r="H406" s="0" t="n">
        <v>2</v>
      </c>
    </row>
    <row r="407" customFormat="false" ht="15" hidden="false" customHeight="false" outlineLevel="0" collapsed="false">
      <c r="A407" s="0" t="s">
        <v>260</v>
      </c>
      <c r="B407" s="0" t="s">
        <v>559</v>
      </c>
      <c r="C407" s="0" t="s">
        <v>97</v>
      </c>
      <c r="D407" s="0" t="n">
        <v>2</v>
      </c>
      <c r="E407" s="0" t="n">
        <v>0</v>
      </c>
      <c r="F407" s="0" t="n">
        <v>0</v>
      </c>
      <c r="G407" s="0" t="n">
        <v>2</v>
      </c>
      <c r="H407" s="0" t="n">
        <v>2</v>
      </c>
    </row>
    <row r="408" customFormat="false" ht="15" hidden="false" customHeight="false" outlineLevel="0" collapsed="false">
      <c r="A408" s="0" t="s">
        <v>260</v>
      </c>
      <c r="B408" s="0" t="s">
        <v>561</v>
      </c>
      <c r="C408" s="0" t="s">
        <v>98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</row>
    <row r="409" customFormat="false" ht="15" hidden="false" customHeight="false" outlineLevel="0" collapsed="false">
      <c r="A409" s="0" t="s">
        <v>260</v>
      </c>
      <c r="B409" s="0" t="s">
        <v>617</v>
      </c>
      <c r="C409" s="0" t="s">
        <v>97</v>
      </c>
      <c r="D409" s="0" t="n">
        <v>1</v>
      </c>
      <c r="E409" s="0" t="n">
        <v>1</v>
      </c>
      <c r="F409" s="0" t="n">
        <v>0</v>
      </c>
      <c r="G409" s="0" t="n">
        <v>2</v>
      </c>
      <c r="H409" s="0" t="n">
        <v>2</v>
      </c>
    </row>
    <row r="410" customFormat="false" ht="15" hidden="false" customHeight="false" outlineLevel="0" collapsed="false">
      <c r="A410" s="0" t="s">
        <v>260</v>
      </c>
      <c r="B410" s="0" t="s">
        <v>642</v>
      </c>
      <c r="C410" s="0" t="s">
        <v>97</v>
      </c>
      <c r="D410" s="0" t="n">
        <v>0</v>
      </c>
      <c r="E410" s="0" t="n">
        <v>1</v>
      </c>
      <c r="F410" s="0" t="n">
        <v>1</v>
      </c>
      <c r="G410" s="0" t="n">
        <v>1</v>
      </c>
      <c r="H410" s="0" t="n">
        <v>2</v>
      </c>
    </row>
    <row r="411" customFormat="false" ht="15" hidden="false" customHeight="false" outlineLevel="0" collapsed="false">
      <c r="A411" s="0" t="s">
        <v>260</v>
      </c>
      <c r="B411" s="0" t="s">
        <v>659</v>
      </c>
      <c r="C411" s="0" t="s">
        <v>631</v>
      </c>
      <c r="D411" s="0" t="n">
        <v>2</v>
      </c>
      <c r="E411" s="0" t="n">
        <v>0</v>
      </c>
      <c r="F411" s="0" t="n">
        <v>0</v>
      </c>
      <c r="G411" s="0" t="n">
        <v>2</v>
      </c>
      <c r="H411" s="0" t="n">
        <v>2</v>
      </c>
    </row>
    <row r="412" customFormat="false" ht="15" hidden="false" customHeight="false" outlineLevel="0" collapsed="false">
      <c r="A412" s="0" t="s">
        <v>260</v>
      </c>
      <c r="B412" s="0" t="s">
        <v>593</v>
      </c>
      <c r="C412" s="0" t="s">
        <v>114</v>
      </c>
      <c r="D412" s="0" t="n">
        <v>2</v>
      </c>
      <c r="E412" s="0" t="n">
        <v>2</v>
      </c>
      <c r="F412" s="0" t="n">
        <v>0</v>
      </c>
      <c r="G412" s="0" t="n">
        <v>4</v>
      </c>
      <c r="H412" s="0" t="n">
        <v>4</v>
      </c>
    </row>
    <row r="413" customFormat="false" ht="15" hidden="false" customHeight="false" outlineLevel="0" collapsed="false">
      <c r="A413" s="0" t="s">
        <v>260</v>
      </c>
      <c r="B413" s="0" t="s">
        <v>660</v>
      </c>
      <c r="C413" s="0" t="s">
        <v>631</v>
      </c>
      <c r="D413" s="0" t="n">
        <v>0</v>
      </c>
      <c r="E413" s="0" t="n">
        <v>2</v>
      </c>
      <c r="F413" s="0" t="n">
        <v>0</v>
      </c>
      <c r="G413" s="0" t="n">
        <v>2</v>
      </c>
      <c r="H413" s="0" t="n">
        <v>2</v>
      </c>
    </row>
    <row r="414" customFormat="false" ht="15" hidden="false" customHeight="false" outlineLevel="0" collapsed="false">
      <c r="A414" s="0" t="s">
        <v>260</v>
      </c>
      <c r="B414" s="0" t="s">
        <v>584</v>
      </c>
      <c r="C414" s="0" t="s">
        <v>630</v>
      </c>
      <c r="D414" s="0" t="n">
        <v>1</v>
      </c>
      <c r="E414" s="0" t="n">
        <v>0</v>
      </c>
      <c r="F414" s="0" t="n">
        <v>0</v>
      </c>
      <c r="G414" s="0" t="n">
        <v>1</v>
      </c>
      <c r="H414" s="0" t="n">
        <v>1</v>
      </c>
    </row>
    <row r="415" customFormat="false" ht="15" hidden="false" customHeight="false" outlineLevel="0" collapsed="false">
      <c r="A415" s="0" t="s">
        <v>260</v>
      </c>
      <c r="B415" s="0" t="s">
        <v>600</v>
      </c>
      <c r="C415" s="0" t="s">
        <v>97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</row>
    <row r="416" customFormat="false" ht="15" hidden="false" customHeight="false" outlineLevel="0" collapsed="false">
      <c r="A416" s="0" t="s">
        <v>260</v>
      </c>
      <c r="B416" s="0" t="s">
        <v>648</v>
      </c>
      <c r="C416" s="0" t="s">
        <v>661</v>
      </c>
      <c r="D416" s="0" t="n">
        <v>0</v>
      </c>
      <c r="E416" s="0" t="n">
        <v>1</v>
      </c>
      <c r="F416" s="0" t="n">
        <v>0</v>
      </c>
      <c r="G416" s="0" t="n">
        <v>1</v>
      </c>
      <c r="H416" s="0" t="n">
        <v>1</v>
      </c>
    </row>
    <row r="417" customFormat="false" ht="15" hidden="false" customHeight="false" outlineLevel="0" collapsed="false">
      <c r="A417" s="0" t="s">
        <v>260</v>
      </c>
      <c r="B417" s="0" t="s">
        <v>648</v>
      </c>
      <c r="C417" s="0" t="s">
        <v>97</v>
      </c>
      <c r="D417" s="0" t="n">
        <v>4</v>
      </c>
      <c r="E417" s="0" t="n">
        <v>0</v>
      </c>
      <c r="F417" s="0" t="n">
        <v>0</v>
      </c>
      <c r="G417" s="0" t="n">
        <v>4</v>
      </c>
      <c r="H417" s="0" t="n">
        <v>4</v>
      </c>
    </row>
    <row r="418" customFormat="false" ht="15" hidden="false" customHeight="false" outlineLevel="0" collapsed="false">
      <c r="A418" s="0" t="s">
        <v>260</v>
      </c>
      <c r="B418" s="0" t="s">
        <v>662</v>
      </c>
      <c r="C418" s="0" t="s">
        <v>631</v>
      </c>
      <c r="D418" s="0" t="n">
        <v>1</v>
      </c>
      <c r="E418" s="0" t="n">
        <v>0</v>
      </c>
      <c r="F418" s="0" t="n">
        <v>0</v>
      </c>
      <c r="G418" s="0" t="n">
        <v>1</v>
      </c>
      <c r="H418" s="0" t="n">
        <v>1</v>
      </c>
    </row>
    <row r="419" customFormat="false" ht="15" hidden="false" customHeight="false" outlineLevel="0" collapsed="false">
      <c r="A419" s="0" t="s">
        <v>260</v>
      </c>
      <c r="B419" s="0" t="s">
        <v>616</v>
      </c>
      <c r="C419" s="0" t="s">
        <v>97</v>
      </c>
      <c r="D419" s="0" t="n">
        <v>0</v>
      </c>
      <c r="E419" s="0" t="n">
        <v>0</v>
      </c>
      <c r="F419" s="0" t="n">
        <v>1</v>
      </c>
      <c r="G419" s="0" t="n">
        <v>0</v>
      </c>
      <c r="H419" s="0" t="n">
        <v>1</v>
      </c>
    </row>
    <row r="420" customFormat="false" ht="15" hidden="false" customHeight="false" outlineLevel="0" collapsed="false">
      <c r="A420" s="0" t="s">
        <v>260</v>
      </c>
      <c r="B420" s="0" t="s">
        <v>663</v>
      </c>
      <c r="C420" s="0" t="s">
        <v>661</v>
      </c>
      <c r="D420" s="0" t="n">
        <v>1</v>
      </c>
      <c r="E420" s="0" t="n">
        <v>4</v>
      </c>
      <c r="F420" s="0" t="n">
        <v>0</v>
      </c>
      <c r="G420" s="0" t="n">
        <v>5</v>
      </c>
      <c r="H420" s="0" t="n">
        <v>5</v>
      </c>
    </row>
    <row r="421" customFormat="false" ht="15" hidden="false" customHeight="false" outlineLevel="0" collapsed="false">
      <c r="A421" s="0" t="s">
        <v>260</v>
      </c>
      <c r="B421" s="0" t="s">
        <v>602</v>
      </c>
      <c r="C421" s="0" t="s">
        <v>630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</row>
    <row r="422" customFormat="false" ht="15" hidden="false" customHeight="false" outlineLevel="0" collapsed="false">
      <c r="A422" s="0" t="s">
        <v>263</v>
      </c>
      <c r="B422" s="0" t="s">
        <v>559</v>
      </c>
      <c r="C422" s="0" t="s">
        <v>97</v>
      </c>
      <c r="D422" s="0" t="n">
        <v>5</v>
      </c>
      <c r="E422" s="0" t="n">
        <v>0</v>
      </c>
      <c r="F422" s="0" t="n">
        <v>0</v>
      </c>
      <c r="G422" s="0" t="n">
        <v>5</v>
      </c>
      <c r="H422" s="0" t="n">
        <v>5</v>
      </c>
    </row>
    <row r="423" customFormat="false" ht="15" hidden="false" customHeight="false" outlineLevel="0" collapsed="false">
      <c r="A423" s="0" t="s">
        <v>263</v>
      </c>
      <c r="B423" s="0" t="s">
        <v>561</v>
      </c>
      <c r="C423" s="0" t="s">
        <v>98</v>
      </c>
      <c r="D423" s="0" t="n">
        <v>1</v>
      </c>
      <c r="E423" s="0" t="n">
        <v>0</v>
      </c>
      <c r="F423" s="0" t="n">
        <v>0</v>
      </c>
      <c r="G423" s="0" t="n">
        <v>1</v>
      </c>
      <c r="H423" s="0" t="n">
        <v>1</v>
      </c>
    </row>
    <row r="424" customFormat="false" ht="15" hidden="false" customHeight="false" outlineLevel="0" collapsed="false">
      <c r="A424" s="0" t="s">
        <v>263</v>
      </c>
      <c r="B424" s="0" t="s">
        <v>617</v>
      </c>
      <c r="C424" s="0" t="s">
        <v>97</v>
      </c>
      <c r="D424" s="0" t="n">
        <v>2</v>
      </c>
      <c r="E424" s="0" t="n">
        <v>10</v>
      </c>
      <c r="F424" s="0" t="n">
        <v>1</v>
      </c>
      <c r="G424" s="0" t="n">
        <v>12</v>
      </c>
      <c r="H424" s="0" t="n">
        <v>13</v>
      </c>
    </row>
    <row r="425" customFormat="false" ht="15" hidden="false" customHeight="false" outlineLevel="0" collapsed="false">
      <c r="A425" s="0" t="s">
        <v>263</v>
      </c>
      <c r="B425" s="0" t="s">
        <v>642</v>
      </c>
      <c r="C425" s="0" t="s">
        <v>97</v>
      </c>
      <c r="D425" s="0" t="n">
        <v>0</v>
      </c>
      <c r="E425" s="0" t="n">
        <v>7</v>
      </c>
      <c r="F425" s="0" t="n">
        <v>5</v>
      </c>
      <c r="G425" s="0" t="n">
        <v>7</v>
      </c>
      <c r="H425" s="0" t="n">
        <v>12</v>
      </c>
    </row>
    <row r="426" customFormat="false" ht="15" hidden="false" customHeight="false" outlineLevel="0" collapsed="false">
      <c r="A426" s="0" t="s">
        <v>263</v>
      </c>
      <c r="B426" s="0" t="s">
        <v>659</v>
      </c>
      <c r="C426" s="0" t="s">
        <v>631</v>
      </c>
      <c r="D426" s="0" t="n">
        <v>5</v>
      </c>
      <c r="E426" s="0" t="n">
        <v>2</v>
      </c>
      <c r="F426" s="0" t="n">
        <v>6</v>
      </c>
      <c r="G426" s="0" t="n">
        <v>7</v>
      </c>
      <c r="H426" s="0" t="n">
        <v>13</v>
      </c>
    </row>
    <row r="427" customFormat="false" ht="15" hidden="false" customHeight="false" outlineLevel="0" collapsed="false">
      <c r="A427" s="0" t="s">
        <v>263</v>
      </c>
      <c r="B427" s="0" t="s">
        <v>593</v>
      </c>
      <c r="C427" s="0" t="s">
        <v>114</v>
      </c>
      <c r="D427" s="0" t="n">
        <v>5</v>
      </c>
      <c r="E427" s="0" t="n">
        <v>3</v>
      </c>
      <c r="F427" s="0" t="n">
        <v>0</v>
      </c>
      <c r="G427" s="0" t="n">
        <v>8</v>
      </c>
      <c r="H427" s="0" t="n">
        <v>8</v>
      </c>
    </row>
    <row r="428" customFormat="false" ht="15" hidden="false" customHeight="false" outlineLevel="0" collapsed="false">
      <c r="A428" s="0" t="s">
        <v>263</v>
      </c>
      <c r="B428" s="0" t="s">
        <v>660</v>
      </c>
      <c r="C428" s="0" t="s">
        <v>631</v>
      </c>
      <c r="D428" s="0" t="n">
        <v>3</v>
      </c>
      <c r="E428" s="0" t="n">
        <v>3</v>
      </c>
      <c r="F428" s="0" t="n">
        <v>2</v>
      </c>
      <c r="G428" s="0" t="n">
        <v>6</v>
      </c>
      <c r="H428" s="0" t="n">
        <v>8</v>
      </c>
    </row>
    <row r="429" customFormat="false" ht="15" hidden="false" customHeight="false" outlineLevel="0" collapsed="false">
      <c r="A429" s="0" t="s">
        <v>263</v>
      </c>
      <c r="B429" s="0" t="s">
        <v>584</v>
      </c>
      <c r="C429" s="0" t="s">
        <v>630</v>
      </c>
      <c r="D429" s="0" t="n">
        <v>4</v>
      </c>
      <c r="E429" s="0" t="n">
        <v>1</v>
      </c>
      <c r="F429" s="0" t="n">
        <v>0</v>
      </c>
      <c r="G429" s="0" t="n">
        <v>5</v>
      </c>
      <c r="H429" s="0" t="n">
        <v>5</v>
      </c>
    </row>
    <row r="430" customFormat="false" ht="15" hidden="false" customHeight="false" outlineLevel="0" collapsed="false">
      <c r="A430" s="0" t="s">
        <v>263</v>
      </c>
      <c r="B430" s="0" t="s">
        <v>600</v>
      </c>
      <c r="C430" s="0" t="s">
        <v>97</v>
      </c>
      <c r="D430" s="0" t="n">
        <v>2</v>
      </c>
      <c r="E430" s="0" t="n">
        <v>5</v>
      </c>
      <c r="F430" s="0" t="n">
        <v>0</v>
      </c>
      <c r="G430" s="0" t="n">
        <v>7</v>
      </c>
      <c r="H430" s="0" t="n">
        <v>7</v>
      </c>
    </row>
    <row r="431" customFormat="false" ht="15" hidden="false" customHeight="false" outlineLevel="0" collapsed="false">
      <c r="A431" s="0" t="s">
        <v>263</v>
      </c>
      <c r="B431" s="0" t="s">
        <v>648</v>
      </c>
      <c r="C431" s="0" t="s">
        <v>661</v>
      </c>
      <c r="D431" s="0" t="n">
        <v>1</v>
      </c>
      <c r="E431" s="0" t="n">
        <v>3</v>
      </c>
      <c r="F431" s="0" t="n">
        <v>0</v>
      </c>
      <c r="G431" s="0" t="n">
        <v>4</v>
      </c>
      <c r="H431" s="0" t="n">
        <v>4</v>
      </c>
    </row>
    <row r="432" customFormat="false" ht="15" hidden="false" customHeight="false" outlineLevel="0" collapsed="false">
      <c r="A432" s="0" t="s">
        <v>263</v>
      </c>
      <c r="B432" s="0" t="s">
        <v>648</v>
      </c>
      <c r="C432" s="0" t="s">
        <v>97</v>
      </c>
      <c r="D432" s="0" t="n">
        <v>7</v>
      </c>
      <c r="E432" s="0" t="n">
        <v>4</v>
      </c>
      <c r="F432" s="0" t="n">
        <v>1</v>
      </c>
      <c r="G432" s="0" t="n">
        <v>11</v>
      </c>
      <c r="H432" s="0" t="n">
        <v>12</v>
      </c>
    </row>
    <row r="433" customFormat="false" ht="15" hidden="false" customHeight="false" outlineLevel="0" collapsed="false">
      <c r="A433" s="0" t="s">
        <v>263</v>
      </c>
      <c r="B433" s="0" t="s">
        <v>662</v>
      </c>
      <c r="C433" s="0" t="s">
        <v>631</v>
      </c>
      <c r="D433" s="0" t="n">
        <v>3</v>
      </c>
      <c r="E433" s="0" t="n">
        <v>5</v>
      </c>
      <c r="F433" s="0" t="n">
        <v>0</v>
      </c>
      <c r="G433" s="0" t="n">
        <v>8</v>
      </c>
      <c r="H433" s="0" t="n">
        <v>8</v>
      </c>
    </row>
    <row r="434" customFormat="false" ht="15" hidden="false" customHeight="false" outlineLevel="0" collapsed="false">
      <c r="A434" s="0" t="s">
        <v>263</v>
      </c>
      <c r="B434" s="0" t="s">
        <v>616</v>
      </c>
      <c r="C434" s="0" t="s">
        <v>97</v>
      </c>
      <c r="D434" s="0" t="n">
        <v>3</v>
      </c>
      <c r="E434" s="0" t="n">
        <v>0</v>
      </c>
      <c r="F434" s="0" t="n">
        <v>7</v>
      </c>
      <c r="G434" s="0" t="n">
        <v>3</v>
      </c>
      <c r="H434" s="0" t="n">
        <v>10</v>
      </c>
    </row>
    <row r="435" customFormat="false" ht="15" hidden="false" customHeight="false" outlineLevel="0" collapsed="false">
      <c r="A435" s="0" t="s">
        <v>263</v>
      </c>
      <c r="B435" s="0" t="s">
        <v>663</v>
      </c>
      <c r="C435" s="0" t="s">
        <v>661</v>
      </c>
      <c r="D435" s="0" t="n">
        <v>6</v>
      </c>
      <c r="E435" s="0" t="n">
        <v>6</v>
      </c>
      <c r="F435" s="0" t="n">
        <v>0</v>
      </c>
      <c r="G435" s="0" t="n">
        <v>12</v>
      </c>
      <c r="H435" s="0" t="n">
        <v>12</v>
      </c>
    </row>
    <row r="436" customFormat="false" ht="15" hidden="false" customHeight="false" outlineLevel="0" collapsed="false">
      <c r="A436" s="0" t="s">
        <v>263</v>
      </c>
      <c r="B436" s="0" t="s">
        <v>602</v>
      </c>
      <c r="C436" s="0" t="s">
        <v>630</v>
      </c>
      <c r="D436" s="0" t="n">
        <v>2</v>
      </c>
      <c r="E436" s="0" t="n">
        <v>5</v>
      </c>
      <c r="F436" s="0" t="n">
        <v>0</v>
      </c>
      <c r="G436" s="0" t="n">
        <v>7</v>
      </c>
      <c r="H436" s="0" t="n">
        <v>7</v>
      </c>
    </row>
    <row r="437" customFormat="false" ht="15" hidden="false" customHeight="false" outlineLevel="0" collapsed="false">
      <c r="A437" s="0" t="s">
        <v>265</v>
      </c>
      <c r="B437" s="0" t="s">
        <v>559</v>
      </c>
      <c r="C437" s="0" t="s">
        <v>97</v>
      </c>
      <c r="D437" s="0" t="n">
        <v>7</v>
      </c>
      <c r="E437" s="0" t="n">
        <v>0</v>
      </c>
      <c r="F437" s="0" t="n">
        <v>0</v>
      </c>
      <c r="G437" s="0" t="n">
        <v>7</v>
      </c>
      <c r="H437" s="0" t="n">
        <v>7</v>
      </c>
    </row>
    <row r="438" customFormat="false" ht="15" hidden="false" customHeight="false" outlineLevel="0" collapsed="false">
      <c r="A438" s="0" t="s">
        <v>265</v>
      </c>
      <c r="B438" s="0" t="s">
        <v>561</v>
      </c>
      <c r="C438" s="0" t="s">
        <v>98</v>
      </c>
      <c r="D438" s="0" t="n">
        <v>5</v>
      </c>
      <c r="E438" s="0" t="n">
        <v>0</v>
      </c>
      <c r="F438" s="0" t="n">
        <v>0</v>
      </c>
      <c r="G438" s="0" t="n">
        <v>5</v>
      </c>
      <c r="H438" s="0" t="n">
        <v>5</v>
      </c>
    </row>
    <row r="439" customFormat="false" ht="15" hidden="false" customHeight="false" outlineLevel="0" collapsed="false">
      <c r="A439" s="0" t="s">
        <v>265</v>
      </c>
      <c r="B439" s="0" t="s">
        <v>617</v>
      </c>
      <c r="C439" s="0" t="s">
        <v>97</v>
      </c>
      <c r="D439" s="0" t="n">
        <v>6</v>
      </c>
      <c r="E439" s="0" t="n">
        <v>8</v>
      </c>
      <c r="F439" s="0" t="n">
        <v>11</v>
      </c>
      <c r="G439" s="0" t="n">
        <v>14</v>
      </c>
      <c r="H439" s="0" t="n">
        <v>25</v>
      </c>
    </row>
    <row r="440" customFormat="false" ht="15" hidden="false" customHeight="false" outlineLevel="0" collapsed="false">
      <c r="A440" s="0" t="s">
        <v>265</v>
      </c>
      <c r="B440" s="0" t="s">
        <v>642</v>
      </c>
      <c r="C440" s="0" t="s">
        <v>97</v>
      </c>
      <c r="D440" s="0" t="n">
        <v>2</v>
      </c>
      <c r="E440" s="0" t="n">
        <v>5</v>
      </c>
      <c r="F440" s="0" t="n">
        <v>3</v>
      </c>
      <c r="G440" s="0" t="n">
        <v>7</v>
      </c>
      <c r="H440" s="0" t="n">
        <v>10</v>
      </c>
    </row>
    <row r="441" customFormat="false" ht="15" hidden="false" customHeight="false" outlineLevel="0" collapsed="false">
      <c r="A441" s="0" t="s">
        <v>265</v>
      </c>
      <c r="B441" s="0" t="s">
        <v>659</v>
      </c>
      <c r="C441" s="0" t="s">
        <v>631</v>
      </c>
      <c r="D441" s="0" t="n">
        <v>2</v>
      </c>
      <c r="E441" s="0" t="n">
        <v>4</v>
      </c>
      <c r="F441" s="0" t="n">
        <v>5</v>
      </c>
      <c r="G441" s="0" t="n">
        <v>6</v>
      </c>
      <c r="H441" s="0" t="n">
        <v>11</v>
      </c>
    </row>
    <row r="442" customFormat="false" ht="15" hidden="false" customHeight="false" outlineLevel="0" collapsed="false">
      <c r="A442" s="0" t="s">
        <v>265</v>
      </c>
      <c r="B442" s="0" t="s">
        <v>593</v>
      </c>
      <c r="C442" s="0" t="s">
        <v>114</v>
      </c>
      <c r="D442" s="0" t="n">
        <v>5</v>
      </c>
      <c r="E442" s="0" t="n">
        <v>4</v>
      </c>
      <c r="F442" s="0" t="n">
        <v>6</v>
      </c>
      <c r="G442" s="0" t="n">
        <v>9</v>
      </c>
      <c r="H442" s="0" t="n">
        <v>15</v>
      </c>
    </row>
    <row r="443" customFormat="false" ht="15" hidden="false" customHeight="false" outlineLevel="0" collapsed="false">
      <c r="A443" s="0" t="s">
        <v>265</v>
      </c>
      <c r="B443" s="0" t="s">
        <v>660</v>
      </c>
      <c r="C443" s="0" t="s">
        <v>631</v>
      </c>
      <c r="D443" s="0" t="n">
        <v>6</v>
      </c>
      <c r="E443" s="0" t="n">
        <v>0</v>
      </c>
      <c r="F443" s="0" t="n">
        <v>8</v>
      </c>
      <c r="G443" s="0" t="n">
        <v>6</v>
      </c>
      <c r="H443" s="0" t="n">
        <v>14</v>
      </c>
    </row>
    <row r="444" customFormat="false" ht="15" hidden="false" customHeight="false" outlineLevel="0" collapsed="false">
      <c r="A444" s="0" t="s">
        <v>265</v>
      </c>
      <c r="B444" s="0" t="s">
        <v>584</v>
      </c>
      <c r="C444" s="0" t="s">
        <v>630</v>
      </c>
      <c r="D444" s="0" t="n">
        <v>7</v>
      </c>
      <c r="E444" s="0" t="n">
        <v>4</v>
      </c>
      <c r="F444" s="0" t="n">
        <v>0</v>
      </c>
      <c r="G444" s="0" t="n">
        <v>11</v>
      </c>
      <c r="H444" s="0" t="n">
        <v>11</v>
      </c>
    </row>
    <row r="445" customFormat="false" ht="15" hidden="false" customHeight="false" outlineLevel="0" collapsed="false">
      <c r="A445" s="0" t="s">
        <v>265</v>
      </c>
      <c r="B445" s="0" t="s">
        <v>600</v>
      </c>
      <c r="C445" s="0" t="s">
        <v>97</v>
      </c>
      <c r="D445" s="0" t="n">
        <v>5</v>
      </c>
      <c r="E445" s="0" t="n">
        <v>2</v>
      </c>
      <c r="F445" s="0" t="n">
        <v>0</v>
      </c>
      <c r="G445" s="0" t="n">
        <v>7</v>
      </c>
      <c r="H445" s="0" t="n">
        <v>7</v>
      </c>
    </row>
    <row r="446" customFormat="false" ht="15" hidden="false" customHeight="false" outlineLevel="0" collapsed="false">
      <c r="A446" s="0" t="s">
        <v>265</v>
      </c>
      <c r="B446" s="0" t="s">
        <v>648</v>
      </c>
      <c r="C446" s="0" t="s">
        <v>661</v>
      </c>
      <c r="D446" s="0" t="n">
        <v>0</v>
      </c>
      <c r="E446" s="0" t="n">
        <v>2</v>
      </c>
      <c r="F446" s="0" t="n">
        <v>0</v>
      </c>
      <c r="G446" s="0" t="n">
        <v>2</v>
      </c>
      <c r="H446" s="0" t="n">
        <v>2</v>
      </c>
    </row>
    <row r="447" customFormat="false" ht="15" hidden="false" customHeight="false" outlineLevel="0" collapsed="false">
      <c r="A447" s="0" t="s">
        <v>265</v>
      </c>
      <c r="B447" s="0" t="s">
        <v>648</v>
      </c>
      <c r="C447" s="0" t="s">
        <v>97</v>
      </c>
      <c r="D447" s="0" t="n">
        <v>10</v>
      </c>
      <c r="E447" s="0" t="n">
        <v>6</v>
      </c>
      <c r="F447" s="0" t="n">
        <v>2</v>
      </c>
      <c r="G447" s="0" t="n">
        <v>16</v>
      </c>
      <c r="H447" s="0" t="n">
        <v>18</v>
      </c>
    </row>
    <row r="448" customFormat="false" ht="15" hidden="false" customHeight="false" outlineLevel="0" collapsed="false">
      <c r="A448" s="0" t="s">
        <v>265</v>
      </c>
      <c r="B448" s="0" t="s">
        <v>662</v>
      </c>
      <c r="C448" s="0" t="s">
        <v>631</v>
      </c>
      <c r="D448" s="0" t="n">
        <v>2</v>
      </c>
      <c r="E448" s="0" t="n">
        <v>4</v>
      </c>
      <c r="F448" s="0" t="n">
        <v>0</v>
      </c>
      <c r="G448" s="0" t="n">
        <v>6</v>
      </c>
      <c r="H448" s="0" t="n">
        <v>6</v>
      </c>
    </row>
    <row r="449" customFormat="false" ht="15" hidden="false" customHeight="false" outlineLevel="0" collapsed="false">
      <c r="A449" s="0" t="s">
        <v>265</v>
      </c>
      <c r="B449" s="0" t="s">
        <v>616</v>
      </c>
      <c r="C449" s="0" t="s">
        <v>97</v>
      </c>
      <c r="D449" s="0" t="n">
        <v>5</v>
      </c>
      <c r="E449" s="0" t="n">
        <v>3</v>
      </c>
      <c r="F449" s="0" t="n">
        <v>9</v>
      </c>
      <c r="G449" s="0" t="n">
        <v>8</v>
      </c>
      <c r="H449" s="0" t="n">
        <v>17</v>
      </c>
    </row>
    <row r="450" customFormat="false" ht="15" hidden="false" customHeight="false" outlineLevel="0" collapsed="false">
      <c r="A450" s="0" t="s">
        <v>265</v>
      </c>
      <c r="B450" s="0" t="s">
        <v>663</v>
      </c>
      <c r="C450" s="0" t="s">
        <v>661</v>
      </c>
      <c r="D450" s="0" t="n">
        <v>6</v>
      </c>
      <c r="E450" s="0" t="n">
        <v>1</v>
      </c>
      <c r="F450" s="0" t="n">
        <v>0</v>
      </c>
      <c r="G450" s="0" t="n">
        <v>7</v>
      </c>
      <c r="H450" s="0" t="n">
        <v>7</v>
      </c>
    </row>
    <row r="451" customFormat="false" ht="15" hidden="false" customHeight="false" outlineLevel="0" collapsed="false">
      <c r="A451" s="0" t="s">
        <v>265</v>
      </c>
      <c r="B451" s="0" t="s">
        <v>602</v>
      </c>
      <c r="C451" s="0" t="s">
        <v>630</v>
      </c>
      <c r="D451" s="0" t="n">
        <v>1</v>
      </c>
      <c r="E451" s="0" t="n">
        <v>3</v>
      </c>
      <c r="F451" s="0" t="n">
        <v>0</v>
      </c>
      <c r="G451" s="0" t="n">
        <v>4</v>
      </c>
      <c r="H451" s="0" t="n">
        <v>4</v>
      </c>
    </row>
    <row r="452" customFormat="false" ht="15" hidden="false" customHeight="false" outlineLevel="0" collapsed="false">
      <c r="A452" s="0" t="s">
        <v>277</v>
      </c>
      <c r="B452" s="0" t="s">
        <v>559</v>
      </c>
      <c r="C452" s="0" t="s">
        <v>120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</row>
    <row r="453" customFormat="false" ht="15" hidden="false" customHeight="false" outlineLevel="0" collapsed="false">
      <c r="A453" s="0" t="s">
        <v>277</v>
      </c>
      <c r="B453" s="0" t="s">
        <v>561</v>
      </c>
      <c r="C453" s="0" t="s">
        <v>108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</row>
    <row r="454" customFormat="false" ht="15" hidden="false" customHeight="false" outlineLevel="0" collapsed="false">
      <c r="A454" s="0" t="s">
        <v>277</v>
      </c>
      <c r="B454" s="0" t="s">
        <v>617</v>
      </c>
      <c r="C454" s="0" t="s">
        <v>120</v>
      </c>
      <c r="D454" s="0" t="n">
        <v>0</v>
      </c>
      <c r="E454" s="0" t="n">
        <v>0</v>
      </c>
      <c r="F454" s="0" t="n">
        <v>1</v>
      </c>
      <c r="G454" s="0" t="n">
        <v>0</v>
      </c>
      <c r="H454" s="0" t="n">
        <v>1</v>
      </c>
    </row>
    <row r="455" customFormat="false" ht="15" hidden="false" customHeight="false" outlineLevel="0" collapsed="false">
      <c r="A455" s="0" t="s">
        <v>277</v>
      </c>
      <c r="B455" s="0" t="s">
        <v>619</v>
      </c>
      <c r="C455" s="0" t="s">
        <v>630</v>
      </c>
      <c r="D455" s="0" t="n">
        <v>1</v>
      </c>
      <c r="E455" s="0" t="n">
        <v>1</v>
      </c>
      <c r="F455" s="0" t="n">
        <v>1</v>
      </c>
      <c r="G455" s="0" t="n">
        <v>2</v>
      </c>
      <c r="H455" s="0" t="n">
        <v>3</v>
      </c>
    </row>
    <row r="456" customFormat="false" ht="15" hidden="false" customHeight="false" outlineLevel="0" collapsed="false">
      <c r="A456" s="0" t="s">
        <v>277</v>
      </c>
      <c r="B456" s="0" t="s">
        <v>642</v>
      </c>
      <c r="C456" s="0" t="s">
        <v>120</v>
      </c>
      <c r="D456" s="0" t="n">
        <v>0</v>
      </c>
      <c r="E456" s="0" t="n">
        <v>0</v>
      </c>
      <c r="F456" s="0" t="n">
        <v>3</v>
      </c>
      <c r="G456" s="0" t="n">
        <v>0</v>
      </c>
      <c r="H456" s="0" t="n">
        <v>3</v>
      </c>
    </row>
    <row r="457" customFormat="false" ht="15" hidden="false" customHeight="false" outlineLevel="0" collapsed="false">
      <c r="A457" s="0" t="s">
        <v>277</v>
      </c>
      <c r="B457" s="0" t="s">
        <v>664</v>
      </c>
      <c r="C457" s="0" t="s">
        <v>630</v>
      </c>
      <c r="D457" s="0" t="n">
        <v>0</v>
      </c>
      <c r="E457" s="0" t="n">
        <v>1</v>
      </c>
      <c r="F457" s="0" t="n">
        <v>0</v>
      </c>
      <c r="G457" s="0" t="n">
        <v>1</v>
      </c>
      <c r="H457" s="0" t="n">
        <v>1</v>
      </c>
    </row>
    <row r="458" customFormat="false" ht="15" hidden="false" customHeight="false" outlineLevel="0" collapsed="false">
      <c r="A458" s="0" t="s">
        <v>277</v>
      </c>
      <c r="B458" s="0" t="s">
        <v>592</v>
      </c>
      <c r="C458" s="0" t="s">
        <v>630</v>
      </c>
      <c r="D458" s="0" t="n">
        <v>1</v>
      </c>
      <c r="E458" s="0" t="n">
        <v>0</v>
      </c>
      <c r="F458" s="0" t="n">
        <v>0</v>
      </c>
      <c r="G458" s="0" t="n">
        <v>1</v>
      </c>
      <c r="H458" s="0" t="n">
        <v>1</v>
      </c>
    </row>
    <row r="459" customFormat="false" ht="15" hidden="false" customHeight="false" outlineLevel="0" collapsed="false">
      <c r="A459" s="0" t="s">
        <v>277</v>
      </c>
      <c r="B459" s="0" t="s">
        <v>583</v>
      </c>
      <c r="C459" s="0" t="s">
        <v>114</v>
      </c>
      <c r="D459" s="0" t="n">
        <v>0</v>
      </c>
      <c r="E459" s="0" t="n">
        <v>1</v>
      </c>
      <c r="F459" s="0" t="n">
        <v>0</v>
      </c>
      <c r="G459" s="0" t="n">
        <v>1</v>
      </c>
      <c r="H459" s="0" t="n">
        <v>1</v>
      </c>
    </row>
    <row r="460" customFormat="false" ht="15" hidden="false" customHeight="false" outlineLevel="0" collapsed="false">
      <c r="A460" s="0" t="s">
        <v>277</v>
      </c>
      <c r="B460" s="0" t="s">
        <v>600</v>
      </c>
      <c r="C460" s="0" t="s">
        <v>120</v>
      </c>
      <c r="D460" s="0" t="n">
        <v>3</v>
      </c>
      <c r="E460" s="0" t="n">
        <v>0</v>
      </c>
      <c r="F460" s="0" t="n">
        <v>0</v>
      </c>
      <c r="G460" s="0" t="n">
        <v>3</v>
      </c>
      <c r="H460" s="0" t="n">
        <v>3</v>
      </c>
    </row>
    <row r="461" customFormat="false" ht="15" hidden="false" customHeight="false" outlineLevel="0" collapsed="false">
      <c r="A461" s="0" t="s">
        <v>277</v>
      </c>
      <c r="B461" s="0" t="s">
        <v>648</v>
      </c>
      <c r="C461" s="0" t="s">
        <v>120</v>
      </c>
      <c r="D461" s="0" t="n">
        <v>1</v>
      </c>
      <c r="E461" s="0" t="n">
        <v>1</v>
      </c>
      <c r="F461" s="0" t="n">
        <v>1</v>
      </c>
      <c r="G461" s="0" t="n">
        <v>2</v>
      </c>
      <c r="H461" s="0" t="n">
        <v>3</v>
      </c>
    </row>
    <row r="462" customFormat="false" ht="15" hidden="false" customHeight="false" outlineLevel="0" collapsed="false">
      <c r="A462" s="0" t="s">
        <v>277</v>
      </c>
      <c r="B462" s="0" t="s">
        <v>665</v>
      </c>
      <c r="C462" s="0" t="s">
        <v>630</v>
      </c>
      <c r="D462" s="0" t="n">
        <v>0</v>
      </c>
      <c r="E462" s="0" t="n">
        <v>1</v>
      </c>
      <c r="F462" s="0" t="n">
        <v>2</v>
      </c>
      <c r="G462" s="0" t="n">
        <v>1</v>
      </c>
      <c r="H462" s="0" t="n">
        <v>3</v>
      </c>
    </row>
    <row r="463" customFormat="false" ht="15" hidden="false" customHeight="false" outlineLevel="0" collapsed="false">
      <c r="A463" s="0" t="s">
        <v>277</v>
      </c>
      <c r="B463" s="0" t="s">
        <v>616</v>
      </c>
      <c r="C463" s="0" t="s">
        <v>120</v>
      </c>
      <c r="D463" s="0" t="n">
        <v>0</v>
      </c>
      <c r="E463" s="0" t="n">
        <v>0</v>
      </c>
      <c r="F463" s="0" t="n">
        <v>1</v>
      </c>
      <c r="G463" s="0" t="n">
        <v>0</v>
      </c>
      <c r="H463" s="0" t="n">
        <v>1</v>
      </c>
    </row>
    <row r="464" customFormat="false" ht="15" hidden="false" customHeight="false" outlineLevel="0" collapsed="false">
      <c r="A464" s="0" t="s">
        <v>277</v>
      </c>
      <c r="B464" s="0" t="s">
        <v>663</v>
      </c>
      <c r="C464" s="0" t="s">
        <v>630</v>
      </c>
      <c r="D464" s="0" t="n">
        <v>1</v>
      </c>
      <c r="E464" s="0" t="n">
        <v>2</v>
      </c>
      <c r="F464" s="0" t="n">
        <v>0</v>
      </c>
      <c r="G464" s="0" t="n">
        <v>3</v>
      </c>
      <c r="H464" s="0" t="n">
        <v>3</v>
      </c>
    </row>
    <row r="465" customFormat="false" ht="15" hidden="false" customHeight="false" outlineLevel="0" collapsed="false">
      <c r="A465" s="0" t="s">
        <v>277</v>
      </c>
      <c r="B465" s="0" t="s">
        <v>601</v>
      </c>
      <c r="C465" s="0" t="s">
        <v>631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</row>
    <row r="466" customFormat="false" ht="15" hidden="false" customHeight="false" outlineLevel="0" collapsed="false">
      <c r="A466" s="0" t="s">
        <v>277</v>
      </c>
      <c r="B466" s="0" t="s">
        <v>603</v>
      </c>
      <c r="C466" s="0" t="s">
        <v>114</v>
      </c>
      <c r="D466" s="0" t="n">
        <v>0</v>
      </c>
      <c r="E466" s="0" t="n">
        <v>0</v>
      </c>
      <c r="F466" s="0" t="n">
        <v>1</v>
      </c>
      <c r="G466" s="0" t="n">
        <v>0</v>
      </c>
      <c r="H466" s="0" t="n">
        <v>1</v>
      </c>
    </row>
    <row r="467" customFormat="false" ht="15" hidden="false" customHeight="false" outlineLevel="0" collapsed="false">
      <c r="A467" s="0" t="s">
        <v>281</v>
      </c>
      <c r="B467" s="0" t="s">
        <v>559</v>
      </c>
      <c r="C467" s="0" t="s">
        <v>120</v>
      </c>
      <c r="D467" s="0" t="n">
        <v>1</v>
      </c>
      <c r="E467" s="0" t="n">
        <v>0</v>
      </c>
      <c r="F467" s="0" t="n">
        <v>0</v>
      </c>
      <c r="G467" s="0" t="n">
        <v>1</v>
      </c>
      <c r="H467" s="0" t="n">
        <v>1</v>
      </c>
    </row>
    <row r="468" customFormat="false" ht="15" hidden="false" customHeight="false" outlineLevel="0" collapsed="false">
      <c r="A468" s="0" t="s">
        <v>281</v>
      </c>
      <c r="B468" s="0" t="s">
        <v>561</v>
      </c>
      <c r="C468" s="0" t="s">
        <v>108</v>
      </c>
      <c r="D468" s="0" t="n">
        <v>4</v>
      </c>
      <c r="E468" s="0" t="n">
        <v>0</v>
      </c>
      <c r="F468" s="0" t="n">
        <v>0</v>
      </c>
      <c r="G468" s="0" t="n">
        <v>4</v>
      </c>
      <c r="H468" s="0" t="n">
        <v>4</v>
      </c>
    </row>
    <row r="469" customFormat="false" ht="15" hidden="false" customHeight="false" outlineLevel="0" collapsed="false">
      <c r="A469" s="0" t="s">
        <v>281</v>
      </c>
      <c r="B469" s="0" t="s">
        <v>567</v>
      </c>
      <c r="C469" s="0" t="s">
        <v>656</v>
      </c>
      <c r="D469" s="0" t="n">
        <v>5</v>
      </c>
      <c r="E469" s="0" t="n">
        <v>8</v>
      </c>
      <c r="F469" s="0" t="n">
        <v>5</v>
      </c>
      <c r="G469" s="0" t="n">
        <v>13</v>
      </c>
      <c r="H469" s="0" t="n">
        <v>18</v>
      </c>
    </row>
    <row r="470" customFormat="false" ht="15" hidden="false" customHeight="false" outlineLevel="0" collapsed="false">
      <c r="A470" s="0" t="s">
        <v>281</v>
      </c>
      <c r="B470" s="0" t="s">
        <v>614</v>
      </c>
      <c r="C470" s="0" t="s">
        <v>657</v>
      </c>
      <c r="D470" s="0" t="n">
        <v>5</v>
      </c>
      <c r="E470" s="0" t="n">
        <v>10</v>
      </c>
      <c r="F470" s="0" t="n">
        <v>0</v>
      </c>
      <c r="G470" s="0" t="n">
        <v>15</v>
      </c>
      <c r="H470" s="0" t="n">
        <v>15</v>
      </c>
    </row>
    <row r="471" customFormat="false" ht="15" hidden="false" customHeight="false" outlineLevel="0" collapsed="false">
      <c r="A471" s="0" t="s">
        <v>281</v>
      </c>
      <c r="B471" s="0" t="s">
        <v>569</v>
      </c>
      <c r="C471" s="0" t="s">
        <v>658</v>
      </c>
      <c r="D471" s="0" t="n">
        <v>3</v>
      </c>
      <c r="E471" s="0" t="n">
        <v>0</v>
      </c>
      <c r="F471" s="0" t="n">
        <v>0</v>
      </c>
      <c r="G471" s="0" t="n">
        <v>3</v>
      </c>
      <c r="H471" s="0" t="n">
        <v>3</v>
      </c>
    </row>
    <row r="472" customFormat="false" ht="15" hidden="false" customHeight="false" outlineLevel="0" collapsed="false">
      <c r="A472" s="0" t="s">
        <v>281</v>
      </c>
      <c r="B472" s="0" t="s">
        <v>617</v>
      </c>
      <c r="C472" s="0" t="s">
        <v>120</v>
      </c>
      <c r="D472" s="0" t="n">
        <v>2</v>
      </c>
      <c r="E472" s="0" t="n">
        <v>1</v>
      </c>
      <c r="F472" s="0" t="n">
        <v>0</v>
      </c>
      <c r="G472" s="0" t="n">
        <v>3</v>
      </c>
      <c r="H472" s="0" t="n">
        <v>3</v>
      </c>
    </row>
    <row r="473" customFormat="false" ht="15" hidden="false" customHeight="false" outlineLevel="0" collapsed="false">
      <c r="A473" s="0" t="s">
        <v>281</v>
      </c>
      <c r="B473" s="0" t="s">
        <v>619</v>
      </c>
      <c r="C473" s="0" t="s">
        <v>630</v>
      </c>
      <c r="D473" s="0" t="n">
        <v>9</v>
      </c>
      <c r="E473" s="0" t="n">
        <v>8</v>
      </c>
      <c r="F473" s="0" t="n">
        <v>2</v>
      </c>
      <c r="G473" s="0" t="n">
        <v>17</v>
      </c>
      <c r="H473" s="0" t="n">
        <v>19</v>
      </c>
    </row>
    <row r="474" customFormat="false" ht="15" hidden="false" customHeight="false" outlineLevel="0" collapsed="false">
      <c r="A474" s="0" t="s">
        <v>281</v>
      </c>
      <c r="B474" s="0" t="s">
        <v>642</v>
      </c>
      <c r="C474" s="0" t="s">
        <v>120</v>
      </c>
      <c r="D474" s="0" t="n">
        <v>3</v>
      </c>
      <c r="E474" s="0" t="n">
        <v>8</v>
      </c>
      <c r="F474" s="0" t="n">
        <v>0</v>
      </c>
      <c r="G474" s="0" t="n">
        <v>11</v>
      </c>
      <c r="H474" s="0" t="n">
        <v>11</v>
      </c>
    </row>
    <row r="475" customFormat="false" ht="15" hidden="false" customHeight="false" outlineLevel="0" collapsed="false">
      <c r="A475" s="0" t="s">
        <v>281</v>
      </c>
      <c r="B475" s="0" t="s">
        <v>664</v>
      </c>
      <c r="C475" s="0" t="s">
        <v>630</v>
      </c>
      <c r="D475" s="0" t="n">
        <v>4</v>
      </c>
      <c r="E475" s="0" t="n">
        <v>3</v>
      </c>
      <c r="F475" s="0" t="n">
        <v>5</v>
      </c>
      <c r="G475" s="0" t="n">
        <v>7</v>
      </c>
      <c r="H475" s="0" t="n">
        <v>12</v>
      </c>
    </row>
    <row r="476" customFormat="false" ht="15" hidden="false" customHeight="false" outlineLevel="0" collapsed="false">
      <c r="A476" s="0" t="s">
        <v>281</v>
      </c>
      <c r="B476" s="0" t="s">
        <v>592</v>
      </c>
      <c r="C476" s="0" t="s">
        <v>630</v>
      </c>
      <c r="D476" s="0" t="n">
        <v>1</v>
      </c>
      <c r="E476" s="0" t="n">
        <v>2</v>
      </c>
      <c r="F476" s="0" t="n">
        <v>0</v>
      </c>
      <c r="G476" s="0" t="n">
        <v>3</v>
      </c>
      <c r="H476" s="0" t="n">
        <v>3</v>
      </c>
    </row>
    <row r="477" customFormat="false" ht="15" hidden="false" customHeight="false" outlineLevel="0" collapsed="false">
      <c r="A477" s="0" t="s">
        <v>281</v>
      </c>
      <c r="B477" s="0" t="s">
        <v>583</v>
      </c>
      <c r="C477" s="0" t="s">
        <v>114</v>
      </c>
      <c r="D477" s="0" t="n">
        <v>4</v>
      </c>
      <c r="E477" s="0" t="n">
        <v>4</v>
      </c>
      <c r="F477" s="0" t="n">
        <v>0</v>
      </c>
      <c r="G477" s="0" t="n">
        <v>8</v>
      </c>
      <c r="H477" s="0" t="n">
        <v>8</v>
      </c>
    </row>
    <row r="478" customFormat="false" ht="15" hidden="false" customHeight="false" outlineLevel="0" collapsed="false">
      <c r="A478" s="0" t="s">
        <v>281</v>
      </c>
      <c r="B478" s="0" t="s">
        <v>585</v>
      </c>
      <c r="C478" s="0" t="s">
        <v>631</v>
      </c>
      <c r="D478" s="0" t="n">
        <v>4</v>
      </c>
      <c r="E478" s="0" t="n">
        <v>2</v>
      </c>
      <c r="F478" s="0" t="n">
        <v>6</v>
      </c>
      <c r="G478" s="0" t="n">
        <v>6</v>
      </c>
      <c r="H478" s="0" t="n">
        <v>12</v>
      </c>
    </row>
    <row r="479" customFormat="false" ht="15" hidden="false" customHeight="false" outlineLevel="0" collapsed="false">
      <c r="A479" s="0" t="s">
        <v>281</v>
      </c>
      <c r="B479" s="0" t="s">
        <v>600</v>
      </c>
      <c r="C479" s="0" t="s">
        <v>120</v>
      </c>
      <c r="D479" s="0" t="n">
        <v>0</v>
      </c>
      <c r="E479" s="0" t="n">
        <v>4</v>
      </c>
      <c r="F479" s="0" t="n">
        <v>0</v>
      </c>
      <c r="G479" s="0" t="n">
        <v>4</v>
      </c>
      <c r="H479" s="0" t="n">
        <v>4</v>
      </c>
    </row>
    <row r="480" customFormat="false" ht="15" hidden="false" customHeight="false" outlineLevel="0" collapsed="false">
      <c r="A480" s="0" t="s">
        <v>281</v>
      </c>
      <c r="B480" s="0" t="s">
        <v>648</v>
      </c>
      <c r="C480" s="0" t="s">
        <v>120</v>
      </c>
      <c r="D480" s="0" t="n">
        <v>3</v>
      </c>
      <c r="E480" s="0" t="n">
        <v>0</v>
      </c>
      <c r="F480" s="0" t="n">
        <v>3</v>
      </c>
      <c r="G480" s="0" t="n">
        <v>3</v>
      </c>
      <c r="H480" s="0" t="n">
        <v>6</v>
      </c>
    </row>
    <row r="481" customFormat="false" ht="15" hidden="false" customHeight="false" outlineLevel="0" collapsed="false">
      <c r="A481" s="0" t="s">
        <v>281</v>
      </c>
      <c r="B481" s="0" t="s">
        <v>665</v>
      </c>
      <c r="C481" s="0" t="s">
        <v>630</v>
      </c>
      <c r="D481" s="0" t="n">
        <v>1</v>
      </c>
      <c r="E481" s="0" t="n">
        <v>4</v>
      </c>
      <c r="F481" s="0" t="n">
        <v>7</v>
      </c>
      <c r="G481" s="0" t="n">
        <v>5</v>
      </c>
      <c r="H481" s="0" t="n">
        <v>12</v>
      </c>
    </row>
    <row r="482" customFormat="false" ht="15" hidden="false" customHeight="false" outlineLevel="0" collapsed="false">
      <c r="A482" s="0" t="s">
        <v>283</v>
      </c>
      <c r="B482" s="0" t="s">
        <v>559</v>
      </c>
      <c r="C482" s="0" t="s">
        <v>120</v>
      </c>
      <c r="D482" s="0" t="n">
        <v>1</v>
      </c>
      <c r="E482" s="0" t="n">
        <v>0</v>
      </c>
      <c r="F482" s="0" t="n">
        <v>0</v>
      </c>
      <c r="G482" s="0" t="n">
        <v>1</v>
      </c>
      <c r="H482" s="0" t="n">
        <v>1</v>
      </c>
    </row>
    <row r="483" customFormat="false" ht="15" hidden="false" customHeight="false" outlineLevel="0" collapsed="false">
      <c r="A483" s="0" t="s">
        <v>283</v>
      </c>
      <c r="B483" s="0" t="s">
        <v>561</v>
      </c>
      <c r="C483" s="0" t="s">
        <v>108</v>
      </c>
      <c r="D483" s="0" t="n">
        <v>2</v>
      </c>
      <c r="E483" s="0" t="n">
        <v>0</v>
      </c>
      <c r="F483" s="0" t="n">
        <v>0</v>
      </c>
      <c r="G483" s="0" t="n">
        <v>2</v>
      </c>
      <c r="H483" s="0" t="n">
        <v>2</v>
      </c>
    </row>
    <row r="484" customFormat="false" ht="15" hidden="false" customHeight="false" outlineLevel="0" collapsed="false">
      <c r="A484" s="0" t="s">
        <v>283</v>
      </c>
      <c r="B484" s="0" t="s">
        <v>617</v>
      </c>
      <c r="C484" s="0" t="s">
        <v>120</v>
      </c>
      <c r="D484" s="0" t="n">
        <v>5</v>
      </c>
      <c r="E484" s="0" t="n">
        <v>0</v>
      </c>
      <c r="F484" s="0" t="n">
        <v>0</v>
      </c>
      <c r="G484" s="0" t="n">
        <v>5</v>
      </c>
      <c r="H484" s="0" t="n">
        <v>5</v>
      </c>
    </row>
    <row r="485" customFormat="false" ht="15" hidden="false" customHeight="false" outlineLevel="0" collapsed="false">
      <c r="A485" s="0" t="s">
        <v>283</v>
      </c>
      <c r="B485" s="0" t="s">
        <v>619</v>
      </c>
      <c r="C485" s="0" t="s">
        <v>630</v>
      </c>
      <c r="D485" s="0" t="n">
        <v>1</v>
      </c>
      <c r="E485" s="0" t="n">
        <v>1</v>
      </c>
      <c r="F485" s="0" t="n">
        <v>9</v>
      </c>
      <c r="G485" s="0" t="n">
        <v>2</v>
      </c>
      <c r="H485" s="0" t="n">
        <v>11</v>
      </c>
    </row>
    <row r="486" customFormat="false" ht="15" hidden="false" customHeight="false" outlineLevel="0" collapsed="false">
      <c r="A486" s="0" t="s">
        <v>283</v>
      </c>
      <c r="B486" s="0" t="s">
        <v>642</v>
      </c>
      <c r="C486" s="0" t="s">
        <v>120</v>
      </c>
      <c r="D486" s="0" t="n">
        <v>1</v>
      </c>
      <c r="E486" s="0" t="n">
        <v>3</v>
      </c>
      <c r="F486" s="0" t="n">
        <v>2</v>
      </c>
      <c r="G486" s="0" t="n">
        <v>4</v>
      </c>
      <c r="H486" s="0" t="n">
        <v>6</v>
      </c>
    </row>
    <row r="487" customFormat="false" ht="15" hidden="false" customHeight="false" outlineLevel="0" collapsed="false">
      <c r="A487" s="0" t="s">
        <v>283</v>
      </c>
      <c r="B487" s="0" t="s">
        <v>664</v>
      </c>
      <c r="C487" s="0" t="s">
        <v>630</v>
      </c>
      <c r="D487" s="0" t="n">
        <v>4</v>
      </c>
      <c r="E487" s="0" t="n">
        <v>0</v>
      </c>
      <c r="F487" s="0" t="n">
        <v>3</v>
      </c>
      <c r="G487" s="0" t="n">
        <v>4</v>
      </c>
      <c r="H487" s="0" t="n">
        <v>7</v>
      </c>
    </row>
    <row r="488" customFormat="false" ht="15" hidden="false" customHeight="false" outlineLevel="0" collapsed="false">
      <c r="A488" s="0" t="s">
        <v>283</v>
      </c>
      <c r="B488" s="0" t="s">
        <v>592</v>
      </c>
      <c r="C488" s="0" t="s">
        <v>630</v>
      </c>
      <c r="D488" s="0" t="n">
        <v>8</v>
      </c>
      <c r="E488" s="0" t="n">
        <v>10</v>
      </c>
      <c r="F488" s="0" t="n">
        <v>0</v>
      </c>
      <c r="G488" s="0" t="n">
        <v>18</v>
      </c>
      <c r="H488" s="0" t="n">
        <v>18</v>
      </c>
    </row>
    <row r="489" customFormat="false" ht="15" hidden="false" customHeight="false" outlineLevel="0" collapsed="false">
      <c r="A489" s="0" t="s">
        <v>283</v>
      </c>
      <c r="B489" s="0" t="s">
        <v>583</v>
      </c>
      <c r="C489" s="0" t="s">
        <v>114</v>
      </c>
      <c r="D489" s="0" t="n">
        <v>4</v>
      </c>
      <c r="E489" s="0" t="n">
        <v>4</v>
      </c>
      <c r="F489" s="0" t="n">
        <v>0</v>
      </c>
      <c r="G489" s="0" t="n">
        <v>8</v>
      </c>
      <c r="H489" s="0" t="n">
        <v>8</v>
      </c>
    </row>
    <row r="490" customFormat="false" ht="15" hidden="false" customHeight="false" outlineLevel="0" collapsed="false">
      <c r="A490" s="0" t="s">
        <v>283</v>
      </c>
      <c r="B490" s="0" t="s">
        <v>585</v>
      </c>
      <c r="C490" s="0" t="s">
        <v>631</v>
      </c>
      <c r="D490" s="0" t="n">
        <v>1</v>
      </c>
      <c r="E490" s="0" t="n">
        <v>2</v>
      </c>
      <c r="F490" s="0" t="n">
        <v>2</v>
      </c>
      <c r="G490" s="0" t="n">
        <v>3</v>
      </c>
      <c r="H490" s="0" t="n">
        <v>5</v>
      </c>
    </row>
    <row r="491" customFormat="false" ht="15" hidden="false" customHeight="false" outlineLevel="0" collapsed="false">
      <c r="A491" s="0" t="s">
        <v>283</v>
      </c>
      <c r="B491" s="0" t="s">
        <v>600</v>
      </c>
      <c r="C491" s="0" t="s">
        <v>120</v>
      </c>
      <c r="D491" s="0" t="n">
        <v>1</v>
      </c>
      <c r="E491" s="0" t="n">
        <v>11</v>
      </c>
      <c r="F491" s="0" t="n">
        <v>0</v>
      </c>
      <c r="G491" s="0" t="n">
        <v>12</v>
      </c>
      <c r="H491" s="0" t="n">
        <v>12</v>
      </c>
    </row>
    <row r="492" customFormat="false" ht="15" hidden="false" customHeight="false" outlineLevel="0" collapsed="false">
      <c r="A492" s="0" t="s">
        <v>283</v>
      </c>
      <c r="B492" s="0" t="s">
        <v>648</v>
      </c>
      <c r="C492" s="0" t="s">
        <v>120</v>
      </c>
      <c r="D492" s="0" t="n">
        <v>5</v>
      </c>
      <c r="E492" s="0" t="n">
        <v>2</v>
      </c>
      <c r="F492" s="0" t="n">
        <v>5</v>
      </c>
      <c r="G492" s="0" t="n">
        <v>7</v>
      </c>
      <c r="H492" s="0" t="n">
        <v>12</v>
      </c>
    </row>
    <row r="493" customFormat="false" ht="15" hidden="false" customHeight="false" outlineLevel="0" collapsed="false">
      <c r="A493" s="0" t="s">
        <v>283</v>
      </c>
      <c r="B493" s="0" t="s">
        <v>665</v>
      </c>
      <c r="C493" s="0" t="s">
        <v>630</v>
      </c>
      <c r="D493" s="0" t="n">
        <v>0</v>
      </c>
      <c r="E493" s="0" t="n">
        <v>4</v>
      </c>
      <c r="F493" s="0" t="n">
        <v>6</v>
      </c>
      <c r="G493" s="0" t="n">
        <v>4</v>
      </c>
      <c r="H493" s="0" t="n">
        <v>10</v>
      </c>
    </row>
    <row r="494" customFormat="false" ht="15" hidden="false" customHeight="false" outlineLevel="0" collapsed="false">
      <c r="A494" s="0" t="s">
        <v>283</v>
      </c>
      <c r="B494" s="0" t="s">
        <v>616</v>
      </c>
      <c r="C494" s="0" t="s">
        <v>120</v>
      </c>
      <c r="D494" s="0" t="n">
        <v>1</v>
      </c>
      <c r="E494" s="0" t="n">
        <v>1</v>
      </c>
      <c r="F494" s="0" t="n">
        <v>1</v>
      </c>
      <c r="G494" s="0" t="n">
        <v>2</v>
      </c>
      <c r="H494" s="0" t="n">
        <v>3</v>
      </c>
    </row>
    <row r="495" customFormat="false" ht="15" hidden="false" customHeight="false" outlineLevel="0" collapsed="false">
      <c r="A495" s="0" t="s">
        <v>283</v>
      </c>
      <c r="B495" s="0" t="s">
        <v>663</v>
      </c>
      <c r="C495" s="0" t="s">
        <v>630</v>
      </c>
      <c r="D495" s="0" t="n">
        <v>14</v>
      </c>
      <c r="E495" s="0" t="n">
        <v>4</v>
      </c>
      <c r="F495" s="0" t="n">
        <v>4</v>
      </c>
      <c r="G495" s="0" t="n">
        <v>18</v>
      </c>
      <c r="H495" s="0" t="n">
        <v>22</v>
      </c>
    </row>
    <row r="496" customFormat="false" ht="15" hidden="false" customHeight="false" outlineLevel="0" collapsed="false">
      <c r="A496" s="0" t="s">
        <v>283</v>
      </c>
      <c r="B496" s="0" t="s">
        <v>601</v>
      </c>
      <c r="C496" s="0" t="s">
        <v>631</v>
      </c>
      <c r="D496" s="0" t="n">
        <v>1</v>
      </c>
      <c r="E496" s="0" t="n">
        <v>3</v>
      </c>
      <c r="F496" s="0" t="n">
        <v>4</v>
      </c>
      <c r="G496" s="0" t="n">
        <v>4</v>
      </c>
      <c r="H496" s="0" t="n">
        <v>8</v>
      </c>
    </row>
    <row r="497" customFormat="false" ht="15" hidden="false" customHeight="false" outlineLevel="0" collapsed="false">
      <c r="A497" s="0" t="s">
        <v>285</v>
      </c>
      <c r="B497" s="0" t="s">
        <v>559</v>
      </c>
      <c r="C497" s="0" t="s">
        <v>120</v>
      </c>
      <c r="D497" s="0" t="n">
        <v>5</v>
      </c>
      <c r="E497" s="0" t="n">
        <v>0</v>
      </c>
      <c r="F497" s="0" t="n">
        <v>0</v>
      </c>
      <c r="G497" s="0" t="n">
        <v>5</v>
      </c>
      <c r="H497" s="0" t="n">
        <v>5</v>
      </c>
    </row>
    <row r="498" customFormat="false" ht="15" hidden="false" customHeight="false" outlineLevel="0" collapsed="false">
      <c r="A498" s="0" t="s">
        <v>285</v>
      </c>
      <c r="B498" s="0" t="s">
        <v>561</v>
      </c>
      <c r="C498" s="0" t="s">
        <v>108</v>
      </c>
      <c r="D498" s="0" t="n">
        <v>17</v>
      </c>
      <c r="E498" s="0" t="n">
        <v>0</v>
      </c>
      <c r="F498" s="0" t="n">
        <v>0</v>
      </c>
      <c r="G498" s="0" t="n">
        <v>17</v>
      </c>
      <c r="H498" s="0" t="n">
        <v>17</v>
      </c>
    </row>
    <row r="499" customFormat="false" ht="15" hidden="false" customHeight="false" outlineLevel="0" collapsed="false">
      <c r="A499" s="0" t="s">
        <v>285</v>
      </c>
      <c r="B499" s="0" t="s">
        <v>567</v>
      </c>
      <c r="C499" s="0" t="s">
        <v>656</v>
      </c>
      <c r="D499" s="0" t="n">
        <v>3</v>
      </c>
      <c r="E499" s="0" t="n">
        <v>11</v>
      </c>
      <c r="F499" s="0" t="n">
        <v>5</v>
      </c>
      <c r="G499" s="0" t="n">
        <v>14</v>
      </c>
      <c r="H499" s="0" t="n">
        <v>19</v>
      </c>
    </row>
    <row r="500" customFormat="false" ht="15" hidden="false" customHeight="false" outlineLevel="0" collapsed="false">
      <c r="A500" s="0" t="s">
        <v>285</v>
      </c>
      <c r="B500" s="0" t="s">
        <v>614</v>
      </c>
      <c r="C500" s="0" t="s">
        <v>657</v>
      </c>
      <c r="D500" s="0" t="n">
        <v>9</v>
      </c>
      <c r="E500" s="0" t="n">
        <v>1</v>
      </c>
      <c r="F500" s="0" t="n">
        <v>0</v>
      </c>
      <c r="G500" s="0" t="n">
        <v>10</v>
      </c>
      <c r="H500" s="0" t="n">
        <v>10</v>
      </c>
    </row>
    <row r="501" customFormat="false" ht="15" hidden="false" customHeight="false" outlineLevel="0" collapsed="false">
      <c r="A501" s="0" t="s">
        <v>285</v>
      </c>
      <c r="B501" s="0" t="s">
        <v>569</v>
      </c>
      <c r="C501" s="0" t="s">
        <v>658</v>
      </c>
      <c r="D501" s="0" t="n">
        <v>4</v>
      </c>
      <c r="E501" s="0" t="n">
        <v>0</v>
      </c>
      <c r="F501" s="0" t="n">
        <v>0</v>
      </c>
      <c r="G501" s="0" t="n">
        <v>4</v>
      </c>
      <c r="H501" s="0" t="n">
        <v>4</v>
      </c>
    </row>
    <row r="502" customFormat="false" ht="15" hidden="false" customHeight="false" outlineLevel="0" collapsed="false">
      <c r="A502" s="0" t="s">
        <v>285</v>
      </c>
      <c r="B502" s="0" t="s">
        <v>617</v>
      </c>
      <c r="C502" s="0" t="s">
        <v>120</v>
      </c>
      <c r="D502" s="0" t="n">
        <v>4</v>
      </c>
      <c r="E502" s="0" t="n">
        <v>2</v>
      </c>
      <c r="F502" s="0" t="n">
        <v>2</v>
      </c>
      <c r="G502" s="0" t="n">
        <v>6</v>
      </c>
      <c r="H502" s="0" t="n">
        <v>8</v>
      </c>
    </row>
    <row r="503" customFormat="false" ht="15" hidden="false" customHeight="false" outlineLevel="0" collapsed="false">
      <c r="A503" s="0" t="s">
        <v>285</v>
      </c>
      <c r="B503" s="0" t="s">
        <v>619</v>
      </c>
      <c r="C503" s="0" t="s">
        <v>630</v>
      </c>
      <c r="D503" s="0" t="n">
        <v>6</v>
      </c>
      <c r="E503" s="0" t="n">
        <v>3</v>
      </c>
      <c r="F503" s="0" t="n">
        <v>2</v>
      </c>
      <c r="G503" s="0" t="n">
        <v>9</v>
      </c>
      <c r="H503" s="0" t="n">
        <v>11</v>
      </c>
    </row>
    <row r="504" customFormat="false" ht="15" hidden="false" customHeight="false" outlineLevel="0" collapsed="false">
      <c r="A504" s="0" t="s">
        <v>285</v>
      </c>
      <c r="B504" s="0" t="s">
        <v>642</v>
      </c>
      <c r="C504" s="0" t="s">
        <v>120</v>
      </c>
      <c r="D504" s="0" t="n">
        <v>3</v>
      </c>
      <c r="E504" s="0" t="n">
        <v>9</v>
      </c>
      <c r="F504" s="0" t="n">
        <v>2</v>
      </c>
      <c r="G504" s="0" t="n">
        <v>12</v>
      </c>
      <c r="H504" s="0" t="n">
        <v>14</v>
      </c>
    </row>
    <row r="505" customFormat="false" ht="15" hidden="false" customHeight="false" outlineLevel="0" collapsed="false">
      <c r="A505" s="0" t="s">
        <v>285</v>
      </c>
      <c r="B505" s="0" t="s">
        <v>664</v>
      </c>
      <c r="C505" s="0" t="s">
        <v>630</v>
      </c>
      <c r="D505" s="0" t="n">
        <v>3</v>
      </c>
      <c r="E505" s="0" t="n">
        <v>1</v>
      </c>
      <c r="F505" s="0" t="n">
        <v>9</v>
      </c>
      <c r="G505" s="0" t="n">
        <v>4</v>
      </c>
      <c r="H505" s="0" t="n">
        <v>13</v>
      </c>
    </row>
    <row r="506" customFormat="false" ht="15" hidden="false" customHeight="false" outlineLevel="0" collapsed="false">
      <c r="A506" s="0" t="s">
        <v>285</v>
      </c>
      <c r="B506" s="0" t="s">
        <v>592</v>
      </c>
      <c r="C506" s="0" t="s">
        <v>630</v>
      </c>
      <c r="D506" s="0" t="n">
        <v>3</v>
      </c>
      <c r="E506" s="0" t="n">
        <v>5</v>
      </c>
      <c r="F506" s="0" t="n">
        <v>0</v>
      </c>
      <c r="G506" s="0" t="n">
        <v>8</v>
      </c>
      <c r="H506" s="0" t="n">
        <v>8</v>
      </c>
    </row>
    <row r="507" customFormat="false" ht="15" hidden="false" customHeight="false" outlineLevel="0" collapsed="false">
      <c r="A507" s="0" t="s">
        <v>285</v>
      </c>
      <c r="B507" s="0" t="s">
        <v>583</v>
      </c>
      <c r="C507" s="0" t="s">
        <v>114</v>
      </c>
      <c r="D507" s="0" t="n">
        <v>7</v>
      </c>
      <c r="E507" s="0" t="n">
        <v>12</v>
      </c>
      <c r="F507" s="0" t="n">
        <v>0</v>
      </c>
      <c r="G507" s="0" t="n">
        <v>19</v>
      </c>
      <c r="H507" s="0" t="n">
        <v>19</v>
      </c>
    </row>
    <row r="508" customFormat="false" ht="15" hidden="false" customHeight="false" outlineLevel="0" collapsed="false">
      <c r="A508" s="0" t="s">
        <v>285</v>
      </c>
      <c r="B508" s="0" t="s">
        <v>585</v>
      </c>
      <c r="C508" s="0" t="s">
        <v>631</v>
      </c>
      <c r="D508" s="0" t="n">
        <v>2</v>
      </c>
      <c r="E508" s="0" t="n">
        <v>7</v>
      </c>
      <c r="F508" s="0" t="n">
        <v>3</v>
      </c>
      <c r="G508" s="0" t="n">
        <v>9</v>
      </c>
      <c r="H508" s="0" t="n">
        <v>12</v>
      </c>
    </row>
    <row r="509" customFormat="false" ht="15" hidden="false" customHeight="false" outlineLevel="0" collapsed="false">
      <c r="A509" s="0" t="s">
        <v>285</v>
      </c>
      <c r="B509" s="0" t="s">
        <v>600</v>
      </c>
      <c r="C509" s="0" t="s">
        <v>120</v>
      </c>
      <c r="D509" s="0" t="n">
        <v>3</v>
      </c>
      <c r="E509" s="0" t="n">
        <v>4</v>
      </c>
      <c r="F509" s="0" t="n">
        <v>0</v>
      </c>
      <c r="G509" s="0" t="n">
        <v>7</v>
      </c>
      <c r="H509" s="0" t="n">
        <v>7</v>
      </c>
    </row>
    <row r="510" customFormat="false" ht="15" hidden="false" customHeight="false" outlineLevel="0" collapsed="false">
      <c r="A510" s="0" t="s">
        <v>285</v>
      </c>
      <c r="B510" s="0" t="s">
        <v>648</v>
      </c>
      <c r="C510" s="0" t="s">
        <v>120</v>
      </c>
      <c r="D510" s="0" t="n">
        <v>4</v>
      </c>
      <c r="E510" s="0" t="n">
        <v>18</v>
      </c>
      <c r="F510" s="0" t="n">
        <v>6</v>
      </c>
      <c r="G510" s="0" t="n">
        <v>22</v>
      </c>
      <c r="H510" s="0" t="n">
        <v>28</v>
      </c>
    </row>
    <row r="511" customFormat="false" ht="15" hidden="false" customHeight="false" outlineLevel="0" collapsed="false">
      <c r="A511" s="0" t="s">
        <v>285</v>
      </c>
      <c r="B511" s="0" t="s">
        <v>665</v>
      </c>
      <c r="C511" s="0" t="s">
        <v>630</v>
      </c>
      <c r="D511" s="0" t="n">
        <v>0</v>
      </c>
      <c r="E511" s="0" t="n">
        <v>0</v>
      </c>
      <c r="F511" s="0" t="n">
        <v>6</v>
      </c>
      <c r="G511" s="0" t="n">
        <v>0</v>
      </c>
      <c r="H511" s="0" t="n">
        <v>6</v>
      </c>
    </row>
    <row r="512" customFormat="false" ht="15" hidden="false" customHeight="false" outlineLevel="0" collapsed="false">
      <c r="A512" s="0" t="s">
        <v>287</v>
      </c>
      <c r="B512" s="0" t="s">
        <v>559</v>
      </c>
      <c r="C512" s="0" t="s">
        <v>120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</row>
    <row r="513" customFormat="false" ht="15" hidden="false" customHeight="false" outlineLevel="0" collapsed="false">
      <c r="A513" s="0" t="s">
        <v>287</v>
      </c>
      <c r="B513" s="0" t="s">
        <v>561</v>
      </c>
      <c r="C513" s="0" t="s">
        <v>108</v>
      </c>
      <c r="D513" s="0" t="n">
        <v>1</v>
      </c>
      <c r="E513" s="0" t="n">
        <v>0</v>
      </c>
      <c r="F513" s="0" t="n">
        <v>0</v>
      </c>
      <c r="G513" s="0" t="n">
        <v>1</v>
      </c>
      <c r="H513" s="0" t="n">
        <v>1</v>
      </c>
    </row>
    <row r="514" customFormat="false" ht="15" hidden="false" customHeight="false" outlineLevel="0" collapsed="false">
      <c r="A514" s="0" t="s">
        <v>287</v>
      </c>
      <c r="B514" s="0" t="s">
        <v>567</v>
      </c>
      <c r="C514" s="0" t="s">
        <v>656</v>
      </c>
      <c r="D514" s="0" t="n">
        <v>3</v>
      </c>
      <c r="E514" s="0" t="n">
        <v>1</v>
      </c>
      <c r="F514" s="0" t="n">
        <v>0</v>
      </c>
      <c r="G514" s="0" t="n">
        <v>4</v>
      </c>
      <c r="H514" s="0" t="n">
        <v>4</v>
      </c>
    </row>
    <row r="515" customFormat="false" ht="15" hidden="false" customHeight="false" outlineLevel="0" collapsed="false">
      <c r="A515" s="0" t="s">
        <v>287</v>
      </c>
      <c r="B515" s="0" t="s">
        <v>614</v>
      </c>
      <c r="C515" s="0" t="s">
        <v>657</v>
      </c>
      <c r="D515" s="0" t="n">
        <v>0</v>
      </c>
      <c r="E515" s="0" t="n">
        <v>7</v>
      </c>
      <c r="F515" s="0" t="n">
        <v>0</v>
      </c>
      <c r="G515" s="0" t="n">
        <v>7</v>
      </c>
      <c r="H515" s="0" t="n">
        <v>7</v>
      </c>
    </row>
    <row r="516" customFormat="false" ht="15" hidden="false" customHeight="false" outlineLevel="0" collapsed="false">
      <c r="A516" s="0" t="s">
        <v>287</v>
      </c>
      <c r="B516" s="0" t="s">
        <v>569</v>
      </c>
      <c r="C516" s="0" t="s">
        <v>658</v>
      </c>
      <c r="D516" s="0" t="n">
        <v>6</v>
      </c>
      <c r="E516" s="0" t="n">
        <v>0</v>
      </c>
      <c r="F516" s="0" t="n">
        <v>0</v>
      </c>
      <c r="G516" s="0" t="n">
        <v>6</v>
      </c>
      <c r="H516" s="0" t="n">
        <v>6</v>
      </c>
    </row>
    <row r="517" customFormat="false" ht="15" hidden="false" customHeight="false" outlineLevel="0" collapsed="false">
      <c r="A517" s="0" t="s">
        <v>287</v>
      </c>
      <c r="B517" s="0" t="s">
        <v>617</v>
      </c>
      <c r="C517" s="0" t="s">
        <v>120</v>
      </c>
      <c r="D517" s="0" t="n">
        <v>2</v>
      </c>
      <c r="E517" s="0" t="n">
        <v>2</v>
      </c>
      <c r="F517" s="0" t="n">
        <v>2</v>
      </c>
      <c r="G517" s="0" t="n">
        <v>4</v>
      </c>
      <c r="H517" s="0" t="n">
        <v>6</v>
      </c>
    </row>
    <row r="518" customFormat="false" ht="15" hidden="false" customHeight="false" outlineLevel="0" collapsed="false">
      <c r="A518" s="0" t="s">
        <v>287</v>
      </c>
      <c r="B518" s="0" t="s">
        <v>619</v>
      </c>
      <c r="C518" s="0" t="s">
        <v>630</v>
      </c>
      <c r="D518" s="0" t="n">
        <v>2</v>
      </c>
      <c r="E518" s="0" t="n">
        <v>1</v>
      </c>
      <c r="F518" s="0" t="n">
        <v>4</v>
      </c>
      <c r="G518" s="0" t="n">
        <v>3</v>
      </c>
      <c r="H518" s="0" t="n">
        <v>7</v>
      </c>
    </row>
    <row r="519" customFormat="false" ht="15" hidden="false" customHeight="false" outlineLevel="0" collapsed="false">
      <c r="A519" s="0" t="s">
        <v>287</v>
      </c>
      <c r="B519" s="0" t="s">
        <v>642</v>
      </c>
      <c r="C519" s="0" t="s">
        <v>120</v>
      </c>
      <c r="D519" s="0" t="n">
        <v>9</v>
      </c>
      <c r="E519" s="0" t="n">
        <v>7</v>
      </c>
      <c r="F519" s="0" t="n">
        <v>2</v>
      </c>
      <c r="G519" s="0" t="n">
        <v>16</v>
      </c>
      <c r="H519" s="0" t="n">
        <v>18</v>
      </c>
    </row>
    <row r="520" customFormat="false" ht="15" hidden="false" customHeight="false" outlineLevel="0" collapsed="false">
      <c r="A520" s="0" t="s">
        <v>287</v>
      </c>
      <c r="B520" s="0" t="s">
        <v>664</v>
      </c>
      <c r="C520" s="0" t="s">
        <v>630</v>
      </c>
      <c r="D520" s="0" t="n">
        <v>6</v>
      </c>
      <c r="E520" s="0" t="n">
        <v>1</v>
      </c>
      <c r="F520" s="0" t="n">
        <v>1</v>
      </c>
      <c r="G520" s="0" t="n">
        <v>7</v>
      </c>
      <c r="H520" s="0" t="n">
        <v>8</v>
      </c>
    </row>
    <row r="521" customFormat="false" ht="15" hidden="false" customHeight="false" outlineLevel="0" collapsed="false">
      <c r="A521" s="0" t="s">
        <v>287</v>
      </c>
      <c r="B521" s="0" t="s">
        <v>592</v>
      </c>
      <c r="C521" s="0" t="s">
        <v>630</v>
      </c>
      <c r="D521" s="0" t="n">
        <v>2</v>
      </c>
      <c r="E521" s="0" t="n">
        <v>2</v>
      </c>
      <c r="F521" s="0" t="n">
        <v>0</v>
      </c>
      <c r="G521" s="0" t="n">
        <v>4</v>
      </c>
      <c r="H521" s="0" t="n">
        <v>4</v>
      </c>
    </row>
    <row r="522" customFormat="false" ht="15" hidden="false" customHeight="false" outlineLevel="0" collapsed="false">
      <c r="A522" s="0" t="s">
        <v>287</v>
      </c>
      <c r="B522" s="0" t="s">
        <v>583</v>
      </c>
      <c r="C522" s="0" t="s">
        <v>114</v>
      </c>
      <c r="D522" s="0" t="n">
        <v>7</v>
      </c>
      <c r="E522" s="0" t="n">
        <v>3</v>
      </c>
      <c r="F522" s="0" t="n">
        <v>0</v>
      </c>
      <c r="G522" s="0" t="n">
        <v>10</v>
      </c>
      <c r="H522" s="0" t="n">
        <v>10</v>
      </c>
    </row>
    <row r="523" customFormat="false" ht="15" hidden="false" customHeight="false" outlineLevel="0" collapsed="false">
      <c r="A523" s="0" t="s">
        <v>287</v>
      </c>
      <c r="B523" s="0" t="s">
        <v>585</v>
      </c>
      <c r="C523" s="0" t="s">
        <v>631</v>
      </c>
      <c r="D523" s="0" t="n">
        <v>2</v>
      </c>
      <c r="E523" s="0" t="n">
        <v>3</v>
      </c>
      <c r="F523" s="0" t="n">
        <v>5</v>
      </c>
      <c r="G523" s="0" t="n">
        <v>5</v>
      </c>
      <c r="H523" s="0" t="n">
        <v>10</v>
      </c>
    </row>
    <row r="524" customFormat="false" ht="15" hidden="false" customHeight="false" outlineLevel="0" collapsed="false">
      <c r="A524" s="0" t="s">
        <v>287</v>
      </c>
      <c r="B524" s="0" t="s">
        <v>600</v>
      </c>
      <c r="C524" s="0" t="s">
        <v>120</v>
      </c>
      <c r="D524" s="0" t="n">
        <v>3</v>
      </c>
      <c r="E524" s="0" t="n">
        <v>0</v>
      </c>
      <c r="F524" s="0" t="n">
        <v>0</v>
      </c>
      <c r="G524" s="0" t="n">
        <v>3</v>
      </c>
      <c r="H524" s="0" t="n">
        <v>3</v>
      </c>
    </row>
    <row r="525" customFormat="false" ht="15" hidden="false" customHeight="false" outlineLevel="0" collapsed="false">
      <c r="A525" s="0" t="s">
        <v>287</v>
      </c>
      <c r="B525" s="0" t="s">
        <v>648</v>
      </c>
      <c r="C525" s="0" t="s">
        <v>120</v>
      </c>
      <c r="D525" s="0" t="n">
        <v>3</v>
      </c>
      <c r="E525" s="0" t="n">
        <v>2</v>
      </c>
      <c r="F525" s="0" t="n">
        <v>2</v>
      </c>
      <c r="G525" s="0" t="n">
        <v>5</v>
      </c>
      <c r="H525" s="0" t="n">
        <v>7</v>
      </c>
    </row>
    <row r="526" customFormat="false" ht="15" hidden="false" customHeight="false" outlineLevel="0" collapsed="false">
      <c r="A526" s="0" t="s">
        <v>287</v>
      </c>
      <c r="B526" s="0" t="s">
        <v>665</v>
      </c>
      <c r="C526" s="0" t="s">
        <v>630</v>
      </c>
      <c r="D526" s="0" t="n">
        <v>1</v>
      </c>
      <c r="E526" s="0" t="n">
        <v>3</v>
      </c>
      <c r="F526" s="0" t="n">
        <v>7</v>
      </c>
      <c r="G526" s="0" t="n">
        <v>4</v>
      </c>
      <c r="H526" s="0" t="n">
        <v>11</v>
      </c>
    </row>
    <row r="527" customFormat="false" ht="15" hidden="false" customHeight="false" outlineLevel="0" collapsed="false">
      <c r="A527" s="0" t="s">
        <v>289</v>
      </c>
      <c r="B527" s="0" t="s">
        <v>559</v>
      </c>
      <c r="C527" s="0" t="s">
        <v>666</v>
      </c>
      <c r="D527" s="0" t="n">
        <v>3</v>
      </c>
      <c r="E527" s="0" t="n">
        <v>0</v>
      </c>
      <c r="F527" s="0" t="n">
        <v>0</v>
      </c>
      <c r="G527" s="0" t="n">
        <v>3</v>
      </c>
      <c r="H527" s="0" t="n">
        <v>3</v>
      </c>
    </row>
    <row r="528" customFormat="false" ht="15" hidden="false" customHeight="false" outlineLevel="0" collapsed="false">
      <c r="A528" s="0" t="s">
        <v>289</v>
      </c>
      <c r="B528" s="0" t="s">
        <v>561</v>
      </c>
      <c r="C528" s="0" t="s">
        <v>120</v>
      </c>
      <c r="D528" s="0" t="n">
        <v>5</v>
      </c>
      <c r="E528" s="0" t="n">
        <v>0</v>
      </c>
      <c r="F528" s="0" t="n">
        <v>0</v>
      </c>
      <c r="G528" s="0" t="n">
        <v>5</v>
      </c>
      <c r="H528" s="0" t="n">
        <v>5</v>
      </c>
    </row>
    <row r="529" customFormat="false" ht="15" hidden="false" customHeight="false" outlineLevel="0" collapsed="false">
      <c r="A529" s="0" t="s">
        <v>289</v>
      </c>
      <c r="B529" s="0" t="s">
        <v>581</v>
      </c>
      <c r="C529" s="0" t="s">
        <v>667</v>
      </c>
      <c r="D529" s="0" t="n">
        <v>6</v>
      </c>
      <c r="E529" s="0" t="n">
        <v>9</v>
      </c>
      <c r="F529" s="0" t="n">
        <v>4</v>
      </c>
      <c r="G529" s="0" t="n">
        <v>15</v>
      </c>
      <c r="H529" s="0" t="n">
        <v>19</v>
      </c>
    </row>
    <row r="530" customFormat="false" ht="15" hidden="false" customHeight="false" outlineLevel="0" collapsed="false">
      <c r="A530" s="0" t="s">
        <v>289</v>
      </c>
      <c r="B530" s="0" t="s">
        <v>668</v>
      </c>
      <c r="C530" s="0" t="s">
        <v>108</v>
      </c>
      <c r="D530" s="0" t="n">
        <v>5</v>
      </c>
      <c r="E530" s="0" t="n">
        <v>4</v>
      </c>
      <c r="F530" s="0" t="n">
        <v>2</v>
      </c>
      <c r="G530" s="0" t="n">
        <v>9</v>
      </c>
      <c r="H530" s="0" t="n">
        <v>11</v>
      </c>
    </row>
    <row r="531" customFormat="false" ht="15" hidden="false" customHeight="false" outlineLevel="0" collapsed="false">
      <c r="A531" s="0" t="s">
        <v>289</v>
      </c>
      <c r="B531" s="0" t="s">
        <v>619</v>
      </c>
      <c r="C531" s="0" t="s">
        <v>669</v>
      </c>
      <c r="D531" s="0" t="n">
        <v>6</v>
      </c>
      <c r="E531" s="0" t="n">
        <v>0</v>
      </c>
      <c r="F531" s="0" t="n">
        <v>1</v>
      </c>
      <c r="G531" s="0" t="n">
        <v>6</v>
      </c>
      <c r="H531" s="0" t="n">
        <v>7</v>
      </c>
    </row>
    <row r="532" customFormat="false" ht="15" hidden="false" customHeight="false" outlineLevel="0" collapsed="false">
      <c r="A532" s="0" t="s">
        <v>289</v>
      </c>
      <c r="B532" s="0" t="s">
        <v>625</v>
      </c>
      <c r="C532" s="0" t="s">
        <v>596</v>
      </c>
      <c r="D532" s="0" t="n">
        <v>5</v>
      </c>
      <c r="E532" s="0" t="n">
        <v>5</v>
      </c>
      <c r="F532" s="0" t="n">
        <v>10</v>
      </c>
      <c r="G532" s="0" t="n">
        <v>10</v>
      </c>
      <c r="H532" s="0" t="n">
        <v>20</v>
      </c>
    </row>
    <row r="533" customFormat="false" ht="15" hidden="false" customHeight="false" outlineLevel="0" collapsed="false">
      <c r="A533" s="0" t="s">
        <v>289</v>
      </c>
      <c r="B533" s="0" t="s">
        <v>627</v>
      </c>
      <c r="C533" s="0" t="s">
        <v>670</v>
      </c>
      <c r="D533" s="0" t="n">
        <v>9</v>
      </c>
      <c r="E533" s="0" t="n">
        <v>1</v>
      </c>
      <c r="F533" s="0" t="n">
        <v>8</v>
      </c>
      <c r="G533" s="0" t="n">
        <v>10</v>
      </c>
      <c r="H533" s="0" t="n">
        <v>18</v>
      </c>
    </row>
    <row r="534" customFormat="false" ht="15" hidden="false" customHeight="false" outlineLevel="0" collapsed="false">
      <c r="A534" s="0" t="s">
        <v>289</v>
      </c>
      <c r="B534" s="0" t="s">
        <v>642</v>
      </c>
      <c r="C534" s="0" t="s">
        <v>108</v>
      </c>
      <c r="D534" s="0" t="n">
        <v>9</v>
      </c>
      <c r="E534" s="0" t="n">
        <v>3</v>
      </c>
      <c r="F534" s="0" t="n">
        <v>5</v>
      </c>
      <c r="G534" s="0" t="n">
        <v>12</v>
      </c>
      <c r="H534" s="0" t="n">
        <v>17</v>
      </c>
    </row>
    <row r="535" customFormat="false" ht="15" hidden="false" customHeight="false" outlineLevel="0" collapsed="false">
      <c r="A535" s="0" t="s">
        <v>289</v>
      </c>
      <c r="B535" s="0" t="s">
        <v>671</v>
      </c>
      <c r="C535" s="0" t="s">
        <v>672</v>
      </c>
      <c r="D535" s="0" t="n">
        <v>7</v>
      </c>
      <c r="E535" s="0" t="n">
        <v>4</v>
      </c>
      <c r="F535" s="0" t="n">
        <v>10</v>
      </c>
      <c r="G535" s="0" t="n">
        <v>11</v>
      </c>
      <c r="H535" s="0" t="n">
        <v>21</v>
      </c>
    </row>
    <row r="536" customFormat="false" ht="15" hidden="false" customHeight="false" outlineLevel="0" collapsed="false">
      <c r="A536" s="0" t="s">
        <v>289</v>
      </c>
      <c r="B536" s="0" t="s">
        <v>593</v>
      </c>
      <c r="C536" s="0" t="s">
        <v>673</v>
      </c>
      <c r="D536" s="0" t="n">
        <v>6</v>
      </c>
      <c r="E536" s="0" t="n">
        <v>0</v>
      </c>
      <c r="F536" s="0" t="n">
        <v>0</v>
      </c>
      <c r="G536" s="0" t="n">
        <v>6</v>
      </c>
      <c r="H536" s="0" t="n">
        <v>6</v>
      </c>
    </row>
    <row r="537" customFormat="false" ht="15" hidden="false" customHeight="false" outlineLevel="0" collapsed="false">
      <c r="A537" s="0" t="s">
        <v>289</v>
      </c>
      <c r="B537" s="0" t="s">
        <v>584</v>
      </c>
      <c r="C537" s="0" t="s">
        <v>674</v>
      </c>
      <c r="D537" s="0" t="n">
        <v>12</v>
      </c>
      <c r="E537" s="0" t="n">
        <v>2</v>
      </c>
      <c r="F537" s="0" t="n">
        <v>5</v>
      </c>
      <c r="G537" s="0" t="n">
        <v>14</v>
      </c>
      <c r="H537" s="0" t="n">
        <v>19</v>
      </c>
    </row>
    <row r="538" customFormat="false" ht="15" hidden="false" customHeight="false" outlineLevel="0" collapsed="false">
      <c r="A538" s="0" t="s">
        <v>289</v>
      </c>
      <c r="B538" s="0" t="s">
        <v>675</v>
      </c>
      <c r="C538" s="0" t="s">
        <v>672</v>
      </c>
      <c r="D538" s="0" t="n">
        <v>2</v>
      </c>
      <c r="E538" s="0" t="n">
        <v>4</v>
      </c>
      <c r="F538" s="0" t="n">
        <v>3</v>
      </c>
      <c r="G538" s="0" t="n">
        <v>6</v>
      </c>
      <c r="H538" s="0" t="n">
        <v>9</v>
      </c>
    </row>
    <row r="539" customFormat="false" ht="15" hidden="false" customHeight="false" outlineLevel="0" collapsed="false">
      <c r="A539" s="0" t="s">
        <v>289</v>
      </c>
      <c r="B539" s="0" t="s">
        <v>676</v>
      </c>
      <c r="C539" s="0" t="s">
        <v>667</v>
      </c>
      <c r="D539" s="0" t="n">
        <v>4</v>
      </c>
      <c r="E539" s="0" t="n">
        <v>1</v>
      </c>
      <c r="F539" s="0" t="n">
        <v>4</v>
      </c>
      <c r="G539" s="0" t="n">
        <v>5</v>
      </c>
      <c r="H539" s="0" t="n">
        <v>9</v>
      </c>
    </row>
    <row r="540" customFormat="false" ht="15" hidden="false" customHeight="false" outlineLevel="0" collapsed="false">
      <c r="A540" s="0" t="s">
        <v>289</v>
      </c>
      <c r="B540" s="0" t="s">
        <v>677</v>
      </c>
      <c r="C540" s="0" t="s">
        <v>678</v>
      </c>
      <c r="D540" s="0" t="n">
        <v>3</v>
      </c>
      <c r="E540" s="0" t="n">
        <v>3</v>
      </c>
      <c r="F540" s="0" t="n">
        <v>0</v>
      </c>
      <c r="G540" s="0" t="n">
        <v>6</v>
      </c>
      <c r="H540" s="0" t="n">
        <v>6</v>
      </c>
    </row>
    <row r="541" customFormat="false" ht="15" hidden="false" customHeight="false" outlineLevel="0" collapsed="false">
      <c r="A541" s="0" t="s">
        <v>289</v>
      </c>
      <c r="B541" s="0" t="s">
        <v>679</v>
      </c>
      <c r="C541" s="0" t="s">
        <v>673</v>
      </c>
      <c r="D541" s="0" t="n">
        <v>6</v>
      </c>
      <c r="E541" s="0" t="n">
        <v>4</v>
      </c>
      <c r="F541" s="0" t="n">
        <v>0</v>
      </c>
      <c r="G541" s="0" t="n">
        <v>10</v>
      </c>
      <c r="H541" s="0" t="n">
        <v>10</v>
      </c>
    </row>
    <row r="542" customFormat="false" ht="15" hidden="false" customHeight="false" outlineLevel="0" collapsed="false">
      <c r="A542" s="0" t="s">
        <v>291</v>
      </c>
      <c r="B542" s="0" t="s">
        <v>559</v>
      </c>
      <c r="C542" s="0" t="s">
        <v>666</v>
      </c>
      <c r="D542" s="0" t="n">
        <v>6</v>
      </c>
      <c r="E542" s="0" t="n">
        <v>0</v>
      </c>
      <c r="F542" s="0" t="n">
        <v>0</v>
      </c>
      <c r="G542" s="0" t="n">
        <v>6</v>
      </c>
      <c r="H542" s="0" t="n">
        <v>6</v>
      </c>
    </row>
    <row r="543" customFormat="false" ht="15" hidden="false" customHeight="false" outlineLevel="0" collapsed="false">
      <c r="A543" s="0" t="s">
        <v>291</v>
      </c>
      <c r="B543" s="0" t="s">
        <v>561</v>
      </c>
      <c r="C543" s="0" t="s">
        <v>120</v>
      </c>
      <c r="D543" s="0" t="n">
        <v>4</v>
      </c>
      <c r="E543" s="0" t="n">
        <v>0</v>
      </c>
      <c r="F543" s="0" t="n">
        <v>0</v>
      </c>
      <c r="G543" s="0" t="n">
        <v>4</v>
      </c>
      <c r="H543" s="0" t="n">
        <v>4</v>
      </c>
    </row>
    <row r="544" customFormat="false" ht="15" hidden="false" customHeight="false" outlineLevel="0" collapsed="false">
      <c r="A544" s="0" t="s">
        <v>291</v>
      </c>
      <c r="B544" s="0" t="s">
        <v>581</v>
      </c>
      <c r="C544" s="0" t="s">
        <v>667</v>
      </c>
      <c r="D544" s="0" t="n">
        <v>4</v>
      </c>
      <c r="E544" s="0" t="n">
        <v>5</v>
      </c>
      <c r="F544" s="0" t="n">
        <v>6</v>
      </c>
      <c r="G544" s="0" t="n">
        <v>9</v>
      </c>
      <c r="H544" s="0" t="n">
        <v>15</v>
      </c>
    </row>
    <row r="545" customFormat="false" ht="15" hidden="false" customHeight="false" outlineLevel="0" collapsed="false">
      <c r="A545" s="0" t="s">
        <v>291</v>
      </c>
      <c r="B545" s="0" t="s">
        <v>668</v>
      </c>
      <c r="C545" s="0" t="s">
        <v>108</v>
      </c>
      <c r="D545" s="0" t="n">
        <v>3</v>
      </c>
      <c r="E545" s="0" t="n">
        <v>1</v>
      </c>
      <c r="F545" s="0" t="n">
        <v>5</v>
      </c>
      <c r="G545" s="0" t="n">
        <v>4</v>
      </c>
      <c r="H545" s="0" t="n">
        <v>9</v>
      </c>
    </row>
    <row r="546" customFormat="false" ht="15" hidden="false" customHeight="false" outlineLevel="0" collapsed="false">
      <c r="A546" s="0" t="s">
        <v>291</v>
      </c>
      <c r="B546" s="0" t="s">
        <v>619</v>
      </c>
      <c r="C546" s="0" t="s">
        <v>669</v>
      </c>
      <c r="D546" s="0" t="n">
        <v>8</v>
      </c>
      <c r="E546" s="0" t="n">
        <v>2</v>
      </c>
      <c r="F546" s="0" t="n">
        <v>0</v>
      </c>
      <c r="G546" s="0" t="n">
        <v>10</v>
      </c>
      <c r="H546" s="0" t="n">
        <v>10</v>
      </c>
    </row>
    <row r="547" customFormat="false" ht="15" hidden="false" customHeight="false" outlineLevel="0" collapsed="false">
      <c r="A547" s="0" t="s">
        <v>291</v>
      </c>
      <c r="B547" s="0" t="s">
        <v>625</v>
      </c>
      <c r="C547" s="0" t="s">
        <v>596</v>
      </c>
      <c r="D547" s="0" t="n">
        <v>6</v>
      </c>
      <c r="E547" s="0" t="n">
        <v>10</v>
      </c>
      <c r="F547" s="0" t="n">
        <v>3</v>
      </c>
      <c r="G547" s="0" t="n">
        <v>16</v>
      </c>
      <c r="H547" s="0" t="n">
        <v>19</v>
      </c>
    </row>
    <row r="548" customFormat="false" ht="15" hidden="false" customHeight="false" outlineLevel="0" collapsed="false">
      <c r="A548" s="0" t="s">
        <v>291</v>
      </c>
      <c r="B548" s="0" t="s">
        <v>627</v>
      </c>
      <c r="C548" s="0" t="s">
        <v>670</v>
      </c>
      <c r="D548" s="0" t="n">
        <v>3</v>
      </c>
      <c r="E548" s="0" t="n">
        <v>2</v>
      </c>
      <c r="F548" s="0" t="n">
        <v>2</v>
      </c>
      <c r="G548" s="0" t="n">
        <v>5</v>
      </c>
      <c r="H548" s="0" t="n">
        <v>7</v>
      </c>
    </row>
    <row r="549" customFormat="false" ht="15" hidden="false" customHeight="false" outlineLevel="0" collapsed="false">
      <c r="A549" s="0" t="s">
        <v>291</v>
      </c>
      <c r="B549" s="0" t="s">
        <v>642</v>
      </c>
      <c r="C549" s="0" t="s">
        <v>108</v>
      </c>
      <c r="D549" s="0" t="n">
        <v>5</v>
      </c>
      <c r="E549" s="0" t="n">
        <v>0</v>
      </c>
      <c r="F549" s="0" t="n">
        <v>2</v>
      </c>
      <c r="G549" s="0" t="n">
        <v>5</v>
      </c>
      <c r="H549" s="0" t="n">
        <v>7</v>
      </c>
    </row>
    <row r="550" customFormat="false" ht="15" hidden="false" customHeight="false" outlineLevel="0" collapsed="false">
      <c r="A550" s="0" t="s">
        <v>291</v>
      </c>
      <c r="B550" s="0" t="s">
        <v>671</v>
      </c>
      <c r="C550" s="0" t="s">
        <v>672</v>
      </c>
      <c r="D550" s="0" t="n">
        <v>4</v>
      </c>
      <c r="E550" s="0" t="n">
        <v>4</v>
      </c>
      <c r="F550" s="0" t="n">
        <v>4</v>
      </c>
      <c r="G550" s="0" t="n">
        <v>8</v>
      </c>
      <c r="H550" s="0" t="n">
        <v>12</v>
      </c>
    </row>
    <row r="551" customFormat="false" ht="15" hidden="false" customHeight="false" outlineLevel="0" collapsed="false">
      <c r="A551" s="0" t="s">
        <v>291</v>
      </c>
      <c r="B551" s="0" t="s">
        <v>593</v>
      </c>
      <c r="C551" s="0" t="s">
        <v>673</v>
      </c>
      <c r="D551" s="0" t="n">
        <v>4</v>
      </c>
      <c r="E551" s="0" t="n">
        <v>3</v>
      </c>
      <c r="F551" s="0" t="n">
        <v>0</v>
      </c>
      <c r="G551" s="0" t="n">
        <v>7</v>
      </c>
      <c r="H551" s="0" t="n">
        <v>7</v>
      </c>
    </row>
    <row r="552" customFormat="false" ht="15" hidden="false" customHeight="false" outlineLevel="0" collapsed="false">
      <c r="A552" s="0" t="s">
        <v>291</v>
      </c>
      <c r="B552" s="0" t="s">
        <v>584</v>
      </c>
      <c r="C552" s="0" t="s">
        <v>674</v>
      </c>
      <c r="D552" s="0" t="n">
        <v>6</v>
      </c>
      <c r="E552" s="0" t="n">
        <v>4</v>
      </c>
      <c r="F552" s="0" t="n">
        <v>8</v>
      </c>
      <c r="G552" s="0" t="n">
        <v>10</v>
      </c>
      <c r="H552" s="0" t="n">
        <v>18</v>
      </c>
    </row>
    <row r="553" customFormat="false" ht="15" hidden="false" customHeight="false" outlineLevel="0" collapsed="false">
      <c r="A553" s="0" t="s">
        <v>291</v>
      </c>
      <c r="B553" s="0" t="s">
        <v>636</v>
      </c>
      <c r="C553" s="0" t="s">
        <v>680</v>
      </c>
      <c r="D553" s="0" t="n">
        <v>5</v>
      </c>
      <c r="E553" s="0" t="n">
        <v>5</v>
      </c>
      <c r="F553" s="0" t="n">
        <v>0</v>
      </c>
      <c r="G553" s="0" t="n">
        <v>10</v>
      </c>
      <c r="H553" s="0" t="n">
        <v>10</v>
      </c>
    </row>
    <row r="554" customFormat="false" ht="15" hidden="false" customHeight="false" outlineLevel="0" collapsed="false">
      <c r="A554" s="0" t="s">
        <v>291</v>
      </c>
      <c r="B554" s="0" t="s">
        <v>637</v>
      </c>
      <c r="C554" s="0" t="s">
        <v>673</v>
      </c>
      <c r="D554" s="0" t="n">
        <v>4</v>
      </c>
      <c r="E554" s="0" t="n">
        <v>2</v>
      </c>
      <c r="F554" s="0" t="n">
        <v>7</v>
      </c>
      <c r="G554" s="0" t="n">
        <v>6</v>
      </c>
      <c r="H554" s="0" t="n">
        <v>13</v>
      </c>
    </row>
    <row r="555" customFormat="false" ht="15" hidden="false" customHeight="false" outlineLevel="0" collapsed="false">
      <c r="A555" s="0" t="s">
        <v>291</v>
      </c>
      <c r="B555" s="0" t="s">
        <v>601</v>
      </c>
      <c r="C555" s="0" t="s">
        <v>680</v>
      </c>
      <c r="D555" s="0" t="n">
        <v>2</v>
      </c>
      <c r="E555" s="0" t="n">
        <v>1</v>
      </c>
      <c r="F555" s="0" t="n">
        <v>0</v>
      </c>
      <c r="G555" s="0" t="n">
        <v>3</v>
      </c>
      <c r="H555" s="0" t="n">
        <v>3</v>
      </c>
    </row>
    <row r="556" customFormat="false" ht="15" hidden="false" customHeight="false" outlineLevel="0" collapsed="false">
      <c r="A556" s="0" t="s">
        <v>291</v>
      </c>
      <c r="B556" s="0" t="s">
        <v>653</v>
      </c>
      <c r="C556" s="0" t="s">
        <v>674</v>
      </c>
      <c r="D556" s="0" t="n">
        <v>3</v>
      </c>
      <c r="E556" s="0" t="n">
        <v>5</v>
      </c>
      <c r="F556" s="0" t="n">
        <v>6</v>
      </c>
      <c r="G556" s="0" t="n">
        <v>8</v>
      </c>
      <c r="H556" s="0" t="n">
        <v>14</v>
      </c>
    </row>
    <row r="557" customFormat="false" ht="15" hidden="false" customHeight="false" outlineLevel="0" collapsed="false">
      <c r="A557" s="0" t="s">
        <v>293</v>
      </c>
      <c r="B557" s="0" t="s">
        <v>559</v>
      </c>
      <c r="C557" s="0" t="s">
        <v>666</v>
      </c>
      <c r="D557" s="0" t="n">
        <v>7</v>
      </c>
      <c r="E557" s="0" t="n">
        <v>0</v>
      </c>
      <c r="F557" s="0" t="n">
        <v>0</v>
      </c>
      <c r="G557" s="0" t="n">
        <v>7</v>
      </c>
      <c r="H557" s="0" t="n">
        <v>7</v>
      </c>
    </row>
    <row r="558" customFormat="false" ht="15" hidden="false" customHeight="false" outlineLevel="0" collapsed="false">
      <c r="A558" s="0" t="s">
        <v>293</v>
      </c>
      <c r="B558" s="0" t="s">
        <v>561</v>
      </c>
      <c r="C558" s="0" t="s">
        <v>120</v>
      </c>
      <c r="D558" s="0" t="n">
        <v>1</v>
      </c>
      <c r="E558" s="0" t="n">
        <v>0</v>
      </c>
      <c r="F558" s="0" t="n">
        <v>0</v>
      </c>
      <c r="G558" s="0" t="n">
        <v>1</v>
      </c>
      <c r="H558" s="0" t="n">
        <v>1</v>
      </c>
    </row>
    <row r="559" customFormat="false" ht="15" hidden="false" customHeight="false" outlineLevel="0" collapsed="false">
      <c r="A559" s="0" t="s">
        <v>293</v>
      </c>
      <c r="B559" s="0" t="s">
        <v>581</v>
      </c>
      <c r="C559" s="0" t="s">
        <v>667</v>
      </c>
      <c r="D559" s="0" t="n">
        <v>0</v>
      </c>
      <c r="E559" s="0" t="n">
        <v>1</v>
      </c>
      <c r="F559" s="0" t="n">
        <v>2</v>
      </c>
      <c r="G559" s="0" t="n">
        <v>1</v>
      </c>
      <c r="H559" s="0" t="n">
        <v>3</v>
      </c>
    </row>
    <row r="560" customFormat="false" ht="15" hidden="false" customHeight="false" outlineLevel="0" collapsed="false">
      <c r="A560" s="0" t="s">
        <v>293</v>
      </c>
      <c r="B560" s="0" t="s">
        <v>668</v>
      </c>
      <c r="C560" s="0" t="s">
        <v>108</v>
      </c>
      <c r="D560" s="0" t="n">
        <v>2</v>
      </c>
      <c r="E560" s="0" t="n">
        <v>1</v>
      </c>
      <c r="F560" s="0" t="n">
        <v>2</v>
      </c>
      <c r="G560" s="0" t="n">
        <v>3</v>
      </c>
      <c r="H560" s="0" t="n">
        <v>5</v>
      </c>
    </row>
    <row r="561" customFormat="false" ht="15" hidden="false" customHeight="false" outlineLevel="0" collapsed="false">
      <c r="A561" s="0" t="s">
        <v>293</v>
      </c>
      <c r="B561" s="0" t="s">
        <v>619</v>
      </c>
      <c r="C561" s="0" t="s">
        <v>669</v>
      </c>
      <c r="D561" s="0" t="n">
        <v>0</v>
      </c>
      <c r="E561" s="0" t="n">
        <v>1</v>
      </c>
      <c r="F561" s="0" t="n">
        <v>1</v>
      </c>
      <c r="G561" s="0" t="n">
        <v>1</v>
      </c>
      <c r="H561" s="0" t="n">
        <v>2</v>
      </c>
    </row>
    <row r="562" customFormat="false" ht="15" hidden="false" customHeight="false" outlineLevel="0" collapsed="false">
      <c r="A562" s="0" t="s">
        <v>293</v>
      </c>
      <c r="B562" s="0" t="s">
        <v>625</v>
      </c>
      <c r="C562" s="0" t="s">
        <v>596</v>
      </c>
      <c r="D562" s="0" t="n">
        <v>2</v>
      </c>
      <c r="E562" s="0" t="n">
        <v>4</v>
      </c>
      <c r="F562" s="0" t="n">
        <v>3</v>
      </c>
      <c r="G562" s="0" t="n">
        <v>6</v>
      </c>
      <c r="H562" s="0" t="n">
        <v>9</v>
      </c>
    </row>
    <row r="563" customFormat="false" ht="15" hidden="false" customHeight="false" outlineLevel="0" collapsed="false">
      <c r="A563" s="0" t="s">
        <v>293</v>
      </c>
      <c r="B563" s="0" t="s">
        <v>627</v>
      </c>
      <c r="C563" s="0" t="s">
        <v>670</v>
      </c>
      <c r="D563" s="0" t="n">
        <v>4</v>
      </c>
      <c r="E563" s="0" t="n">
        <v>2</v>
      </c>
      <c r="F563" s="0" t="n">
        <v>4</v>
      </c>
      <c r="G563" s="0" t="n">
        <v>6</v>
      </c>
      <c r="H563" s="0" t="n">
        <v>10</v>
      </c>
    </row>
    <row r="564" customFormat="false" ht="15" hidden="false" customHeight="false" outlineLevel="0" collapsed="false">
      <c r="A564" s="0" t="s">
        <v>293</v>
      </c>
      <c r="B564" s="0" t="s">
        <v>642</v>
      </c>
      <c r="C564" s="0" t="s">
        <v>108</v>
      </c>
      <c r="D564" s="0" t="n">
        <v>3</v>
      </c>
      <c r="E564" s="0" t="n">
        <v>0</v>
      </c>
      <c r="F564" s="0" t="n">
        <v>0</v>
      </c>
      <c r="G564" s="0" t="n">
        <v>3</v>
      </c>
      <c r="H564" s="0" t="n">
        <v>3</v>
      </c>
    </row>
    <row r="565" customFormat="false" ht="15" hidden="false" customHeight="false" outlineLevel="0" collapsed="false">
      <c r="A565" s="0" t="s">
        <v>293</v>
      </c>
      <c r="B565" s="0" t="s">
        <v>671</v>
      </c>
      <c r="C565" s="0" t="s">
        <v>672</v>
      </c>
      <c r="D565" s="0" t="n">
        <v>7</v>
      </c>
      <c r="E565" s="0" t="n">
        <v>2</v>
      </c>
      <c r="F565" s="0" t="n">
        <v>4</v>
      </c>
      <c r="G565" s="0" t="n">
        <v>9</v>
      </c>
      <c r="H565" s="0" t="n">
        <v>13</v>
      </c>
    </row>
    <row r="566" customFormat="false" ht="15" hidden="false" customHeight="false" outlineLevel="0" collapsed="false">
      <c r="A566" s="0" t="s">
        <v>293</v>
      </c>
      <c r="B566" s="0" t="s">
        <v>593</v>
      </c>
      <c r="C566" s="0" t="s">
        <v>673</v>
      </c>
      <c r="D566" s="0" t="n">
        <v>1</v>
      </c>
      <c r="E566" s="0" t="n">
        <v>1</v>
      </c>
      <c r="F566" s="0" t="n">
        <v>0</v>
      </c>
      <c r="G566" s="0" t="n">
        <v>2</v>
      </c>
      <c r="H566" s="0" t="n">
        <v>2</v>
      </c>
    </row>
    <row r="567" customFormat="false" ht="15" hidden="false" customHeight="false" outlineLevel="0" collapsed="false">
      <c r="A567" s="0" t="s">
        <v>293</v>
      </c>
      <c r="B567" s="0" t="s">
        <v>584</v>
      </c>
      <c r="C567" s="0" t="s">
        <v>674</v>
      </c>
      <c r="D567" s="0" t="n">
        <v>1</v>
      </c>
      <c r="E567" s="0" t="n">
        <v>2</v>
      </c>
      <c r="F567" s="0" t="n">
        <v>3</v>
      </c>
      <c r="G567" s="0" t="n">
        <v>3</v>
      </c>
      <c r="H567" s="0" t="n">
        <v>6</v>
      </c>
    </row>
    <row r="568" customFormat="false" ht="15" hidden="false" customHeight="false" outlineLevel="0" collapsed="false">
      <c r="A568" s="0" t="s">
        <v>293</v>
      </c>
      <c r="B568" s="0" t="s">
        <v>636</v>
      </c>
      <c r="C568" s="0" t="s">
        <v>680</v>
      </c>
      <c r="D568" s="0" t="n">
        <v>6</v>
      </c>
      <c r="E568" s="0" t="n">
        <v>8</v>
      </c>
      <c r="F568" s="0" t="n">
        <v>0</v>
      </c>
      <c r="G568" s="0" t="n">
        <v>14</v>
      </c>
      <c r="H568" s="0" t="n">
        <v>14</v>
      </c>
    </row>
    <row r="569" customFormat="false" ht="15" hidden="false" customHeight="false" outlineLevel="0" collapsed="false">
      <c r="A569" s="0" t="s">
        <v>293</v>
      </c>
      <c r="B569" s="0" t="s">
        <v>637</v>
      </c>
      <c r="C569" s="0" t="s">
        <v>673</v>
      </c>
      <c r="D569" s="0" t="n">
        <v>2</v>
      </c>
      <c r="E569" s="0" t="n">
        <v>3</v>
      </c>
      <c r="F569" s="0" t="n">
        <v>3</v>
      </c>
      <c r="G569" s="0" t="n">
        <v>5</v>
      </c>
      <c r="H569" s="0" t="n">
        <v>8</v>
      </c>
    </row>
    <row r="570" customFormat="false" ht="15" hidden="false" customHeight="false" outlineLevel="0" collapsed="false">
      <c r="A570" s="0" t="s">
        <v>293</v>
      </c>
      <c r="B570" s="0" t="s">
        <v>601</v>
      </c>
      <c r="C570" s="0" t="s">
        <v>680</v>
      </c>
      <c r="D570" s="0" t="n">
        <v>5</v>
      </c>
      <c r="E570" s="0" t="n">
        <v>7</v>
      </c>
      <c r="F570" s="0" t="n">
        <v>0</v>
      </c>
      <c r="G570" s="0" t="n">
        <v>12</v>
      </c>
      <c r="H570" s="0" t="n">
        <v>12</v>
      </c>
    </row>
    <row r="571" customFormat="false" ht="15" hidden="false" customHeight="false" outlineLevel="0" collapsed="false">
      <c r="A571" s="0" t="s">
        <v>293</v>
      </c>
      <c r="B571" s="0" t="s">
        <v>653</v>
      </c>
      <c r="C571" s="0" t="s">
        <v>674</v>
      </c>
      <c r="D571" s="0" t="n">
        <v>1</v>
      </c>
      <c r="E571" s="0" t="n">
        <v>5</v>
      </c>
      <c r="F571" s="0" t="n">
        <v>2</v>
      </c>
      <c r="G571" s="0" t="n">
        <v>6</v>
      </c>
      <c r="H571" s="0" t="n">
        <v>8</v>
      </c>
    </row>
    <row r="572" customFormat="false" ht="15" hidden="false" customHeight="false" outlineLevel="0" collapsed="false">
      <c r="A572" s="0" t="s">
        <v>295</v>
      </c>
      <c r="B572" s="0" t="s">
        <v>559</v>
      </c>
      <c r="C572" s="0" t="s">
        <v>666</v>
      </c>
      <c r="D572" s="0" t="n">
        <v>4</v>
      </c>
      <c r="E572" s="0" t="n">
        <v>0</v>
      </c>
      <c r="F572" s="0" t="n">
        <v>0</v>
      </c>
      <c r="G572" s="0" t="n">
        <v>4</v>
      </c>
      <c r="H572" s="0" t="n">
        <v>4</v>
      </c>
    </row>
    <row r="573" customFormat="false" ht="15" hidden="false" customHeight="false" outlineLevel="0" collapsed="false">
      <c r="A573" s="0" t="s">
        <v>295</v>
      </c>
      <c r="B573" s="0" t="s">
        <v>561</v>
      </c>
      <c r="C573" s="0" t="s">
        <v>120</v>
      </c>
      <c r="D573" s="0" t="n">
        <v>0</v>
      </c>
      <c r="E573" s="0" t="n">
        <v>0</v>
      </c>
      <c r="F573" s="0" t="n">
        <v>0</v>
      </c>
      <c r="G573" s="0" t="n">
        <v>0</v>
      </c>
      <c r="H573" s="0" t="n">
        <v>0</v>
      </c>
    </row>
    <row r="574" customFormat="false" ht="15" hidden="false" customHeight="false" outlineLevel="0" collapsed="false">
      <c r="A574" s="0" t="s">
        <v>295</v>
      </c>
      <c r="B574" s="0" t="s">
        <v>581</v>
      </c>
      <c r="C574" s="0" t="s">
        <v>667</v>
      </c>
      <c r="D574" s="0" t="n">
        <v>1</v>
      </c>
      <c r="E574" s="0" t="n">
        <v>5</v>
      </c>
      <c r="F574" s="0" t="n">
        <v>4</v>
      </c>
      <c r="G574" s="0" t="n">
        <v>6</v>
      </c>
      <c r="H574" s="0" t="n">
        <v>10</v>
      </c>
    </row>
    <row r="575" customFormat="false" ht="15" hidden="false" customHeight="false" outlineLevel="0" collapsed="false">
      <c r="A575" s="0" t="s">
        <v>295</v>
      </c>
      <c r="B575" s="0" t="s">
        <v>668</v>
      </c>
      <c r="C575" s="0" t="s">
        <v>108</v>
      </c>
      <c r="D575" s="0" t="n">
        <v>1</v>
      </c>
      <c r="E575" s="0" t="n">
        <v>1</v>
      </c>
      <c r="F575" s="0" t="n">
        <v>3</v>
      </c>
      <c r="G575" s="0" t="n">
        <v>2</v>
      </c>
      <c r="H575" s="0" t="n">
        <v>5</v>
      </c>
    </row>
    <row r="576" customFormat="false" ht="15" hidden="false" customHeight="false" outlineLevel="0" collapsed="false">
      <c r="A576" s="0" t="s">
        <v>295</v>
      </c>
      <c r="B576" s="0" t="s">
        <v>619</v>
      </c>
      <c r="C576" s="0" t="s">
        <v>669</v>
      </c>
      <c r="D576" s="0" t="n">
        <v>9</v>
      </c>
      <c r="E576" s="0" t="n">
        <v>5</v>
      </c>
      <c r="F576" s="0" t="n">
        <v>3</v>
      </c>
      <c r="G576" s="0" t="n">
        <v>14</v>
      </c>
      <c r="H576" s="0" t="n">
        <v>17</v>
      </c>
    </row>
    <row r="577" customFormat="false" ht="15" hidden="false" customHeight="false" outlineLevel="0" collapsed="false">
      <c r="A577" s="0" t="s">
        <v>295</v>
      </c>
      <c r="B577" s="0" t="s">
        <v>625</v>
      </c>
      <c r="C577" s="0" t="s">
        <v>596</v>
      </c>
      <c r="D577" s="0" t="n">
        <v>7</v>
      </c>
      <c r="E577" s="0" t="n">
        <v>6</v>
      </c>
      <c r="F577" s="0" t="n">
        <v>0</v>
      </c>
      <c r="G577" s="0" t="n">
        <v>13</v>
      </c>
      <c r="H577" s="0" t="n">
        <v>13</v>
      </c>
    </row>
    <row r="578" customFormat="false" ht="15" hidden="false" customHeight="false" outlineLevel="0" collapsed="false">
      <c r="A578" s="0" t="s">
        <v>295</v>
      </c>
      <c r="B578" s="0" t="s">
        <v>627</v>
      </c>
      <c r="C578" s="0" t="s">
        <v>670</v>
      </c>
      <c r="D578" s="0" t="n">
        <v>2</v>
      </c>
      <c r="E578" s="0" t="n">
        <v>2</v>
      </c>
      <c r="F578" s="0" t="n">
        <v>2</v>
      </c>
      <c r="G578" s="0" t="n">
        <v>4</v>
      </c>
      <c r="H578" s="0" t="n">
        <v>6</v>
      </c>
    </row>
    <row r="579" customFormat="false" ht="15" hidden="false" customHeight="false" outlineLevel="0" collapsed="false">
      <c r="A579" s="0" t="s">
        <v>295</v>
      </c>
      <c r="B579" s="0" t="s">
        <v>642</v>
      </c>
      <c r="C579" s="0" t="s">
        <v>108</v>
      </c>
      <c r="D579" s="0" t="n">
        <v>3</v>
      </c>
      <c r="E579" s="0" t="n">
        <v>2</v>
      </c>
      <c r="F579" s="0" t="n">
        <v>6</v>
      </c>
      <c r="G579" s="0" t="n">
        <v>5</v>
      </c>
      <c r="H579" s="0" t="n">
        <v>11</v>
      </c>
    </row>
    <row r="580" customFormat="false" ht="15" hidden="false" customHeight="false" outlineLevel="0" collapsed="false">
      <c r="A580" s="0" t="s">
        <v>295</v>
      </c>
      <c r="B580" s="0" t="s">
        <v>671</v>
      </c>
      <c r="C580" s="0" t="s">
        <v>672</v>
      </c>
      <c r="D580" s="0" t="n">
        <v>5</v>
      </c>
      <c r="E580" s="0" t="n">
        <v>6</v>
      </c>
      <c r="F580" s="0" t="n">
        <v>2</v>
      </c>
      <c r="G580" s="0" t="n">
        <v>11</v>
      </c>
      <c r="H580" s="0" t="n">
        <v>13</v>
      </c>
    </row>
    <row r="581" customFormat="false" ht="15" hidden="false" customHeight="false" outlineLevel="0" collapsed="false">
      <c r="A581" s="0" t="s">
        <v>295</v>
      </c>
      <c r="B581" s="0" t="s">
        <v>593</v>
      </c>
      <c r="C581" s="0" t="s">
        <v>673</v>
      </c>
      <c r="D581" s="0" t="n">
        <v>3</v>
      </c>
      <c r="E581" s="0" t="n">
        <v>4</v>
      </c>
      <c r="F581" s="0" t="n">
        <v>0</v>
      </c>
      <c r="G581" s="0" t="n">
        <v>7</v>
      </c>
      <c r="H581" s="0" t="n">
        <v>7</v>
      </c>
    </row>
    <row r="582" customFormat="false" ht="15" hidden="false" customHeight="false" outlineLevel="0" collapsed="false">
      <c r="A582" s="0" t="s">
        <v>295</v>
      </c>
      <c r="B582" s="0" t="s">
        <v>584</v>
      </c>
      <c r="C582" s="0" t="s">
        <v>674</v>
      </c>
      <c r="D582" s="0" t="n">
        <v>5</v>
      </c>
      <c r="E582" s="0" t="n">
        <v>5</v>
      </c>
      <c r="F582" s="0" t="n">
        <v>5</v>
      </c>
      <c r="G582" s="0" t="n">
        <v>10</v>
      </c>
      <c r="H582" s="0" t="n">
        <v>15</v>
      </c>
    </row>
    <row r="583" customFormat="false" ht="15" hidden="false" customHeight="false" outlineLevel="0" collapsed="false">
      <c r="A583" s="0" t="s">
        <v>295</v>
      </c>
      <c r="B583" s="0" t="s">
        <v>636</v>
      </c>
      <c r="C583" s="0" t="s">
        <v>680</v>
      </c>
      <c r="D583" s="0" t="n">
        <v>2</v>
      </c>
      <c r="E583" s="0" t="n">
        <v>5</v>
      </c>
      <c r="F583" s="0" t="n">
        <v>0</v>
      </c>
      <c r="G583" s="0" t="n">
        <v>7</v>
      </c>
      <c r="H583" s="0" t="n">
        <v>7</v>
      </c>
    </row>
    <row r="584" customFormat="false" ht="15" hidden="false" customHeight="false" outlineLevel="0" collapsed="false">
      <c r="A584" s="0" t="s">
        <v>295</v>
      </c>
      <c r="B584" s="0" t="s">
        <v>637</v>
      </c>
      <c r="C584" s="0" t="s">
        <v>673</v>
      </c>
      <c r="D584" s="0" t="n">
        <v>6</v>
      </c>
      <c r="E584" s="0" t="n">
        <v>1</v>
      </c>
      <c r="F584" s="0" t="n">
        <v>4</v>
      </c>
      <c r="G584" s="0" t="n">
        <v>7</v>
      </c>
      <c r="H584" s="0" t="n">
        <v>11</v>
      </c>
    </row>
    <row r="585" customFormat="false" ht="15" hidden="false" customHeight="false" outlineLevel="0" collapsed="false">
      <c r="A585" s="0" t="s">
        <v>295</v>
      </c>
      <c r="B585" s="0" t="s">
        <v>601</v>
      </c>
      <c r="C585" s="0" t="s">
        <v>680</v>
      </c>
      <c r="D585" s="0" t="n">
        <v>4</v>
      </c>
      <c r="E585" s="0" t="n">
        <v>6</v>
      </c>
      <c r="F585" s="0" t="n">
        <v>0</v>
      </c>
      <c r="G585" s="0" t="n">
        <v>10</v>
      </c>
      <c r="H585" s="0" t="n">
        <v>10</v>
      </c>
    </row>
    <row r="586" customFormat="false" ht="15" hidden="false" customHeight="false" outlineLevel="0" collapsed="false">
      <c r="A586" s="0" t="s">
        <v>295</v>
      </c>
      <c r="B586" s="0" t="s">
        <v>653</v>
      </c>
      <c r="C586" s="0" t="s">
        <v>674</v>
      </c>
      <c r="D586" s="0" t="n">
        <v>1</v>
      </c>
      <c r="E586" s="0" t="n">
        <v>6</v>
      </c>
      <c r="F586" s="0" t="n">
        <v>4</v>
      </c>
      <c r="G586" s="0" t="n">
        <v>7</v>
      </c>
      <c r="H586" s="0" t="n">
        <v>11</v>
      </c>
    </row>
    <row r="587" customFormat="false" ht="15" hidden="false" customHeight="false" outlineLevel="0" collapsed="false">
      <c r="A587" s="0" t="s">
        <v>267</v>
      </c>
      <c r="B587" s="0" t="s">
        <v>559</v>
      </c>
      <c r="C587" s="0" t="s">
        <v>639</v>
      </c>
      <c r="D587" s="0" t="n">
        <v>5</v>
      </c>
      <c r="E587" s="0" t="n">
        <v>0</v>
      </c>
      <c r="F587" s="0" t="n">
        <v>0</v>
      </c>
      <c r="G587" s="0" t="n">
        <v>5</v>
      </c>
      <c r="H587" s="0" t="n">
        <v>5</v>
      </c>
    </row>
    <row r="588" customFormat="false" ht="15" hidden="false" customHeight="false" outlineLevel="0" collapsed="false">
      <c r="A588" s="0" t="s">
        <v>267</v>
      </c>
      <c r="B588" s="0" t="s">
        <v>559</v>
      </c>
      <c r="C588" s="0" t="s">
        <v>666</v>
      </c>
      <c r="D588" s="0" t="n">
        <v>13</v>
      </c>
      <c r="E588" s="0" t="n">
        <v>0</v>
      </c>
      <c r="F588" s="0" t="n">
        <v>0</v>
      </c>
      <c r="G588" s="0" t="n">
        <v>13</v>
      </c>
      <c r="H588" s="0" t="n">
        <v>13</v>
      </c>
    </row>
    <row r="589" customFormat="false" ht="15" hidden="false" customHeight="false" outlineLevel="0" collapsed="false">
      <c r="A589" s="0" t="s">
        <v>267</v>
      </c>
      <c r="B589" s="0" t="s">
        <v>681</v>
      </c>
      <c r="C589" s="0" t="s">
        <v>682</v>
      </c>
      <c r="D589" s="0" t="n">
        <v>1</v>
      </c>
      <c r="E589" s="0" t="n">
        <v>1</v>
      </c>
      <c r="F589" s="0" t="n">
        <v>5</v>
      </c>
      <c r="G589" s="0" t="n">
        <v>2</v>
      </c>
      <c r="H589" s="0" t="n">
        <v>7</v>
      </c>
    </row>
    <row r="590" customFormat="false" ht="15" hidden="false" customHeight="false" outlineLevel="0" collapsed="false">
      <c r="A590" s="0" t="s">
        <v>267</v>
      </c>
      <c r="B590" s="0" t="s">
        <v>566</v>
      </c>
      <c r="C590" s="0" t="s">
        <v>683</v>
      </c>
      <c r="D590" s="0" t="n">
        <v>2</v>
      </c>
      <c r="E590" s="0" t="n">
        <v>5</v>
      </c>
      <c r="F590" s="0" t="n">
        <v>4</v>
      </c>
      <c r="G590" s="0" t="n">
        <v>7</v>
      </c>
      <c r="H590" s="0" t="n">
        <v>11</v>
      </c>
    </row>
    <row r="591" customFormat="false" ht="15" hidden="false" customHeight="false" outlineLevel="0" collapsed="false">
      <c r="A591" s="0" t="s">
        <v>267</v>
      </c>
      <c r="B591" s="0" t="s">
        <v>684</v>
      </c>
      <c r="C591" s="0" t="s">
        <v>685</v>
      </c>
      <c r="D591" s="0" t="n">
        <v>3</v>
      </c>
      <c r="E591" s="0" t="n">
        <v>5</v>
      </c>
      <c r="F591" s="0" t="n">
        <v>3</v>
      </c>
      <c r="G591" s="0" t="n">
        <v>8</v>
      </c>
      <c r="H591" s="0" t="n">
        <v>11</v>
      </c>
    </row>
    <row r="592" customFormat="false" ht="15" hidden="false" customHeight="false" outlineLevel="0" collapsed="false">
      <c r="A592" s="0" t="s">
        <v>267</v>
      </c>
      <c r="B592" s="0" t="s">
        <v>581</v>
      </c>
      <c r="C592" s="0" t="s">
        <v>683</v>
      </c>
      <c r="D592" s="0" t="n">
        <v>6</v>
      </c>
      <c r="E592" s="0" t="n">
        <v>4</v>
      </c>
      <c r="F592" s="0" t="n">
        <v>0</v>
      </c>
      <c r="G592" s="0" t="n">
        <v>10</v>
      </c>
      <c r="H592" s="0" t="n">
        <v>10</v>
      </c>
    </row>
    <row r="593" customFormat="false" ht="15" hidden="false" customHeight="false" outlineLevel="0" collapsed="false">
      <c r="A593" s="0" t="s">
        <v>267</v>
      </c>
      <c r="B593" s="0" t="s">
        <v>627</v>
      </c>
      <c r="C593" s="0" t="s">
        <v>686</v>
      </c>
      <c r="D593" s="0" t="n">
        <v>8</v>
      </c>
      <c r="E593" s="0" t="n">
        <v>9</v>
      </c>
      <c r="F593" s="0" t="n">
        <v>0</v>
      </c>
      <c r="G593" s="0" t="n">
        <v>17</v>
      </c>
      <c r="H593" s="0" t="n">
        <v>17</v>
      </c>
    </row>
    <row r="594" customFormat="false" ht="15" hidden="false" customHeight="false" outlineLevel="0" collapsed="false">
      <c r="A594" s="0" t="s">
        <v>267</v>
      </c>
      <c r="B594" s="0" t="s">
        <v>634</v>
      </c>
      <c r="C594" s="0" t="s">
        <v>682</v>
      </c>
      <c r="D594" s="0" t="n">
        <v>7</v>
      </c>
      <c r="E594" s="0" t="n">
        <v>5</v>
      </c>
      <c r="F594" s="0" t="n">
        <v>0</v>
      </c>
      <c r="G594" s="0" t="n">
        <v>12</v>
      </c>
      <c r="H594" s="0" t="n">
        <v>12</v>
      </c>
    </row>
    <row r="595" customFormat="false" ht="15" hidden="false" customHeight="false" outlineLevel="0" collapsed="false">
      <c r="A595" s="0" t="s">
        <v>267</v>
      </c>
      <c r="B595" s="0" t="s">
        <v>687</v>
      </c>
      <c r="C595" s="0" t="s">
        <v>683</v>
      </c>
      <c r="D595" s="0" t="n">
        <v>4</v>
      </c>
      <c r="E595" s="0" t="n">
        <v>3</v>
      </c>
      <c r="F595" s="0" t="n">
        <v>0</v>
      </c>
      <c r="G595" s="0" t="n">
        <v>7</v>
      </c>
      <c r="H595" s="0" t="n">
        <v>7</v>
      </c>
    </row>
    <row r="596" customFormat="false" ht="15" hidden="false" customHeight="false" outlineLevel="0" collapsed="false">
      <c r="A596" s="0" t="s">
        <v>267</v>
      </c>
      <c r="B596" s="0" t="s">
        <v>584</v>
      </c>
      <c r="C596" s="0" t="s">
        <v>688</v>
      </c>
      <c r="D596" s="0" t="n">
        <v>6</v>
      </c>
      <c r="E596" s="0" t="n">
        <v>5</v>
      </c>
      <c r="F596" s="0" t="n">
        <v>7</v>
      </c>
      <c r="G596" s="0" t="n">
        <v>11</v>
      </c>
      <c r="H596" s="0" t="n">
        <v>18</v>
      </c>
    </row>
    <row r="597" customFormat="false" ht="15" hidden="false" customHeight="false" outlineLevel="0" collapsed="false">
      <c r="A597" s="0" t="s">
        <v>267</v>
      </c>
      <c r="B597" s="0" t="s">
        <v>636</v>
      </c>
      <c r="C597" s="0" t="s">
        <v>689</v>
      </c>
      <c r="D597" s="0" t="n">
        <v>3</v>
      </c>
      <c r="E597" s="0" t="n">
        <v>8</v>
      </c>
      <c r="F597" s="0" t="n">
        <v>0</v>
      </c>
      <c r="G597" s="0" t="n">
        <v>11</v>
      </c>
      <c r="H597" s="0" t="n">
        <v>11</v>
      </c>
    </row>
    <row r="598" customFormat="false" ht="15" hidden="false" customHeight="false" outlineLevel="0" collapsed="false">
      <c r="A598" s="0" t="s">
        <v>267</v>
      </c>
      <c r="B598" s="0" t="s">
        <v>601</v>
      </c>
      <c r="C598" s="0" t="s">
        <v>685</v>
      </c>
      <c r="D598" s="0" t="n">
        <v>9</v>
      </c>
      <c r="E598" s="0" t="n">
        <v>11</v>
      </c>
      <c r="F598" s="0" t="n">
        <v>0</v>
      </c>
      <c r="G598" s="0" t="n">
        <v>20</v>
      </c>
      <c r="H598" s="0" t="n">
        <v>20</v>
      </c>
    </row>
    <row r="599" customFormat="false" ht="15" hidden="false" customHeight="false" outlineLevel="0" collapsed="false">
      <c r="A599" s="0" t="s">
        <v>267</v>
      </c>
      <c r="B599" s="0" t="s">
        <v>653</v>
      </c>
      <c r="C599" s="0" t="s">
        <v>690</v>
      </c>
      <c r="D599" s="0" t="n">
        <v>5</v>
      </c>
      <c r="E599" s="0" t="n">
        <v>11</v>
      </c>
      <c r="F599" s="0" t="n">
        <v>0</v>
      </c>
      <c r="G599" s="0" t="n">
        <v>16</v>
      </c>
      <c r="H599" s="0" t="n">
        <v>16</v>
      </c>
    </row>
    <row r="600" customFormat="false" ht="15" hidden="false" customHeight="false" outlineLevel="0" collapsed="false">
      <c r="A600" s="0" t="s">
        <v>267</v>
      </c>
      <c r="B600" s="0" t="s">
        <v>605</v>
      </c>
      <c r="C600" s="0" t="s">
        <v>691</v>
      </c>
      <c r="D600" s="0" t="n">
        <v>6</v>
      </c>
      <c r="E600" s="0" t="n">
        <v>4</v>
      </c>
      <c r="F600" s="0" t="n">
        <v>0</v>
      </c>
      <c r="G600" s="0" t="n">
        <v>10</v>
      </c>
      <c r="H600" s="0" t="n">
        <v>10</v>
      </c>
    </row>
    <row r="601" customFormat="false" ht="15" hidden="false" customHeight="false" outlineLevel="0" collapsed="false">
      <c r="A601" s="0" t="s">
        <v>267</v>
      </c>
      <c r="B601" s="0" t="s">
        <v>605</v>
      </c>
      <c r="C601" s="0" t="s">
        <v>667</v>
      </c>
      <c r="D601" s="0" t="n">
        <v>3</v>
      </c>
      <c r="E601" s="0" t="n">
        <v>0</v>
      </c>
      <c r="F601" s="0" t="n">
        <v>0</v>
      </c>
      <c r="G601" s="0" t="n">
        <v>3</v>
      </c>
      <c r="H601" s="0" t="n">
        <v>3</v>
      </c>
    </row>
    <row r="602" customFormat="false" ht="15" hidden="false" customHeight="false" outlineLevel="0" collapsed="false">
      <c r="A602" s="0" t="s">
        <v>270</v>
      </c>
      <c r="B602" s="0" t="s">
        <v>559</v>
      </c>
      <c r="C602" s="0" t="s">
        <v>639</v>
      </c>
      <c r="D602" s="0" t="n">
        <v>2</v>
      </c>
      <c r="E602" s="0" t="n">
        <v>0</v>
      </c>
      <c r="F602" s="0" t="n">
        <v>0</v>
      </c>
      <c r="G602" s="0" t="n">
        <v>2</v>
      </c>
      <c r="H602" s="0" t="n">
        <v>2</v>
      </c>
    </row>
    <row r="603" customFormat="false" ht="15" hidden="false" customHeight="false" outlineLevel="0" collapsed="false">
      <c r="A603" s="0" t="s">
        <v>270</v>
      </c>
      <c r="B603" s="0" t="s">
        <v>559</v>
      </c>
      <c r="C603" s="0" t="s">
        <v>666</v>
      </c>
      <c r="D603" s="0" t="n">
        <v>2</v>
      </c>
      <c r="E603" s="0" t="n">
        <v>0</v>
      </c>
      <c r="F603" s="0" t="n">
        <v>0</v>
      </c>
      <c r="G603" s="0" t="n">
        <v>2</v>
      </c>
      <c r="H603" s="0" t="n">
        <v>2</v>
      </c>
    </row>
    <row r="604" customFormat="false" ht="15" hidden="false" customHeight="false" outlineLevel="0" collapsed="false">
      <c r="A604" s="0" t="s">
        <v>270</v>
      </c>
      <c r="B604" s="0" t="s">
        <v>681</v>
      </c>
      <c r="C604" s="0" t="s">
        <v>682</v>
      </c>
      <c r="D604" s="0" t="n">
        <v>1</v>
      </c>
      <c r="E604" s="0" t="n">
        <v>1</v>
      </c>
      <c r="F604" s="0" t="n">
        <v>0</v>
      </c>
      <c r="G604" s="0" t="n">
        <v>2</v>
      </c>
      <c r="H604" s="0" t="n">
        <v>2</v>
      </c>
    </row>
    <row r="605" customFormat="false" ht="15" hidden="false" customHeight="false" outlineLevel="0" collapsed="false">
      <c r="A605" s="0" t="s">
        <v>270</v>
      </c>
      <c r="B605" s="0" t="s">
        <v>566</v>
      </c>
      <c r="C605" s="0" t="s">
        <v>683</v>
      </c>
      <c r="D605" s="0" t="n">
        <v>1</v>
      </c>
      <c r="E605" s="0" t="n">
        <v>1</v>
      </c>
      <c r="F605" s="0" t="n">
        <v>0</v>
      </c>
      <c r="G605" s="0" t="n">
        <v>2</v>
      </c>
      <c r="H605" s="0" t="n">
        <v>2</v>
      </c>
    </row>
    <row r="606" customFormat="false" ht="15" hidden="false" customHeight="false" outlineLevel="0" collapsed="false">
      <c r="A606" s="0" t="s">
        <v>270</v>
      </c>
      <c r="B606" s="0" t="s">
        <v>684</v>
      </c>
      <c r="C606" s="0" t="s">
        <v>685</v>
      </c>
      <c r="D606" s="0" t="n">
        <v>5</v>
      </c>
      <c r="E606" s="0" t="n">
        <v>2</v>
      </c>
      <c r="F606" s="0" t="n">
        <v>0</v>
      </c>
      <c r="G606" s="0" t="n">
        <v>7</v>
      </c>
      <c r="H606" s="0" t="n">
        <v>7</v>
      </c>
    </row>
    <row r="607" customFormat="false" ht="15" hidden="false" customHeight="false" outlineLevel="0" collapsed="false">
      <c r="A607" s="0" t="s">
        <v>270</v>
      </c>
      <c r="B607" s="0" t="s">
        <v>581</v>
      </c>
      <c r="C607" s="0" t="s">
        <v>683</v>
      </c>
      <c r="D607" s="0" t="n">
        <v>1</v>
      </c>
      <c r="E607" s="0" t="n">
        <v>3</v>
      </c>
      <c r="F607" s="0" t="n">
        <v>3</v>
      </c>
      <c r="G607" s="0" t="n">
        <v>4</v>
      </c>
      <c r="H607" s="0" t="n">
        <v>7</v>
      </c>
    </row>
    <row r="608" customFormat="false" ht="15" hidden="false" customHeight="false" outlineLevel="0" collapsed="false">
      <c r="A608" s="0" t="s">
        <v>270</v>
      </c>
      <c r="B608" s="0" t="s">
        <v>627</v>
      </c>
      <c r="C608" s="0" t="s">
        <v>686</v>
      </c>
      <c r="D608" s="0" t="n">
        <v>2</v>
      </c>
      <c r="E608" s="0" t="n">
        <v>3</v>
      </c>
      <c r="F608" s="0" t="n">
        <v>0</v>
      </c>
      <c r="G608" s="0" t="n">
        <v>5</v>
      </c>
      <c r="H608" s="0" t="n">
        <v>5</v>
      </c>
    </row>
    <row r="609" customFormat="false" ht="15" hidden="false" customHeight="false" outlineLevel="0" collapsed="false">
      <c r="A609" s="0" t="s">
        <v>270</v>
      </c>
      <c r="B609" s="0" t="s">
        <v>634</v>
      </c>
      <c r="C609" s="0" t="s">
        <v>682</v>
      </c>
      <c r="D609" s="0" t="n">
        <v>3</v>
      </c>
      <c r="E609" s="0" t="n">
        <v>7</v>
      </c>
      <c r="F609" s="0" t="n">
        <v>0</v>
      </c>
      <c r="G609" s="0" t="n">
        <v>10</v>
      </c>
      <c r="H609" s="0" t="n">
        <v>10</v>
      </c>
    </row>
    <row r="610" customFormat="false" ht="15" hidden="false" customHeight="false" outlineLevel="0" collapsed="false">
      <c r="A610" s="0" t="s">
        <v>270</v>
      </c>
      <c r="B610" s="0" t="s">
        <v>687</v>
      </c>
      <c r="C610" s="0" t="s">
        <v>683</v>
      </c>
      <c r="D610" s="0" t="n">
        <v>2</v>
      </c>
      <c r="E610" s="0" t="n">
        <v>1</v>
      </c>
      <c r="F610" s="0" t="n">
        <v>0</v>
      </c>
      <c r="G610" s="0" t="n">
        <v>3</v>
      </c>
      <c r="H610" s="0" t="n">
        <v>3</v>
      </c>
    </row>
    <row r="611" customFormat="false" ht="15" hidden="false" customHeight="false" outlineLevel="0" collapsed="false">
      <c r="A611" s="0" t="s">
        <v>270</v>
      </c>
      <c r="B611" s="0" t="s">
        <v>584</v>
      </c>
      <c r="C611" s="0" t="s">
        <v>688</v>
      </c>
      <c r="D611" s="0" t="n">
        <v>5</v>
      </c>
      <c r="E611" s="0" t="n">
        <v>1</v>
      </c>
      <c r="F611" s="0" t="n">
        <v>2</v>
      </c>
      <c r="G611" s="0" t="n">
        <v>6</v>
      </c>
      <c r="H611" s="0" t="n">
        <v>8</v>
      </c>
    </row>
    <row r="612" customFormat="false" ht="15" hidden="false" customHeight="false" outlineLevel="0" collapsed="false">
      <c r="A612" s="0" t="s">
        <v>270</v>
      </c>
      <c r="B612" s="0" t="s">
        <v>636</v>
      </c>
      <c r="C612" s="0" t="s">
        <v>689</v>
      </c>
      <c r="D612" s="0" t="n">
        <v>1</v>
      </c>
      <c r="E612" s="0" t="n">
        <v>1</v>
      </c>
      <c r="F612" s="0" t="n">
        <v>0</v>
      </c>
      <c r="G612" s="0" t="n">
        <v>2</v>
      </c>
      <c r="H612" s="0" t="n">
        <v>2</v>
      </c>
    </row>
    <row r="613" customFormat="false" ht="15" hidden="false" customHeight="false" outlineLevel="0" collapsed="false">
      <c r="A613" s="0" t="s">
        <v>270</v>
      </c>
      <c r="B613" s="0" t="s">
        <v>601</v>
      </c>
      <c r="C613" s="0" t="s">
        <v>685</v>
      </c>
      <c r="D613" s="0" t="n">
        <v>1</v>
      </c>
      <c r="E613" s="0" t="n">
        <v>5</v>
      </c>
      <c r="F613" s="0" t="n">
        <v>0</v>
      </c>
      <c r="G613" s="0" t="n">
        <v>6</v>
      </c>
      <c r="H613" s="0" t="n">
        <v>6</v>
      </c>
    </row>
    <row r="614" customFormat="false" ht="15" hidden="false" customHeight="false" outlineLevel="0" collapsed="false">
      <c r="A614" s="0" t="s">
        <v>270</v>
      </c>
      <c r="B614" s="0" t="s">
        <v>653</v>
      </c>
      <c r="C614" s="0" t="s">
        <v>690</v>
      </c>
      <c r="D614" s="0" t="n">
        <v>7</v>
      </c>
      <c r="E614" s="0" t="n">
        <v>4</v>
      </c>
      <c r="F614" s="0" t="n">
        <v>0</v>
      </c>
      <c r="G614" s="0" t="n">
        <v>11</v>
      </c>
      <c r="H614" s="0" t="n">
        <v>11</v>
      </c>
    </row>
    <row r="615" customFormat="false" ht="15" hidden="false" customHeight="false" outlineLevel="0" collapsed="false">
      <c r="A615" s="0" t="s">
        <v>270</v>
      </c>
      <c r="B615" s="0" t="s">
        <v>605</v>
      </c>
      <c r="C615" s="0" t="s">
        <v>691</v>
      </c>
      <c r="D615" s="0" t="n">
        <v>1</v>
      </c>
      <c r="E615" s="0" t="n">
        <v>3</v>
      </c>
      <c r="F615" s="0" t="n">
        <v>0</v>
      </c>
      <c r="G615" s="0" t="n">
        <v>4</v>
      </c>
      <c r="H615" s="0" t="n">
        <v>4</v>
      </c>
    </row>
    <row r="616" customFormat="false" ht="15" hidden="false" customHeight="false" outlineLevel="0" collapsed="false">
      <c r="A616" s="0" t="s">
        <v>270</v>
      </c>
      <c r="B616" s="0" t="s">
        <v>605</v>
      </c>
      <c r="C616" s="0" t="s">
        <v>667</v>
      </c>
      <c r="D616" s="0" t="n">
        <v>1</v>
      </c>
      <c r="E616" s="0" t="n">
        <v>0</v>
      </c>
      <c r="F616" s="0" t="n">
        <v>0</v>
      </c>
      <c r="G616" s="0" t="n">
        <v>1</v>
      </c>
      <c r="H616" s="0" t="n">
        <v>1</v>
      </c>
    </row>
    <row r="617" customFormat="false" ht="15" hidden="false" customHeight="false" outlineLevel="0" collapsed="false">
      <c r="A617" s="0" t="s">
        <v>272</v>
      </c>
      <c r="B617" s="0" t="s">
        <v>559</v>
      </c>
      <c r="C617" s="0" t="s">
        <v>639</v>
      </c>
      <c r="D617" s="0" t="n">
        <v>2</v>
      </c>
      <c r="E617" s="0" t="n">
        <v>0</v>
      </c>
      <c r="F617" s="0" t="n">
        <v>0</v>
      </c>
      <c r="G617" s="0" t="n">
        <v>2</v>
      </c>
      <c r="H617" s="0" t="n">
        <v>2</v>
      </c>
    </row>
    <row r="618" customFormat="false" ht="15" hidden="false" customHeight="false" outlineLevel="0" collapsed="false">
      <c r="A618" s="0" t="s">
        <v>272</v>
      </c>
      <c r="B618" s="0" t="s">
        <v>559</v>
      </c>
      <c r="C618" s="0" t="s">
        <v>666</v>
      </c>
      <c r="D618" s="0" t="n">
        <v>2</v>
      </c>
      <c r="E618" s="0" t="n">
        <v>0</v>
      </c>
      <c r="F618" s="0" t="n">
        <v>0</v>
      </c>
      <c r="G618" s="0" t="n">
        <v>2</v>
      </c>
      <c r="H618" s="0" t="n">
        <v>2</v>
      </c>
    </row>
    <row r="619" customFormat="false" ht="15" hidden="false" customHeight="false" outlineLevel="0" collapsed="false">
      <c r="A619" s="0" t="s">
        <v>272</v>
      </c>
      <c r="B619" s="0" t="s">
        <v>681</v>
      </c>
      <c r="C619" s="0" t="s">
        <v>682</v>
      </c>
      <c r="D619" s="0" t="n">
        <v>2</v>
      </c>
      <c r="E619" s="0" t="n">
        <v>0</v>
      </c>
      <c r="F619" s="0" t="n">
        <v>5</v>
      </c>
      <c r="G619" s="0" t="n">
        <v>2</v>
      </c>
      <c r="H619" s="0" t="n">
        <v>7</v>
      </c>
    </row>
    <row r="620" customFormat="false" ht="15" hidden="false" customHeight="false" outlineLevel="0" collapsed="false">
      <c r="A620" s="0" t="s">
        <v>272</v>
      </c>
      <c r="B620" s="0" t="s">
        <v>566</v>
      </c>
      <c r="C620" s="0" t="s">
        <v>683</v>
      </c>
      <c r="D620" s="0" t="n">
        <v>3</v>
      </c>
      <c r="E620" s="0" t="n">
        <v>4</v>
      </c>
      <c r="F620" s="0" t="n">
        <v>6</v>
      </c>
      <c r="G620" s="0" t="n">
        <v>7</v>
      </c>
      <c r="H620" s="0" t="n">
        <v>13</v>
      </c>
    </row>
    <row r="621" customFormat="false" ht="15" hidden="false" customHeight="false" outlineLevel="0" collapsed="false">
      <c r="A621" s="0" t="s">
        <v>272</v>
      </c>
      <c r="B621" s="0" t="s">
        <v>684</v>
      </c>
      <c r="C621" s="0" t="s">
        <v>685</v>
      </c>
      <c r="D621" s="0" t="n">
        <v>2</v>
      </c>
      <c r="E621" s="0" t="n">
        <v>4</v>
      </c>
      <c r="F621" s="0" t="n">
        <v>2</v>
      </c>
      <c r="G621" s="0" t="n">
        <v>6</v>
      </c>
      <c r="H621" s="0" t="n">
        <v>8</v>
      </c>
    </row>
    <row r="622" customFormat="false" ht="15" hidden="false" customHeight="false" outlineLevel="0" collapsed="false">
      <c r="A622" s="0" t="s">
        <v>272</v>
      </c>
      <c r="B622" s="0" t="s">
        <v>581</v>
      </c>
      <c r="C622" s="0" t="s">
        <v>683</v>
      </c>
      <c r="D622" s="0" t="n">
        <v>1</v>
      </c>
      <c r="E622" s="0" t="n">
        <v>3</v>
      </c>
      <c r="F622" s="0" t="n">
        <v>0</v>
      </c>
      <c r="G622" s="0" t="n">
        <v>4</v>
      </c>
      <c r="H622" s="0" t="n">
        <v>4</v>
      </c>
    </row>
    <row r="623" customFormat="false" ht="15" hidden="false" customHeight="false" outlineLevel="0" collapsed="false">
      <c r="A623" s="0" t="s">
        <v>272</v>
      </c>
      <c r="B623" s="0" t="s">
        <v>627</v>
      </c>
      <c r="C623" s="0" t="s">
        <v>686</v>
      </c>
      <c r="D623" s="0" t="n">
        <v>7</v>
      </c>
      <c r="E623" s="0" t="n">
        <v>5</v>
      </c>
      <c r="F623" s="0" t="n">
        <v>0</v>
      </c>
      <c r="G623" s="0" t="n">
        <v>12</v>
      </c>
      <c r="H623" s="0" t="n">
        <v>12</v>
      </c>
    </row>
    <row r="624" customFormat="false" ht="15" hidden="false" customHeight="false" outlineLevel="0" collapsed="false">
      <c r="A624" s="0" t="s">
        <v>272</v>
      </c>
      <c r="B624" s="0" t="s">
        <v>634</v>
      </c>
      <c r="C624" s="0" t="s">
        <v>682</v>
      </c>
      <c r="D624" s="0" t="n">
        <v>7</v>
      </c>
      <c r="E624" s="0" t="n">
        <v>4</v>
      </c>
      <c r="F624" s="0" t="n">
        <v>0</v>
      </c>
      <c r="G624" s="0" t="n">
        <v>11</v>
      </c>
      <c r="H624" s="0" t="n">
        <v>11</v>
      </c>
    </row>
    <row r="625" customFormat="false" ht="15" hidden="false" customHeight="false" outlineLevel="0" collapsed="false">
      <c r="A625" s="0" t="s">
        <v>272</v>
      </c>
      <c r="B625" s="0" t="s">
        <v>687</v>
      </c>
      <c r="C625" s="0" t="s">
        <v>683</v>
      </c>
      <c r="D625" s="0" t="n">
        <v>2</v>
      </c>
      <c r="E625" s="0" t="n">
        <v>2</v>
      </c>
      <c r="F625" s="0" t="n">
        <v>0</v>
      </c>
      <c r="G625" s="0" t="n">
        <v>4</v>
      </c>
      <c r="H625" s="0" t="n">
        <v>4</v>
      </c>
    </row>
    <row r="626" customFormat="false" ht="15" hidden="false" customHeight="false" outlineLevel="0" collapsed="false">
      <c r="A626" s="0" t="s">
        <v>272</v>
      </c>
      <c r="B626" s="0" t="s">
        <v>605</v>
      </c>
      <c r="C626" s="0" t="s">
        <v>691</v>
      </c>
      <c r="D626" s="0" t="n">
        <v>4</v>
      </c>
      <c r="E626" s="0" t="n">
        <v>1</v>
      </c>
      <c r="F626" s="0" t="n">
        <v>0</v>
      </c>
      <c r="G626" s="0" t="n">
        <v>5</v>
      </c>
      <c r="H626" s="0" t="n">
        <v>5</v>
      </c>
    </row>
    <row r="627" customFormat="false" ht="15" hidden="false" customHeight="false" outlineLevel="0" collapsed="false">
      <c r="A627" s="0" t="s">
        <v>272</v>
      </c>
      <c r="B627" s="0" t="s">
        <v>605</v>
      </c>
      <c r="C627" s="0" t="s">
        <v>667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0</v>
      </c>
    </row>
    <row r="628" customFormat="false" ht="15" hidden="false" customHeight="false" outlineLevel="0" collapsed="false">
      <c r="A628" s="0" t="s">
        <v>272</v>
      </c>
      <c r="B628" s="0" t="s">
        <v>607</v>
      </c>
      <c r="C628" s="0" t="s">
        <v>97</v>
      </c>
      <c r="D628" s="0" t="n">
        <v>4</v>
      </c>
      <c r="E628" s="0" t="n">
        <v>1</v>
      </c>
      <c r="F628" s="0" t="n">
        <v>4</v>
      </c>
      <c r="G628" s="0" t="n">
        <v>5</v>
      </c>
      <c r="H628" s="0" t="n">
        <v>9</v>
      </c>
    </row>
    <row r="629" customFormat="false" ht="15" hidden="false" customHeight="false" outlineLevel="0" collapsed="false">
      <c r="A629" s="0" t="s">
        <v>272</v>
      </c>
      <c r="B629" s="0" t="s">
        <v>608</v>
      </c>
      <c r="C629" s="0" t="s">
        <v>109</v>
      </c>
      <c r="D629" s="0" t="n">
        <v>4</v>
      </c>
      <c r="E629" s="0" t="n">
        <v>6</v>
      </c>
      <c r="F629" s="0" t="n">
        <v>3</v>
      </c>
      <c r="G629" s="0" t="n">
        <v>10</v>
      </c>
      <c r="H629" s="0" t="n">
        <v>13</v>
      </c>
    </row>
    <row r="630" customFormat="false" ht="15" hidden="false" customHeight="false" outlineLevel="0" collapsed="false">
      <c r="A630" s="0" t="s">
        <v>272</v>
      </c>
      <c r="B630" s="0" t="s">
        <v>611</v>
      </c>
      <c r="C630" s="0" t="s">
        <v>666</v>
      </c>
      <c r="D630" s="0" t="n">
        <v>3</v>
      </c>
      <c r="E630" s="0" t="n">
        <v>1</v>
      </c>
      <c r="F630" s="0" t="n">
        <v>4</v>
      </c>
      <c r="G630" s="0" t="n">
        <v>4</v>
      </c>
      <c r="H630" s="0" t="n">
        <v>8</v>
      </c>
    </row>
    <row r="631" customFormat="false" ht="15" hidden="false" customHeight="false" outlineLevel="0" collapsed="false">
      <c r="A631" s="0" t="s">
        <v>272</v>
      </c>
      <c r="B631" s="0" t="s">
        <v>692</v>
      </c>
      <c r="C631" s="0" t="s">
        <v>678</v>
      </c>
      <c r="D631" s="0" t="n">
        <v>1</v>
      </c>
      <c r="E631" s="0" t="n">
        <v>2</v>
      </c>
      <c r="F631" s="0" t="n">
        <v>1</v>
      </c>
      <c r="G631" s="0" t="n">
        <v>3</v>
      </c>
      <c r="H631" s="0" t="n">
        <v>4</v>
      </c>
    </row>
    <row r="632" customFormat="false" ht="15" hidden="false" customHeight="false" outlineLevel="0" collapsed="false">
      <c r="A632" s="0" t="s">
        <v>275</v>
      </c>
      <c r="B632" s="0" t="s">
        <v>559</v>
      </c>
      <c r="C632" s="0" t="s">
        <v>639</v>
      </c>
      <c r="D632" s="0" t="n">
        <v>6</v>
      </c>
      <c r="E632" s="0" t="n">
        <v>0</v>
      </c>
      <c r="F632" s="0" t="n">
        <v>0</v>
      </c>
      <c r="G632" s="0" t="n">
        <v>6</v>
      </c>
      <c r="H632" s="0" t="n">
        <v>6</v>
      </c>
    </row>
    <row r="633" customFormat="false" ht="15" hidden="false" customHeight="false" outlineLevel="0" collapsed="false">
      <c r="A633" s="0" t="s">
        <v>275</v>
      </c>
      <c r="B633" s="0" t="s">
        <v>559</v>
      </c>
      <c r="C633" s="0" t="s">
        <v>666</v>
      </c>
      <c r="D633" s="0" t="n">
        <v>2</v>
      </c>
      <c r="E633" s="0" t="n">
        <v>0</v>
      </c>
      <c r="F633" s="0" t="n">
        <v>0</v>
      </c>
      <c r="G633" s="0" t="n">
        <v>2</v>
      </c>
      <c r="H633" s="0" t="n">
        <v>2</v>
      </c>
    </row>
    <row r="634" customFormat="false" ht="15" hidden="false" customHeight="false" outlineLevel="0" collapsed="false">
      <c r="A634" s="0" t="s">
        <v>275</v>
      </c>
      <c r="B634" s="0" t="s">
        <v>681</v>
      </c>
      <c r="C634" s="0" t="s">
        <v>682</v>
      </c>
      <c r="D634" s="0" t="n">
        <v>6</v>
      </c>
      <c r="E634" s="0" t="n">
        <v>4</v>
      </c>
      <c r="F634" s="0" t="n">
        <v>6</v>
      </c>
      <c r="G634" s="0" t="n">
        <v>10</v>
      </c>
      <c r="H634" s="0" t="n">
        <v>16</v>
      </c>
    </row>
    <row r="635" customFormat="false" ht="15" hidden="false" customHeight="false" outlineLevel="0" collapsed="false">
      <c r="A635" s="0" t="s">
        <v>275</v>
      </c>
      <c r="B635" s="0" t="s">
        <v>566</v>
      </c>
      <c r="C635" s="0" t="s">
        <v>683</v>
      </c>
      <c r="D635" s="0" t="n">
        <v>0</v>
      </c>
      <c r="E635" s="0" t="n">
        <v>10</v>
      </c>
      <c r="F635" s="0" t="n">
        <v>4</v>
      </c>
      <c r="G635" s="0" t="n">
        <v>10</v>
      </c>
      <c r="H635" s="0" t="n">
        <v>14</v>
      </c>
    </row>
    <row r="636" customFormat="false" ht="15" hidden="false" customHeight="false" outlineLevel="0" collapsed="false">
      <c r="A636" s="0" t="s">
        <v>275</v>
      </c>
      <c r="B636" s="0" t="s">
        <v>684</v>
      </c>
      <c r="C636" s="0" t="s">
        <v>685</v>
      </c>
      <c r="D636" s="0" t="n">
        <v>2</v>
      </c>
      <c r="E636" s="0" t="n">
        <v>12</v>
      </c>
      <c r="F636" s="0" t="n">
        <v>1</v>
      </c>
      <c r="G636" s="0" t="n">
        <v>14</v>
      </c>
      <c r="H636" s="0" t="n">
        <v>15</v>
      </c>
    </row>
    <row r="637" customFormat="false" ht="15" hidden="false" customHeight="false" outlineLevel="0" collapsed="false">
      <c r="A637" s="0" t="s">
        <v>275</v>
      </c>
      <c r="B637" s="0" t="s">
        <v>581</v>
      </c>
      <c r="C637" s="0" t="s">
        <v>683</v>
      </c>
      <c r="D637" s="0" t="n">
        <v>3</v>
      </c>
      <c r="E637" s="0" t="n">
        <v>7</v>
      </c>
      <c r="F637" s="0" t="n">
        <v>0</v>
      </c>
      <c r="G637" s="0" t="n">
        <v>10</v>
      </c>
      <c r="H637" s="0" t="n">
        <v>10</v>
      </c>
    </row>
    <row r="638" customFormat="false" ht="15" hidden="false" customHeight="false" outlineLevel="0" collapsed="false">
      <c r="A638" s="0" t="s">
        <v>275</v>
      </c>
      <c r="B638" s="0" t="s">
        <v>627</v>
      </c>
      <c r="C638" s="0" t="s">
        <v>686</v>
      </c>
      <c r="D638" s="0" t="n">
        <v>3</v>
      </c>
      <c r="E638" s="0" t="n">
        <v>13</v>
      </c>
      <c r="F638" s="0" t="n">
        <v>0</v>
      </c>
      <c r="G638" s="0" t="n">
        <v>16</v>
      </c>
      <c r="H638" s="0" t="n">
        <v>16</v>
      </c>
    </row>
    <row r="639" customFormat="false" ht="15" hidden="false" customHeight="false" outlineLevel="0" collapsed="false">
      <c r="A639" s="0" t="s">
        <v>275</v>
      </c>
      <c r="B639" s="0" t="s">
        <v>634</v>
      </c>
      <c r="C639" s="0" t="s">
        <v>682</v>
      </c>
      <c r="D639" s="0" t="n">
        <v>4</v>
      </c>
      <c r="E639" s="0" t="n">
        <v>3</v>
      </c>
      <c r="F639" s="0" t="n">
        <v>0</v>
      </c>
      <c r="G639" s="0" t="n">
        <v>7</v>
      </c>
      <c r="H639" s="0" t="n">
        <v>7</v>
      </c>
    </row>
    <row r="640" customFormat="false" ht="15" hidden="false" customHeight="false" outlineLevel="0" collapsed="false">
      <c r="A640" s="0" t="s">
        <v>275</v>
      </c>
      <c r="B640" s="0" t="s">
        <v>687</v>
      </c>
      <c r="C640" s="0" t="s">
        <v>683</v>
      </c>
      <c r="D640" s="0" t="n">
        <v>7</v>
      </c>
      <c r="E640" s="0" t="n">
        <v>1</v>
      </c>
      <c r="F640" s="0" t="n">
        <v>0</v>
      </c>
      <c r="G640" s="0" t="n">
        <v>8</v>
      </c>
      <c r="H640" s="0" t="n">
        <v>8</v>
      </c>
    </row>
    <row r="641" customFormat="false" ht="15" hidden="false" customHeight="false" outlineLevel="0" collapsed="false">
      <c r="A641" s="0" t="s">
        <v>275</v>
      </c>
      <c r="B641" s="0" t="s">
        <v>584</v>
      </c>
      <c r="C641" s="0" t="s">
        <v>688</v>
      </c>
      <c r="D641" s="0" t="n">
        <v>8</v>
      </c>
      <c r="E641" s="0" t="n">
        <v>2</v>
      </c>
      <c r="F641" s="0" t="n">
        <v>7</v>
      </c>
      <c r="G641" s="0" t="n">
        <v>10</v>
      </c>
      <c r="H641" s="0" t="n">
        <v>17</v>
      </c>
    </row>
    <row r="642" customFormat="false" ht="15" hidden="false" customHeight="false" outlineLevel="0" collapsed="false">
      <c r="A642" s="0" t="s">
        <v>275</v>
      </c>
      <c r="B642" s="0" t="s">
        <v>636</v>
      </c>
      <c r="C642" s="0" t="s">
        <v>689</v>
      </c>
      <c r="D642" s="0" t="n">
        <v>1</v>
      </c>
      <c r="E642" s="0" t="n">
        <v>4</v>
      </c>
      <c r="F642" s="0" t="n">
        <v>0</v>
      </c>
      <c r="G642" s="0" t="n">
        <v>5</v>
      </c>
      <c r="H642" s="0" t="n">
        <v>5</v>
      </c>
    </row>
    <row r="643" customFormat="false" ht="15" hidden="false" customHeight="false" outlineLevel="0" collapsed="false">
      <c r="A643" s="0" t="s">
        <v>275</v>
      </c>
      <c r="B643" s="0" t="s">
        <v>601</v>
      </c>
      <c r="C643" s="0" t="s">
        <v>685</v>
      </c>
      <c r="D643" s="0" t="n">
        <v>7</v>
      </c>
      <c r="E643" s="0" t="n">
        <v>5</v>
      </c>
      <c r="F643" s="0" t="n">
        <v>0</v>
      </c>
      <c r="G643" s="0" t="n">
        <v>12</v>
      </c>
      <c r="H643" s="0" t="n">
        <v>12</v>
      </c>
    </row>
    <row r="644" customFormat="false" ht="15" hidden="false" customHeight="false" outlineLevel="0" collapsed="false">
      <c r="A644" s="0" t="s">
        <v>275</v>
      </c>
      <c r="B644" s="0" t="s">
        <v>653</v>
      </c>
      <c r="C644" s="0" t="s">
        <v>690</v>
      </c>
      <c r="D644" s="0" t="n">
        <v>4</v>
      </c>
      <c r="E644" s="0" t="n">
        <v>5</v>
      </c>
      <c r="F644" s="0" t="n">
        <v>0</v>
      </c>
      <c r="G644" s="0" t="n">
        <v>9</v>
      </c>
      <c r="H644" s="0" t="n">
        <v>9</v>
      </c>
    </row>
    <row r="645" customFormat="false" ht="15" hidden="false" customHeight="false" outlineLevel="0" collapsed="false">
      <c r="A645" s="0" t="s">
        <v>275</v>
      </c>
      <c r="B645" s="0" t="s">
        <v>605</v>
      </c>
      <c r="C645" s="0" t="s">
        <v>691</v>
      </c>
      <c r="D645" s="0" t="n">
        <v>1</v>
      </c>
      <c r="E645" s="0" t="n">
        <v>8</v>
      </c>
      <c r="F645" s="0" t="n">
        <v>0</v>
      </c>
      <c r="G645" s="0" t="n">
        <v>9</v>
      </c>
      <c r="H645" s="0" t="n">
        <v>9</v>
      </c>
    </row>
    <row r="646" customFormat="false" ht="15" hidden="false" customHeight="false" outlineLevel="0" collapsed="false">
      <c r="A646" s="0" t="s">
        <v>275</v>
      </c>
      <c r="B646" s="0" t="s">
        <v>605</v>
      </c>
      <c r="C646" s="0" t="s">
        <v>667</v>
      </c>
      <c r="D646" s="0" t="n">
        <v>2</v>
      </c>
      <c r="E646" s="0" t="n">
        <v>0</v>
      </c>
      <c r="F646" s="0" t="n">
        <v>0</v>
      </c>
      <c r="G646" s="0" t="n">
        <v>2</v>
      </c>
      <c r="H646" s="0" t="n">
        <v>2</v>
      </c>
    </row>
    <row r="647" customFormat="false" ht="15" hidden="false" customHeight="false" outlineLevel="0" collapsed="false">
      <c r="A647" s="0" t="s">
        <v>247</v>
      </c>
      <c r="B647" s="0" t="s">
        <v>559</v>
      </c>
      <c r="C647" s="0" t="s">
        <v>693</v>
      </c>
      <c r="D647" s="0" t="n">
        <v>7</v>
      </c>
      <c r="E647" s="0" t="n">
        <v>0</v>
      </c>
      <c r="F647" s="0" t="n">
        <v>0</v>
      </c>
      <c r="G647" s="0" t="n">
        <v>7</v>
      </c>
      <c r="H647" s="0" t="n">
        <v>7</v>
      </c>
    </row>
    <row r="648" customFormat="false" ht="15" hidden="false" customHeight="false" outlineLevel="0" collapsed="false">
      <c r="A648" s="0" t="s">
        <v>247</v>
      </c>
      <c r="B648" s="0" t="s">
        <v>561</v>
      </c>
      <c r="C648" s="0" t="s">
        <v>678</v>
      </c>
      <c r="D648" s="0" t="n">
        <v>2</v>
      </c>
      <c r="E648" s="0" t="n">
        <v>0</v>
      </c>
      <c r="F648" s="0" t="n">
        <v>0</v>
      </c>
      <c r="G648" s="0" t="n">
        <v>2</v>
      </c>
      <c r="H648" s="0" t="n">
        <v>2</v>
      </c>
    </row>
    <row r="649" customFormat="false" ht="15" hidden="false" customHeight="false" outlineLevel="0" collapsed="false">
      <c r="A649" s="0" t="s">
        <v>247</v>
      </c>
      <c r="B649" s="0" t="s">
        <v>579</v>
      </c>
      <c r="C649" s="0" t="s">
        <v>109</v>
      </c>
      <c r="D649" s="0" t="n">
        <v>0</v>
      </c>
      <c r="E649" s="0" t="n">
        <v>2</v>
      </c>
      <c r="F649" s="0" t="n">
        <v>1</v>
      </c>
      <c r="G649" s="0" t="n">
        <v>2</v>
      </c>
      <c r="H649" s="0" t="n">
        <v>3</v>
      </c>
    </row>
    <row r="650" customFormat="false" ht="15" hidden="false" customHeight="false" outlineLevel="0" collapsed="false">
      <c r="A650" s="0" t="s">
        <v>247</v>
      </c>
      <c r="B650" s="0" t="s">
        <v>581</v>
      </c>
      <c r="C650" s="0" t="s">
        <v>639</v>
      </c>
      <c r="D650" s="0" t="n">
        <v>5</v>
      </c>
      <c r="E650" s="0" t="n">
        <v>0</v>
      </c>
      <c r="F650" s="0" t="n">
        <v>10</v>
      </c>
      <c r="G650" s="0" t="n">
        <v>5</v>
      </c>
      <c r="H650" s="0" t="n">
        <v>15</v>
      </c>
    </row>
    <row r="651" customFormat="false" ht="15" hidden="false" customHeight="false" outlineLevel="0" collapsed="false">
      <c r="A651" s="0" t="s">
        <v>247</v>
      </c>
      <c r="B651" s="0" t="s">
        <v>694</v>
      </c>
      <c r="C651" s="0" t="s">
        <v>649</v>
      </c>
      <c r="D651" s="0" t="n">
        <v>1</v>
      </c>
      <c r="E651" s="0" t="n">
        <v>1</v>
      </c>
      <c r="F651" s="0" t="n">
        <v>3</v>
      </c>
      <c r="G651" s="0" t="n">
        <v>2</v>
      </c>
      <c r="H651" s="0" t="n">
        <v>5</v>
      </c>
    </row>
    <row r="652" customFormat="false" ht="15" hidden="false" customHeight="false" outlineLevel="0" collapsed="false">
      <c r="A652" s="0" t="s">
        <v>247</v>
      </c>
      <c r="B652" s="0" t="s">
        <v>619</v>
      </c>
      <c r="C652" s="0" t="s">
        <v>643</v>
      </c>
      <c r="D652" s="0" t="n">
        <v>4</v>
      </c>
      <c r="E652" s="0" t="n">
        <v>0</v>
      </c>
      <c r="F652" s="0" t="n">
        <v>4</v>
      </c>
      <c r="G652" s="0" t="n">
        <v>4</v>
      </c>
      <c r="H652" s="0" t="n">
        <v>8</v>
      </c>
    </row>
    <row r="653" customFormat="false" ht="15" hidden="false" customHeight="false" outlineLevel="0" collapsed="false">
      <c r="A653" s="0" t="s">
        <v>247</v>
      </c>
      <c r="B653" s="0" t="s">
        <v>634</v>
      </c>
      <c r="C653" s="0" t="s">
        <v>650</v>
      </c>
      <c r="D653" s="0" t="n">
        <v>3</v>
      </c>
      <c r="E653" s="0" t="n">
        <v>1</v>
      </c>
      <c r="F653" s="0" t="n">
        <v>0</v>
      </c>
      <c r="G653" s="0" t="n">
        <v>4</v>
      </c>
      <c r="H653" s="0" t="n">
        <v>4</v>
      </c>
    </row>
    <row r="654" customFormat="false" ht="15" hidden="false" customHeight="false" outlineLevel="0" collapsed="false">
      <c r="A654" s="0" t="s">
        <v>247</v>
      </c>
      <c r="B654" s="0" t="s">
        <v>593</v>
      </c>
      <c r="C654" s="0" t="s">
        <v>651</v>
      </c>
      <c r="D654" s="0" t="n">
        <v>2</v>
      </c>
      <c r="E654" s="0" t="n">
        <v>2</v>
      </c>
      <c r="F654" s="0" t="n">
        <v>0</v>
      </c>
      <c r="G654" s="0" t="n">
        <v>4</v>
      </c>
      <c r="H654" s="0" t="n">
        <v>4</v>
      </c>
    </row>
    <row r="655" customFormat="false" ht="15" hidden="false" customHeight="false" outlineLevel="0" collapsed="false">
      <c r="A655" s="0" t="s">
        <v>247</v>
      </c>
      <c r="B655" s="0" t="s">
        <v>584</v>
      </c>
      <c r="C655" s="0" t="s">
        <v>649</v>
      </c>
      <c r="D655" s="0" t="n">
        <v>3</v>
      </c>
      <c r="E655" s="0" t="n">
        <v>2</v>
      </c>
      <c r="F655" s="0" t="n">
        <v>0</v>
      </c>
      <c r="G655" s="0" t="n">
        <v>5</v>
      </c>
      <c r="H655" s="0" t="n">
        <v>5</v>
      </c>
    </row>
    <row r="656" customFormat="false" ht="15" hidden="false" customHeight="false" outlineLevel="0" collapsed="false">
      <c r="A656" s="0" t="s">
        <v>247</v>
      </c>
      <c r="B656" s="0" t="s">
        <v>665</v>
      </c>
      <c r="C656" s="0" t="s">
        <v>645</v>
      </c>
      <c r="D656" s="0" t="n">
        <v>1</v>
      </c>
      <c r="E656" s="0" t="n">
        <v>4</v>
      </c>
      <c r="F656" s="0" t="n">
        <v>0</v>
      </c>
      <c r="G656" s="0" t="n">
        <v>5</v>
      </c>
      <c r="H656" s="0" t="n">
        <v>5</v>
      </c>
    </row>
    <row r="657" customFormat="false" ht="15" hidden="false" customHeight="false" outlineLevel="0" collapsed="false">
      <c r="A657" s="0" t="s">
        <v>247</v>
      </c>
      <c r="B657" s="0" t="s">
        <v>601</v>
      </c>
      <c r="C657" s="0" t="s">
        <v>646</v>
      </c>
      <c r="D657" s="0" t="n">
        <v>3</v>
      </c>
      <c r="E657" s="0" t="n">
        <v>3</v>
      </c>
      <c r="F657" s="0" t="n">
        <v>8</v>
      </c>
      <c r="G657" s="0" t="n">
        <v>6</v>
      </c>
      <c r="H657" s="0" t="n">
        <v>14</v>
      </c>
    </row>
    <row r="658" customFormat="false" ht="15" hidden="false" customHeight="false" outlineLevel="0" collapsed="false">
      <c r="A658" s="0" t="s">
        <v>247</v>
      </c>
      <c r="B658" s="0" t="s">
        <v>602</v>
      </c>
      <c r="C658" s="0" t="s">
        <v>647</v>
      </c>
      <c r="D658" s="0" t="n">
        <v>4</v>
      </c>
      <c r="E658" s="0" t="n">
        <v>7</v>
      </c>
      <c r="F658" s="0" t="n">
        <v>5</v>
      </c>
      <c r="G658" s="0" t="n">
        <v>11</v>
      </c>
      <c r="H658" s="0" t="n">
        <v>16</v>
      </c>
    </row>
    <row r="659" customFormat="false" ht="15" hidden="false" customHeight="false" outlineLevel="0" collapsed="false">
      <c r="A659" s="0" t="s">
        <v>247</v>
      </c>
      <c r="B659" s="0" t="s">
        <v>652</v>
      </c>
      <c r="C659" s="0" t="s">
        <v>643</v>
      </c>
      <c r="D659" s="0" t="n">
        <v>3</v>
      </c>
      <c r="E659" s="0" t="n">
        <v>3</v>
      </c>
      <c r="F659" s="0" t="n">
        <v>2</v>
      </c>
      <c r="G659" s="0" t="n">
        <v>6</v>
      </c>
      <c r="H659" s="0" t="n">
        <v>8</v>
      </c>
    </row>
    <row r="660" customFormat="false" ht="15" hidden="false" customHeight="false" outlineLevel="0" collapsed="false">
      <c r="A660" s="0" t="s">
        <v>247</v>
      </c>
      <c r="B660" s="0" t="s">
        <v>653</v>
      </c>
      <c r="C660" s="0" t="s">
        <v>639</v>
      </c>
      <c r="D660" s="0" t="n">
        <v>2</v>
      </c>
      <c r="E660" s="0" t="n">
        <v>2</v>
      </c>
      <c r="F660" s="0" t="n">
        <v>0</v>
      </c>
      <c r="G660" s="0" t="n">
        <v>4</v>
      </c>
      <c r="H660" s="0" t="n">
        <v>4</v>
      </c>
    </row>
    <row r="661" customFormat="false" ht="15" hidden="false" customHeight="false" outlineLevel="0" collapsed="false">
      <c r="A661" s="0" t="s">
        <v>247</v>
      </c>
      <c r="B661" s="0" t="s">
        <v>654</v>
      </c>
      <c r="C661" s="0" t="s">
        <v>109</v>
      </c>
      <c r="D661" s="0" t="n">
        <v>8</v>
      </c>
      <c r="E661" s="0" t="n">
        <v>2</v>
      </c>
      <c r="F661" s="0" t="n">
        <v>2</v>
      </c>
      <c r="G661" s="0" t="n">
        <v>10</v>
      </c>
      <c r="H661" s="0" t="n">
        <v>12</v>
      </c>
    </row>
    <row r="662" customFormat="false" ht="15" hidden="false" customHeight="false" outlineLevel="0" collapsed="false">
      <c r="A662" s="0" t="s">
        <v>249</v>
      </c>
      <c r="B662" s="0" t="s">
        <v>559</v>
      </c>
      <c r="C662" s="0" t="s">
        <v>693</v>
      </c>
      <c r="D662" s="0" t="n">
        <v>5</v>
      </c>
      <c r="E662" s="0" t="n">
        <v>0</v>
      </c>
      <c r="F662" s="0" t="n">
        <v>0</v>
      </c>
      <c r="G662" s="0" t="n">
        <v>5</v>
      </c>
      <c r="H662" s="0" t="n">
        <v>5</v>
      </c>
    </row>
    <row r="663" customFormat="false" ht="15" hidden="false" customHeight="false" outlineLevel="0" collapsed="false">
      <c r="A663" s="0" t="s">
        <v>249</v>
      </c>
      <c r="B663" s="0" t="s">
        <v>561</v>
      </c>
      <c r="C663" s="0" t="s">
        <v>678</v>
      </c>
      <c r="D663" s="0" t="n">
        <v>9</v>
      </c>
      <c r="E663" s="0" t="n">
        <v>0</v>
      </c>
      <c r="F663" s="0" t="n">
        <v>0</v>
      </c>
      <c r="G663" s="0" t="n">
        <v>9</v>
      </c>
      <c r="H663" s="0" t="n">
        <v>9</v>
      </c>
    </row>
    <row r="664" customFormat="false" ht="15" hidden="false" customHeight="false" outlineLevel="0" collapsed="false">
      <c r="A664" s="0" t="s">
        <v>249</v>
      </c>
      <c r="B664" s="0" t="s">
        <v>579</v>
      </c>
      <c r="C664" s="0" t="s">
        <v>109</v>
      </c>
      <c r="D664" s="0" t="n">
        <v>2</v>
      </c>
      <c r="E664" s="0" t="n">
        <v>0</v>
      </c>
      <c r="F664" s="0" t="n">
        <v>0</v>
      </c>
      <c r="G664" s="0" t="n">
        <v>2</v>
      </c>
      <c r="H664" s="0" t="n">
        <v>2</v>
      </c>
    </row>
    <row r="665" customFormat="false" ht="15" hidden="false" customHeight="false" outlineLevel="0" collapsed="false">
      <c r="A665" s="0" t="s">
        <v>249</v>
      </c>
      <c r="B665" s="0" t="s">
        <v>581</v>
      </c>
      <c r="C665" s="0" t="s">
        <v>639</v>
      </c>
      <c r="D665" s="0" t="n">
        <v>5</v>
      </c>
      <c r="E665" s="0" t="n">
        <v>1</v>
      </c>
      <c r="F665" s="0" t="n">
        <v>2</v>
      </c>
      <c r="G665" s="0" t="n">
        <v>6</v>
      </c>
      <c r="H665" s="0" t="n">
        <v>8</v>
      </c>
    </row>
    <row r="666" customFormat="false" ht="15" hidden="false" customHeight="false" outlineLevel="0" collapsed="false">
      <c r="A666" s="0" t="s">
        <v>249</v>
      </c>
      <c r="B666" s="0" t="s">
        <v>694</v>
      </c>
      <c r="C666" s="0" t="s">
        <v>649</v>
      </c>
      <c r="D666" s="0" t="n">
        <v>4</v>
      </c>
      <c r="E666" s="0" t="n">
        <v>7</v>
      </c>
      <c r="F666" s="0" t="n">
        <v>3</v>
      </c>
      <c r="G666" s="0" t="n">
        <v>11</v>
      </c>
      <c r="H666" s="0" t="n">
        <v>14</v>
      </c>
    </row>
    <row r="667" customFormat="false" ht="15" hidden="false" customHeight="false" outlineLevel="0" collapsed="false">
      <c r="A667" s="0" t="s">
        <v>249</v>
      </c>
      <c r="B667" s="0" t="s">
        <v>619</v>
      </c>
      <c r="C667" s="0" t="s">
        <v>643</v>
      </c>
      <c r="D667" s="0" t="n">
        <v>5</v>
      </c>
      <c r="E667" s="0" t="n">
        <v>3</v>
      </c>
      <c r="F667" s="0" t="n">
        <v>6</v>
      </c>
      <c r="G667" s="0" t="n">
        <v>8</v>
      </c>
      <c r="H667" s="0" t="n">
        <v>14</v>
      </c>
    </row>
    <row r="668" customFormat="false" ht="15" hidden="false" customHeight="false" outlineLevel="0" collapsed="false">
      <c r="A668" s="0" t="s">
        <v>249</v>
      </c>
      <c r="B668" s="0" t="s">
        <v>634</v>
      </c>
      <c r="C668" s="0" t="s">
        <v>650</v>
      </c>
      <c r="D668" s="0" t="n">
        <v>3</v>
      </c>
      <c r="E668" s="0" t="n">
        <v>6</v>
      </c>
      <c r="F668" s="0" t="n">
        <v>0</v>
      </c>
      <c r="G668" s="0" t="n">
        <v>9</v>
      </c>
      <c r="H668" s="0" t="n">
        <v>9</v>
      </c>
    </row>
    <row r="669" customFormat="false" ht="15" hidden="false" customHeight="false" outlineLevel="0" collapsed="false">
      <c r="A669" s="0" t="s">
        <v>249</v>
      </c>
      <c r="B669" s="0" t="s">
        <v>593</v>
      </c>
      <c r="C669" s="0" t="s">
        <v>651</v>
      </c>
      <c r="D669" s="0" t="n">
        <v>1</v>
      </c>
      <c r="E669" s="0" t="n">
        <v>5</v>
      </c>
      <c r="F669" s="0" t="n">
        <v>0</v>
      </c>
      <c r="G669" s="0" t="n">
        <v>6</v>
      </c>
      <c r="H669" s="0" t="n">
        <v>6</v>
      </c>
    </row>
    <row r="670" customFormat="false" ht="15" hidden="false" customHeight="false" outlineLevel="0" collapsed="false">
      <c r="A670" s="0" t="s">
        <v>249</v>
      </c>
      <c r="B670" s="0" t="s">
        <v>584</v>
      </c>
      <c r="C670" s="0" t="s">
        <v>649</v>
      </c>
      <c r="D670" s="0" t="n">
        <v>2</v>
      </c>
      <c r="E670" s="0" t="n">
        <v>5</v>
      </c>
      <c r="F670" s="0" t="n">
        <v>0</v>
      </c>
      <c r="G670" s="0" t="n">
        <v>7</v>
      </c>
      <c r="H670" s="0" t="n">
        <v>7</v>
      </c>
    </row>
    <row r="671" customFormat="false" ht="15" hidden="false" customHeight="false" outlineLevel="0" collapsed="false">
      <c r="A671" s="0" t="s">
        <v>249</v>
      </c>
      <c r="B671" s="0" t="s">
        <v>665</v>
      </c>
      <c r="C671" s="0" t="s">
        <v>645</v>
      </c>
      <c r="D671" s="0" t="n">
        <v>1</v>
      </c>
      <c r="E671" s="0" t="n">
        <v>1</v>
      </c>
      <c r="F671" s="0" t="n">
        <v>0</v>
      </c>
      <c r="G671" s="0" t="n">
        <v>2</v>
      </c>
      <c r="H671" s="0" t="n">
        <v>2</v>
      </c>
    </row>
    <row r="672" customFormat="false" ht="15" hidden="false" customHeight="false" outlineLevel="0" collapsed="false">
      <c r="A672" s="0" t="s">
        <v>249</v>
      </c>
      <c r="B672" s="0" t="s">
        <v>601</v>
      </c>
      <c r="C672" s="0" t="s">
        <v>646</v>
      </c>
      <c r="D672" s="0" t="n">
        <v>10</v>
      </c>
      <c r="E672" s="0" t="n">
        <v>3</v>
      </c>
      <c r="F672" s="0" t="n">
        <v>7</v>
      </c>
      <c r="G672" s="0" t="n">
        <v>13</v>
      </c>
      <c r="H672" s="0" t="n">
        <v>20</v>
      </c>
    </row>
    <row r="673" customFormat="false" ht="15" hidden="false" customHeight="false" outlineLevel="0" collapsed="false">
      <c r="A673" s="0" t="s">
        <v>249</v>
      </c>
      <c r="B673" s="0" t="s">
        <v>602</v>
      </c>
      <c r="C673" s="0" t="s">
        <v>647</v>
      </c>
      <c r="D673" s="0" t="n">
        <v>6</v>
      </c>
      <c r="E673" s="0" t="n">
        <v>3</v>
      </c>
      <c r="F673" s="0" t="n">
        <v>7</v>
      </c>
      <c r="G673" s="0" t="n">
        <v>9</v>
      </c>
      <c r="H673" s="0" t="n">
        <v>16</v>
      </c>
    </row>
    <row r="674" customFormat="false" ht="15" hidden="false" customHeight="false" outlineLevel="0" collapsed="false">
      <c r="A674" s="0" t="s">
        <v>249</v>
      </c>
      <c r="B674" s="0" t="s">
        <v>652</v>
      </c>
      <c r="C674" s="0" t="s">
        <v>643</v>
      </c>
      <c r="D674" s="0" t="n">
        <v>7</v>
      </c>
      <c r="E674" s="0" t="n">
        <v>5</v>
      </c>
      <c r="F674" s="0" t="n">
        <v>2</v>
      </c>
      <c r="G674" s="0" t="n">
        <v>12</v>
      </c>
      <c r="H674" s="0" t="n">
        <v>14</v>
      </c>
    </row>
    <row r="675" customFormat="false" ht="15" hidden="false" customHeight="false" outlineLevel="0" collapsed="false">
      <c r="A675" s="0" t="s">
        <v>249</v>
      </c>
      <c r="B675" s="0" t="s">
        <v>653</v>
      </c>
      <c r="C675" s="0" t="s">
        <v>639</v>
      </c>
      <c r="D675" s="0" t="n">
        <v>7</v>
      </c>
      <c r="E675" s="0" t="n">
        <v>0</v>
      </c>
      <c r="F675" s="0" t="n">
        <v>0</v>
      </c>
      <c r="G675" s="0" t="n">
        <v>7</v>
      </c>
      <c r="H675" s="0" t="n">
        <v>7</v>
      </c>
    </row>
    <row r="676" customFormat="false" ht="15" hidden="false" customHeight="false" outlineLevel="0" collapsed="false">
      <c r="A676" s="0" t="s">
        <v>249</v>
      </c>
      <c r="B676" s="0" t="s">
        <v>654</v>
      </c>
      <c r="C676" s="0" t="s">
        <v>109</v>
      </c>
      <c r="D676" s="0" t="n">
        <v>4</v>
      </c>
      <c r="E676" s="0" t="n">
        <v>3</v>
      </c>
      <c r="F676" s="0" t="n">
        <v>5</v>
      </c>
      <c r="G676" s="0" t="n">
        <v>7</v>
      </c>
      <c r="H676" s="0" t="n">
        <v>12</v>
      </c>
    </row>
    <row r="677" customFormat="false" ht="15" hidden="false" customHeight="false" outlineLevel="0" collapsed="false">
      <c r="A677" s="0" t="s">
        <v>251</v>
      </c>
      <c r="B677" s="0" t="s">
        <v>559</v>
      </c>
      <c r="C677" s="0" t="s">
        <v>693</v>
      </c>
      <c r="D677" s="0" t="n">
        <v>2</v>
      </c>
      <c r="E677" s="0" t="n">
        <v>0</v>
      </c>
      <c r="F677" s="0" t="n">
        <v>0</v>
      </c>
      <c r="G677" s="0" t="n">
        <v>2</v>
      </c>
      <c r="H677" s="0" t="n">
        <v>2</v>
      </c>
    </row>
    <row r="678" customFormat="false" ht="15" hidden="false" customHeight="false" outlineLevel="0" collapsed="false">
      <c r="A678" s="0" t="s">
        <v>251</v>
      </c>
      <c r="B678" s="0" t="s">
        <v>561</v>
      </c>
      <c r="C678" s="0" t="s">
        <v>678</v>
      </c>
      <c r="D678" s="0" t="n">
        <v>2</v>
      </c>
      <c r="E678" s="0" t="n">
        <v>0</v>
      </c>
      <c r="F678" s="0" t="n">
        <v>0</v>
      </c>
      <c r="G678" s="0" t="n">
        <v>2</v>
      </c>
      <c r="H678" s="0" t="n">
        <v>2</v>
      </c>
    </row>
    <row r="679" customFormat="false" ht="15" hidden="false" customHeight="false" outlineLevel="0" collapsed="false">
      <c r="A679" s="0" t="s">
        <v>251</v>
      </c>
      <c r="B679" s="0" t="s">
        <v>579</v>
      </c>
      <c r="C679" s="0" t="s">
        <v>109</v>
      </c>
      <c r="D679" s="0" t="n">
        <v>3</v>
      </c>
      <c r="E679" s="0" t="n">
        <v>1</v>
      </c>
      <c r="F679" s="0" t="n">
        <v>0</v>
      </c>
      <c r="G679" s="0" t="n">
        <v>4</v>
      </c>
      <c r="H679" s="0" t="n">
        <v>4</v>
      </c>
    </row>
    <row r="680" customFormat="false" ht="15" hidden="false" customHeight="false" outlineLevel="0" collapsed="false">
      <c r="A680" s="0" t="s">
        <v>251</v>
      </c>
      <c r="B680" s="0" t="s">
        <v>581</v>
      </c>
      <c r="C680" s="0" t="s">
        <v>639</v>
      </c>
      <c r="D680" s="0" t="n">
        <v>5</v>
      </c>
      <c r="E680" s="0" t="n">
        <v>3</v>
      </c>
      <c r="F680" s="0" t="n">
        <v>4</v>
      </c>
      <c r="G680" s="0" t="n">
        <v>8</v>
      </c>
      <c r="H680" s="0" t="n">
        <v>12</v>
      </c>
    </row>
    <row r="681" customFormat="false" ht="15" hidden="false" customHeight="false" outlineLevel="0" collapsed="false">
      <c r="A681" s="0" t="s">
        <v>251</v>
      </c>
      <c r="B681" s="0" t="s">
        <v>694</v>
      </c>
      <c r="C681" s="0" t="s">
        <v>649</v>
      </c>
      <c r="D681" s="0" t="n">
        <v>1</v>
      </c>
      <c r="E681" s="0" t="n">
        <v>4</v>
      </c>
      <c r="F681" s="0" t="n">
        <v>3</v>
      </c>
      <c r="G681" s="0" t="n">
        <v>5</v>
      </c>
      <c r="H681" s="0" t="n">
        <v>8</v>
      </c>
    </row>
    <row r="682" customFormat="false" ht="15" hidden="false" customHeight="false" outlineLevel="0" collapsed="false">
      <c r="A682" s="0" t="s">
        <v>251</v>
      </c>
      <c r="B682" s="0" t="s">
        <v>619</v>
      </c>
      <c r="C682" s="0" t="s">
        <v>643</v>
      </c>
      <c r="D682" s="0" t="n">
        <v>3</v>
      </c>
      <c r="E682" s="0" t="n">
        <v>1</v>
      </c>
      <c r="F682" s="0" t="n">
        <v>6</v>
      </c>
      <c r="G682" s="0" t="n">
        <v>4</v>
      </c>
      <c r="H682" s="0" t="n">
        <v>10</v>
      </c>
    </row>
    <row r="683" customFormat="false" ht="15" hidden="false" customHeight="false" outlineLevel="0" collapsed="false">
      <c r="A683" s="0" t="s">
        <v>251</v>
      </c>
      <c r="B683" s="0" t="s">
        <v>634</v>
      </c>
      <c r="C683" s="0" t="s">
        <v>650</v>
      </c>
      <c r="D683" s="0" t="n">
        <v>1</v>
      </c>
      <c r="E683" s="0" t="n">
        <v>4</v>
      </c>
      <c r="F683" s="0" t="n">
        <v>0</v>
      </c>
      <c r="G683" s="0" t="n">
        <v>5</v>
      </c>
      <c r="H683" s="0" t="n">
        <v>5</v>
      </c>
    </row>
    <row r="684" customFormat="false" ht="15" hidden="false" customHeight="false" outlineLevel="0" collapsed="false">
      <c r="A684" s="0" t="s">
        <v>251</v>
      </c>
      <c r="B684" s="0" t="s">
        <v>593</v>
      </c>
      <c r="C684" s="0" t="s">
        <v>651</v>
      </c>
      <c r="D684" s="0" t="n">
        <v>2</v>
      </c>
      <c r="E684" s="0" t="n">
        <v>6</v>
      </c>
      <c r="F684" s="0" t="n">
        <v>0</v>
      </c>
      <c r="G684" s="0" t="n">
        <v>8</v>
      </c>
      <c r="H684" s="0" t="n">
        <v>8</v>
      </c>
    </row>
    <row r="685" customFormat="false" ht="15" hidden="false" customHeight="false" outlineLevel="0" collapsed="false">
      <c r="A685" s="0" t="s">
        <v>251</v>
      </c>
      <c r="B685" s="0" t="s">
        <v>584</v>
      </c>
      <c r="C685" s="0" t="s">
        <v>649</v>
      </c>
      <c r="D685" s="0" t="n">
        <v>2</v>
      </c>
      <c r="E685" s="0" t="n">
        <v>1</v>
      </c>
      <c r="F685" s="0" t="n">
        <v>0</v>
      </c>
      <c r="G685" s="0" t="n">
        <v>3</v>
      </c>
      <c r="H685" s="0" t="n">
        <v>3</v>
      </c>
    </row>
    <row r="686" customFormat="false" ht="15" hidden="false" customHeight="false" outlineLevel="0" collapsed="false">
      <c r="A686" s="0" t="s">
        <v>251</v>
      </c>
      <c r="B686" s="0" t="s">
        <v>665</v>
      </c>
      <c r="C686" s="0" t="s">
        <v>645</v>
      </c>
      <c r="D686" s="0" t="n">
        <v>0</v>
      </c>
      <c r="E686" s="0" t="n">
        <v>4</v>
      </c>
      <c r="F686" s="0" t="n">
        <v>0</v>
      </c>
      <c r="G686" s="0" t="n">
        <v>4</v>
      </c>
      <c r="H686" s="0" t="n">
        <v>4</v>
      </c>
    </row>
    <row r="687" customFormat="false" ht="15" hidden="false" customHeight="false" outlineLevel="0" collapsed="false">
      <c r="A687" s="0" t="s">
        <v>251</v>
      </c>
      <c r="B687" s="0" t="s">
        <v>601</v>
      </c>
      <c r="C687" s="0" t="s">
        <v>646</v>
      </c>
      <c r="D687" s="0" t="n">
        <v>4</v>
      </c>
      <c r="E687" s="0" t="n">
        <v>3</v>
      </c>
      <c r="F687" s="0" t="n">
        <v>3</v>
      </c>
      <c r="G687" s="0" t="n">
        <v>7</v>
      </c>
      <c r="H687" s="0" t="n">
        <v>10</v>
      </c>
    </row>
    <row r="688" customFormat="false" ht="15" hidden="false" customHeight="false" outlineLevel="0" collapsed="false">
      <c r="A688" s="0" t="s">
        <v>251</v>
      </c>
      <c r="B688" s="0" t="s">
        <v>602</v>
      </c>
      <c r="C688" s="0" t="s">
        <v>647</v>
      </c>
      <c r="D688" s="0" t="n">
        <v>1</v>
      </c>
      <c r="E688" s="0" t="n">
        <v>3</v>
      </c>
      <c r="F688" s="0" t="n">
        <v>8</v>
      </c>
      <c r="G688" s="0" t="n">
        <v>4</v>
      </c>
      <c r="H688" s="0" t="n">
        <v>12</v>
      </c>
    </row>
    <row r="689" customFormat="false" ht="15" hidden="false" customHeight="false" outlineLevel="0" collapsed="false">
      <c r="A689" s="0" t="s">
        <v>251</v>
      </c>
      <c r="B689" s="0" t="s">
        <v>652</v>
      </c>
      <c r="C689" s="0" t="s">
        <v>643</v>
      </c>
      <c r="D689" s="0" t="n">
        <v>1</v>
      </c>
      <c r="E689" s="0" t="n">
        <v>0</v>
      </c>
      <c r="F689" s="0" t="n">
        <v>0</v>
      </c>
      <c r="G689" s="0" t="n">
        <v>1</v>
      </c>
      <c r="H689" s="0" t="n">
        <v>1</v>
      </c>
    </row>
    <row r="690" customFormat="false" ht="15" hidden="false" customHeight="false" outlineLevel="0" collapsed="false">
      <c r="A690" s="0" t="s">
        <v>251</v>
      </c>
      <c r="B690" s="0" t="s">
        <v>653</v>
      </c>
      <c r="C690" s="0" t="s">
        <v>639</v>
      </c>
      <c r="D690" s="0" t="n">
        <v>2</v>
      </c>
      <c r="E690" s="0" t="n">
        <v>3</v>
      </c>
      <c r="F690" s="0" t="n">
        <v>0</v>
      </c>
      <c r="G690" s="0" t="n">
        <v>5</v>
      </c>
      <c r="H690" s="0" t="n">
        <v>5</v>
      </c>
    </row>
    <row r="691" customFormat="false" ht="15" hidden="false" customHeight="false" outlineLevel="0" collapsed="false">
      <c r="A691" s="0" t="s">
        <v>251</v>
      </c>
      <c r="B691" s="0" t="s">
        <v>654</v>
      </c>
      <c r="C691" s="0" t="s">
        <v>109</v>
      </c>
      <c r="D691" s="0" t="n">
        <v>4</v>
      </c>
      <c r="E691" s="0" t="n">
        <v>3</v>
      </c>
      <c r="F691" s="0" t="n">
        <v>2</v>
      </c>
      <c r="G691" s="0" t="n">
        <v>7</v>
      </c>
      <c r="H691" s="0" t="n">
        <v>9</v>
      </c>
    </row>
    <row r="692" customFormat="false" ht="15" hidden="false" customHeight="false" outlineLevel="0" collapsed="false">
      <c r="A692" s="0" t="s">
        <v>253</v>
      </c>
      <c r="B692" s="0" t="s">
        <v>559</v>
      </c>
      <c r="C692" s="0" t="s">
        <v>693</v>
      </c>
      <c r="D692" s="0" t="n">
        <v>5</v>
      </c>
      <c r="E692" s="0" t="n">
        <v>0</v>
      </c>
      <c r="F692" s="0" t="n">
        <v>0</v>
      </c>
      <c r="G692" s="0" t="n">
        <v>5</v>
      </c>
      <c r="H692" s="0" t="n">
        <v>5</v>
      </c>
    </row>
    <row r="693" customFormat="false" ht="15" hidden="false" customHeight="false" outlineLevel="0" collapsed="false">
      <c r="A693" s="0" t="s">
        <v>253</v>
      </c>
      <c r="B693" s="0" t="s">
        <v>561</v>
      </c>
      <c r="C693" s="0" t="s">
        <v>678</v>
      </c>
      <c r="D693" s="0" t="n">
        <v>4</v>
      </c>
      <c r="E693" s="0" t="n">
        <v>0</v>
      </c>
      <c r="F693" s="0" t="n">
        <v>0</v>
      </c>
      <c r="G693" s="0" t="n">
        <v>4</v>
      </c>
      <c r="H693" s="0" t="n">
        <v>4</v>
      </c>
    </row>
    <row r="694" customFormat="false" ht="15" hidden="false" customHeight="false" outlineLevel="0" collapsed="false">
      <c r="A694" s="0" t="s">
        <v>253</v>
      </c>
      <c r="B694" s="0" t="s">
        <v>579</v>
      </c>
      <c r="C694" s="0" t="s">
        <v>109</v>
      </c>
      <c r="D694" s="0" t="n">
        <v>0</v>
      </c>
      <c r="E694" s="0" t="n">
        <v>3</v>
      </c>
      <c r="F694" s="0" t="n">
        <v>0</v>
      </c>
      <c r="G694" s="0" t="n">
        <v>3</v>
      </c>
      <c r="H694" s="0" t="n">
        <v>3</v>
      </c>
    </row>
    <row r="695" customFormat="false" ht="15" hidden="false" customHeight="false" outlineLevel="0" collapsed="false">
      <c r="A695" s="0" t="s">
        <v>253</v>
      </c>
      <c r="B695" s="0" t="s">
        <v>581</v>
      </c>
      <c r="C695" s="0" t="s">
        <v>639</v>
      </c>
      <c r="D695" s="0" t="n">
        <v>5</v>
      </c>
      <c r="E695" s="0" t="n">
        <v>16</v>
      </c>
      <c r="F695" s="0" t="n">
        <v>3</v>
      </c>
      <c r="G695" s="0" t="n">
        <v>21</v>
      </c>
      <c r="H695" s="0" t="n">
        <v>24</v>
      </c>
    </row>
    <row r="696" customFormat="false" ht="15" hidden="false" customHeight="false" outlineLevel="0" collapsed="false">
      <c r="A696" s="0" t="s">
        <v>253</v>
      </c>
      <c r="B696" s="0" t="s">
        <v>694</v>
      </c>
      <c r="C696" s="0" t="s">
        <v>649</v>
      </c>
      <c r="D696" s="0" t="n">
        <v>5</v>
      </c>
      <c r="E696" s="0" t="n">
        <v>6</v>
      </c>
      <c r="F696" s="0" t="n">
        <v>10</v>
      </c>
      <c r="G696" s="0" t="n">
        <v>11</v>
      </c>
      <c r="H696" s="0" t="n">
        <v>21</v>
      </c>
    </row>
    <row r="697" customFormat="false" ht="15" hidden="false" customHeight="false" outlineLevel="0" collapsed="false">
      <c r="A697" s="0" t="s">
        <v>253</v>
      </c>
      <c r="B697" s="0" t="s">
        <v>619</v>
      </c>
      <c r="C697" s="0" t="s">
        <v>643</v>
      </c>
      <c r="D697" s="0" t="n">
        <v>4</v>
      </c>
      <c r="E697" s="0" t="n">
        <v>3</v>
      </c>
      <c r="F697" s="0" t="n">
        <v>3</v>
      </c>
      <c r="G697" s="0" t="n">
        <v>7</v>
      </c>
      <c r="H697" s="0" t="n">
        <v>10</v>
      </c>
    </row>
    <row r="698" customFormat="false" ht="15" hidden="false" customHeight="false" outlineLevel="0" collapsed="false">
      <c r="A698" s="0" t="s">
        <v>253</v>
      </c>
      <c r="B698" s="0" t="s">
        <v>634</v>
      </c>
      <c r="C698" s="0" t="s">
        <v>650</v>
      </c>
      <c r="D698" s="0" t="n">
        <v>6</v>
      </c>
      <c r="E698" s="0" t="n">
        <v>6</v>
      </c>
      <c r="F698" s="0" t="n">
        <v>0</v>
      </c>
      <c r="G698" s="0" t="n">
        <v>12</v>
      </c>
      <c r="H698" s="0" t="n">
        <v>12</v>
      </c>
    </row>
    <row r="699" customFormat="false" ht="15" hidden="false" customHeight="false" outlineLevel="0" collapsed="false">
      <c r="A699" s="0" t="s">
        <v>253</v>
      </c>
      <c r="B699" s="0" t="s">
        <v>593</v>
      </c>
      <c r="C699" s="0" t="s">
        <v>651</v>
      </c>
      <c r="D699" s="0" t="n">
        <v>6</v>
      </c>
      <c r="E699" s="0" t="n">
        <v>3</v>
      </c>
      <c r="F699" s="0" t="n">
        <v>0</v>
      </c>
      <c r="G699" s="0" t="n">
        <v>9</v>
      </c>
      <c r="H699" s="0" t="n">
        <v>9</v>
      </c>
    </row>
    <row r="700" customFormat="false" ht="15" hidden="false" customHeight="false" outlineLevel="0" collapsed="false">
      <c r="A700" s="0" t="s">
        <v>253</v>
      </c>
      <c r="B700" s="0" t="s">
        <v>584</v>
      </c>
      <c r="C700" s="0" t="s">
        <v>649</v>
      </c>
      <c r="D700" s="0" t="n">
        <v>8</v>
      </c>
      <c r="E700" s="0" t="n">
        <v>10</v>
      </c>
      <c r="F700" s="0" t="n">
        <v>0</v>
      </c>
      <c r="G700" s="0" t="n">
        <v>18</v>
      </c>
      <c r="H700" s="0" t="n">
        <v>18</v>
      </c>
    </row>
    <row r="701" customFormat="false" ht="15" hidden="false" customHeight="false" outlineLevel="0" collapsed="false">
      <c r="A701" s="0" t="s">
        <v>253</v>
      </c>
      <c r="B701" s="0" t="s">
        <v>665</v>
      </c>
      <c r="C701" s="0" t="s">
        <v>645</v>
      </c>
      <c r="D701" s="0" t="n">
        <v>2</v>
      </c>
      <c r="E701" s="0" t="n">
        <v>2</v>
      </c>
      <c r="F701" s="0" t="n">
        <v>0</v>
      </c>
      <c r="G701" s="0" t="n">
        <v>4</v>
      </c>
      <c r="H701" s="0" t="n">
        <v>4</v>
      </c>
    </row>
    <row r="702" customFormat="false" ht="15" hidden="false" customHeight="false" outlineLevel="0" collapsed="false">
      <c r="A702" s="0" t="s">
        <v>253</v>
      </c>
      <c r="B702" s="0" t="s">
        <v>601</v>
      </c>
      <c r="C702" s="0" t="s">
        <v>646</v>
      </c>
      <c r="D702" s="0" t="n">
        <v>6</v>
      </c>
      <c r="E702" s="0" t="n">
        <v>2</v>
      </c>
      <c r="F702" s="0" t="n">
        <v>4</v>
      </c>
      <c r="G702" s="0" t="n">
        <v>8</v>
      </c>
      <c r="H702" s="0" t="n">
        <v>12</v>
      </c>
    </row>
    <row r="703" customFormat="false" ht="15" hidden="false" customHeight="false" outlineLevel="0" collapsed="false">
      <c r="A703" s="0" t="s">
        <v>253</v>
      </c>
      <c r="B703" s="0" t="s">
        <v>602</v>
      </c>
      <c r="C703" s="0" t="s">
        <v>647</v>
      </c>
      <c r="D703" s="0" t="n">
        <v>2</v>
      </c>
      <c r="E703" s="0" t="n">
        <v>4</v>
      </c>
      <c r="F703" s="0" t="n">
        <v>7</v>
      </c>
      <c r="G703" s="0" t="n">
        <v>6</v>
      </c>
      <c r="H703" s="0" t="n">
        <v>13</v>
      </c>
    </row>
    <row r="704" customFormat="false" ht="15" hidden="false" customHeight="false" outlineLevel="0" collapsed="false">
      <c r="A704" s="0" t="s">
        <v>253</v>
      </c>
      <c r="B704" s="0" t="s">
        <v>652</v>
      </c>
      <c r="C704" s="0" t="s">
        <v>643</v>
      </c>
      <c r="D704" s="0" t="n">
        <v>8</v>
      </c>
      <c r="E704" s="0" t="n">
        <v>2</v>
      </c>
      <c r="F704" s="0" t="n">
        <v>9</v>
      </c>
      <c r="G704" s="0" t="n">
        <v>10</v>
      </c>
      <c r="H704" s="0" t="n">
        <v>19</v>
      </c>
    </row>
    <row r="705" customFormat="false" ht="15" hidden="false" customHeight="false" outlineLevel="0" collapsed="false">
      <c r="A705" s="0" t="s">
        <v>253</v>
      </c>
      <c r="B705" s="0" t="s">
        <v>653</v>
      </c>
      <c r="C705" s="0" t="s">
        <v>639</v>
      </c>
      <c r="D705" s="0" t="n">
        <v>4</v>
      </c>
      <c r="E705" s="0" t="n">
        <v>1</v>
      </c>
      <c r="F705" s="0" t="n">
        <v>0</v>
      </c>
      <c r="G705" s="0" t="n">
        <v>5</v>
      </c>
      <c r="H705" s="0" t="n">
        <v>5</v>
      </c>
    </row>
    <row r="706" customFormat="false" ht="15" hidden="false" customHeight="false" outlineLevel="0" collapsed="false">
      <c r="A706" s="0" t="s">
        <v>253</v>
      </c>
      <c r="B706" s="0" t="s">
        <v>654</v>
      </c>
      <c r="C706" s="0" t="s">
        <v>109</v>
      </c>
      <c r="D706" s="0" t="n">
        <v>6</v>
      </c>
      <c r="E706" s="0" t="n">
        <v>2</v>
      </c>
      <c r="F706" s="0" t="n">
        <v>2</v>
      </c>
      <c r="G706" s="0" t="n">
        <v>8</v>
      </c>
      <c r="H706" s="0" t="n">
        <v>10</v>
      </c>
    </row>
    <row r="707" customFormat="false" ht="15" hidden="false" customHeight="false" outlineLevel="0" collapsed="false">
      <c r="A707" s="0" t="s">
        <v>143</v>
      </c>
      <c r="B707" s="0" t="s">
        <v>559</v>
      </c>
      <c r="C707" s="0" t="s">
        <v>84</v>
      </c>
      <c r="D707" s="0" t="n">
        <v>11</v>
      </c>
      <c r="E707" s="0" t="n">
        <v>9</v>
      </c>
      <c r="F707" s="0" t="n">
        <v>0</v>
      </c>
      <c r="G707" s="0" t="n">
        <v>20</v>
      </c>
      <c r="H707" s="0" t="n">
        <v>20</v>
      </c>
    </row>
    <row r="708" customFormat="false" ht="15" hidden="false" customHeight="false" outlineLevel="0" collapsed="false">
      <c r="A708" s="0" t="s">
        <v>143</v>
      </c>
      <c r="B708" s="0" t="s">
        <v>561</v>
      </c>
      <c r="C708" s="0" t="s">
        <v>85</v>
      </c>
      <c r="D708" s="0" t="n">
        <v>8</v>
      </c>
      <c r="E708" s="0" t="n">
        <v>9</v>
      </c>
      <c r="F708" s="0" t="n">
        <v>0</v>
      </c>
      <c r="G708" s="0" t="n">
        <v>17</v>
      </c>
      <c r="H708" s="0" t="n">
        <v>17</v>
      </c>
    </row>
    <row r="709" customFormat="false" ht="15" hidden="false" customHeight="false" outlineLevel="0" collapsed="false">
      <c r="A709" s="0" t="s">
        <v>143</v>
      </c>
      <c r="B709" s="0" t="s">
        <v>695</v>
      </c>
      <c r="C709" s="0" t="s">
        <v>588</v>
      </c>
      <c r="D709" s="0" t="n">
        <v>9</v>
      </c>
      <c r="E709" s="0" t="n">
        <v>3</v>
      </c>
      <c r="F709" s="0" t="n">
        <v>0</v>
      </c>
      <c r="G709" s="0" t="n">
        <v>12</v>
      </c>
      <c r="H709" s="0" t="n">
        <v>12</v>
      </c>
    </row>
    <row r="710" customFormat="false" ht="15" hidden="false" customHeight="false" outlineLevel="0" collapsed="false">
      <c r="A710" s="0" t="s">
        <v>143</v>
      </c>
      <c r="B710" s="0" t="s">
        <v>696</v>
      </c>
      <c r="C710" s="0" t="s">
        <v>624</v>
      </c>
      <c r="D710" s="0" t="n">
        <v>4</v>
      </c>
      <c r="E710" s="0" t="n">
        <v>6</v>
      </c>
      <c r="F710" s="0" t="n">
        <v>0</v>
      </c>
      <c r="G710" s="0" t="n">
        <v>10</v>
      </c>
      <c r="H710" s="0" t="n">
        <v>10</v>
      </c>
    </row>
    <row r="711" customFormat="false" ht="15" hidden="false" customHeight="false" outlineLevel="0" collapsed="false">
      <c r="A711" s="0" t="s">
        <v>143</v>
      </c>
      <c r="B711" s="0" t="s">
        <v>696</v>
      </c>
      <c r="C711" s="0" t="s">
        <v>697</v>
      </c>
      <c r="D711" s="0" t="n">
        <v>9</v>
      </c>
      <c r="E711" s="0" t="n">
        <v>5</v>
      </c>
      <c r="F711" s="0" t="n">
        <v>0</v>
      </c>
      <c r="G711" s="0" t="n">
        <v>14</v>
      </c>
      <c r="H711" s="0" t="n">
        <v>14</v>
      </c>
    </row>
    <row r="712" customFormat="false" ht="15" hidden="false" customHeight="false" outlineLevel="0" collapsed="false">
      <c r="A712" s="0" t="s">
        <v>143</v>
      </c>
      <c r="B712" s="0" t="s">
        <v>566</v>
      </c>
      <c r="C712" s="0" t="s">
        <v>85</v>
      </c>
      <c r="D712" s="0" t="n">
        <v>6</v>
      </c>
      <c r="E712" s="0" t="n">
        <v>2</v>
      </c>
      <c r="F712" s="0" t="n">
        <v>0</v>
      </c>
      <c r="G712" s="0" t="n">
        <v>8</v>
      </c>
      <c r="H712" s="0" t="n">
        <v>8</v>
      </c>
    </row>
    <row r="713" customFormat="false" ht="15" hidden="false" customHeight="false" outlineLevel="0" collapsed="false">
      <c r="A713" s="0" t="s">
        <v>143</v>
      </c>
      <c r="B713" s="0" t="s">
        <v>567</v>
      </c>
      <c r="C713" s="0" t="s">
        <v>103</v>
      </c>
      <c r="D713" s="0" t="n">
        <v>6</v>
      </c>
      <c r="E713" s="0" t="n">
        <v>9</v>
      </c>
      <c r="F713" s="0" t="n">
        <v>9</v>
      </c>
      <c r="G713" s="0" t="n">
        <v>15</v>
      </c>
      <c r="H713" s="0" t="n">
        <v>24</v>
      </c>
    </row>
    <row r="714" customFormat="false" ht="15" hidden="false" customHeight="false" outlineLevel="0" collapsed="false">
      <c r="A714" s="0" t="s">
        <v>143</v>
      </c>
      <c r="B714" s="0" t="s">
        <v>614</v>
      </c>
      <c r="C714" s="0" t="s">
        <v>623</v>
      </c>
      <c r="D714" s="0" t="n">
        <v>15</v>
      </c>
      <c r="E714" s="0" t="n">
        <v>4</v>
      </c>
      <c r="F714" s="0" t="n">
        <v>0</v>
      </c>
      <c r="G714" s="0" t="n">
        <v>19</v>
      </c>
      <c r="H714" s="0" t="n">
        <v>19</v>
      </c>
    </row>
    <row r="715" customFormat="false" ht="15" hidden="false" customHeight="false" outlineLevel="0" collapsed="false">
      <c r="A715" s="0" t="s">
        <v>143</v>
      </c>
      <c r="B715" s="0" t="s">
        <v>569</v>
      </c>
      <c r="C715" s="0" t="s">
        <v>103</v>
      </c>
      <c r="D715" s="0" t="n">
        <v>1</v>
      </c>
      <c r="E715" s="0" t="n">
        <v>8</v>
      </c>
      <c r="F715" s="0" t="n">
        <v>10</v>
      </c>
      <c r="G715" s="0" t="n">
        <v>9</v>
      </c>
      <c r="H715" s="0" t="n">
        <v>19</v>
      </c>
    </row>
    <row r="716" customFormat="false" ht="15" hidden="false" customHeight="false" outlineLevel="0" collapsed="false">
      <c r="A716" s="0" t="s">
        <v>143</v>
      </c>
      <c r="B716" s="0" t="s">
        <v>585</v>
      </c>
      <c r="C716" s="0" t="s">
        <v>560</v>
      </c>
      <c r="D716" s="0" t="n">
        <v>0</v>
      </c>
      <c r="E716" s="0" t="n">
        <v>3</v>
      </c>
      <c r="F716" s="0" t="n">
        <v>0</v>
      </c>
      <c r="G716" s="0" t="n">
        <v>3</v>
      </c>
      <c r="H716" s="0" t="n">
        <v>3</v>
      </c>
    </row>
    <row r="717" customFormat="false" ht="15" hidden="false" customHeight="false" outlineLevel="0" collapsed="false">
      <c r="A717" s="0" t="s">
        <v>143</v>
      </c>
      <c r="B717" s="0" t="s">
        <v>585</v>
      </c>
      <c r="C717" s="0" t="s">
        <v>620</v>
      </c>
      <c r="D717" s="0" t="n">
        <v>14</v>
      </c>
      <c r="E717" s="0" t="n">
        <v>5</v>
      </c>
      <c r="F717" s="0" t="n">
        <v>12</v>
      </c>
      <c r="G717" s="0" t="n">
        <v>19</v>
      </c>
      <c r="H717" s="0" t="n">
        <v>31</v>
      </c>
    </row>
    <row r="718" customFormat="false" ht="15" hidden="false" customHeight="false" outlineLevel="0" collapsed="false">
      <c r="A718" s="0" t="s">
        <v>143</v>
      </c>
      <c r="B718" s="0" t="s">
        <v>586</v>
      </c>
      <c r="C718" s="0" t="s">
        <v>598</v>
      </c>
      <c r="D718" s="0" t="n">
        <v>4</v>
      </c>
      <c r="E718" s="0" t="n">
        <v>1</v>
      </c>
      <c r="F718" s="0" t="n">
        <v>0</v>
      </c>
      <c r="G718" s="0" t="n">
        <v>5</v>
      </c>
      <c r="H718" s="0" t="n">
        <v>5</v>
      </c>
    </row>
    <row r="719" customFormat="false" ht="15" hidden="false" customHeight="false" outlineLevel="0" collapsed="false">
      <c r="A719" s="0" t="s">
        <v>143</v>
      </c>
      <c r="B719" s="0" t="s">
        <v>600</v>
      </c>
      <c r="C719" s="0" t="s">
        <v>595</v>
      </c>
      <c r="D719" s="0" t="n">
        <v>7</v>
      </c>
      <c r="E719" s="0" t="n">
        <v>8</v>
      </c>
      <c r="F719" s="0" t="n">
        <v>0</v>
      </c>
      <c r="G719" s="0" t="n">
        <v>15</v>
      </c>
      <c r="H719" s="0" t="n">
        <v>15</v>
      </c>
    </row>
    <row r="720" customFormat="false" ht="15" hidden="false" customHeight="false" outlineLevel="0" collapsed="false">
      <c r="A720" s="0" t="s">
        <v>143</v>
      </c>
      <c r="B720" s="0" t="s">
        <v>600</v>
      </c>
      <c r="C720" s="0" t="s">
        <v>604</v>
      </c>
      <c r="D720" s="0" t="n">
        <v>4</v>
      </c>
      <c r="E720" s="0" t="n">
        <v>4</v>
      </c>
      <c r="F720" s="0" t="n">
        <v>0</v>
      </c>
      <c r="G720" s="0" t="n">
        <v>8</v>
      </c>
      <c r="H720" s="0" t="n">
        <v>8</v>
      </c>
    </row>
    <row r="721" customFormat="false" ht="15" hidden="false" customHeight="false" outlineLevel="0" collapsed="false">
      <c r="A721" s="0" t="s">
        <v>143</v>
      </c>
      <c r="B721" s="0" t="s">
        <v>663</v>
      </c>
      <c r="C721" s="0" t="s">
        <v>103</v>
      </c>
      <c r="D721" s="0" t="n">
        <v>6</v>
      </c>
      <c r="E721" s="0" t="n">
        <v>9</v>
      </c>
      <c r="F721" s="0" t="n">
        <v>2</v>
      </c>
      <c r="G721" s="0" t="n">
        <v>15</v>
      </c>
      <c r="H721" s="0" t="n">
        <v>17</v>
      </c>
    </row>
    <row r="722" customFormat="false" ht="15" hidden="false" customHeight="false" outlineLevel="0" collapsed="false">
      <c r="A722" s="0" t="s">
        <v>148</v>
      </c>
      <c r="B722" s="0" t="s">
        <v>559</v>
      </c>
      <c r="C722" s="0" t="s">
        <v>84</v>
      </c>
      <c r="D722" s="0" t="n">
        <v>3</v>
      </c>
      <c r="E722" s="0" t="n">
        <v>4</v>
      </c>
      <c r="F722" s="0" t="n">
        <v>0</v>
      </c>
      <c r="G722" s="0" t="n">
        <v>7</v>
      </c>
      <c r="H722" s="0" t="n">
        <v>7</v>
      </c>
    </row>
    <row r="723" customFormat="false" ht="15" hidden="false" customHeight="false" outlineLevel="0" collapsed="false">
      <c r="A723" s="0" t="s">
        <v>148</v>
      </c>
      <c r="B723" s="0" t="s">
        <v>561</v>
      </c>
      <c r="C723" s="0" t="s">
        <v>85</v>
      </c>
      <c r="D723" s="0" t="n">
        <v>6</v>
      </c>
      <c r="E723" s="0" t="n">
        <v>4</v>
      </c>
      <c r="F723" s="0" t="n">
        <v>0</v>
      </c>
      <c r="G723" s="0" t="n">
        <v>10</v>
      </c>
      <c r="H723" s="0" t="n">
        <v>10</v>
      </c>
    </row>
    <row r="724" customFormat="false" ht="15" hidden="false" customHeight="false" outlineLevel="0" collapsed="false">
      <c r="A724" s="0" t="s">
        <v>148</v>
      </c>
      <c r="B724" s="0" t="s">
        <v>695</v>
      </c>
      <c r="C724" s="0" t="s">
        <v>588</v>
      </c>
      <c r="D724" s="0" t="n">
        <v>5</v>
      </c>
      <c r="E724" s="0" t="n">
        <v>1</v>
      </c>
      <c r="F724" s="0" t="n">
        <v>0</v>
      </c>
      <c r="G724" s="0" t="n">
        <v>6</v>
      </c>
      <c r="H724" s="0" t="n">
        <v>6</v>
      </c>
    </row>
    <row r="725" customFormat="false" ht="15" hidden="false" customHeight="false" outlineLevel="0" collapsed="false">
      <c r="A725" s="0" t="s">
        <v>148</v>
      </c>
      <c r="B725" s="0" t="s">
        <v>696</v>
      </c>
      <c r="C725" s="0" t="s">
        <v>624</v>
      </c>
      <c r="D725" s="0" t="n">
        <v>0</v>
      </c>
      <c r="E725" s="0" t="n">
        <v>1</v>
      </c>
      <c r="F725" s="0" t="n">
        <v>0</v>
      </c>
      <c r="G725" s="0" t="n">
        <v>1</v>
      </c>
      <c r="H725" s="0" t="n">
        <v>1</v>
      </c>
    </row>
    <row r="726" customFormat="false" ht="15" hidden="false" customHeight="false" outlineLevel="0" collapsed="false">
      <c r="A726" s="0" t="s">
        <v>148</v>
      </c>
      <c r="B726" s="0" t="s">
        <v>696</v>
      </c>
      <c r="C726" s="0" t="s">
        <v>697</v>
      </c>
      <c r="D726" s="0" t="n">
        <v>4</v>
      </c>
      <c r="E726" s="0" t="n">
        <v>2</v>
      </c>
      <c r="F726" s="0" t="n">
        <v>0</v>
      </c>
      <c r="G726" s="0" t="n">
        <v>6</v>
      </c>
      <c r="H726" s="0" t="n">
        <v>6</v>
      </c>
    </row>
    <row r="727" customFormat="false" ht="15" hidden="false" customHeight="false" outlineLevel="0" collapsed="false">
      <c r="A727" s="0" t="s">
        <v>148</v>
      </c>
      <c r="B727" s="0" t="s">
        <v>566</v>
      </c>
      <c r="C727" s="0" t="s">
        <v>85</v>
      </c>
      <c r="D727" s="0" t="n">
        <v>9</v>
      </c>
      <c r="E727" s="0" t="n">
        <v>3</v>
      </c>
      <c r="F727" s="0" t="n">
        <v>0</v>
      </c>
      <c r="G727" s="0" t="n">
        <v>12</v>
      </c>
      <c r="H727" s="0" t="n">
        <v>12</v>
      </c>
    </row>
    <row r="728" customFormat="false" ht="15" hidden="false" customHeight="false" outlineLevel="0" collapsed="false">
      <c r="A728" s="0" t="s">
        <v>148</v>
      </c>
      <c r="B728" s="0" t="s">
        <v>567</v>
      </c>
      <c r="C728" s="0" t="s">
        <v>103</v>
      </c>
      <c r="D728" s="0" t="n">
        <v>2</v>
      </c>
      <c r="E728" s="0" t="n">
        <v>2</v>
      </c>
      <c r="F728" s="0" t="n">
        <v>12</v>
      </c>
      <c r="G728" s="0" t="n">
        <v>4</v>
      </c>
      <c r="H728" s="0" t="n">
        <v>16</v>
      </c>
    </row>
    <row r="729" customFormat="false" ht="15" hidden="false" customHeight="false" outlineLevel="0" collapsed="false">
      <c r="A729" s="0" t="s">
        <v>148</v>
      </c>
      <c r="B729" s="0" t="s">
        <v>614</v>
      </c>
      <c r="C729" s="0" t="s">
        <v>623</v>
      </c>
      <c r="D729" s="0" t="n">
        <v>1</v>
      </c>
      <c r="E729" s="0" t="n">
        <v>4</v>
      </c>
      <c r="F729" s="0" t="n">
        <v>0</v>
      </c>
      <c r="G729" s="0" t="n">
        <v>5</v>
      </c>
      <c r="H729" s="0" t="n">
        <v>5</v>
      </c>
    </row>
    <row r="730" customFormat="false" ht="15" hidden="false" customHeight="false" outlineLevel="0" collapsed="false">
      <c r="A730" s="0" t="s">
        <v>148</v>
      </c>
      <c r="B730" s="0" t="s">
        <v>569</v>
      </c>
      <c r="C730" s="0" t="s">
        <v>103</v>
      </c>
      <c r="D730" s="0" t="n">
        <v>0</v>
      </c>
      <c r="E730" s="0" t="n">
        <v>5</v>
      </c>
      <c r="F730" s="0" t="n">
        <v>6</v>
      </c>
      <c r="G730" s="0" t="n">
        <v>5</v>
      </c>
      <c r="H730" s="0" t="n">
        <v>11</v>
      </c>
    </row>
    <row r="731" customFormat="false" ht="15" hidden="false" customHeight="false" outlineLevel="0" collapsed="false">
      <c r="A731" s="0" t="s">
        <v>148</v>
      </c>
      <c r="B731" s="0" t="s">
        <v>698</v>
      </c>
      <c r="C731" s="0" t="s">
        <v>606</v>
      </c>
      <c r="D731" s="0" t="n">
        <v>6</v>
      </c>
      <c r="E731" s="0" t="n">
        <v>5</v>
      </c>
      <c r="F731" s="0" t="n">
        <v>5</v>
      </c>
      <c r="G731" s="0" t="n">
        <v>11</v>
      </c>
      <c r="H731" s="0" t="n">
        <v>16</v>
      </c>
    </row>
    <row r="732" customFormat="false" ht="15" hidden="false" customHeight="false" outlineLevel="0" collapsed="false">
      <c r="A732" s="0" t="s">
        <v>148</v>
      </c>
      <c r="B732" s="0" t="s">
        <v>648</v>
      </c>
      <c r="C732" s="0" t="s">
        <v>699</v>
      </c>
      <c r="D732" s="0" t="n">
        <v>0</v>
      </c>
      <c r="E732" s="0" t="n">
        <v>14</v>
      </c>
      <c r="F732" s="0" t="n">
        <v>5</v>
      </c>
      <c r="G732" s="0" t="n">
        <v>14</v>
      </c>
      <c r="H732" s="0" t="n">
        <v>19</v>
      </c>
    </row>
    <row r="733" customFormat="false" ht="15" hidden="false" customHeight="false" outlineLevel="0" collapsed="false">
      <c r="A733" s="0" t="s">
        <v>148</v>
      </c>
      <c r="B733" s="0" t="s">
        <v>636</v>
      </c>
      <c r="C733" s="0" t="s">
        <v>613</v>
      </c>
      <c r="D733" s="0" t="n">
        <v>0</v>
      </c>
      <c r="E733" s="0" t="n">
        <v>6</v>
      </c>
      <c r="F733" s="0" t="n">
        <v>0</v>
      </c>
      <c r="G733" s="0" t="n">
        <v>6</v>
      </c>
      <c r="H733" s="0" t="n">
        <v>6</v>
      </c>
    </row>
    <row r="734" customFormat="false" ht="15" hidden="false" customHeight="false" outlineLevel="0" collapsed="false">
      <c r="A734" s="0" t="s">
        <v>148</v>
      </c>
      <c r="B734" s="0" t="s">
        <v>601</v>
      </c>
      <c r="C734" s="0" t="s">
        <v>560</v>
      </c>
      <c r="D734" s="0" t="n">
        <v>2</v>
      </c>
      <c r="E734" s="0" t="n">
        <v>2</v>
      </c>
      <c r="F734" s="0" t="n">
        <v>0</v>
      </c>
      <c r="G734" s="0" t="n">
        <v>4</v>
      </c>
      <c r="H734" s="0" t="n">
        <v>4</v>
      </c>
    </row>
    <row r="735" customFormat="false" ht="15" hidden="false" customHeight="false" outlineLevel="0" collapsed="false">
      <c r="A735" s="0" t="s">
        <v>148</v>
      </c>
      <c r="B735" s="0" t="s">
        <v>602</v>
      </c>
      <c r="C735" s="0" t="s">
        <v>103</v>
      </c>
      <c r="D735" s="0" t="n">
        <v>9</v>
      </c>
      <c r="E735" s="0" t="n">
        <v>2</v>
      </c>
      <c r="F735" s="0" t="n">
        <v>0</v>
      </c>
      <c r="G735" s="0" t="n">
        <v>11</v>
      </c>
      <c r="H735" s="0" t="n">
        <v>11</v>
      </c>
    </row>
    <row r="736" customFormat="false" ht="15" hidden="false" customHeight="false" outlineLevel="0" collapsed="false">
      <c r="A736" s="0" t="s">
        <v>148</v>
      </c>
      <c r="B736" s="0" t="s">
        <v>603</v>
      </c>
      <c r="C736" s="0" t="s">
        <v>78</v>
      </c>
      <c r="D736" s="0" t="n">
        <v>2</v>
      </c>
      <c r="E736" s="0" t="n">
        <v>8</v>
      </c>
      <c r="F736" s="0" t="n">
        <v>0</v>
      </c>
      <c r="G736" s="0" t="n">
        <v>10</v>
      </c>
      <c r="H736" s="0" t="n">
        <v>10</v>
      </c>
    </row>
    <row r="737" customFormat="false" ht="15" hidden="false" customHeight="false" outlineLevel="0" collapsed="false">
      <c r="A737" s="0" t="s">
        <v>151</v>
      </c>
      <c r="B737" s="0" t="s">
        <v>559</v>
      </c>
      <c r="C737" s="0" t="s">
        <v>84</v>
      </c>
      <c r="D737" s="0" t="n">
        <v>1</v>
      </c>
      <c r="E737" s="0" t="n">
        <v>2</v>
      </c>
      <c r="F737" s="0" t="n">
        <v>0</v>
      </c>
      <c r="G737" s="0" t="n">
        <v>3</v>
      </c>
      <c r="H737" s="0" t="n">
        <v>3</v>
      </c>
    </row>
    <row r="738" customFormat="false" ht="15" hidden="false" customHeight="false" outlineLevel="0" collapsed="false">
      <c r="A738" s="0" t="s">
        <v>151</v>
      </c>
      <c r="B738" s="0" t="s">
        <v>561</v>
      </c>
      <c r="C738" s="0" t="s">
        <v>85</v>
      </c>
      <c r="D738" s="0" t="n">
        <v>1</v>
      </c>
      <c r="E738" s="0" t="n">
        <v>7</v>
      </c>
      <c r="F738" s="0" t="n">
        <v>0</v>
      </c>
      <c r="G738" s="0" t="n">
        <v>8</v>
      </c>
      <c r="H738" s="0" t="n">
        <v>8</v>
      </c>
    </row>
    <row r="739" customFormat="false" ht="15" hidden="false" customHeight="false" outlineLevel="0" collapsed="false">
      <c r="A739" s="0" t="s">
        <v>151</v>
      </c>
      <c r="B739" s="0" t="s">
        <v>695</v>
      </c>
      <c r="C739" s="0" t="s">
        <v>588</v>
      </c>
      <c r="D739" s="0" t="n">
        <v>1</v>
      </c>
      <c r="E739" s="0" t="n">
        <v>3</v>
      </c>
      <c r="F739" s="0" t="n">
        <v>0</v>
      </c>
      <c r="G739" s="0" t="n">
        <v>4</v>
      </c>
      <c r="H739" s="0" t="n">
        <v>4</v>
      </c>
    </row>
    <row r="740" customFormat="false" ht="15" hidden="false" customHeight="false" outlineLevel="0" collapsed="false">
      <c r="A740" s="0" t="s">
        <v>151</v>
      </c>
      <c r="B740" s="0" t="s">
        <v>696</v>
      </c>
      <c r="C740" s="0" t="s">
        <v>624</v>
      </c>
      <c r="D740" s="0" t="n">
        <v>4</v>
      </c>
      <c r="E740" s="0" t="n">
        <v>2</v>
      </c>
      <c r="F740" s="0" t="n">
        <v>0</v>
      </c>
      <c r="G740" s="0" t="n">
        <v>6</v>
      </c>
      <c r="H740" s="0" t="n">
        <v>6</v>
      </c>
    </row>
    <row r="741" customFormat="false" ht="15" hidden="false" customHeight="false" outlineLevel="0" collapsed="false">
      <c r="A741" s="0" t="s">
        <v>151</v>
      </c>
      <c r="B741" s="0" t="s">
        <v>696</v>
      </c>
      <c r="C741" s="0" t="s">
        <v>697</v>
      </c>
      <c r="D741" s="0" t="n">
        <v>2</v>
      </c>
      <c r="E741" s="0" t="n">
        <v>7</v>
      </c>
      <c r="F741" s="0" t="n">
        <v>0</v>
      </c>
      <c r="G741" s="0" t="n">
        <v>9</v>
      </c>
      <c r="H741" s="0" t="n">
        <v>9</v>
      </c>
    </row>
    <row r="742" customFormat="false" ht="15" hidden="false" customHeight="false" outlineLevel="0" collapsed="false">
      <c r="A742" s="0" t="s">
        <v>151</v>
      </c>
      <c r="B742" s="0" t="s">
        <v>566</v>
      </c>
      <c r="C742" s="0" t="s">
        <v>85</v>
      </c>
      <c r="D742" s="0" t="n">
        <v>1</v>
      </c>
      <c r="E742" s="0" t="n">
        <v>2</v>
      </c>
      <c r="F742" s="0" t="n">
        <v>1</v>
      </c>
      <c r="G742" s="0" t="n">
        <v>3</v>
      </c>
      <c r="H742" s="0" t="n">
        <v>4</v>
      </c>
    </row>
    <row r="743" customFormat="false" ht="15" hidden="false" customHeight="false" outlineLevel="0" collapsed="false">
      <c r="A743" s="0" t="s">
        <v>151</v>
      </c>
      <c r="B743" s="0" t="s">
        <v>567</v>
      </c>
      <c r="C743" s="0" t="s">
        <v>103</v>
      </c>
      <c r="D743" s="0" t="n">
        <v>1</v>
      </c>
      <c r="E743" s="0" t="n">
        <v>6</v>
      </c>
      <c r="F743" s="0" t="n">
        <v>1</v>
      </c>
      <c r="G743" s="0" t="n">
        <v>7</v>
      </c>
      <c r="H743" s="0" t="n">
        <v>8</v>
      </c>
    </row>
    <row r="744" customFormat="false" ht="15" hidden="false" customHeight="false" outlineLevel="0" collapsed="false">
      <c r="A744" s="0" t="s">
        <v>151</v>
      </c>
      <c r="B744" s="0" t="s">
        <v>614</v>
      </c>
      <c r="C744" s="0" t="s">
        <v>623</v>
      </c>
      <c r="D744" s="0" t="n">
        <v>1</v>
      </c>
      <c r="E744" s="0" t="n">
        <v>2</v>
      </c>
      <c r="F744" s="0" t="n">
        <v>0</v>
      </c>
      <c r="G744" s="0" t="n">
        <v>3</v>
      </c>
      <c r="H744" s="0" t="n">
        <v>3</v>
      </c>
    </row>
    <row r="745" customFormat="false" ht="15" hidden="false" customHeight="false" outlineLevel="0" collapsed="false">
      <c r="A745" s="0" t="s">
        <v>151</v>
      </c>
      <c r="B745" s="0" t="s">
        <v>569</v>
      </c>
      <c r="C745" s="0" t="s">
        <v>103</v>
      </c>
      <c r="D745" s="0" t="n">
        <v>7</v>
      </c>
      <c r="E745" s="0" t="n">
        <v>8</v>
      </c>
      <c r="F745" s="0" t="n">
        <v>0</v>
      </c>
      <c r="G745" s="0" t="n">
        <v>15</v>
      </c>
      <c r="H745" s="0" t="n">
        <v>15</v>
      </c>
    </row>
    <row r="746" customFormat="false" ht="15" hidden="false" customHeight="false" outlineLevel="0" collapsed="false">
      <c r="A746" s="0" t="s">
        <v>151</v>
      </c>
      <c r="B746" s="0" t="s">
        <v>585</v>
      </c>
      <c r="C746" s="0" t="s">
        <v>560</v>
      </c>
      <c r="D746" s="0" t="n">
        <v>0</v>
      </c>
      <c r="E746" s="0" t="n">
        <v>1</v>
      </c>
      <c r="F746" s="0" t="n">
        <v>0</v>
      </c>
      <c r="G746" s="0" t="n">
        <v>1</v>
      </c>
      <c r="H746" s="0" t="n">
        <v>1</v>
      </c>
    </row>
    <row r="747" customFormat="false" ht="15" hidden="false" customHeight="false" outlineLevel="0" collapsed="false">
      <c r="A747" s="0" t="s">
        <v>151</v>
      </c>
      <c r="B747" s="0" t="s">
        <v>585</v>
      </c>
      <c r="C747" s="0" t="s">
        <v>620</v>
      </c>
      <c r="D747" s="0" t="n">
        <v>6</v>
      </c>
      <c r="E747" s="0" t="n">
        <v>7</v>
      </c>
      <c r="F747" s="0" t="n">
        <v>6</v>
      </c>
      <c r="G747" s="0" t="n">
        <v>13</v>
      </c>
      <c r="H747" s="0" t="n">
        <v>19</v>
      </c>
    </row>
    <row r="748" customFormat="false" ht="15" hidden="false" customHeight="false" outlineLevel="0" collapsed="false">
      <c r="A748" s="0" t="s">
        <v>151</v>
      </c>
      <c r="B748" s="0" t="s">
        <v>586</v>
      </c>
      <c r="C748" s="0" t="s">
        <v>598</v>
      </c>
      <c r="D748" s="0" t="n">
        <v>2</v>
      </c>
      <c r="E748" s="0" t="n">
        <v>6</v>
      </c>
      <c r="F748" s="0" t="n">
        <v>0</v>
      </c>
      <c r="G748" s="0" t="n">
        <v>8</v>
      </c>
      <c r="H748" s="0" t="n">
        <v>8</v>
      </c>
    </row>
    <row r="749" customFormat="false" ht="15" hidden="false" customHeight="false" outlineLevel="0" collapsed="false">
      <c r="A749" s="0" t="s">
        <v>151</v>
      </c>
      <c r="B749" s="0" t="s">
        <v>600</v>
      </c>
      <c r="C749" s="0" t="s">
        <v>595</v>
      </c>
      <c r="D749" s="0" t="n">
        <v>4</v>
      </c>
      <c r="E749" s="0" t="n">
        <v>2</v>
      </c>
      <c r="F749" s="0" t="n">
        <v>0</v>
      </c>
      <c r="G749" s="0" t="n">
        <v>6</v>
      </c>
      <c r="H749" s="0" t="n">
        <v>6</v>
      </c>
    </row>
    <row r="750" customFormat="false" ht="15" hidden="false" customHeight="false" outlineLevel="0" collapsed="false">
      <c r="A750" s="0" t="s">
        <v>151</v>
      </c>
      <c r="B750" s="0" t="s">
        <v>600</v>
      </c>
      <c r="C750" s="0" t="s">
        <v>604</v>
      </c>
      <c r="D750" s="0" t="n">
        <v>2</v>
      </c>
      <c r="E750" s="0" t="n">
        <v>0</v>
      </c>
      <c r="F750" s="0" t="n">
        <v>0</v>
      </c>
      <c r="G750" s="0" t="n">
        <v>2</v>
      </c>
      <c r="H750" s="0" t="n">
        <v>2</v>
      </c>
    </row>
    <row r="751" customFormat="false" ht="15" hidden="false" customHeight="false" outlineLevel="0" collapsed="false">
      <c r="A751" s="0" t="s">
        <v>151</v>
      </c>
      <c r="B751" s="0" t="s">
        <v>663</v>
      </c>
      <c r="C751" s="0" t="s">
        <v>103</v>
      </c>
      <c r="D751" s="0" t="n">
        <v>2</v>
      </c>
      <c r="E751" s="0" t="n">
        <v>2</v>
      </c>
      <c r="F751" s="0" t="n">
        <v>2</v>
      </c>
      <c r="G751" s="0" t="n">
        <v>4</v>
      </c>
      <c r="H751" s="0" t="n">
        <v>6</v>
      </c>
    </row>
    <row r="752" customFormat="false" ht="15" hidden="false" customHeight="false" outlineLevel="0" collapsed="false">
      <c r="A752" s="0" t="s">
        <v>154</v>
      </c>
      <c r="B752" s="0" t="s">
        <v>559</v>
      </c>
      <c r="C752" s="0" t="s">
        <v>84</v>
      </c>
      <c r="D752" s="0" t="n">
        <v>5</v>
      </c>
      <c r="E752" s="0" t="n">
        <v>11</v>
      </c>
      <c r="F752" s="0" t="n">
        <v>0</v>
      </c>
      <c r="G752" s="0" t="n">
        <v>16</v>
      </c>
      <c r="H752" s="0" t="n">
        <v>16</v>
      </c>
    </row>
    <row r="753" customFormat="false" ht="15" hidden="false" customHeight="false" outlineLevel="0" collapsed="false">
      <c r="A753" s="0" t="s">
        <v>154</v>
      </c>
      <c r="B753" s="0" t="s">
        <v>561</v>
      </c>
      <c r="C753" s="0" t="s">
        <v>85</v>
      </c>
      <c r="D753" s="0" t="n">
        <v>2</v>
      </c>
      <c r="E753" s="0" t="n">
        <v>16</v>
      </c>
      <c r="F753" s="0" t="n">
        <v>0</v>
      </c>
      <c r="G753" s="0" t="n">
        <v>18</v>
      </c>
      <c r="H753" s="0" t="n">
        <v>18</v>
      </c>
    </row>
    <row r="754" customFormat="false" ht="15" hidden="false" customHeight="false" outlineLevel="0" collapsed="false">
      <c r="A754" s="0" t="s">
        <v>154</v>
      </c>
      <c r="B754" s="0" t="s">
        <v>695</v>
      </c>
      <c r="C754" s="0" t="s">
        <v>588</v>
      </c>
      <c r="D754" s="0" t="n">
        <v>5</v>
      </c>
      <c r="E754" s="0" t="n">
        <v>6</v>
      </c>
      <c r="F754" s="0" t="n">
        <v>0</v>
      </c>
      <c r="G754" s="0" t="n">
        <v>11</v>
      </c>
      <c r="H754" s="0" t="n">
        <v>11</v>
      </c>
    </row>
    <row r="755" customFormat="false" ht="15" hidden="false" customHeight="false" outlineLevel="0" collapsed="false">
      <c r="A755" s="0" t="s">
        <v>154</v>
      </c>
      <c r="B755" s="0" t="s">
        <v>696</v>
      </c>
      <c r="C755" s="0" t="s">
        <v>624</v>
      </c>
      <c r="D755" s="0" t="n">
        <v>13</v>
      </c>
      <c r="E755" s="0" t="n">
        <v>6</v>
      </c>
      <c r="F755" s="0" t="n">
        <v>0</v>
      </c>
      <c r="G755" s="0" t="n">
        <v>19</v>
      </c>
      <c r="H755" s="0" t="n">
        <v>19</v>
      </c>
    </row>
    <row r="756" customFormat="false" ht="15" hidden="false" customHeight="false" outlineLevel="0" collapsed="false">
      <c r="A756" s="0" t="s">
        <v>154</v>
      </c>
      <c r="B756" s="0" t="s">
        <v>696</v>
      </c>
      <c r="C756" s="0" t="s">
        <v>697</v>
      </c>
      <c r="D756" s="0" t="n">
        <v>6</v>
      </c>
      <c r="E756" s="0" t="n">
        <v>8</v>
      </c>
      <c r="F756" s="0" t="n">
        <v>0</v>
      </c>
      <c r="G756" s="0" t="n">
        <v>14</v>
      </c>
      <c r="H756" s="0" t="n">
        <v>14</v>
      </c>
    </row>
    <row r="757" customFormat="false" ht="15" hidden="false" customHeight="false" outlineLevel="0" collapsed="false">
      <c r="A757" s="0" t="s">
        <v>154</v>
      </c>
      <c r="B757" s="0" t="s">
        <v>566</v>
      </c>
      <c r="C757" s="0" t="s">
        <v>85</v>
      </c>
      <c r="D757" s="0" t="n">
        <v>7</v>
      </c>
      <c r="E757" s="0" t="n">
        <v>0</v>
      </c>
      <c r="F757" s="0" t="n">
        <v>3</v>
      </c>
      <c r="G757" s="0" t="n">
        <v>7</v>
      </c>
      <c r="H757" s="0" t="n">
        <v>10</v>
      </c>
    </row>
    <row r="758" customFormat="false" ht="15" hidden="false" customHeight="false" outlineLevel="0" collapsed="false">
      <c r="A758" s="0" t="s">
        <v>154</v>
      </c>
      <c r="B758" s="0" t="s">
        <v>567</v>
      </c>
      <c r="C758" s="0" t="s">
        <v>103</v>
      </c>
      <c r="D758" s="0" t="n">
        <v>6</v>
      </c>
      <c r="E758" s="0" t="n">
        <v>4</v>
      </c>
      <c r="F758" s="0" t="n">
        <v>8</v>
      </c>
      <c r="G758" s="0" t="n">
        <v>10</v>
      </c>
      <c r="H758" s="0" t="n">
        <v>18</v>
      </c>
    </row>
    <row r="759" customFormat="false" ht="15" hidden="false" customHeight="false" outlineLevel="0" collapsed="false">
      <c r="A759" s="0" t="s">
        <v>154</v>
      </c>
      <c r="B759" s="0" t="s">
        <v>614</v>
      </c>
      <c r="C759" s="0" t="s">
        <v>623</v>
      </c>
      <c r="D759" s="0" t="n">
        <v>12</v>
      </c>
      <c r="E759" s="0" t="n">
        <v>7</v>
      </c>
      <c r="F759" s="0" t="n">
        <v>0</v>
      </c>
      <c r="G759" s="0" t="n">
        <v>19</v>
      </c>
      <c r="H759" s="0" t="n">
        <v>19</v>
      </c>
    </row>
    <row r="760" customFormat="false" ht="15" hidden="false" customHeight="false" outlineLevel="0" collapsed="false">
      <c r="A760" s="0" t="s">
        <v>154</v>
      </c>
      <c r="B760" s="0" t="s">
        <v>569</v>
      </c>
      <c r="C760" s="0" t="s">
        <v>103</v>
      </c>
      <c r="D760" s="0" t="n">
        <v>4</v>
      </c>
      <c r="E760" s="0" t="n">
        <v>7</v>
      </c>
      <c r="F760" s="0" t="n">
        <v>10</v>
      </c>
      <c r="G760" s="0" t="n">
        <v>11</v>
      </c>
      <c r="H760" s="0" t="n">
        <v>21</v>
      </c>
    </row>
    <row r="761" customFormat="false" ht="15" hidden="false" customHeight="false" outlineLevel="0" collapsed="false">
      <c r="A761" s="0" t="s">
        <v>154</v>
      </c>
      <c r="B761" s="0" t="s">
        <v>584</v>
      </c>
      <c r="C761" s="0" t="s">
        <v>84</v>
      </c>
      <c r="D761" s="0" t="n">
        <v>10</v>
      </c>
      <c r="E761" s="0" t="n">
        <v>8</v>
      </c>
      <c r="F761" s="0" t="n">
        <v>5</v>
      </c>
      <c r="G761" s="0" t="n">
        <v>18</v>
      </c>
      <c r="H761" s="0" t="n">
        <v>23</v>
      </c>
    </row>
    <row r="762" customFormat="false" ht="15" hidden="false" customHeight="false" outlineLevel="0" collapsed="false">
      <c r="A762" s="0" t="s">
        <v>154</v>
      </c>
      <c r="B762" s="0" t="s">
        <v>585</v>
      </c>
      <c r="C762" s="0" t="s">
        <v>599</v>
      </c>
      <c r="D762" s="0" t="n">
        <v>5</v>
      </c>
      <c r="E762" s="0" t="n">
        <v>9</v>
      </c>
      <c r="F762" s="0" t="n">
        <v>0</v>
      </c>
      <c r="G762" s="0" t="n">
        <v>14</v>
      </c>
      <c r="H762" s="0" t="n">
        <v>14</v>
      </c>
    </row>
    <row r="763" customFormat="false" ht="15" hidden="false" customHeight="false" outlineLevel="0" collapsed="false">
      <c r="A763" s="0" t="s">
        <v>154</v>
      </c>
      <c r="B763" s="0" t="s">
        <v>585</v>
      </c>
      <c r="C763" s="0" t="s">
        <v>590</v>
      </c>
      <c r="D763" s="0" t="n">
        <v>8</v>
      </c>
      <c r="E763" s="0" t="n">
        <v>6</v>
      </c>
      <c r="F763" s="0" t="n">
        <v>5</v>
      </c>
      <c r="G763" s="0" t="n">
        <v>14</v>
      </c>
      <c r="H763" s="0" t="n">
        <v>19</v>
      </c>
    </row>
    <row r="764" customFormat="false" ht="15" hidden="false" customHeight="false" outlineLevel="0" collapsed="false">
      <c r="A764" s="0" t="s">
        <v>154</v>
      </c>
      <c r="B764" s="0" t="s">
        <v>586</v>
      </c>
      <c r="C764" s="0" t="s">
        <v>595</v>
      </c>
      <c r="D764" s="0" t="n">
        <v>2</v>
      </c>
      <c r="E764" s="0" t="n">
        <v>16</v>
      </c>
      <c r="F764" s="0" t="n">
        <v>0</v>
      </c>
      <c r="G764" s="0" t="n">
        <v>18</v>
      </c>
      <c r="H764" s="0" t="n">
        <v>18</v>
      </c>
    </row>
    <row r="765" customFormat="false" ht="15" hidden="false" customHeight="false" outlineLevel="0" collapsed="false">
      <c r="A765" s="0" t="s">
        <v>154</v>
      </c>
      <c r="B765" s="0" t="s">
        <v>600</v>
      </c>
      <c r="C765" s="0" t="s">
        <v>598</v>
      </c>
      <c r="D765" s="0" t="n">
        <v>11</v>
      </c>
      <c r="E765" s="0" t="n">
        <v>10</v>
      </c>
      <c r="F765" s="0" t="n">
        <v>11</v>
      </c>
      <c r="G765" s="0" t="n">
        <v>21</v>
      </c>
      <c r="H765" s="0" t="n">
        <v>32</v>
      </c>
    </row>
    <row r="766" customFormat="false" ht="15" hidden="false" customHeight="false" outlineLevel="0" collapsed="false">
      <c r="A766" s="0" t="s">
        <v>154</v>
      </c>
      <c r="B766" s="0" t="s">
        <v>600</v>
      </c>
      <c r="C766" s="0" t="s">
        <v>587</v>
      </c>
      <c r="D766" s="0" t="n">
        <v>7</v>
      </c>
      <c r="E766" s="0" t="n">
        <v>1</v>
      </c>
      <c r="F766" s="0" t="n">
        <v>3</v>
      </c>
      <c r="G766" s="0" t="n">
        <v>8</v>
      </c>
      <c r="H766" s="0" t="n">
        <v>11</v>
      </c>
    </row>
    <row r="767" customFormat="false" ht="15" hidden="false" customHeight="false" outlineLevel="0" collapsed="false">
      <c r="A767" s="0" t="s">
        <v>172</v>
      </c>
      <c r="B767" s="0" t="s">
        <v>561</v>
      </c>
      <c r="C767" s="0" t="s">
        <v>588</v>
      </c>
      <c r="D767" s="0" t="n">
        <v>4</v>
      </c>
      <c r="E767" s="0" t="n">
        <v>2</v>
      </c>
      <c r="F767" s="0" t="n">
        <v>0</v>
      </c>
      <c r="G767" s="0" t="n">
        <v>6</v>
      </c>
      <c r="H767" s="0" t="n">
        <v>6</v>
      </c>
    </row>
    <row r="768" customFormat="false" ht="15" hidden="false" customHeight="false" outlineLevel="0" collapsed="false">
      <c r="A768" s="0" t="s">
        <v>172</v>
      </c>
      <c r="B768" s="0" t="s">
        <v>562</v>
      </c>
      <c r="C768" s="0" t="s">
        <v>91</v>
      </c>
      <c r="D768" s="0" t="n">
        <v>10</v>
      </c>
      <c r="E768" s="0" t="n">
        <v>7</v>
      </c>
      <c r="F768" s="0" t="n">
        <v>0</v>
      </c>
      <c r="G768" s="0" t="n">
        <v>17</v>
      </c>
      <c r="H768" s="0" t="n">
        <v>17</v>
      </c>
    </row>
    <row r="769" customFormat="false" ht="15" hidden="false" customHeight="false" outlineLevel="0" collapsed="false">
      <c r="A769" s="0" t="s">
        <v>172</v>
      </c>
      <c r="B769" s="0" t="s">
        <v>700</v>
      </c>
      <c r="C769" s="0" t="s">
        <v>90</v>
      </c>
      <c r="D769" s="0" t="n">
        <v>3</v>
      </c>
      <c r="E769" s="0" t="n">
        <v>3</v>
      </c>
      <c r="F769" s="0" t="n">
        <v>1</v>
      </c>
      <c r="G769" s="0" t="n">
        <v>6</v>
      </c>
      <c r="H769" s="0" t="n">
        <v>7</v>
      </c>
    </row>
    <row r="770" customFormat="false" ht="15" hidden="false" customHeight="false" outlineLevel="0" collapsed="false">
      <c r="A770" s="0" t="s">
        <v>172</v>
      </c>
      <c r="B770" s="0" t="s">
        <v>701</v>
      </c>
      <c r="C770" s="0" t="s">
        <v>565</v>
      </c>
      <c r="D770" s="0" t="n">
        <v>12</v>
      </c>
      <c r="E770" s="0" t="n">
        <v>3</v>
      </c>
      <c r="F770" s="0" t="n">
        <v>0</v>
      </c>
      <c r="G770" s="0" t="n">
        <v>15</v>
      </c>
      <c r="H770" s="0" t="n">
        <v>15</v>
      </c>
    </row>
    <row r="771" customFormat="false" ht="15" hidden="false" customHeight="false" outlineLevel="0" collapsed="false">
      <c r="A771" s="0" t="s">
        <v>172</v>
      </c>
      <c r="B771" s="0" t="s">
        <v>563</v>
      </c>
      <c r="C771" s="0" t="s">
        <v>85</v>
      </c>
      <c r="D771" s="0" t="n">
        <v>4</v>
      </c>
      <c r="E771" s="0" t="n">
        <v>7</v>
      </c>
      <c r="F771" s="0" t="n">
        <v>7</v>
      </c>
      <c r="G771" s="0" t="n">
        <v>11</v>
      </c>
      <c r="H771" s="0" t="n">
        <v>18</v>
      </c>
    </row>
    <row r="772" customFormat="false" ht="15" hidden="false" customHeight="false" outlineLevel="0" collapsed="false">
      <c r="A772" s="0" t="s">
        <v>172</v>
      </c>
      <c r="B772" s="0" t="s">
        <v>564</v>
      </c>
      <c r="C772" s="0" t="s">
        <v>84</v>
      </c>
      <c r="D772" s="0" t="n">
        <v>2</v>
      </c>
      <c r="E772" s="0" t="n">
        <v>6</v>
      </c>
      <c r="F772" s="0" t="n">
        <v>4</v>
      </c>
      <c r="G772" s="0" t="n">
        <v>8</v>
      </c>
      <c r="H772" s="0" t="n">
        <v>12</v>
      </c>
    </row>
    <row r="773" customFormat="false" ht="15" hidden="false" customHeight="false" outlineLevel="0" collapsed="false">
      <c r="A773" s="0" t="s">
        <v>172</v>
      </c>
      <c r="B773" s="0" t="s">
        <v>566</v>
      </c>
      <c r="C773" s="0" t="s">
        <v>565</v>
      </c>
      <c r="D773" s="0" t="n">
        <v>6</v>
      </c>
      <c r="E773" s="0" t="n">
        <v>7</v>
      </c>
      <c r="F773" s="0" t="n">
        <v>0</v>
      </c>
      <c r="G773" s="0" t="n">
        <v>13</v>
      </c>
      <c r="H773" s="0" t="n">
        <v>13</v>
      </c>
    </row>
    <row r="774" customFormat="false" ht="15" hidden="false" customHeight="false" outlineLevel="0" collapsed="false">
      <c r="A774" s="0" t="s">
        <v>172</v>
      </c>
      <c r="B774" s="0" t="s">
        <v>569</v>
      </c>
      <c r="C774" s="0" t="s">
        <v>596</v>
      </c>
      <c r="D774" s="0" t="n">
        <v>8</v>
      </c>
      <c r="E774" s="0" t="n">
        <v>5</v>
      </c>
      <c r="F774" s="0" t="n">
        <v>0</v>
      </c>
      <c r="G774" s="0" t="n">
        <v>13</v>
      </c>
      <c r="H774" s="0" t="n">
        <v>13</v>
      </c>
    </row>
    <row r="775" customFormat="false" ht="15" hidden="false" customHeight="false" outlineLevel="0" collapsed="false">
      <c r="A775" s="0" t="s">
        <v>172</v>
      </c>
      <c r="B775" s="0" t="s">
        <v>570</v>
      </c>
      <c r="C775" s="0" t="s">
        <v>613</v>
      </c>
      <c r="D775" s="0" t="n">
        <v>3</v>
      </c>
      <c r="E775" s="0" t="n">
        <v>2</v>
      </c>
      <c r="F775" s="0" t="n">
        <v>0</v>
      </c>
      <c r="G775" s="0" t="n">
        <v>5</v>
      </c>
      <c r="H775" s="0" t="n">
        <v>5</v>
      </c>
    </row>
    <row r="776" customFormat="false" ht="15" hidden="false" customHeight="false" outlineLevel="0" collapsed="false">
      <c r="A776" s="0" t="s">
        <v>172</v>
      </c>
      <c r="B776" s="0" t="s">
        <v>592</v>
      </c>
      <c r="C776" s="0" t="s">
        <v>90</v>
      </c>
      <c r="D776" s="0" t="n">
        <v>5</v>
      </c>
      <c r="E776" s="0" t="n">
        <v>0</v>
      </c>
      <c r="F776" s="0" t="n">
        <v>2</v>
      </c>
      <c r="G776" s="0" t="n">
        <v>5</v>
      </c>
      <c r="H776" s="0" t="n">
        <v>7</v>
      </c>
    </row>
    <row r="777" customFormat="false" ht="15" hidden="false" customHeight="false" outlineLevel="0" collapsed="false">
      <c r="A777" s="0" t="s">
        <v>172</v>
      </c>
      <c r="B777" s="0" t="s">
        <v>593</v>
      </c>
      <c r="C777" s="0" t="s">
        <v>84</v>
      </c>
      <c r="D777" s="0" t="n">
        <v>7</v>
      </c>
      <c r="E777" s="0" t="n">
        <v>3</v>
      </c>
      <c r="F777" s="0" t="n">
        <v>8</v>
      </c>
      <c r="G777" s="0" t="n">
        <v>10</v>
      </c>
      <c r="H777" s="0" t="n">
        <v>18</v>
      </c>
    </row>
    <row r="778" customFormat="false" ht="15" hidden="false" customHeight="false" outlineLevel="0" collapsed="false">
      <c r="A778" s="0" t="s">
        <v>172</v>
      </c>
      <c r="B778" s="0" t="s">
        <v>582</v>
      </c>
      <c r="C778" s="0" t="s">
        <v>90</v>
      </c>
      <c r="D778" s="0" t="n">
        <v>2</v>
      </c>
      <c r="E778" s="0" t="n">
        <v>1</v>
      </c>
      <c r="F778" s="0" t="n">
        <v>6</v>
      </c>
      <c r="G778" s="0" t="n">
        <v>3</v>
      </c>
      <c r="H778" s="0" t="n">
        <v>9</v>
      </c>
    </row>
    <row r="779" customFormat="false" ht="15" hidden="false" customHeight="false" outlineLevel="0" collapsed="false">
      <c r="A779" s="0" t="s">
        <v>172</v>
      </c>
      <c r="B779" s="0" t="s">
        <v>583</v>
      </c>
      <c r="C779" s="0" t="s">
        <v>103</v>
      </c>
      <c r="D779" s="0" t="n">
        <v>2</v>
      </c>
      <c r="E779" s="0" t="n">
        <v>2</v>
      </c>
      <c r="F779" s="0" t="n">
        <v>1</v>
      </c>
      <c r="G779" s="0" t="n">
        <v>4</v>
      </c>
      <c r="H779" s="0" t="n">
        <v>5</v>
      </c>
    </row>
    <row r="780" customFormat="false" ht="15" hidden="false" customHeight="false" outlineLevel="0" collapsed="false">
      <c r="A780" s="0" t="s">
        <v>172</v>
      </c>
      <c r="B780" s="0" t="s">
        <v>585</v>
      </c>
      <c r="C780" s="0" t="s">
        <v>90</v>
      </c>
      <c r="D780" s="0" t="n">
        <v>7</v>
      </c>
      <c r="E780" s="0" t="n">
        <v>3</v>
      </c>
      <c r="F780" s="0" t="n">
        <v>0</v>
      </c>
      <c r="G780" s="0" t="n">
        <v>10</v>
      </c>
      <c r="H780" s="0" t="n">
        <v>10</v>
      </c>
    </row>
    <row r="781" customFormat="false" ht="15" hidden="false" customHeight="false" outlineLevel="0" collapsed="false">
      <c r="A781" s="0" t="s">
        <v>172</v>
      </c>
      <c r="B781" s="0" t="s">
        <v>586</v>
      </c>
      <c r="C781" s="0" t="s">
        <v>604</v>
      </c>
      <c r="D781" s="0" t="n">
        <v>4</v>
      </c>
      <c r="E781" s="0" t="n">
        <v>1</v>
      </c>
      <c r="F781" s="0" t="n">
        <v>0</v>
      </c>
      <c r="G781" s="0" t="n">
        <v>5</v>
      </c>
      <c r="H781" s="0" t="n">
        <v>5</v>
      </c>
    </row>
    <row r="782" customFormat="false" ht="15" hidden="false" customHeight="false" outlineLevel="0" collapsed="false">
      <c r="A782" s="0" t="s">
        <v>175</v>
      </c>
      <c r="B782" s="0" t="s">
        <v>561</v>
      </c>
      <c r="C782" s="0" t="s">
        <v>588</v>
      </c>
      <c r="D782" s="0" t="n">
        <v>4</v>
      </c>
      <c r="E782" s="0" t="n">
        <v>7</v>
      </c>
      <c r="F782" s="0" t="n">
        <v>0</v>
      </c>
      <c r="G782" s="0" t="n">
        <v>11</v>
      </c>
      <c r="H782" s="0" t="n">
        <v>11</v>
      </c>
    </row>
    <row r="783" customFormat="false" ht="15" hidden="false" customHeight="false" outlineLevel="0" collapsed="false">
      <c r="A783" s="0" t="s">
        <v>175</v>
      </c>
      <c r="B783" s="0" t="s">
        <v>562</v>
      </c>
      <c r="C783" s="0" t="s">
        <v>91</v>
      </c>
      <c r="D783" s="0" t="n">
        <v>5</v>
      </c>
      <c r="E783" s="0" t="n">
        <v>5</v>
      </c>
      <c r="F783" s="0" t="n">
        <v>0</v>
      </c>
      <c r="G783" s="0" t="n">
        <v>10</v>
      </c>
      <c r="H783" s="0" t="n">
        <v>10</v>
      </c>
    </row>
    <row r="784" customFormat="false" ht="15" hidden="false" customHeight="false" outlineLevel="0" collapsed="false">
      <c r="A784" s="0" t="s">
        <v>175</v>
      </c>
      <c r="B784" s="0" t="s">
        <v>700</v>
      </c>
      <c r="C784" s="0" t="s">
        <v>90</v>
      </c>
      <c r="D784" s="0" t="n">
        <v>2</v>
      </c>
      <c r="E784" s="0" t="n">
        <v>1</v>
      </c>
      <c r="F784" s="0" t="n">
        <v>1</v>
      </c>
      <c r="G784" s="0" t="n">
        <v>3</v>
      </c>
      <c r="H784" s="0" t="n">
        <v>4</v>
      </c>
    </row>
    <row r="785" customFormat="false" ht="15" hidden="false" customHeight="false" outlineLevel="0" collapsed="false">
      <c r="A785" s="0" t="s">
        <v>175</v>
      </c>
      <c r="B785" s="0" t="s">
        <v>701</v>
      </c>
      <c r="C785" s="0" t="s">
        <v>565</v>
      </c>
      <c r="D785" s="0" t="n">
        <v>2</v>
      </c>
      <c r="E785" s="0" t="n">
        <v>1</v>
      </c>
      <c r="F785" s="0" t="n">
        <v>0</v>
      </c>
      <c r="G785" s="0" t="n">
        <v>3</v>
      </c>
      <c r="H785" s="0" t="n">
        <v>3</v>
      </c>
    </row>
    <row r="786" customFormat="false" ht="15" hidden="false" customHeight="false" outlineLevel="0" collapsed="false">
      <c r="A786" s="0" t="s">
        <v>175</v>
      </c>
      <c r="B786" s="0" t="s">
        <v>563</v>
      </c>
      <c r="C786" s="0" t="s">
        <v>85</v>
      </c>
      <c r="D786" s="0" t="n">
        <v>3</v>
      </c>
      <c r="E786" s="0" t="n">
        <v>1</v>
      </c>
      <c r="F786" s="0" t="n">
        <v>3</v>
      </c>
      <c r="G786" s="0" t="n">
        <v>4</v>
      </c>
      <c r="H786" s="0" t="n">
        <v>7</v>
      </c>
    </row>
    <row r="787" customFormat="false" ht="15" hidden="false" customHeight="false" outlineLevel="0" collapsed="false">
      <c r="A787" s="0" t="s">
        <v>175</v>
      </c>
      <c r="B787" s="0" t="s">
        <v>564</v>
      </c>
      <c r="C787" s="0" t="s">
        <v>84</v>
      </c>
      <c r="D787" s="0" t="n">
        <v>5</v>
      </c>
      <c r="E787" s="0" t="n">
        <v>3</v>
      </c>
      <c r="F787" s="0" t="n">
        <v>2</v>
      </c>
      <c r="G787" s="0" t="n">
        <v>8</v>
      </c>
      <c r="H787" s="0" t="n">
        <v>10</v>
      </c>
    </row>
    <row r="788" customFormat="false" ht="15" hidden="false" customHeight="false" outlineLevel="0" collapsed="false">
      <c r="A788" s="0" t="s">
        <v>175</v>
      </c>
      <c r="B788" s="0" t="s">
        <v>566</v>
      </c>
      <c r="C788" s="0" t="s">
        <v>565</v>
      </c>
      <c r="D788" s="0" t="n">
        <v>3</v>
      </c>
      <c r="E788" s="0" t="n">
        <v>6</v>
      </c>
      <c r="F788" s="0" t="n">
        <v>0</v>
      </c>
      <c r="G788" s="0" t="n">
        <v>9</v>
      </c>
      <c r="H788" s="0" t="n">
        <v>9</v>
      </c>
    </row>
    <row r="789" customFormat="false" ht="15" hidden="false" customHeight="false" outlineLevel="0" collapsed="false">
      <c r="A789" s="0" t="s">
        <v>175</v>
      </c>
      <c r="B789" s="0" t="s">
        <v>569</v>
      </c>
      <c r="C789" s="0" t="s">
        <v>596</v>
      </c>
      <c r="D789" s="0" t="n">
        <v>5</v>
      </c>
      <c r="E789" s="0" t="n">
        <v>3</v>
      </c>
      <c r="F789" s="0" t="n">
        <v>0</v>
      </c>
      <c r="G789" s="0" t="n">
        <v>8</v>
      </c>
      <c r="H789" s="0" t="n">
        <v>8</v>
      </c>
    </row>
    <row r="790" customFormat="false" ht="15" hidden="false" customHeight="false" outlineLevel="0" collapsed="false">
      <c r="A790" s="0" t="s">
        <v>175</v>
      </c>
      <c r="B790" s="0" t="s">
        <v>570</v>
      </c>
      <c r="C790" s="0" t="s">
        <v>613</v>
      </c>
      <c r="D790" s="0" t="n">
        <v>3</v>
      </c>
      <c r="E790" s="0" t="n">
        <v>2</v>
      </c>
      <c r="F790" s="0" t="n">
        <v>0</v>
      </c>
      <c r="G790" s="0" t="n">
        <v>5</v>
      </c>
      <c r="H790" s="0" t="n">
        <v>5</v>
      </c>
    </row>
    <row r="791" customFormat="false" ht="15" hidden="false" customHeight="false" outlineLevel="0" collapsed="false">
      <c r="A791" s="0" t="s">
        <v>175</v>
      </c>
      <c r="B791" s="0" t="s">
        <v>592</v>
      </c>
      <c r="C791" s="0" t="s">
        <v>90</v>
      </c>
      <c r="D791" s="0" t="n">
        <v>3</v>
      </c>
      <c r="E791" s="0" t="n">
        <v>8</v>
      </c>
      <c r="F791" s="0" t="n">
        <v>4</v>
      </c>
      <c r="G791" s="0" t="n">
        <v>11</v>
      </c>
      <c r="H791" s="0" t="n">
        <v>15</v>
      </c>
    </row>
    <row r="792" customFormat="false" ht="15" hidden="false" customHeight="false" outlineLevel="0" collapsed="false">
      <c r="A792" s="0" t="s">
        <v>175</v>
      </c>
      <c r="B792" s="0" t="s">
        <v>593</v>
      </c>
      <c r="C792" s="0" t="s">
        <v>84</v>
      </c>
      <c r="D792" s="0" t="n">
        <v>3</v>
      </c>
      <c r="E792" s="0" t="n">
        <v>0</v>
      </c>
      <c r="F792" s="0" t="n">
        <v>5</v>
      </c>
      <c r="G792" s="0" t="n">
        <v>3</v>
      </c>
      <c r="H792" s="0" t="n">
        <v>8</v>
      </c>
    </row>
    <row r="793" customFormat="false" ht="15" hidden="false" customHeight="false" outlineLevel="0" collapsed="false">
      <c r="A793" s="0" t="s">
        <v>175</v>
      </c>
      <c r="B793" s="0" t="s">
        <v>582</v>
      </c>
      <c r="C793" s="0" t="s">
        <v>90</v>
      </c>
      <c r="D793" s="0" t="n">
        <v>2</v>
      </c>
      <c r="E793" s="0" t="n">
        <v>0</v>
      </c>
      <c r="F793" s="0" t="n">
        <v>3</v>
      </c>
      <c r="G793" s="0" t="n">
        <v>2</v>
      </c>
      <c r="H793" s="0" t="n">
        <v>5</v>
      </c>
    </row>
    <row r="794" customFormat="false" ht="15" hidden="false" customHeight="false" outlineLevel="0" collapsed="false">
      <c r="A794" s="0" t="s">
        <v>175</v>
      </c>
      <c r="B794" s="0" t="s">
        <v>583</v>
      </c>
      <c r="C794" s="0" t="s">
        <v>103</v>
      </c>
      <c r="D794" s="0" t="n">
        <v>1</v>
      </c>
      <c r="E794" s="0" t="n">
        <v>2</v>
      </c>
      <c r="F794" s="0" t="n">
        <v>4</v>
      </c>
      <c r="G794" s="0" t="n">
        <v>3</v>
      </c>
      <c r="H794" s="0" t="n">
        <v>7</v>
      </c>
    </row>
    <row r="795" customFormat="false" ht="15" hidden="false" customHeight="false" outlineLevel="0" collapsed="false">
      <c r="A795" s="0" t="s">
        <v>175</v>
      </c>
      <c r="B795" s="0" t="s">
        <v>585</v>
      </c>
      <c r="C795" s="0" t="s">
        <v>90</v>
      </c>
      <c r="D795" s="0" t="n">
        <v>0</v>
      </c>
      <c r="E795" s="0" t="n">
        <v>6</v>
      </c>
      <c r="F795" s="0" t="n">
        <v>0</v>
      </c>
      <c r="G795" s="0" t="n">
        <v>6</v>
      </c>
      <c r="H795" s="0" t="n">
        <v>6</v>
      </c>
    </row>
    <row r="796" customFormat="false" ht="15" hidden="false" customHeight="false" outlineLevel="0" collapsed="false">
      <c r="A796" s="0" t="s">
        <v>175</v>
      </c>
      <c r="B796" s="0" t="s">
        <v>586</v>
      </c>
      <c r="C796" s="0" t="s">
        <v>604</v>
      </c>
      <c r="D796" s="0" t="n">
        <v>2</v>
      </c>
      <c r="E796" s="0" t="n">
        <v>1</v>
      </c>
      <c r="F796" s="0" t="n">
        <v>0</v>
      </c>
      <c r="G796" s="0" t="n">
        <v>3</v>
      </c>
      <c r="H796" s="0" t="n">
        <v>3</v>
      </c>
    </row>
    <row r="797" customFormat="false" ht="15" hidden="false" customHeight="false" outlineLevel="0" collapsed="false">
      <c r="A797" s="0" t="s">
        <v>178</v>
      </c>
      <c r="B797" s="0" t="s">
        <v>561</v>
      </c>
      <c r="C797" s="0" t="s">
        <v>588</v>
      </c>
      <c r="D797" s="0" t="n">
        <v>11</v>
      </c>
      <c r="E797" s="0" t="n">
        <v>8</v>
      </c>
      <c r="F797" s="0" t="n">
        <v>0</v>
      </c>
      <c r="G797" s="0" t="n">
        <v>19</v>
      </c>
      <c r="H797" s="0" t="n">
        <v>19</v>
      </c>
    </row>
    <row r="798" customFormat="false" ht="15" hidden="false" customHeight="false" outlineLevel="0" collapsed="false">
      <c r="A798" s="0" t="s">
        <v>178</v>
      </c>
      <c r="B798" s="0" t="s">
        <v>562</v>
      </c>
      <c r="C798" s="0" t="s">
        <v>91</v>
      </c>
      <c r="D798" s="0" t="n">
        <v>5</v>
      </c>
      <c r="E798" s="0" t="n">
        <v>4</v>
      </c>
      <c r="F798" s="0" t="n">
        <v>0</v>
      </c>
      <c r="G798" s="0" t="n">
        <v>9</v>
      </c>
      <c r="H798" s="0" t="n">
        <v>9</v>
      </c>
    </row>
    <row r="799" customFormat="false" ht="15" hidden="false" customHeight="false" outlineLevel="0" collapsed="false">
      <c r="A799" s="0" t="s">
        <v>178</v>
      </c>
      <c r="B799" s="0" t="s">
        <v>700</v>
      </c>
      <c r="C799" s="0" t="s">
        <v>90</v>
      </c>
      <c r="D799" s="0" t="n">
        <v>15</v>
      </c>
      <c r="E799" s="0" t="n">
        <v>6</v>
      </c>
      <c r="F799" s="0" t="n">
        <v>4</v>
      </c>
      <c r="G799" s="0" t="n">
        <v>21</v>
      </c>
      <c r="H799" s="0" t="n">
        <v>25</v>
      </c>
    </row>
    <row r="800" customFormat="false" ht="15" hidden="false" customHeight="false" outlineLevel="0" collapsed="false">
      <c r="A800" s="0" t="s">
        <v>178</v>
      </c>
      <c r="B800" s="0" t="s">
        <v>701</v>
      </c>
      <c r="C800" s="0" t="s">
        <v>565</v>
      </c>
      <c r="D800" s="0" t="n">
        <v>8</v>
      </c>
      <c r="E800" s="0" t="n">
        <v>12</v>
      </c>
      <c r="F800" s="0" t="n">
        <v>0</v>
      </c>
      <c r="G800" s="0" t="n">
        <v>20</v>
      </c>
      <c r="H800" s="0" t="n">
        <v>20</v>
      </c>
    </row>
    <row r="801" customFormat="false" ht="15" hidden="false" customHeight="false" outlineLevel="0" collapsed="false">
      <c r="A801" s="0" t="s">
        <v>178</v>
      </c>
      <c r="B801" s="0" t="s">
        <v>563</v>
      </c>
      <c r="C801" s="0" t="s">
        <v>85</v>
      </c>
      <c r="D801" s="0" t="n">
        <v>11</v>
      </c>
      <c r="E801" s="0" t="n">
        <v>6</v>
      </c>
      <c r="F801" s="0" t="n">
        <v>8</v>
      </c>
      <c r="G801" s="0" t="n">
        <v>17</v>
      </c>
      <c r="H801" s="0" t="n">
        <v>25</v>
      </c>
    </row>
    <row r="802" customFormat="false" ht="15" hidden="false" customHeight="false" outlineLevel="0" collapsed="false">
      <c r="A802" s="0" t="s">
        <v>178</v>
      </c>
      <c r="B802" s="0" t="s">
        <v>564</v>
      </c>
      <c r="C802" s="0" t="s">
        <v>84</v>
      </c>
      <c r="D802" s="0" t="n">
        <v>13</v>
      </c>
      <c r="E802" s="0" t="n">
        <v>9</v>
      </c>
      <c r="F802" s="0" t="n">
        <v>10</v>
      </c>
      <c r="G802" s="0" t="n">
        <v>22</v>
      </c>
      <c r="H802" s="0" t="n">
        <v>32</v>
      </c>
    </row>
    <row r="803" customFormat="false" ht="15" hidden="false" customHeight="false" outlineLevel="0" collapsed="false">
      <c r="A803" s="0" t="s">
        <v>178</v>
      </c>
      <c r="B803" s="0" t="s">
        <v>566</v>
      </c>
      <c r="C803" s="0" t="s">
        <v>565</v>
      </c>
      <c r="D803" s="0" t="n">
        <v>9</v>
      </c>
      <c r="E803" s="0" t="n">
        <v>11</v>
      </c>
      <c r="F803" s="0" t="n">
        <v>0</v>
      </c>
      <c r="G803" s="0" t="n">
        <v>20</v>
      </c>
      <c r="H803" s="0" t="n">
        <v>20</v>
      </c>
    </row>
    <row r="804" customFormat="false" ht="15" hidden="false" customHeight="false" outlineLevel="0" collapsed="false">
      <c r="A804" s="0" t="s">
        <v>178</v>
      </c>
      <c r="B804" s="0" t="s">
        <v>569</v>
      </c>
      <c r="C804" s="0" t="s">
        <v>596</v>
      </c>
      <c r="D804" s="0" t="n">
        <v>5</v>
      </c>
      <c r="E804" s="0" t="n">
        <v>13</v>
      </c>
      <c r="F804" s="0" t="n">
        <v>0</v>
      </c>
      <c r="G804" s="0" t="n">
        <v>18</v>
      </c>
      <c r="H804" s="0" t="n">
        <v>18</v>
      </c>
    </row>
    <row r="805" customFormat="false" ht="15" hidden="false" customHeight="false" outlineLevel="0" collapsed="false">
      <c r="A805" s="0" t="s">
        <v>178</v>
      </c>
      <c r="B805" s="0" t="s">
        <v>570</v>
      </c>
      <c r="C805" s="0" t="s">
        <v>613</v>
      </c>
      <c r="D805" s="0" t="n">
        <v>6</v>
      </c>
      <c r="E805" s="0" t="n">
        <v>8</v>
      </c>
      <c r="F805" s="0" t="n">
        <v>0</v>
      </c>
      <c r="G805" s="0" t="n">
        <v>14</v>
      </c>
      <c r="H805" s="0" t="n">
        <v>14</v>
      </c>
    </row>
    <row r="806" customFormat="false" ht="15" hidden="false" customHeight="false" outlineLevel="0" collapsed="false">
      <c r="A806" s="0" t="s">
        <v>178</v>
      </c>
      <c r="B806" s="0" t="s">
        <v>592</v>
      </c>
      <c r="C806" s="0" t="s">
        <v>90</v>
      </c>
      <c r="D806" s="0" t="n">
        <v>4</v>
      </c>
      <c r="E806" s="0" t="n">
        <v>10</v>
      </c>
      <c r="F806" s="0" t="n">
        <v>4</v>
      </c>
      <c r="G806" s="0" t="n">
        <v>14</v>
      </c>
      <c r="H806" s="0" t="n">
        <v>18</v>
      </c>
    </row>
    <row r="807" customFormat="false" ht="15" hidden="false" customHeight="false" outlineLevel="0" collapsed="false">
      <c r="A807" s="0" t="s">
        <v>178</v>
      </c>
      <c r="B807" s="0" t="s">
        <v>593</v>
      </c>
      <c r="C807" s="0" t="s">
        <v>84</v>
      </c>
      <c r="D807" s="0" t="n">
        <v>11</v>
      </c>
      <c r="E807" s="0" t="n">
        <v>6</v>
      </c>
      <c r="F807" s="0" t="n">
        <v>4</v>
      </c>
      <c r="G807" s="0" t="n">
        <v>17</v>
      </c>
      <c r="H807" s="0" t="n">
        <v>21</v>
      </c>
    </row>
    <row r="808" customFormat="false" ht="15" hidden="false" customHeight="false" outlineLevel="0" collapsed="false">
      <c r="A808" s="0" t="s">
        <v>178</v>
      </c>
      <c r="B808" s="0" t="s">
        <v>582</v>
      </c>
      <c r="C808" s="0" t="s">
        <v>90</v>
      </c>
      <c r="D808" s="0" t="n">
        <v>6</v>
      </c>
      <c r="E808" s="0" t="n">
        <v>3</v>
      </c>
      <c r="F808" s="0" t="n">
        <v>5</v>
      </c>
      <c r="G808" s="0" t="n">
        <v>9</v>
      </c>
      <c r="H808" s="0" t="n">
        <v>14</v>
      </c>
    </row>
    <row r="809" customFormat="false" ht="15" hidden="false" customHeight="false" outlineLevel="0" collapsed="false">
      <c r="A809" s="0" t="s">
        <v>178</v>
      </c>
      <c r="B809" s="0" t="s">
        <v>583</v>
      </c>
      <c r="C809" s="0" t="s">
        <v>103</v>
      </c>
      <c r="D809" s="0" t="n">
        <v>12</v>
      </c>
      <c r="E809" s="0" t="n">
        <v>6</v>
      </c>
      <c r="F809" s="0" t="n">
        <v>8</v>
      </c>
      <c r="G809" s="0" t="n">
        <v>18</v>
      </c>
      <c r="H809" s="0" t="n">
        <v>26</v>
      </c>
    </row>
    <row r="810" customFormat="false" ht="15" hidden="false" customHeight="false" outlineLevel="0" collapsed="false">
      <c r="A810" s="0" t="s">
        <v>178</v>
      </c>
      <c r="B810" s="0" t="s">
        <v>585</v>
      </c>
      <c r="C810" s="0" t="s">
        <v>90</v>
      </c>
      <c r="D810" s="0" t="n">
        <v>10</v>
      </c>
      <c r="E810" s="0" t="n">
        <v>11</v>
      </c>
      <c r="F810" s="0" t="n">
        <v>0</v>
      </c>
      <c r="G810" s="0" t="n">
        <v>21</v>
      </c>
      <c r="H810" s="0" t="n">
        <v>21</v>
      </c>
    </row>
    <row r="811" customFormat="false" ht="15" hidden="false" customHeight="false" outlineLevel="0" collapsed="false">
      <c r="A811" s="0" t="s">
        <v>178</v>
      </c>
      <c r="B811" s="0" t="s">
        <v>586</v>
      </c>
      <c r="C811" s="0" t="s">
        <v>604</v>
      </c>
      <c r="D811" s="0" t="n">
        <v>12</v>
      </c>
      <c r="E811" s="0" t="n">
        <v>8</v>
      </c>
      <c r="F811" s="0" t="n">
        <v>0</v>
      </c>
      <c r="G811" s="0" t="n">
        <v>20</v>
      </c>
      <c r="H811" s="0" t="n">
        <v>20</v>
      </c>
    </row>
    <row r="812" customFormat="false" ht="15" hidden="false" customHeight="false" outlineLevel="0" collapsed="false">
      <c r="A812" s="0" t="s">
        <v>181</v>
      </c>
      <c r="B812" s="0" t="s">
        <v>561</v>
      </c>
      <c r="C812" s="0" t="s">
        <v>588</v>
      </c>
      <c r="D812" s="0" t="n">
        <v>9</v>
      </c>
      <c r="E812" s="0" t="n">
        <v>7</v>
      </c>
      <c r="F812" s="0" t="n">
        <v>0</v>
      </c>
      <c r="G812" s="0" t="n">
        <v>16</v>
      </c>
      <c r="H812" s="0" t="n">
        <v>16</v>
      </c>
    </row>
    <row r="813" customFormat="false" ht="15" hidden="false" customHeight="false" outlineLevel="0" collapsed="false">
      <c r="A813" s="0" t="s">
        <v>181</v>
      </c>
      <c r="B813" s="0" t="s">
        <v>562</v>
      </c>
      <c r="C813" s="0" t="s">
        <v>91</v>
      </c>
      <c r="D813" s="0" t="n">
        <v>5</v>
      </c>
      <c r="E813" s="0" t="n">
        <v>9</v>
      </c>
      <c r="F813" s="0" t="n">
        <v>0</v>
      </c>
      <c r="G813" s="0" t="n">
        <v>14</v>
      </c>
      <c r="H813" s="0" t="n">
        <v>14</v>
      </c>
    </row>
    <row r="814" customFormat="false" ht="15" hidden="false" customHeight="false" outlineLevel="0" collapsed="false">
      <c r="A814" s="0" t="s">
        <v>181</v>
      </c>
      <c r="B814" s="0" t="s">
        <v>700</v>
      </c>
      <c r="C814" s="0" t="s">
        <v>90</v>
      </c>
      <c r="D814" s="0" t="n">
        <v>4</v>
      </c>
      <c r="E814" s="0" t="n">
        <v>1</v>
      </c>
      <c r="F814" s="0" t="n">
        <v>2</v>
      </c>
      <c r="G814" s="0" t="n">
        <v>5</v>
      </c>
      <c r="H814" s="0" t="n">
        <v>7</v>
      </c>
    </row>
    <row r="815" customFormat="false" ht="15" hidden="false" customHeight="false" outlineLevel="0" collapsed="false">
      <c r="A815" s="0" t="s">
        <v>181</v>
      </c>
      <c r="B815" s="0" t="s">
        <v>701</v>
      </c>
      <c r="C815" s="0" t="s">
        <v>565</v>
      </c>
      <c r="D815" s="0" t="n">
        <v>8</v>
      </c>
      <c r="E815" s="0" t="n">
        <v>11</v>
      </c>
      <c r="F815" s="0" t="n">
        <v>0</v>
      </c>
      <c r="G815" s="0" t="n">
        <v>19</v>
      </c>
      <c r="H815" s="0" t="n">
        <v>19</v>
      </c>
    </row>
    <row r="816" customFormat="false" ht="15" hidden="false" customHeight="false" outlineLevel="0" collapsed="false">
      <c r="A816" s="0" t="s">
        <v>181</v>
      </c>
      <c r="B816" s="0" t="s">
        <v>563</v>
      </c>
      <c r="C816" s="0" t="s">
        <v>85</v>
      </c>
      <c r="D816" s="0" t="n">
        <v>5</v>
      </c>
      <c r="E816" s="0" t="n">
        <v>4</v>
      </c>
      <c r="F816" s="0" t="n">
        <v>4</v>
      </c>
      <c r="G816" s="0" t="n">
        <v>9</v>
      </c>
      <c r="H816" s="0" t="n">
        <v>13</v>
      </c>
    </row>
    <row r="817" customFormat="false" ht="15" hidden="false" customHeight="false" outlineLevel="0" collapsed="false">
      <c r="A817" s="0" t="s">
        <v>181</v>
      </c>
      <c r="B817" s="0" t="s">
        <v>564</v>
      </c>
      <c r="C817" s="0" t="s">
        <v>84</v>
      </c>
      <c r="D817" s="0" t="n">
        <v>10</v>
      </c>
      <c r="E817" s="0" t="n">
        <v>9</v>
      </c>
      <c r="F817" s="0" t="n">
        <v>3</v>
      </c>
      <c r="G817" s="0" t="n">
        <v>19</v>
      </c>
      <c r="H817" s="0" t="n">
        <v>22</v>
      </c>
    </row>
    <row r="818" customFormat="false" ht="15" hidden="false" customHeight="false" outlineLevel="0" collapsed="false">
      <c r="A818" s="0" t="s">
        <v>181</v>
      </c>
      <c r="B818" s="0" t="s">
        <v>566</v>
      </c>
      <c r="C818" s="0" t="s">
        <v>565</v>
      </c>
      <c r="D818" s="0" t="n">
        <v>3</v>
      </c>
      <c r="E818" s="0" t="n">
        <v>1</v>
      </c>
      <c r="F818" s="0" t="n">
        <v>0</v>
      </c>
      <c r="G818" s="0" t="n">
        <v>4</v>
      </c>
      <c r="H818" s="0" t="n">
        <v>4</v>
      </c>
    </row>
    <row r="819" customFormat="false" ht="15" hidden="false" customHeight="false" outlineLevel="0" collapsed="false">
      <c r="A819" s="0" t="s">
        <v>181</v>
      </c>
      <c r="B819" s="0" t="s">
        <v>569</v>
      </c>
      <c r="C819" s="0" t="s">
        <v>596</v>
      </c>
      <c r="D819" s="0" t="n">
        <v>6</v>
      </c>
      <c r="E819" s="0" t="n">
        <v>4</v>
      </c>
      <c r="F819" s="0" t="n">
        <v>0</v>
      </c>
      <c r="G819" s="0" t="n">
        <v>10</v>
      </c>
      <c r="H819" s="0" t="n">
        <v>10</v>
      </c>
    </row>
    <row r="820" customFormat="false" ht="15" hidden="false" customHeight="false" outlineLevel="0" collapsed="false">
      <c r="A820" s="0" t="s">
        <v>181</v>
      </c>
      <c r="B820" s="0" t="s">
        <v>570</v>
      </c>
      <c r="C820" s="0" t="s">
        <v>613</v>
      </c>
      <c r="D820" s="0" t="n">
        <v>3</v>
      </c>
      <c r="E820" s="0" t="n">
        <v>4</v>
      </c>
      <c r="F820" s="0" t="n">
        <v>0</v>
      </c>
      <c r="G820" s="0" t="n">
        <v>7</v>
      </c>
      <c r="H820" s="0" t="n">
        <v>7</v>
      </c>
    </row>
    <row r="821" customFormat="false" ht="15" hidden="false" customHeight="false" outlineLevel="0" collapsed="false">
      <c r="A821" s="0" t="s">
        <v>181</v>
      </c>
      <c r="B821" s="0" t="s">
        <v>702</v>
      </c>
      <c r="C821" s="0" t="s">
        <v>703</v>
      </c>
      <c r="D821" s="0" t="n">
        <v>8</v>
      </c>
      <c r="E821" s="0" t="n">
        <v>6</v>
      </c>
      <c r="F821" s="0" t="n">
        <v>13</v>
      </c>
      <c r="G821" s="0" t="n">
        <v>14</v>
      </c>
      <c r="H821" s="0" t="n">
        <v>27</v>
      </c>
    </row>
    <row r="822" customFormat="false" ht="15" hidden="false" customHeight="false" outlineLevel="0" collapsed="false">
      <c r="A822" s="0" t="s">
        <v>181</v>
      </c>
      <c r="B822" s="0" t="s">
        <v>617</v>
      </c>
      <c r="C822" s="0" t="s">
        <v>704</v>
      </c>
      <c r="D822" s="0" t="n">
        <v>11</v>
      </c>
      <c r="E822" s="0" t="n">
        <v>8</v>
      </c>
      <c r="F822" s="0" t="n">
        <v>4</v>
      </c>
      <c r="G822" s="0" t="n">
        <v>19</v>
      </c>
      <c r="H822" s="0" t="n">
        <v>23</v>
      </c>
    </row>
    <row r="823" customFormat="false" ht="15" hidden="false" customHeight="false" outlineLevel="0" collapsed="false">
      <c r="A823" s="0" t="s">
        <v>181</v>
      </c>
      <c r="B823" s="0" t="s">
        <v>705</v>
      </c>
      <c r="C823" s="0" t="s">
        <v>706</v>
      </c>
      <c r="D823" s="0" t="n">
        <v>3</v>
      </c>
      <c r="E823" s="0" t="n">
        <v>6</v>
      </c>
      <c r="F823" s="0" t="n">
        <v>0</v>
      </c>
      <c r="G823" s="0" t="n">
        <v>9</v>
      </c>
      <c r="H823" s="0" t="n">
        <v>9</v>
      </c>
    </row>
    <row r="824" customFormat="false" ht="15" hidden="false" customHeight="false" outlineLevel="0" collapsed="false">
      <c r="A824" s="0" t="s">
        <v>181</v>
      </c>
      <c r="B824" s="0" t="s">
        <v>621</v>
      </c>
      <c r="C824" s="0" t="s">
        <v>707</v>
      </c>
      <c r="D824" s="0" t="n">
        <v>14</v>
      </c>
      <c r="E824" s="0" t="n">
        <v>14</v>
      </c>
      <c r="F824" s="0" t="n">
        <v>0</v>
      </c>
      <c r="G824" s="0" t="n">
        <v>28</v>
      </c>
      <c r="H824" s="0" t="n">
        <v>28</v>
      </c>
    </row>
    <row r="825" customFormat="false" ht="15" hidden="false" customHeight="false" outlineLevel="0" collapsed="false">
      <c r="A825" s="0" t="s">
        <v>181</v>
      </c>
      <c r="B825" s="0" t="s">
        <v>592</v>
      </c>
      <c r="C825" s="0" t="s">
        <v>90</v>
      </c>
      <c r="D825" s="0" t="n">
        <v>2</v>
      </c>
      <c r="E825" s="0" t="n">
        <v>14</v>
      </c>
      <c r="F825" s="0" t="n">
        <v>4</v>
      </c>
      <c r="G825" s="0" t="n">
        <v>16</v>
      </c>
      <c r="H825" s="0" t="n">
        <v>20</v>
      </c>
    </row>
    <row r="826" customFormat="false" ht="15" hidden="false" customHeight="false" outlineLevel="0" collapsed="false">
      <c r="A826" s="0" t="s">
        <v>181</v>
      </c>
      <c r="B826" s="0" t="s">
        <v>593</v>
      </c>
      <c r="C826" s="0" t="s">
        <v>84</v>
      </c>
      <c r="D826" s="0" t="n">
        <v>7</v>
      </c>
      <c r="E826" s="0" t="n">
        <v>4</v>
      </c>
      <c r="F826" s="0" t="n">
        <v>9</v>
      </c>
      <c r="G826" s="0" t="n">
        <v>11</v>
      </c>
      <c r="H826" s="0" t="n">
        <v>20</v>
      </c>
    </row>
    <row r="827" customFormat="false" ht="15" hidden="false" customHeight="false" outlineLevel="0" collapsed="false">
      <c r="A827" s="0" t="s">
        <v>184</v>
      </c>
      <c r="B827" s="0" t="s">
        <v>561</v>
      </c>
      <c r="C827" s="0" t="s">
        <v>588</v>
      </c>
      <c r="D827" s="0" t="n">
        <v>9</v>
      </c>
      <c r="E827" s="0" t="n">
        <v>11</v>
      </c>
      <c r="F827" s="0" t="n">
        <v>0</v>
      </c>
      <c r="G827" s="0" t="n">
        <v>20</v>
      </c>
      <c r="H827" s="0" t="n">
        <v>20</v>
      </c>
    </row>
    <row r="828" customFormat="false" ht="15" hidden="false" customHeight="false" outlineLevel="0" collapsed="false">
      <c r="A828" s="0" t="s">
        <v>184</v>
      </c>
      <c r="B828" s="0" t="s">
        <v>562</v>
      </c>
      <c r="C828" s="0" t="s">
        <v>91</v>
      </c>
      <c r="D828" s="0" t="n">
        <v>11</v>
      </c>
      <c r="E828" s="0" t="n">
        <v>15</v>
      </c>
      <c r="F828" s="0" t="n">
        <v>0</v>
      </c>
      <c r="G828" s="0" t="n">
        <v>26</v>
      </c>
      <c r="H828" s="0" t="n">
        <v>26</v>
      </c>
    </row>
    <row r="829" customFormat="false" ht="15" hidden="false" customHeight="false" outlineLevel="0" collapsed="false">
      <c r="A829" s="0" t="s">
        <v>184</v>
      </c>
      <c r="B829" s="0" t="s">
        <v>700</v>
      </c>
      <c r="C829" s="0" t="s">
        <v>90</v>
      </c>
      <c r="D829" s="0" t="n">
        <v>9</v>
      </c>
      <c r="E829" s="0" t="n">
        <v>3</v>
      </c>
      <c r="F829" s="0" t="n">
        <v>6</v>
      </c>
      <c r="G829" s="0" t="n">
        <v>12</v>
      </c>
      <c r="H829" s="0" t="n">
        <v>18</v>
      </c>
    </row>
    <row r="830" customFormat="false" ht="15" hidden="false" customHeight="false" outlineLevel="0" collapsed="false">
      <c r="A830" s="0" t="s">
        <v>184</v>
      </c>
      <c r="B830" s="0" t="s">
        <v>701</v>
      </c>
      <c r="C830" s="0" t="s">
        <v>565</v>
      </c>
      <c r="D830" s="0" t="n">
        <v>24</v>
      </c>
      <c r="E830" s="0" t="n">
        <v>16</v>
      </c>
      <c r="F830" s="0" t="n">
        <v>0</v>
      </c>
      <c r="G830" s="0" t="n">
        <v>40</v>
      </c>
      <c r="H830" s="0" t="n">
        <v>40</v>
      </c>
    </row>
    <row r="831" customFormat="false" ht="15" hidden="false" customHeight="false" outlineLevel="0" collapsed="false">
      <c r="A831" s="0" t="s">
        <v>184</v>
      </c>
      <c r="B831" s="0" t="s">
        <v>563</v>
      </c>
      <c r="C831" s="0" t="s">
        <v>85</v>
      </c>
      <c r="D831" s="0" t="n">
        <v>4</v>
      </c>
      <c r="E831" s="0" t="n">
        <v>22</v>
      </c>
      <c r="F831" s="0" t="n">
        <v>24</v>
      </c>
      <c r="G831" s="0" t="n">
        <v>26</v>
      </c>
      <c r="H831" s="0" t="n">
        <v>50</v>
      </c>
    </row>
    <row r="832" customFormat="false" ht="15" hidden="false" customHeight="false" outlineLevel="0" collapsed="false">
      <c r="A832" s="0" t="s">
        <v>184</v>
      </c>
      <c r="B832" s="0" t="s">
        <v>564</v>
      </c>
      <c r="C832" s="0" t="s">
        <v>84</v>
      </c>
      <c r="D832" s="0" t="n">
        <v>6</v>
      </c>
      <c r="E832" s="0" t="n">
        <v>6</v>
      </c>
      <c r="F832" s="0" t="n">
        <v>7</v>
      </c>
      <c r="G832" s="0" t="n">
        <v>12</v>
      </c>
      <c r="H832" s="0" t="n">
        <v>19</v>
      </c>
    </row>
    <row r="833" customFormat="false" ht="15" hidden="false" customHeight="false" outlineLevel="0" collapsed="false">
      <c r="A833" s="0" t="s">
        <v>184</v>
      </c>
      <c r="B833" s="0" t="s">
        <v>566</v>
      </c>
      <c r="C833" s="0" t="s">
        <v>565</v>
      </c>
      <c r="D833" s="0" t="n">
        <v>12</v>
      </c>
      <c r="E833" s="0" t="n">
        <v>12</v>
      </c>
      <c r="F833" s="0" t="n">
        <v>0</v>
      </c>
      <c r="G833" s="0" t="n">
        <v>24</v>
      </c>
      <c r="H833" s="0" t="n">
        <v>24</v>
      </c>
    </row>
    <row r="834" customFormat="false" ht="15" hidden="false" customHeight="false" outlineLevel="0" collapsed="false">
      <c r="A834" s="0" t="s">
        <v>184</v>
      </c>
      <c r="B834" s="0" t="s">
        <v>569</v>
      </c>
      <c r="C834" s="0" t="s">
        <v>596</v>
      </c>
      <c r="D834" s="0" t="n">
        <v>9</v>
      </c>
      <c r="E834" s="0" t="n">
        <v>11</v>
      </c>
      <c r="F834" s="0" t="n">
        <v>0</v>
      </c>
      <c r="G834" s="0" t="n">
        <v>20</v>
      </c>
      <c r="H834" s="0" t="n">
        <v>20</v>
      </c>
    </row>
    <row r="835" customFormat="false" ht="15" hidden="false" customHeight="false" outlineLevel="0" collapsed="false">
      <c r="A835" s="0" t="s">
        <v>184</v>
      </c>
      <c r="B835" s="0" t="s">
        <v>570</v>
      </c>
      <c r="C835" s="0" t="s">
        <v>613</v>
      </c>
      <c r="D835" s="0" t="n">
        <v>15</v>
      </c>
      <c r="E835" s="0" t="n">
        <v>3</v>
      </c>
      <c r="F835" s="0" t="n">
        <v>0</v>
      </c>
      <c r="G835" s="0" t="n">
        <v>18</v>
      </c>
      <c r="H835" s="0" t="n">
        <v>18</v>
      </c>
    </row>
    <row r="836" customFormat="false" ht="15" hidden="false" customHeight="false" outlineLevel="0" collapsed="false">
      <c r="A836" s="0" t="s">
        <v>184</v>
      </c>
      <c r="B836" s="0" t="s">
        <v>581</v>
      </c>
      <c r="C836" s="0" t="s">
        <v>707</v>
      </c>
      <c r="D836" s="0" t="n">
        <v>12</v>
      </c>
      <c r="E836" s="0" t="n">
        <v>11</v>
      </c>
      <c r="F836" s="0" t="n">
        <v>10</v>
      </c>
      <c r="G836" s="0" t="n">
        <v>23</v>
      </c>
      <c r="H836" s="0" t="n">
        <v>33</v>
      </c>
    </row>
    <row r="837" customFormat="false" ht="15" hidden="false" customHeight="false" outlineLevel="0" collapsed="false">
      <c r="A837" s="0" t="s">
        <v>184</v>
      </c>
      <c r="B837" s="0" t="s">
        <v>581</v>
      </c>
      <c r="C837" s="0" t="s">
        <v>706</v>
      </c>
      <c r="D837" s="0" t="n">
        <v>4</v>
      </c>
      <c r="E837" s="0" t="n">
        <v>13</v>
      </c>
      <c r="F837" s="0" t="n">
        <v>22</v>
      </c>
      <c r="G837" s="0" t="n">
        <v>17</v>
      </c>
      <c r="H837" s="0" t="n">
        <v>39</v>
      </c>
    </row>
    <row r="838" customFormat="false" ht="15" hidden="false" customHeight="false" outlineLevel="0" collapsed="false">
      <c r="A838" s="0" t="s">
        <v>184</v>
      </c>
      <c r="B838" s="0" t="s">
        <v>694</v>
      </c>
      <c r="C838" s="0" t="s">
        <v>707</v>
      </c>
      <c r="D838" s="0" t="n">
        <v>8</v>
      </c>
      <c r="E838" s="0" t="n">
        <v>11</v>
      </c>
      <c r="F838" s="0" t="n">
        <v>0</v>
      </c>
      <c r="G838" s="0" t="n">
        <v>19</v>
      </c>
      <c r="H838" s="0" t="n">
        <v>19</v>
      </c>
    </row>
    <row r="839" customFormat="false" ht="15" hidden="false" customHeight="false" outlineLevel="0" collapsed="false">
      <c r="A839" s="0" t="s">
        <v>184</v>
      </c>
      <c r="B839" s="0" t="s">
        <v>668</v>
      </c>
      <c r="C839" s="0" t="s">
        <v>708</v>
      </c>
      <c r="D839" s="0" t="n">
        <v>10</v>
      </c>
      <c r="E839" s="0" t="n">
        <v>25</v>
      </c>
      <c r="F839" s="0" t="n">
        <v>10</v>
      </c>
      <c r="G839" s="0" t="n">
        <v>35</v>
      </c>
      <c r="H839" s="0" t="n">
        <v>45</v>
      </c>
    </row>
    <row r="840" customFormat="false" ht="15" hidden="false" customHeight="false" outlineLevel="0" collapsed="false">
      <c r="A840" s="0" t="s">
        <v>184</v>
      </c>
      <c r="B840" s="0" t="s">
        <v>709</v>
      </c>
      <c r="C840" s="0" t="s">
        <v>703</v>
      </c>
      <c r="D840" s="0" t="n">
        <v>11</v>
      </c>
      <c r="E840" s="0" t="n">
        <v>14</v>
      </c>
      <c r="F840" s="0" t="n">
        <v>0</v>
      </c>
      <c r="G840" s="0" t="n">
        <v>25</v>
      </c>
      <c r="H840" s="0" t="n">
        <v>25</v>
      </c>
    </row>
    <row r="841" customFormat="false" ht="15" hidden="false" customHeight="false" outlineLevel="0" collapsed="false">
      <c r="A841" s="0" t="s">
        <v>184</v>
      </c>
      <c r="B841" s="0" t="s">
        <v>617</v>
      </c>
      <c r="C841" s="0" t="s">
        <v>710</v>
      </c>
      <c r="D841" s="0" t="n">
        <v>10</v>
      </c>
      <c r="E841" s="0" t="n">
        <v>12</v>
      </c>
      <c r="F841" s="0" t="n">
        <v>14</v>
      </c>
      <c r="G841" s="0" t="n">
        <v>22</v>
      </c>
      <c r="H841" s="0" t="n">
        <v>36</v>
      </c>
    </row>
    <row r="842" customFormat="false" ht="15" hidden="false" customHeight="false" outlineLevel="0" collapsed="false">
      <c r="A842" s="0" t="s">
        <v>308</v>
      </c>
      <c r="B842" s="0" t="s">
        <v>559</v>
      </c>
      <c r="C842" s="0" t="s">
        <v>669</v>
      </c>
      <c r="D842" s="0" t="n">
        <v>1</v>
      </c>
      <c r="E842" s="0" t="n">
        <v>0</v>
      </c>
      <c r="F842" s="0" t="n">
        <v>0</v>
      </c>
      <c r="G842" s="0" t="n">
        <v>1</v>
      </c>
      <c r="H842" s="0" t="n">
        <v>1</v>
      </c>
    </row>
    <row r="843" customFormat="false" ht="15" hidden="false" customHeight="false" outlineLevel="0" collapsed="false">
      <c r="A843" s="0" t="s">
        <v>308</v>
      </c>
      <c r="B843" s="0" t="s">
        <v>561</v>
      </c>
      <c r="C843" s="0" t="s">
        <v>97</v>
      </c>
      <c r="D843" s="0" t="n">
        <v>1</v>
      </c>
      <c r="E843" s="0" t="n">
        <v>0</v>
      </c>
      <c r="F843" s="0" t="n">
        <v>0</v>
      </c>
      <c r="G843" s="0" t="n">
        <v>1</v>
      </c>
      <c r="H843" s="0" t="n">
        <v>1</v>
      </c>
    </row>
    <row r="844" customFormat="false" ht="15" hidden="false" customHeight="false" outlineLevel="0" collapsed="false">
      <c r="A844" s="0" t="s">
        <v>308</v>
      </c>
      <c r="B844" s="0" t="s">
        <v>711</v>
      </c>
      <c r="C844" s="0" t="s">
        <v>674</v>
      </c>
      <c r="D844" s="0" t="n">
        <v>1</v>
      </c>
      <c r="E844" s="0" t="n">
        <v>5</v>
      </c>
      <c r="F844" s="0" t="n">
        <v>2</v>
      </c>
      <c r="G844" s="0" t="n">
        <v>6</v>
      </c>
      <c r="H844" s="0" t="n">
        <v>8</v>
      </c>
    </row>
    <row r="845" customFormat="false" ht="15" hidden="false" customHeight="false" outlineLevel="0" collapsed="false">
      <c r="A845" s="0" t="s">
        <v>308</v>
      </c>
      <c r="B845" s="0" t="s">
        <v>712</v>
      </c>
      <c r="C845" s="0" t="s">
        <v>670</v>
      </c>
      <c r="D845" s="0" t="n">
        <v>5</v>
      </c>
      <c r="E845" s="0" t="n">
        <v>1</v>
      </c>
      <c r="F845" s="0" t="n">
        <v>3</v>
      </c>
      <c r="G845" s="0" t="n">
        <v>6</v>
      </c>
      <c r="H845" s="0" t="n">
        <v>9</v>
      </c>
    </row>
    <row r="846" customFormat="false" ht="15" hidden="false" customHeight="false" outlineLevel="0" collapsed="false">
      <c r="A846" s="0" t="s">
        <v>308</v>
      </c>
      <c r="B846" s="0" t="s">
        <v>713</v>
      </c>
      <c r="C846" s="0" t="s">
        <v>667</v>
      </c>
      <c r="D846" s="0" t="n">
        <v>3</v>
      </c>
      <c r="E846" s="0" t="n">
        <v>0</v>
      </c>
      <c r="F846" s="0" t="n">
        <v>4</v>
      </c>
      <c r="G846" s="0" t="n">
        <v>3</v>
      </c>
      <c r="H846" s="0" t="n">
        <v>7</v>
      </c>
    </row>
    <row r="847" customFormat="false" ht="15" hidden="false" customHeight="false" outlineLevel="0" collapsed="false">
      <c r="A847" s="0" t="s">
        <v>308</v>
      </c>
      <c r="B847" s="0" t="s">
        <v>714</v>
      </c>
      <c r="C847" s="0" t="s">
        <v>670</v>
      </c>
      <c r="D847" s="0" t="n">
        <v>4</v>
      </c>
      <c r="E847" s="0" t="n">
        <v>2</v>
      </c>
      <c r="F847" s="0" t="n">
        <v>6</v>
      </c>
      <c r="G847" s="0" t="n">
        <v>6</v>
      </c>
      <c r="H847" s="0" t="n">
        <v>12</v>
      </c>
    </row>
    <row r="848" customFormat="false" ht="15" hidden="false" customHeight="false" outlineLevel="0" collapsed="false">
      <c r="A848" s="0" t="s">
        <v>308</v>
      </c>
      <c r="B848" s="0" t="s">
        <v>715</v>
      </c>
      <c r="C848" s="0" t="s">
        <v>667</v>
      </c>
      <c r="D848" s="0" t="n">
        <v>1</v>
      </c>
      <c r="E848" s="0" t="n">
        <v>3</v>
      </c>
      <c r="F848" s="0" t="n">
        <v>0</v>
      </c>
      <c r="G848" s="0" t="n">
        <v>4</v>
      </c>
      <c r="H848" s="0" t="n">
        <v>4</v>
      </c>
    </row>
    <row r="849" customFormat="false" ht="15" hidden="false" customHeight="false" outlineLevel="0" collapsed="false">
      <c r="A849" s="0" t="s">
        <v>308</v>
      </c>
      <c r="B849" s="0" t="s">
        <v>716</v>
      </c>
      <c r="C849" s="0" t="s">
        <v>669</v>
      </c>
      <c r="D849" s="0" t="n">
        <v>1</v>
      </c>
      <c r="E849" s="0" t="n">
        <v>0</v>
      </c>
      <c r="F849" s="0" t="n">
        <v>0</v>
      </c>
      <c r="G849" s="0" t="n">
        <v>1</v>
      </c>
      <c r="H849" s="0" t="n">
        <v>1</v>
      </c>
    </row>
    <row r="850" customFormat="false" ht="15" hidden="false" customHeight="false" outlineLevel="0" collapsed="false">
      <c r="A850" s="0" t="s">
        <v>308</v>
      </c>
      <c r="B850" s="0" t="s">
        <v>717</v>
      </c>
      <c r="C850" s="0" t="s">
        <v>678</v>
      </c>
      <c r="D850" s="0" t="n">
        <v>0</v>
      </c>
      <c r="E850" s="0" t="n">
        <v>6</v>
      </c>
      <c r="F850" s="0" t="n">
        <v>2</v>
      </c>
      <c r="G850" s="0" t="n">
        <v>6</v>
      </c>
      <c r="H850" s="0" t="n">
        <v>8</v>
      </c>
    </row>
    <row r="851" customFormat="false" ht="15" hidden="false" customHeight="false" outlineLevel="0" collapsed="false">
      <c r="A851" s="0" t="s">
        <v>308</v>
      </c>
      <c r="B851" s="0" t="s">
        <v>718</v>
      </c>
      <c r="C851" s="0" t="s">
        <v>674</v>
      </c>
      <c r="D851" s="0" t="n">
        <v>1</v>
      </c>
      <c r="E851" s="0" t="n">
        <v>1</v>
      </c>
      <c r="F851" s="0" t="n">
        <v>1</v>
      </c>
      <c r="G851" s="0" t="n">
        <v>2</v>
      </c>
      <c r="H851" s="0" t="n">
        <v>3</v>
      </c>
    </row>
    <row r="852" customFormat="false" ht="15" hidden="false" customHeight="false" outlineLevel="0" collapsed="false">
      <c r="A852" s="0" t="s">
        <v>308</v>
      </c>
      <c r="B852" s="0" t="s">
        <v>719</v>
      </c>
      <c r="C852" s="0" t="s">
        <v>98</v>
      </c>
      <c r="D852" s="0" t="n">
        <v>7</v>
      </c>
      <c r="E852" s="0" t="n">
        <v>2</v>
      </c>
      <c r="F852" s="0" t="n">
        <v>0</v>
      </c>
      <c r="G852" s="0" t="n">
        <v>9</v>
      </c>
      <c r="H852" s="0" t="n">
        <v>9</v>
      </c>
    </row>
    <row r="853" customFormat="false" ht="15" hidden="false" customHeight="false" outlineLevel="0" collapsed="false">
      <c r="A853" s="0" t="s">
        <v>308</v>
      </c>
      <c r="B853" s="0" t="s">
        <v>720</v>
      </c>
      <c r="C853" s="0" t="s">
        <v>669</v>
      </c>
      <c r="D853" s="0" t="n">
        <v>1</v>
      </c>
      <c r="E853" s="0" t="n">
        <v>0</v>
      </c>
      <c r="F853" s="0" t="n">
        <v>0</v>
      </c>
      <c r="G853" s="0" t="n">
        <v>1</v>
      </c>
      <c r="H853" s="0" t="n">
        <v>1</v>
      </c>
    </row>
    <row r="854" customFormat="false" ht="15" hidden="false" customHeight="false" outlineLevel="0" collapsed="false">
      <c r="A854" s="0" t="s">
        <v>308</v>
      </c>
      <c r="B854" s="0" t="s">
        <v>721</v>
      </c>
      <c r="C854" s="0" t="s">
        <v>98</v>
      </c>
      <c r="D854" s="0" t="n">
        <v>5</v>
      </c>
      <c r="E854" s="0" t="n">
        <v>0</v>
      </c>
      <c r="F854" s="0" t="n">
        <v>1</v>
      </c>
      <c r="G854" s="0" t="n">
        <v>5</v>
      </c>
      <c r="H854" s="0" t="n">
        <v>6</v>
      </c>
    </row>
    <row r="855" customFormat="false" ht="15" hidden="false" customHeight="false" outlineLevel="0" collapsed="false">
      <c r="A855" s="0" t="s">
        <v>308</v>
      </c>
      <c r="B855" s="0" t="s">
        <v>722</v>
      </c>
      <c r="C855" s="0" t="s">
        <v>674</v>
      </c>
      <c r="D855" s="0" t="n">
        <v>2</v>
      </c>
      <c r="E855" s="0" t="n">
        <v>0</v>
      </c>
      <c r="F855" s="0" t="n">
        <v>6</v>
      </c>
      <c r="G855" s="0" t="n">
        <v>2</v>
      </c>
      <c r="H855" s="0" t="n">
        <v>8</v>
      </c>
    </row>
    <row r="856" customFormat="false" ht="15" hidden="false" customHeight="false" outlineLevel="0" collapsed="false">
      <c r="A856" s="0" t="s">
        <v>308</v>
      </c>
      <c r="B856" s="0" t="s">
        <v>723</v>
      </c>
      <c r="C856" s="0" t="s">
        <v>678</v>
      </c>
      <c r="D856" s="0" t="n">
        <v>0</v>
      </c>
      <c r="E856" s="0" t="n">
        <v>2</v>
      </c>
      <c r="F856" s="0" t="n">
        <v>0</v>
      </c>
      <c r="G856" s="0" t="n">
        <v>2</v>
      </c>
      <c r="H856" s="0" t="n">
        <v>2</v>
      </c>
    </row>
    <row r="857" customFormat="false" ht="15" hidden="false" customHeight="false" outlineLevel="0" collapsed="false">
      <c r="A857" s="0" t="s">
        <v>310</v>
      </c>
      <c r="B857" s="0" t="s">
        <v>559</v>
      </c>
      <c r="C857" s="0" t="s">
        <v>669</v>
      </c>
      <c r="D857" s="0" t="n">
        <v>8</v>
      </c>
      <c r="E857" s="0" t="n">
        <v>0</v>
      </c>
      <c r="F857" s="0" t="n">
        <v>0</v>
      </c>
      <c r="G857" s="0" t="n">
        <v>8</v>
      </c>
      <c r="H857" s="0" t="n">
        <v>8</v>
      </c>
    </row>
    <row r="858" customFormat="false" ht="15" hidden="false" customHeight="false" outlineLevel="0" collapsed="false">
      <c r="A858" s="0" t="s">
        <v>310</v>
      </c>
      <c r="B858" s="0" t="s">
        <v>561</v>
      </c>
      <c r="C858" s="0" t="s">
        <v>97</v>
      </c>
      <c r="D858" s="0" t="n">
        <v>2</v>
      </c>
      <c r="E858" s="0" t="n">
        <v>0</v>
      </c>
      <c r="F858" s="0" t="n">
        <v>0</v>
      </c>
      <c r="G858" s="0" t="n">
        <v>2</v>
      </c>
      <c r="H858" s="0" t="n">
        <v>2</v>
      </c>
    </row>
    <row r="859" customFormat="false" ht="15" hidden="false" customHeight="false" outlineLevel="0" collapsed="false">
      <c r="A859" s="0" t="s">
        <v>310</v>
      </c>
      <c r="B859" s="0" t="s">
        <v>668</v>
      </c>
      <c r="C859" s="0" t="s">
        <v>98</v>
      </c>
      <c r="D859" s="0" t="n">
        <v>7</v>
      </c>
      <c r="E859" s="0" t="n">
        <v>2</v>
      </c>
      <c r="F859" s="0" t="n">
        <v>13</v>
      </c>
      <c r="G859" s="0" t="n">
        <v>9</v>
      </c>
      <c r="H859" s="0" t="n">
        <v>22</v>
      </c>
    </row>
    <row r="860" customFormat="false" ht="15" hidden="false" customHeight="false" outlineLevel="0" collapsed="false">
      <c r="A860" s="0" t="s">
        <v>310</v>
      </c>
      <c r="B860" s="0" t="s">
        <v>642</v>
      </c>
      <c r="C860" s="0" t="s">
        <v>98</v>
      </c>
      <c r="D860" s="0" t="n">
        <v>1</v>
      </c>
      <c r="E860" s="0" t="n">
        <v>4</v>
      </c>
      <c r="F860" s="0" t="n">
        <v>4</v>
      </c>
      <c r="G860" s="0" t="n">
        <v>5</v>
      </c>
      <c r="H860" s="0" t="n">
        <v>9</v>
      </c>
    </row>
    <row r="861" customFormat="false" ht="15" hidden="false" customHeight="false" outlineLevel="0" collapsed="false">
      <c r="A861" s="0" t="s">
        <v>310</v>
      </c>
      <c r="B861" s="0" t="s">
        <v>593</v>
      </c>
      <c r="C861" s="0" t="s">
        <v>667</v>
      </c>
      <c r="D861" s="0" t="n">
        <v>2</v>
      </c>
      <c r="E861" s="0" t="n">
        <v>0</v>
      </c>
      <c r="F861" s="0" t="n">
        <v>0</v>
      </c>
      <c r="G861" s="0" t="n">
        <v>2</v>
      </c>
      <c r="H861" s="0" t="n">
        <v>2</v>
      </c>
    </row>
    <row r="862" customFormat="false" ht="15" hidden="false" customHeight="false" outlineLevel="0" collapsed="false">
      <c r="A862" s="0" t="s">
        <v>310</v>
      </c>
      <c r="B862" s="0" t="s">
        <v>582</v>
      </c>
      <c r="C862" s="0" t="s">
        <v>678</v>
      </c>
      <c r="D862" s="0" t="n">
        <v>2</v>
      </c>
      <c r="E862" s="0" t="n">
        <v>3</v>
      </c>
      <c r="F862" s="0" t="n">
        <v>0</v>
      </c>
      <c r="G862" s="0" t="n">
        <v>5</v>
      </c>
      <c r="H862" s="0" t="n">
        <v>5</v>
      </c>
    </row>
    <row r="863" customFormat="false" ht="15" hidden="false" customHeight="false" outlineLevel="0" collapsed="false">
      <c r="A863" s="0" t="s">
        <v>310</v>
      </c>
      <c r="B863" s="0" t="s">
        <v>660</v>
      </c>
      <c r="C863" s="0" t="s">
        <v>669</v>
      </c>
      <c r="D863" s="0" t="n">
        <v>5</v>
      </c>
      <c r="E863" s="0" t="n">
        <v>3</v>
      </c>
      <c r="F863" s="0" t="n">
        <v>9</v>
      </c>
      <c r="G863" s="0" t="n">
        <v>8</v>
      </c>
      <c r="H863" s="0" t="n">
        <v>17</v>
      </c>
    </row>
    <row r="864" customFormat="false" ht="15" hidden="false" customHeight="false" outlineLevel="0" collapsed="false">
      <c r="A864" s="0" t="s">
        <v>310</v>
      </c>
      <c r="B864" s="0" t="s">
        <v>584</v>
      </c>
      <c r="C864" s="0" t="s">
        <v>724</v>
      </c>
      <c r="D864" s="0" t="n">
        <v>5</v>
      </c>
      <c r="E864" s="0" t="n">
        <v>4</v>
      </c>
      <c r="F864" s="0" t="n">
        <v>0</v>
      </c>
      <c r="G864" s="0" t="n">
        <v>9</v>
      </c>
      <c r="H864" s="0" t="n">
        <v>9</v>
      </c>
    </row>
    <row r="865" customFormat="false" ht="15" hidden="false" customHeight="false" outlineLevel="0" collapsed="false">
      <c r="A865" s="0" t="s">
        <v>310</v>
      </c>
      <c r="B865" s="0" t="s">
        <v>586</v>
      </c>
      <c r="C865" s="0" t="s">
        <v>670</v>
      </c>
      <c r="D865" s="0" t="n">
        <v>3</v>
      </c>
      <c r="E865" s="0" t="n">
        <v>5</v>
      </c>
      <c r="F865" s="0" t="n">
        <v>0</v>
      </c>
      <c r="G865" s="0" t="n">
        <v>8</v>
      </c>
      <c r="H865" s="0" t="n">
        <v>8</v>
      </c>
    </row>
    <row r="866" customFormat="false" ht="15" hidden="false" customHeight="false" outlineLevel="0" collapsed="false">
      <c r="A866" s="0" t="s">
        <v>310</v>
      </c>
      <c r="B866" s="0" t="s">
        <v>600</v>
      </c>
      <c r="C866" s="0" t="s">
        <v>596</v>
      </c>
      <c r="D866" s="0" t="n">
        <v>5</v>
      </c>
      <c r="E866" s="0" t="n">
        <v>1</v>
      </c>
      <c r="F866" s="0" t="n">
        <v>0</v>
      </c>
      <c r="G866" s="0" t="n">
        <v>6</v>
      </c>
      <c r="H866" s="0" t="n">
        <v>6</v>
      </c>
    </row>
    <row r="867" customFormat="false" ht="15" hidden="false" customHeight="false" outlineLevel="0" collapsed="false">
      <c r="A867" s="0" t="s">
        <v>310</v>
      </c>
      <c r="B867" s="0" t="s">
        <v>636</v>
      </c>
      <c r="C867" s="0" t="s">
        <v>672</v>
      </c>
      <c r="D867" s="0" t="n">
        <v>6</v>
      </c>
      <c r="E867" s="0" t="n">
        <v>4</v>
      </c>
      <c r="F867" s="0" t="n">
        <v>0</v>
      </c>
      <c r="G867" s="0" t="n">
        <v>10</v>
      </c>
      <c r="H867" s="0" t="n">
        <v>10</v>
      </c>
    </row>
    <row r="868" customFormat="false" ht="15" hidden="false" customHeight="false" outlineLevel="0" collapsed="false">
      <c r="A868" s="0" t="s">
        <v>310</v>
      </c>
      <c r="B868" s="0" t="s">
        <v>662</v>
      </c>
      <c r="C868" s="0" t="s">
        <v>678</v>
      </c>
      <c r="D868" s="0" t="n">
        <v>4</v>
      </c>
      <c r="E868" s="0" t="n">
        <v>1</v>
      </c>
      <c r="F868" s="0" t="n">
        <v>0</v>
      </c>
      <c r="G868" s="0" t="n">
        <v>5</v>
      </c>
      <c r="H868" s="0" t="n">
        <v>5</v>
      </c>
    </row>
    <row r="869" customFormat="false" ht="15" hidden="false" customHeight="false" outlineLevel="0" collapsed="false">
      <c r="A869" s="0" t="s">
        <v>310</v>
      </c>
      <c r="B869" s="0" t="s">
        <v>616</v>
      </c>
      <c r="C869" s="0" t="s">
        <v>724</v>
      </c>
      <c r="D869" s="0" t="n">
        <v>6</v>
      </c>
      <c r="E869" s="0" t="n">
        <v>4</v>
      </c>
      <c r="F869" s="0" t="n">
        <v>0</v>
      </c>
      <c r="G869" s="0" t="n">
        <v>10</v>
      </c>
      <c r="H869" s="0" t="n">
        <v>10</v>
      </c>
    </row>
    <row r="870" customFormat="false" ht="15" hidden="false" customHeight="false" outlineLevel="0" collapsed="false">
      <c r="A870" s="0" t="s">
        <v>310</v>
      </c>
      <c r="B870" s="0" t="s">
        <v>601</v>
      </c>
      <c r="C870" s="0" t="s">
        <v>667</v>
      </c>
      <c r="D870" s="0" t="n">
        <v>8</v>
      </c>
      <c r="E870" s="0" t="n">
        <v>2</v>
      </c>
      <c r="F870" s="0" t="n">
        <v>0</v>
      </c>
      <c r="G870" s="0" t="n">
        <v>10</v>
      </c>
      <c r="H870" s="0" t="n">
        <v>10</v>
      </c>
    </row>
    <row r="871" customFormat="false" ht="15" hidden="false" customHeight="false" outlineLevel="0" collapsed="false">
      <c r="A871" s="0" t="s">
        <v>310</v>
      </c>
      <c r="B871" s="0" t="s">
        <v>725</v>
      </c>
      <c r="C871" s="0" t="s">
        <v>596</v>
      </c>
      <c r="D871" s="0" t="n">
        <v>3</v>
      </c>
      <c r="E871" s="0" t="n">
        <v>2</v>
      </c>
      <c r="F871" s="0" t="n">
        <v>2</v>
      </c>
      <c r="G871" s="0" t="n">
        <v>5</v>
      </c>
      <c r="H871" s="0" t="n">
        <v>7</v>
      </c>
    </row>
    <row r="872" customFormat="false" ht="15" hidden="false" customHeight="false" outlineLevel="0" collapsed="false">
      <c r="A872" s="0" t="s">
        <v>312</v>
      </c>
      <c r="B872" s="0" t="s">
        <v>559</v>
      </c>
      <c r="C872" s="0" t="s">
        <v>669</v>
      </c>
      <c r="D872" s="0" t="n">
        <v>5</v>
      </c>
      <c r="E872" s="0" t="n">
        <v>0</v>
      </c>
      <c r="F872" s="0" t="n">
        <v>0</v>
      </c>
      <c r="G872" s="0" t="n">
        <v>5</v>
      </c>
      <c r="H872" s="0" t="n">
        <v>5</v>
      </c>
    </row>
    <row r="873" customFormat="false" ht="15" hidden="false" customHeight="false" outlineLevel="0" collapsed="false">
      <c r="A873" s="0" t="s">
        <v>312</v>
      </c>
      <c r="B873" s="0" t="s">
        <v>561</v>
      </c>
      <c r="C873" s="0" t="s">
        <v>97</v>
      </c>
      <c r="D873" s="0" t="n">
        <v>2</v>
      </c>
      <c r="E873" s="0" t="n">
        <v>0</v>
      </c>
      <c r="F873" s="0" t="n">
        <v>0</v>
      </c>
      <c r="G873" s="0" t="n">
        <v>2</v>
      </c>
      <c r="H873" s="0" t="n">
        <v>2</v>
      </c>
    </row>
    <row r="874" customFormat="false" ht="15" hidden="false" customHeight="false" outlineLevel="0" collapsed="false">
      <c r="A874" s="0" t="s">
        <v>312</v>
      </c>
      <c r="B874" s="0" t="s">
        <v>668</v>
      </c>
      <c r="C874" s="0" t="s">
        <v>98</v>
      </c>
      <c r="D874" s="0" t="n">
        <v>2</v>
      </c>
      <c r="E874" s="0" t="n">
        <v>1</v>
      </c>
      <c r="F874" s="0" t="n">
        <v>4</v>
      </c>
      <c r="G874" s="0" t="n">
        <v>3</v>
      </c>
      <c r="H874" s="0" t="n">
        <v>7</v>
      </c>
    </row>
    <row r="875" customFormat="false" ht="15" hidden="false" customHeight="false" outlineLevel="0" collapsed="false">
      <c r="A875" s="0" t="s">
        <v>312</v>
      </c>
      <c r="B875" s="0" t="s">
        <v>642</v>
      </c>
      <c r="C875" s="0" t="s">
        <v>98</v>
      </c>
      <c r="D875" s="0" t="n">
        <v>1</v>
      </c>
      <c r="E875" s="0" t="n">
        <v>5</v>
      </c>
      <c r="F875" s="0" t="n">
        <v>2</v>
      </c>
      <c r="G875" s="0" t="n">
        <v>6</v>
      </c>
      <c r="H875" s="0" t="n">
        <v>8</v>
      </c>
    </row>
    <row r="876" customFormat="false" ht="15" hidden="false" customHeight="false" outlineLevel="0" collapsed="false">
      <c r="A876" s="0" t="s">
        <v>312</v>
      </c>
      <c r="B876" s="0" t="s">
        <v>593</v>
      </c>
      <c r="C876" s="0" t="s">
        <v>667</v>
      </c>
      <c r="D876" s="0" t="n">
        <v>5</v>
      </c>
      <c r="E876" s="0" t="n">
        <v>5</v>
      </c>
      <c r="F876" s="0" t="n">
        <v>0</v>
      </c>
      <c r="G876" s="0" t="n">
        <v>10</v>
      </c>
      <c r="H876" s="0" t="n">
        <v>10</v>
      </c>
    </row>
    <row r="877" customFormat="false" ht="15" hidden="false" customHeight="false" outlineLevel="0" collapsed="false">
      <c r="A877" s="0" t="s">
        <v>312</v>
      </c>
      <c r="B877" s="0" t="s">
        <v>582</v>
      </c>
      <c r="C877" s="0" t="s">
        <v>678</v>
      </c>
      <c r="D877" s="0" t="n">
        <v>0</v>
      </c>
      <c r="E877" s="0" t="n">
        <v>2</v>
      </c>
      <c r="F877" s="0" t="n">
        <v>0</v>
      </c>
      <c r="G877" s="0" t="n">
        <v>2</v>
      </c>
      <c r="H877" s="0" t="n">
        <v>2</v>
      </c>
    </row>
    <row r="878" customFormat="false" ht="15" hidden="false" customHeight="false" outlineLevel="0" collapsed="false">
      <c r="A878" s="0" t="s">
        <v>312</v>
      </c>
      <c r="B878" s="0" t="s">
        <v>660</v>
      </c>
      <c r="C878" s="0" t="s">
        <v>669</v>
      </c>
      <c r="D878" s="0" t="n">
        <v>0</v>
      </c>
      <c r="E878" s="0" t="n">
        <v>0</v>
      </c>
      <c r="F878" s="0" t="n">
        <v>5</v>
      </c>
      <c r="G878" s="0" t="n">
        <v>0</v>
      </c>
      <c r="H878" s="0" t="n">
        <v>5</v>
      </c>
    </row>
    <row r="879" customFormat="false" ht="15" hidden="false" customHeight="false" outlineLevel="0" collapsed="false">
      <c r="A879" s="0" t="s">
        <v>312</v>
      </c>
      <c r="B879" s="0" t="s">
        <v>584</v>
      </c>
      <c r="C879" s="0" t="s">
        <v>724</v>
      </c>
      <c r="D879" s="0" t="n">
        <v>6</v>
      </c>
      <c r="E879" s="0" t="n">
        <v>8</v>
      </c>
      <c r="F879" s="0" t="n">
        <v>0</v>
      </c>
      <c r="G879" s="0" t="n">
        <v>14</v>
      </c>
      <c r="H879" s="0" t="n">
        <v>14</v>
      </c>
    </row>
    <row r="880" customFormat="false" ht="15" hidden="false" customHeight="false" outlineLevel="0" collapsed="false">
      <c r="A880" s="0" t="s">
        <v>312</v>
      </c>
      <c r="B880" s="0" t="s">
        <v>586</v>
      </c>
      <c r="C880" s="0" t="s">
        <v>670</v>
      </c>
      <c r="D880" s="0" t="n">
        <v>5</v>
      </c>
      <c r="E880" s="0" t="n">
        <v>0</v>
      </c>
      <c r="F880" s="0" t="n">
        <v>0</v>
      </c>
      <c r="G880" s="0" t="n">
        <v>5</v>
      </c>
      <c r="H880" s="0" t="n">
        <v>5</v>
      </c>
    </row>
    <row r="881" customFormat="false" ht="15" hidden="false" customHeight="false" outlineLevel="0" collapsed="false">
      <c r="A881" s="0" t="s">
        <v>312</v>
      </c>
      <c r="B881" s="0" t="s">
        <v>600</v>
      </c>
      <c r="C881" s="0" t="s">
        <v>596</v>
      </c>
      <c r="D881" s="0" t="n">
        <v>1</v>
      </c>
      <c r="E881" s="0" t="n">
        <v>2</v>
      </c>
      <c r="F881" s="0" t="n">
        <v>0</v>
      </c>
      <c r="G881" s="0" t="n">
        <v>3</v>
      </c>
      <c r="H881" s="0" t="n">
        <v>3</v>
      </c>
    </row>
    <row r="882" customFormat="false" ht="15" hidden="false" customHeight="false" outlineLevel="0" collapsed="false">
      <c r="A882" s="0" t="s">
        <v>312</v>
      </c>
      <c r="B882" s="0" t="s">
        <v>636</v>
      </c>
      <c r="C882" s="0" t="s">
        <v>672</v>
      </c>
      <c r="D882" s="0" t="n">
        <v>5</v>
      </c>
      <c r="E882" s="0" t="n">
        <v>4</v>
      </c>
      <c r="F882" s="0" t="n">
        <v>0</v>
      </c>
      <c r="G882" s="0" t="n">
        <v>9</v>
      </c>
      <c r="H882" s="0" t="n">
        <v>9</v>
      </c>
    </row>
    <row r="883" customFormat="false" ht="15" hidden="false" customHeight="false" outlineLevel="0" collapsed="false">
      <c r="A883" s="0" t="s">
        <v>312</v>
      </c>
      <c r="B883" s="0" t="s">
        <v>662</v>
      </c>
      <c r="C883" s="0" t="s">
        <v>678</v>
      </c>
      <c r="D883" s="0" t="n">
        <v>13</v>
      </c>
      <c r="E883" s="0" t="n">
        <v>8</v>
      </c>
      <c r="F883" s="0" t="n">
        <v>0</v>
      </c>
      <c r="G883" s="0" t="n">
        <v>21</v>
      </c>
      <c r="H883" s="0" t="n">
        <v>21</v>
      </c>
    </row>
    <row r="884" customFormat="false" ht="15" hidden="false" customHeight="false" outlineLevel="0" collapsed="false">
      <c r="A884" s="0" t="s">
        <v>312</v>
      </c>
      <c r="B884" s="0" t="s">
        <v>616</v>
      </c>
      <c r="C884" s="0" t="s">
        <v>724</v>
      </c>
      <c r="D884" s="0" t="n">
        <v>6</v>
      </c>
      <c r="E884" s="0" t="n">
        <v>10</v>
      </c>
      <c r="F884" s="0" t="n">
        <v>0</v>
      </c>
      <c r="G884" s="0" t="n">
        <v>16</v>
      </c>
      <c r="H884" s="0" t="n">
        <v>16</v>
      </c>
    </row>
    <row r="885" customFormat="false" ht="15" hidden="false" customHeight="false" outlineLevel="0" collapsed="false">
      <c r="A885" s="0" t="s">
        <v>312</v>
      </c>
      <c r="B885" s="0" t="s">
        <v>601</v>
      </c>
      <c r="C885" s="0" t="s">
        <v>667</v>
      </c>
      <c r="D885" s="0" t="n">
        <v>7</v>
      </c>
      <c r="E885" s="0" t="n">
        <v>3</v>
      </c>
      <c r="F885" s="0" t="n">
        <v>0</v>
      </c>
      <c r="G885" s="0" t="n">
        <v>10</v>
      </c>
      <c r="H885" s="0" t="n">
        <v>10</v>
      </c>
    </row>
    <row r="886" customFormat="false" ht="15" hidden="false" customHeight="false" outlineLevel="0" collapsed="false">
      <c r="A886" s="0" t="s">
        <v>312</v>
      </c>
      <c r="B886" s="0" t="s">
        <v>725</v>
      </c>
      <c r="C886" s="0" t="s">
        <v>596</v>
      </c>
      <c r="D886" s="0" t="n">
        <v>0</v>
      </c>
      <c r="E886" s="0" t="n">
        <v>2</v>
      </c>
      <c r="F886" s="0" t="n">
        <v>6</v>
      </c>
      <c r="G886" s="0" t="n">
        <v>2</v>
      </c>
      <c r="H886" s="0" t="n">
        <v>8</v>
      </c>
    </row>
    <row r="887" customFormat="false" ht="15" hidden="false" customHeight="false" outlineLevel="0" collapsed="false">
      <c r="A887" s="0" t="s">
        <v>314</v>
      </c>
      <c r="B887" s="0" t="s">
        <v>559</v>
      </c>
      <c r="C887" s="0" t="s">
        <v>669</v>
      </c>
      <c r="D887" s="0" t="n">
        <v>4</v>
      </c>
      <c r="E887" s="0" t="n">
        <v>0</v>
      </c>
      <c r="F887" s="0" t="n">
        <v>0</v>
      </c>
      <c r="G887" s="0" t="n">
        <v>4</v>
      </c>
      <c r="H887" s="0" t="n">
        <v>4</v>
      </c>
    </row>
    <row r="888" customFormat="false" ht="15" hidden="false" customHeight="false" outlineLevel="0" collapsed="false">
      <c r="A888" s="0" t="s">
        <v>314</v>
      </c>
      <c r="B888" s="0" t="s">
        <v>561</v>
      </c>
      <c r="C888" s="0" t="s">
        <v>97</v>
      </c>
      <c r="D888" s="0" t="n">
        <v>2</v>
      </c>
      <c r="E888" s="0" t="n">
        <v>0</v>
      </c>
      <c r="F888" s="0" t="n">
        <v>0</v>
      </c>
      <c r="G888" s="0" t="n">
        <v>2</v>
      </c>
      <c r="H888" s="0" t="n">
        <v>2</v>
      </c>
    </row>
    <row r="889" customFormat="false" ht="15" hidden="false" customHeight="false" outlineLevel="0" collapsed="false">
      <c r="A889" s="0" t="s">
        <v>314</v>
      </c>
      <c r="B889" s="0" t="s">
        <v>668</v>
      </c>
      <c r="C889" s="0" t="s">
        <v>98</v>
      </c>
      <c r="D889" s="0" t="n">
        <v>1</v>
      </c>
      <c r="E889" s="0" t="n">
        <v>3</v>
      </c>
      <c r="F889" s="0" t="n">
        <v>4</v>
      </c>
      <c r="G889" s="0" t="n">
        <v>4</v>
      </c>
      <c r="H889" s="0" t="n">
        <v>8</v>
      </c>
    </row>
    <row r="890" customFormat="false" ht="15" hidden="false" customHeight="false" outlineLevel="0" collapsed="false">
      <c r="A890" s="0" t="s">
        <v>314</v>
      </c>
      <c r="B890" s="0" t="s">
        <v>642</v>
      </c>
      <c r="C890" s="0" t="s">
        <v>98</v>
      </c>
      <c r="D890" s="0" t="n">
        <v>5</v>
      </c>
      <c r="E890" s="0" t="n">
        <v>8</v>
      </c>
      <c r="F890" s="0" t="n">
        <v>4</v>
      </c>
      <c r="G890" s="0" t="n">
        <v>13</v>
      </c>
      <c r="H890" s="0" t="n">
        <v>17</v>
      </c>
    </row>
    <row r="891" customFormat="false" ht="15" hidden="false" customHeight="false" outlineLevel="0" collapsed="false">
      <c r="A891" s="0" t="s">
        <v>314</v>
      </c>
      <c r="B891" s="0" t="s">
        <v>593</v>
      </c>
      <c r="C891" s="0" t="s">
        <v>667</v>
      </c>
      <c r="D891" s="0" t="n">
        <v>0</v>
      </c>
      <c r="E891" s="0" t="n">
        <v>6</v>
      </c>
      <c r="F891" s="0" t="n">
        <v>0</v>
      </c>
      <c r="G891" s="0" t="n">
        <v>6</v>
      </c>
      <c r="H891" s="0" t="n">
        <v>6</v>
      </c>
    </row>
    <row r="892" customFormat="false" ht="15" hidden="false" customHeight="false" outlineLevel="0" collapsed="false">
      <c r="A892" s="0" t="s">
        <v>314</v>
      </c>
      <c r="B892" s="0" t="s">
        <v>582</v>
      </c>
      <c r="C892" s="0" t="s">
        <v>678</v>
      </c>
      <c r="D892" s="0" t="n">
        <v>3</v>
      </c>
      <c r="E892" s="0" t="n">
        <v>2</v>
      </c>
      <c r="F892" s="0" t="n">
        <v>0</v>
      </c>
      <c r="G892" s="0" t="n">
        <v>5</v>
      </c>
      <c r="H892" s="0" t="n">
        <v>5</v>
      </c>
    </row>
    <row r="893" customFormat="false" ht="15" hidden="false" customHeight="false" outlineLevel="0" collapsed="false">
      <c r="A893" s="0" t="s">
        <v>314</v>
      </c>
      <c r="B893" s="0" t="s">
        <v>660</v>
      </c>
      <c r="C893" s="0" t="s">
        <v>669</v>
      </c>
      <c r="D893" s="0" t="n">
        <v>3</v>
      </c>
      <c r="E893" s="0" t="n">
        <v>1</v>
      </c>
      <c r="F893" s="0" t="n">
        <v>2</v>
      </c>
      <c r="G893" s="0" t="n">
        <v>4</v>
      </c>
      <c r="H893" s="0" t="n">
        <v>6</v>
      </c>
    </row>
    <row r="894" customFormat="false" ht="15" hidden="false" customHeight="false" outlineLevel="0" collapsed="false">
      <c r="A894" s="0" t="s">
        <v>314</v>
      </c>
      <c r="B894" s="0" t="s">
        <v>584</v>
      </c>
      <c r="C894" s="0" t="s">
        <v>724</v>
      </c>
      <c r="D894" s="0" t="n">
        <v>7</v>
      </c>
      <c r="E894" s="0" t="n">
        <v>6</v>
      </c>
      <c r="F894" s="0" t="n">
        <v>0</v>
      </c>
      <c r="G894" s="0" t="n">
        <v>13</v>
      </c>
      <c r="H894" s="0" t="n">
        <v>13</v>
      </c>
    </row>
    <row r="895" customFormat="false" ht="15" hidden="false" customHeight="false" outlineLevel="0" collapsed="false">
      <c r="A895" s="0" t="s">
        <v>314</v>
      </c>
      <c r="B895" s="0" t="s">
        <v>586</v>
      </c>
      <c r="C895" s="0" t="s">
        <v>670</v>
      </c>
      <c r="D895" s="0" t="n">
        <v>5</v>
      </c>
      <c r="E895" s="0" t="n">
        <v>0</v>
      </c>
      <c r="F895" s="0" t="n">
        <v>0</v>
      </c>
      <c r="G895" s="0" t="n">
        <v>5</v>
      </c>
      <c r="H895" s="0" t="n">
        <v>5</v>
      </c>
    </row>
    <row r="896" customFormat="false" ht="15" hidden="false" customHeight="false" outlineLevel="0" collapsed="false">
      <c r="A896" s="0" t="s">
        <v>314</v>
      </c>
      <c r="B896" s="0" t="s">
        <v>600</v>
      </c>
      <c r="C896" s="0" t="s">
        <v>596</v>
      </c>
      <c r="D896" s="0" t="n">
        <v>2</v>
      </c>
      <c r="E896" s="0" t="n">
        <v>0</v>
      </c>
      <c r="F896" s="0" t="n">
        <v>0</v>
      </c>
      <c r="G896" s="0" t="n">
        <v>2</v>
      </c>
      <c r="H896" s="0" t="n">
        <v>2</v>
      </c>
    </row>
    <row r="897" customFormat="false" ht="15" hidden="false" customHeight="false" outlineLevel="0" collapsed="false">
      <c r="A897" s="0" t="s">
        <v>314</v>
      </c>
      <c r="B897" s="0" t="s">
        <v>636</v>
      </c>
      <c r="C897" s="0" t="s">
        <v>672</v>
      </c>
      <c r="D897" s="0" t="n">
        <v>6</v>
      </c>
      <c r="E897" s="0" t="n">
        <v>8</v>
      </c>
      <c r="F897" s="0" t="n">
        <v>0</v>
      </c>
      <c r="G897" s="0" t="n">
        <v>14</v>
      </c>
      <c r="H897" s="0" t="n">
        <v>14</v>
      </c>
    </row>
    <row r="898" customFormat="false" ht="15" hidden="false" customHeight="false" outlineLevel="0" collapsed="false">
      <c r="A898" s="0" t="s">
        <v>314</v>
      </c>
      <c r="B898" s="0" t="s">
        <v>662</v>
      </c>
      <c r="C898" s="0" t="s">
        <v>678</v>
      </c>
      <c r="D898" s="0" t="n">
        <v>2</v>
      </c>
      <c r="E898" s="0" t="n">
        <v>9</v>
      </c>
      <c r="F898" s="0" t="n">
        <v>0</v>
      </c>
      <c r="G898" s="0" t="n">
        <v>11</v>
      </c>
      <c r="H898" s="0" t="n">
        <v>11</v>
      </c>
    </row>
    <row r="899" customFormat="false" ht="15" hidden="false" customHeight="false" outlineLevel="0" collapsed="false">
      <c r="A899" s="0" t="s">
        <v>314</v>
      </c>
      <c r="B899" s="0" t="s">
        <v>616</v>
      </c>
      <c r="C899" s="0" t="s">
        <v>724</v>
      </c>
      <c r="D899" s="0" t="n">
        <v>8</v>
      </c>
      <c r="E899" s="0" t="n">
        <v>1</v>
      </c>
      <c r="F899" s="0" t="n">
        <v>0</v>
      </c>
      <c r="G899" s="0" t="n">
        <v>9</v>
      </c>
      <c r="H899" s="0" t="n">
        <v>9</v>
      </c>
    </row>
    <row r="900" customFormat="false" ht="15" hidden="false" customHeight="false" outlineLevel="0" collapsed="false">
      <c r="A900" s="0" t="s">
        <v>314</v>
      </c>
      <c r="B900" s="0" t="s">
        <v>601</v>
      </c>
      <c r="C900" s="0" t="s">
        <v>667</v>
      </c>
      <c r="D900" s="0" t="n">
        <v>4</v>
      </c>
      <c r="E900" s="0" t="n">
        <v>3</v>
      </c>
      <c r="F900" s="0" t="n">
        <v>0</v>
      </c>
      <c r="G900" s="0" t="n">
        <v>7</v>
      </c>
      <c r="H900" s="0" t="n">
        <v>7</v>
      </c>
    </row>
    <row r="901" customFormat="false" ht="15" hidden="false" customHeight="false" outlineLevel="0" collapsed="false">
      <c r="A901" s="0" t="s">
        <v>314</v>
      </c>
      <c r="B901" s="0" t="s">
        <v>725</v>
      </c>
      <c r="C901" s="0" t="s">
        <v>596</v>
      </c>
      <c r="D901" s="0" t="n">
        <v>0</v>
      </c>
      <c r="E901" s="0" t="n">
        <v>0</v>
      </c>
      <c r="F901" s="0" t="n">
        <v>8</v>
      </c>
      <c r="G901" s="0" t="n">
        <v>0</v>
      </c>
      <c r="H901" s="0" t="n">
        <v>8</v>
      </c>
    </row>
    <row r="902" customFormat="false" ht="15" hidden="false" customHeight="false" outlineLevel="0" collapsed="false">
      <c r="A902" s="0" t="s">
        <v>317</v>
      </c>
      <c r="B902" s="0" t="s">
        <v>559</v>
      </c>
      <c r="C902" s="0" t="s">
        <v>669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</row>
    <row r="903" customFormat="false" ht="15" hidden="false" customHeight="false" outlineLevel="0" collapsed="false">
      <c r="A903" s="0" t="s">
        <v>317</v>
      </c>
      <c r="B903" s="0" t="s">
        <v>561</v>
      </c>
      <c r="C903" s="0" t="s">
        <v>97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</row>
    <row r="904" customFormat="false" ht="15" hidden="false" customHeight="false" outlineLevel="0" collapsed="false">
      <c r="A904" s="0" t="s">
        <v>317</v>
      </c>
      <c r="B904" s="0" t="s">
        <v>668</v>
      </c>
      <c r="C904" s="0" t="s">
        <v>98</v>
      </c>
      <c r="D904" s="0" t="n">
        <v>1</v>
      </c>
      <c r="E904" s="0" t="n">
        <v>1</v>
      </c>
      <c r="F904" s="0" t="n">
        <v>0</v>
      </c>
      <c r="G904" s="0" t="n">
        <v>2</v>
      </c>
      <c r="H904" s="0" t="n">
        <v>2</v>
      </c>
    </row>
    <row r="905" customFormat="false" ht="15" hidden="false" customHeight="false" outlineLevel="0" collapsed="false">
      <c r="A905" s="0" t="s">
        <v>317</v>
      </c>
      <c r="B905" s="0" t="s">
        <v>642</v>
      </c>
      <c r="C905" s="0" t="s">
        <v>98</v>
      </c>
      <c r="D905" s="0" t="n">
        <v>1</v>
      </c>
      <c r="E905" s="0" t="n">
        <v>0</v>
      </c>
      <c r="F905" s="0" t="n">
        <v>0</v>
      </c>
      <c r="G905" s="0" t="n">
        <v>1</v>
      </c>
      <c r="H905" s="0" t="n">
        <v>1</v>
      </c>
    </row>
    <row r="906" customFormat="false" ht="15" hidden="false" customHeight="false" outlineLevel="0" collapsed="false">
      <c r="A906" s="0" t="s">
        <v>317</v>
      </c>
      <c r="B906" s="0" t="s">
        <v>593</v>
      </c>
      <c r="C906" s="0" t="s">
        <v>667</v>
      </c>
      <c r="D906" s="0" t="n">
        <v>1</v>
      </c>
      <c r="E906" s="0" t="n">
        <v>0</v>
      </c>
      <c r="F906" s="0" t="n">
        <v>0</v>
      </c>
      <c r="G906" s="0" t="n">
        <v>1</v>
      </c>
      <c r="H906" s="0" t="n">
        <v>1</v>
      </c>
    </row>
    <row r="907" customFormat="false" ht="15" hidden="false" customHeight="false" outlineLevel="0" collapsed="false">
      <c r="A907" s="0" t="s">
        <v>317</v>
      </c>
      <c r="B907" s="0" t="s">
        <v>582</v>
      </c>
      <c r="C907" s="0" t="s">
        <v>678</v>
      </c>
      <c r="D907" s="0" t="n">
        <v>2</v>
      </c>
      <c r="E907" s="0" t="n">
        <v>1</v>
      </c>
      <c r="F907" s="0" t="n">
        <v>0</v>
      </c>
      <c r="G907" s="0" t="n">
        <v>3</v>
      </c>
      <c r="H907" s="0" t="n">
        <v>3</v>
      </c>
    </row>
    <row r="908" customFormat="false" ht="15" hidden="false" customHeight="false" outlineLevel="0" collapsed="false">
      <c r="A908" s="0" t="s">
        <v>317</v>
      </c>
      <c r="B908" s="0" t="s">
        <v>660</v>
      </c>
      <c r="C908" s="0" t="s">
        <v>669</v>
      </c>
      <c r="D908" s="0" t="n">
        <v>0</v>
      </c>
      <c r="E908" s="0" t="n">
        <v>3</v>
      </c>
      <c r="F908" s="0" t="n">
        <v>3</v>
      </c>
      <c r="G908" s="0" t="n">
        <v>3</v>
      </c>
      <c r="H908" s="0" t="n">
        <v>6</v>
      </c>
    </row>
    <row r="909" customFormat="false" ht="15" hidden="false" customHeight="false" outlineLevel="0" collapsed="false">
      <c r="A909" s="0" t="s">
        <v>317</v>
      </c>
      <c r="B909" s="0" t="s">
        <v>584</v>
      </c>
      <c r="C909" s="0" t="s">
        <v>724</v>
      </c>
      <c r="D909" s="0" t="n">
        <v>1</v>
      </c>
      <c r="E909" s="0" t="n">
        <v>2</v>
      </c>
      <c r="F909" s="0" t="n">
        <v>0</v>
      </c>
      <c r="G909" s="0" t="n">
        <v>3</v>
      </c>
      <c r="H909" s="0" t="n">
        <v>3</v>
      </c>
    </row>
    <row r="910" customFormat="false" ht="15" hidden="false" customHeight="false" outlineLevel="0" collapsed="false">
      <c r="A910" s="0" t="s">
        <v>317</v>
      </c>
      <c r="B910" s="0" t="s">
        <v>586</v>
      </c>
      <c r="C910" s="0" t="s">
        <v>670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</row>
    <row r="911" customFormat="false" ht="15" hidden="false" customHeight="false" outlineLevel="0" collapsed="false">
      <c r="A911" s="0" t="s">
        <v>317</v>
      </c>
      <c r="B911" s="0" t="s">
        <v>600</v>
      </c>
      <c r="C911" s="0" t="s">
        <v>596</v>
      </c>
      <c r="D911" s="0" t="n">
        <v>0</v>
      </c>
      <c r="E911" s="0" t="n">
        <v>1</v>
      </c>
      <c r="F911" s="0" t="n">
        <v>0</v>
      </c>
      <c r="G911" s="0" t="n">
        <v>1</v>
      </c>
      <c r="H911" s="0" t="n">
        <v>1</v>
      </c>
    </row>
    <row r="912" customFormat="false" ht="15" hidden="false" customHeight="false" outlineLevel="0" collapsed="false">
      <c r="A912" s="0" t="s">
        <v>317</v>
      </c>
      <c r="B912" s="0" t="s">
        <v>636</v>
      </c>
      <c r="C912" s="0" t="s">
        <v>672</v>
      </c>
      <c r="D912" s="0" t="n">
        <v>1</v>
      </c>
      <c r="E912" s="0" t="n">
        <v>1</v>
      </c>
      <c r="F912" s="0" t="n">
        <v>0</v>
      </c>
      <c r="G912" s="0" t="n">
        <v>2</v>
      </c>
      <c r="H912" s="0" t="n">
        <v>2</v>
      </c>
    </row>
    <row r="913" customFormat="false" ht="15" hidden="false" customHeight="false" outlineLevel="0" collapsed="false">
      <c r="A913" s="0" t="s">
        <v>317</v>
      </c>
      <c r="B913" s="0" t="s">
        <v>662</v>
      </c>
      <c r="C913" s="0" t="s">
        <v>678</v>
      </c>
      <c r="D913" s="0" t="n">
        <v>1</v>
      </c>
      <c r="E913" s="0" t="n">
        <v>1</v>
      </c>
      <c r="F913" s="0" t="n">
        <v>0</v>
      </c>
      <c r="G913" s="0" t="n">
        <v>2</v>
      </c>
      <c r="H913" s="0" t="n">
        <v>2</v>
      </c>
    </row>
    <row r="914" customFormat="false" ht="15" hidden="false" customHeight="false" outlineLevel="0" collapsed="false">
      <c r="A914" s="0" t="s">
        <v>317</v>
      </c>
      <c r="B914" s="0" t="s">
        <v>616</v>
      </c>
      <c r="C914" s="0" t="s">
        <v>724</v>
      </c>
      <c r="D914" s="0" t="n">
        <v>0</v>
      </c>
      <c r="E914" s="0" t="n">
        <v>1</v>
      </c>
      <c r="F914" s="0" t="n">
        <v>0</v>
      </c>
      <c r="G914" s="0" t="n">
        <v>1</v>
      </c>
      <c r="H914" s="0" t="n">
        <v>1</v>
      </c>
    </row>
    <row r="915" customFormat="false" ht="15" hidden="false" customHeight="false" outlineLevel="0" collapsed="false">
      <c r="A915" s="0" t="s">
        <v>317</v>
      </c>
      <c r="B915" s="0" t="s">
        <v>601</v>
      </c>
      <c r="C915" s="0" t="s">
        <v>667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</row>
    <row r="916" customFormat="false" ht="15" hidden="false" customHeight="false" outlineLevel="0" collapsed="false">
      <c r="A916" s="0" t="s">
        <v>317</v>
      </c>
      <c r="B916" s="0" t="s">
        <v>725</v>
      </c>
      <c r="C916" s="0" t="s">
        <v>596</v>
      </c>
      <c r="D916" s="0" t="n">
        <v>0</v>
      </c>
      <c r="E916" s="0" t="n">
        <v>0</v>
      </c>
      <c r="F916" s="0" t="n">
        <v>1</v>
      </c>
      <c r="G916" s="0" t="n">
        <v>0</v>
      </c>
      <c r="H916" s="0" t="n">
        <v>1</v>
      </c>
    </row>
    <row r="917" customFormat="false" ht="15" hidden="false" customHeight="false" outlineLevel="0" collapsed="false">
      <c r="A917" s="0" t="s">
        <v>202</v>
      </c>
      <c r="B917" s="0" t="s">
        <v>559</v>
      </c>
      <c r="C917" s="0" t="s">
        <v>103</v>
      </c>
      <c r="D917" s="0" t="n">
        <v>13</v>
      </c>
      <c r="E917" s="0" t="n">
        <v>9</v>
      </c>
      <c r="F917" s="0" t="n">
        <v>0</v>
      </c>
      <c r="G917" s="0" t="n">
        <v>22</v>
      </c>
      <c r="H917" s="0" t="n">
        <v>22</v>
      </c>
    </row>
    <row r="918" customFormat="false" ht="15" hidden="false" customHeight="false" outlineLevel="0" collapsed="false">
      <c r="A918" s="0" t="s">
        <v>202</v>
      </c>
      <c r="B918" s="0" t="s">
        <v>562</v>
      </c>
      <c r="C918" s="0" t="s">
        <v>588</v>
      </c>
      <c r="D918" s="0" t="n">
        <v>16</v>
      </c>
      <c r="E918" s="0" t="n">
        <v>11</v>
      </c>
      <c r="F918" s="0" t="n">
        <v>0</v>
      </c>
      <c r="G918" s="0" t="n">
        <v>27</v>
      </c>
      <c r="H918" s="0" t="n">
        <v>27</v>
      </c>
    </row>
    <row r="919" customFormat="false" ht="15" hidden="false" customHeight="false" outlineLevel="0" collapsed="false">
      <c r="A919" s="0" t="s">
        <v>202</v>
      </c>
      <c r="B919" s="0" t="s">
        <v>700</v>
      </c>
      <c r="C919" s="0" t="s">
        <v>84</v>
      </c>
      <c r="D919" s="0" t="n">
        <v>9</v>
      </c>
      <c r="E919" s="0" t="n">
        <v>12</v>
      </c>
      <c r="F919" s="0" t="n">
        <v>6</v>
      </c>
      <c r="G919" s="0" t="n">
        <v>21</v>
      </c>
      <c r="H919" s="0" t="n">
        <v>27</v>
      </c>
    </row>
    <row r="920" customFormat="false" ht="15" hidden="false" customHeight="false" outlineLevel="0" collapsed="false">
      <c r="A920" s="0" t="s">
        <v>202</v>
      </c>
      <c r="B920" s="0" t="s">
        <v>700</v>
      </c>
      <c r="C920" s="0" t="s">
        <v>102</v>
      </c>
      <c r="D920" s="0" t="n">
        <v>0</v>
      </c>
      <c r="E920" s="0" t="n">
        <v>8</v>
      </c>
      <c r="F920" s="0" t="n">
        <v>8</v>
      </c>
      <c r="G920" s="0" t="n">
        <v>8</v>
      </c>
      <c r="H920" s="0" t="n">
        <v>16</v>
      </c>
    </row>
    <row r="921" customFormat="false" ht="15" hidden="false" customHeight="false" outlineLevel="0" collapsed="false">
      <c r="A921" s="0" t="s">
        <v>202</v>
      </c>
      <c r="B921" s="0" t="s">
        <v>701</v>
      </c>
      <c r="C921" s="0" t="s">
        <v>84</v>
      </c>
      <c r="D921" s="0" t="n">
        <v>1</v>
      </c>
      <c r="E921" s="0" t="n">
        <v>5</v>
      </c>
      <c r="F921" s="0" t="n">
        <v>0</v>
      </c>
      <c r="G921" s="0" t="n">
        <v>6</v>
      </c>
      <c r="H921" s="0" t="n">
        <v>6</v>
      </c>
    </row>
    <row r="922" customFormat="false" ht="15" hidden="false" customHeight="false" outlineLevel="0" collapsed="false">
      <c r="A922" s="0" t="s">
        <v>202</v>
      </c>
      <c r="B922" s="0" t="s">
        <v>563</v>
      </c>
      <c r="C922" s="0" t="s">
        <v>565</v>
      </c>
      <c r="D922" s="0" t="n">
        <v>21</v>
      </c>
      <c r="E922" s="0" t="n">
        <v>7</v>
      </c>
      <c r="F922" s="0" t="n">
        <v>6</v>
      </c>
      <c r="G922" s="0" t="n">
        <v>28</v>
      </c>
      <c r="H922" s="0" t="n">
        <v>34</v>
      </c>
    </row>
    <row r="923" customFormat="false" ht="15" hidden="false" customHeight="false" outlineLevel="0" collapsed="false">
      <c r="A923" s="0" t="s">
        <v>202</v>
      </c>
      <c r="B923" s="0" t="s">
        <v>566</v>
      </c>
      <c r="C923" s="0" t="s">
        <v>84</v>
      </c>
      <c r="D923" s="0" t="n">
        <v>5</v>
      </c>
      <c r="E923" s="0" t="n">
        <v>12</v>
      </c>
      <c r="F923" s="0" t="n">
        <v>6</v>
      </c>
      <c r="G923" s="0" t="n">
        <v>17</v>
      </c>
      <c r="H923" s="0" t="n">
        <v>23</v>
      </c>
    </row>
    <row r="924" customFormat="false" ht="15" hidden="false" customHeight="false" outlineLevel="0" collapsed="false">
      <c r="A924" s="0" t="s">
        <v>202</v>
      </c>
      <c r="B924" s="0" t="s">
        <v>569</v>
      </c>
      <c r="C924" s="0" t="s">
        <v>85</v>
      </c>
      <c r="D924" s="0" t="n">
        <v>7</v>
      </c>
      <c r="E924" s="0" t="n">
        <v>2</v>
      </c>
      <c r="F924" s="0" t="n">
        <v>0</v>
      </c>
      <c r="G924" s="0" t="n">
        <v>9</v>
      </c>
      <c r="H924" s="0" t="n">
        <v>9</v>
      </c>
    </row>
    <row r="925" customFormat="false" ht="15" hidden="false" customHeight="false" outlineLevel="0" collapsed="false">
      <c r="A925" s="0" t="s">
        <v>202</v>
      </c>
      <c r="B925" s="0" t="s">
        <v>570</v>
      </c>
      <c r="C925" s="0" t="s">
        <v>568</v>
      </c>
      <c r="D925" s="0" t="n">
        <v>5</v>
      </c>
      <c r="E925" s="0" t="n">
        <v>10</v>
      </c>
      <c r="F925" s="0" t="n">
        <v>15</v>
      </c>
      <c r="G925" s="0" t="n">
        <v>15</v>
      </c>
      <c r="H925" s="0" t="n">
        <v>30</v>
      </c>
    </row>
    <row r="926" customFormat="false" ht="15" hidden="false" customHeight="false" outlineLevel="0" collapsed="false">
      <c r="A926" s="0" t="s">
        <v>202</v>
      </c>
      <c r="B926" s="0" t="s">
        <v>592</v>
      </c>
      <c r="C926" s="0" t="s">
        <v>594</v>
      </c>
      <c r="D926" s="0" t="n">
        <v>6</v>
      </c>
      <c r="E926" s="0" t="n">
        <v>8</v>
      </c>
      <c r="F926" s="0" t="n">
        <v>4</v>
      </c>
      <c r="G926" s="0" t="n">
        <v>14</v>
      </c>
      <c r="H926" s="0" t="n">
        <v>18</v>
      </c>
    </row>
    <row r="927" customFormat="false" ht="15" hidden="false" customHeight="false" outlineLevel="0" collapsed="false">
      <c r="A927" s="0" t="s">
        <v>202</v>
      </c>
      <c r="B927" s="0" t="s">
        <v>592</v>
      </c>
      <c r="C927" s="0" t="s">
        <v>84</v>
      </c>
      <c r="D927" s="0" t="n">
        <v>3</v>
      </c>
      <c r="E927" s="0" t="n">
        <v>13</v>
      </c>
      <c r="F927" s="0" t="n">
        <v>0</v>
      </c>
      <c r="G927" s="0" t="n">
        <v>16</v>
      </c>
      <c r="H927" s="0" t="n">
        <v>16</v>
      </c>
    </row>
    <row r="928" customFormat="false" ht="15" hidden="false" customHeight="false" outlineLevel="0" collapsed="false">
      <c r="A928" s="0" t="s">
        <v>202</v>
      </c>
      <c r="B928" s="0" t="s">
        <v>593</v>
      </c>
      <c r="C928" s="0" t="s">
        <v>78</v>
      </c>
      <c r="D928" s="0" t="n">
        <v>7</v>
      </c>
      <c r="E928" s="0" t="n">
        <v>10</v>
      </c>
      <c r="F928" s="0" t="n">
        <v>0</v>
      </c>
      <c r="G928" s="0" t="n">
        <v>17</v>
      </c>
      <c r="H928" s="0" t="n">
        <v>17</v>
      </c>
    </row>
    <row r="929" customFormat="false" ht="15" hidden="false" customHeight="false" outlineLevel="0" collapsed="false">
      <c r="A929" s="0" t="s">
        <v>202</v>
      </c>
      <c r="B929" s="0" t="s">
        <v>582</v>
      </c>
      <c r="C929" s="0" t="s">
        <v>594</v>
      </c>
      <c r="D929" s="0" t="n">
        <v>4</v>
      </c>
      <c r="E929" s="0" t="n">
        <v>12</v>
      </c>
      <c r="F929" s="0" t="n">
        <v>6</v>
      </c>
      <c r="G929" s="0" t="n">
        <v>16</v>
      </c>
      <c r="H929" s="0" t="n">
        <v>22</v>
      </c>
    </row>
    <row r="930" customFormat="false" ht="15" hidden="false" customHeight="false" outlineLevel="0" collapsed="false">
      <c r="A930" s="0" t="s">
        <v>202</v>
      </c>
      <c r="B930" s="0" t="s">
        <v>583</v>
      </c>
      <c r="C930" s="0" t="s">
        <v>615</v>
      </c>
      <c r="D930" s="0" t="n">
        <v>11</v>
      </c>
      <c r="E930" s="0" t="n">
        <v>10</v>
      </c>
      <c r="F930" s="0" t="n">
        <v>0</v>
      </c>
      <c r="G930" s="0" t="n">
        <v>21</v>
      </c>
      <c r="H930" s="0" t="n">
        <v>21</v>
      </c>
    </row>
    <row r="931" customFormat="false" ht="15" hidden="false" customHeight="false" outlineLevel="0" collapsed="false">
      <c r="A931" s="0" t="s">
        <v>202</v>
      </c>
      <c r="B931" s="0" t="s">
        <v>584</v>
      </c>
      <c r="C931" s="0" t="s">
        <v>598</v>
      </c>
      <c r="D931" s="0" t="n">
        <v>7</v>
      </c>
      <c r="E931" s="0" t="n">
        <v>2</v>
      </c>
      <c r="F931" s="0" t="n">
        <v>9</v>
      </c>
      <c r="G931" s="0" t="n">
        <v>9</v>
      </c>
      <c r="H931" s="0" t="n">
        <v>18</v>
      </c>
    </row>
    <row r="932" customFormat="false" ht="15" hidden="false" customHeight="false" outlineLevel="0" collapsed="false">
      <c r="A932" s="0" t="s">
        <v>205</v>
      </c>
      <c r="B932" s="0" t="s">
        <v>559</v>
      </c>
      <c r="C932" s="0" t="s">
        <v>103</v>
      </c>
      <c r="D932" s="0" t="n">
        <v>7</v>
      </c>
      <c r="E932" s="0" t="n">
        <v>13</v>
      </c>
      <c r="F932" s="0" t="n">
        <v>0</v>
      </c>
      <c r="G932" s="0" t="n">
        <v>20</v>
      </c>
      <c r="H932" s="0" t="n">
        <v>20</v>
      </c>
    </row>
    <row r="933" customFormat="false" ht="15" hidden="false" customHeight="false" outlineLevel="0" collapsed="false">
      <c r="A933" s="0" t="s">
        <v>205</v>
      </c>
      <c r="B933" s="0" t="s">
        <v>562</v>
      </c>
      <c r="C933" s="0" t="s">
        <v>588</v>
      </c>
      <c r="D933" s="0" t="n">
        <v>5</v>
      </c>
      <c r="E933" s="0" t="n">
        <v>10</v>
      </c>
      <c r="F933" s="0" t="n">
        <v>0</v>
      </c>
      <c r="G933" s="0" t="n">
        <v>15</v>
      </c>
      <c r="H933" s="0" t="n">
        <v>15</v>
      </c>
    </row>
    <row r="934" customFormat="false" ht="15" hidden="false" customHeight="false" outlineLevel="0" collapsed="false">
      <c r="A934" s="0" t="s">
        <v>205</v>
      </c>
      <c r="B934" s="0" t="s">
        <v>695</v>
      </c>
      <c r="C934" s="0" t="s">
        <v>726</v>
      </c>
      <c r="D934" s="0" t="n">
        <v>4</v>
      </c>
      <c r="E934" s="0" t="n">
        <v>11</v>
      </c>
      <c r="F934" s="0" t="n">
        <v>7</v>
      </c>
      <c r="G934" s="0" t="n">
        <v>15</v>
      </c>
      <c r="H934" s="0" t="n">
        <v>22</v>
      </c>
    </row>
    <row r="935" customFormat="false" ht="15" hidden="false" customHeight="false" outlineLevel="0" collapsed="false">
      <c r="A935" s="0" t="s">
        <v>205</v>
      </c>
      <c r="B935" s="0" t="s">
        <v>696</v>
      </c>
      <c r="C935" s="0" t="s">
        <v>726</v>
      </c>
      <c r="D935" s="0" t="n">
        <v>1</v>
      </c>
      <c r="E935" s="0" t="n">
        <v>14</v>
      </c>
      <c r="F935" s="0" t="n">
        <v>5</v>
      </c>
      <c r="G935" s="0" t="n">
        <v>15</v>
      </c>
      <c r="H935" s="0" t="n">
        <v>20</v>
      </c>
    </row>
    <row r="936" customFormat="false" ht="15" hidden="false" customHeight="false" outlineLevel="0" collapsed="false">
      <c r="A936" s="0" t="s">
        <v>205</v>
      </c>
      <c r="B936" s="0" t="s">
        <v>696</v>
      </c>
      <c r="C936" s="0" t="s">
        <v>727</v>
      </c>
      <c r="D936" s="0" t="n">
        <v>1</v>
      </c>
      <c r="E936" s="0" t="n">
        <v>9</v>
      </c>
      <c r="F936" s="0" t="n">
        <v>0</v>
      </c>
      <c r="G936" s="0" t="n">
        <v>10</v>
      </c>
      <c r="H936" s="0" t="n">
        <v>10</v>
      </c>
    </row>
    <row r="937" customFormat="false" ht="15" hidden="false" customHeight="false" outlineLevel="0" collapsed="false">
      <c r="A937" s="0" t="s">
        <v>205</v>
      </c>
      <c r="B937" s="0" t="s">
        <v>728</v>
      </c>
      <c r="C937" s="0" t="s">
        <v>729</v>
      </c>
      <c r="D937" s="0" t="n">
        <v>0</v>
      </c>
      <c r="E937" s="0" t="n">
        <v>4</v>
      </c>
      <c r="F937" s="0" t="n">
        <v>0</v>
      </c>
      <c r="G937" s="0" t="n">
        <v>4</v>
      </c>
      <c r="H937" s="0" t="n">
        <v>4</v>
      </c>
    </row>
    <row r="938" customFormat="false" ht="15" hidden="false" customHeight="false" outlineLevel="0" collapsed="false">
      <c r="A938" s="0" t="s">
        <v>205</v>
      </c>
      <c r="B938" s="0" t="s">
        <v>700</v>
      </c>
      <c r="C938" s="0" t="s">
        <v>84</v>
      </c>
      <c r="D938" s="0" t="n">
        <v>9</v>
      </c>
      <c r="E938" s="0" t="n">
        <v>2</v>
      </c>
      <c r="F938" s="0" t="n">
        <v>2</v>
      </c>
      <c r="G938" s="0" t="n">
        <v>11</v>
      </c>
      <c r="H938" s="0" t="n">
        <v>13</v>
      </c>
    </row>
    <row r="939" customFormat="false" ht="15" hidden="false" customHeight="false" outlineLevel="0" collapsed="false">
      <c r="A939" s="0" t="s">
        <v>205</v>
      </c>
      <c r="B939" s="0" t="s">
        <v>700</v>
      </c>
      <c r="C939" s="0" t="s">
        <v>102</v>
      </c>
      <c r="D939" s="0" t="n">
        <v>3</v>
      </c>
      <c r="E939" s="0" t="n">
        <v>2</v>
      </c>
      <c r="F939" s="0" t="n">
        <v>4</v>
      </c>
      <c r="G939" s="0" t="n">
        <v>5</v>
      </c>
      <c r="H939" s="0" t="n">
        <v>9</v>
      </c>
    </row>
    <row r="940" customFormat="false" ht="15" hidden="false" customHeight="false" outlineLevel="0" collapsed="false">
      <c r="A940" s="0" t="s">
        <v>205</v>
      </c>
      <c r="B940" s="0" t="s">
        <v>701</v>
      </c>
      <c r="C940" s="0" t="s">
        <v>84</v>
      </c>
      <c r="D940" s="0" t="n">
        <v>4</v>
      </c>
      <c r="E940" s="0" t="n">
        <v>4</v>
      </c>
      <c r="F940" s="0" t="n">
        <v>0</v>
      </c>
      <c r="G940" s="0" t="n">
        <v>8</v>
      </c>
      <c r="H940" s="0" t="n">
        <v>8</v>
      </c>
    </row>
    <row r="941" customFormat="false" ht="15" hidden="false" customHeight="false" outlineLevel="0" collapsed="false">
      <c r="A941" s="0" t="s">
        <v>205</v>
      </c>
      <c r="B941" s="0" t="s">
        <v>563</v>
      </c>
      <c r="C941" s="0" t="s">
        <v>565</v>
      </c>
      <c r="D941" s="0" t="n">
        <v>3</v>
      </c>
      <c r="E941" s="0" t="n">
        <v>2</v>
      </c>
      <c r="F941" s="0" t="n">
        <v>14</v>
      </c>
      <c r="G941" s="0" t="n">
        <v>5</v>
      </c>
      <c r="H941" s="0" t="n">
        <v>19</v>
      </c>
    </row>
    <row r="942" customFormat="false" ht="15" hidden="false" customHeight="false" outlineLevel="0" collapsed="false">
      <c r="A942" s="0" t="s">
        <v>205</v>
      </c>
      <c r="B942" s="0" t="s">
        <v>566</v>
      </c>
      <c r="C942" s="0" t="s">
        <v>84</v>
      </c>
      <c r="D942" s="0" t="n">
        <v>5</v>
      </c>
      <c r="E942" s="0" t="n">
        <v>5</v>
      </c>
      <c r="F942" s="0" t="n">
        <v>7</v>
      </c>
      <c r="G942" s="0" t="n">
        <v>10</v>
      </c>
      <c r="H942" s="0" t="n">
        <v>17</v>
      </c>
    </row>
    <row r="943" customFormat="false" ht="15" hidden="false" customHeight="false" outlineLevel="0" collapsed="false">
      <c r="A943" s="0" t="s">
        <v>205</v>
      </c>
      <c r="B943" s="0" t="s">
        <v>569</v>
      </c>
      <c r="C943" s="0" t="s">
        <v>85</v>
      </c>
      <c r="D943" s="0" t="n">
        <v>8</v>
      </c>
      <c r="E943" s="0" t="n">
        <v>7</v>
      </c>
      <c r="F943" s="0" t="n">
        <v>0</v>
      </c>
      <c r="G943" s="0" t="n">
        <v>15</v>
      </c>
      <c r="H943" s="0" t="n">
        <v>15</v>
      </c>
    </row>
    <row r="944" customFormat="false" ht="15" hidden="false" customHeight="false" outlineLevel="0" collapsed="false">
      <c r="A944" s="0" t="s">
        <v>205</v>
      </c>
      <c r="B944" s="0" t="s">
        <v>570</v>
      </c>
      <c r="C944" s="0" t="s">
        <v>568</v>
      </c>
      <c r="D944" s="0" t="n">
        <v>4</v>
      </c>
      <c r="E944" s="0" t="n">
        <v>5</v>
      </c>
      <c r="F944" s="0" t="n">
        <v>11</v>
      </c>
      <c r="G944" s="0" t="n">
        <v>9</v>
      </c>
      <c r="H944" s="0" t="n">
        <v>20</v>
      </c>
    </row>
    <row r="945" customFormat="false" ht="15" hidden="false" customHeight="false" outlineLevel="0" collapsed="false">
      <c r="A945" s="0" t="s">
        <v>205</v>
      </c>
      <c r="B945" s="0" t="s">
        <v>592</v>
      </c>
      <c r="C945" s="0" t="s">
        <v>594</v>
      </c>
      <c r="D945" s="0" t="n">
        <v>5</v>
      </c>
      <c r="E945" s="0" t="n">
        <v>9</v>
      </c>
      <c r="F945" s="0" t="n">
        <v>2</v>
      </c>
      <c r="G945" s="0" t="n">
        <v>14</v>
      </c>
      <c r="H945" s="0" t="n">
        <v>16</v>
      </c>
    </row>
    <row r="946" customFormat="false" ht="15" hidden="false" customHeight="false" outlineLevel="0" collapsed="false">
      <c r="A946" s="0" t="s">
        <v>205</v>
      </c>
      <c r="B946" s="0" t="s">
        <v>592</v>
      </c>
      <c r="C946" s="0" t="s">
        <v>84</v>
      </c>
      <c r="D946" s="0" t="n">
        <v>2</v>
      </c>
      <c r="E946" s="0" t="n">
        <v>2</v>
      </c>
      <c r="F946" s="0" t="n">
        <v>0</v>
      </c>
      <c r="G946" s="0" t="n">
        <v>4</v>
      </c>
      <c r="H946" s="0" t="n">
        <v>4</v>
      </c>
    </row>
    <row r="947" customFormat="false" ht="15" hidden="false" customHeight="false" outlineLevel="0" collapsed="false">
      <c r="A947" s="0" t="s">
        <v>207</v>
      </c>
      <c r="B947" s="0" t="s">
        <v>559</v>
      </c>
      <c r="C947" s="0" t="s">
        <v>103</v>
      </c>
      <c r="D947" s="0" t="n">
        <v>0</v>
      </c>
      <c r="E947" s="0" t="n">
        <v>11</v>
      </c>
      <c r="F947" s="0" t="n">
        <v>0</v>
      </c>
      <c r="G947" s="0" t="n">
        <v>11</v>
      </c>
      <c r="H947" s="0" t="n">
        <v>11</v>
      </c>
    </row>
    <row r="948" customFormat="false" ht="15" hidden="false" customHeight="false" outlineLevel="0" collapsed="false">
      <c r="A948" s="0" t="s">
        <v>207</v>
      </c>
      <c r="B948" s="0" t="s">
        <v>562</v>
      </c>
      <c r="C948" s="0" t="s">
        <v>588</v>
      </c>
      <c r="D948" s="0" t="n">
        <v>8</v>
      </c>
      <c r="E948" s="0" t="n">
        <v>2</v>
      </c>
      <c r="F948" s="0" t="n">
        <v>0</v>
      </c>
      <c r="G948" s="0" t="n">
        <v>10</v>
      </c>
      <c r="H948" s="0" t="n">
        <v>10</v>
      </c>
    </row>
    <row r="949" customFormat="false" ht="15" hidden="false" customHeight="false" outlineLevel="0" collapsed="false">
      <c r="A949" s="0" t="s">
        <v>207</v>
      </c>
      <c r="B949" s="0" t="s">
        <v>700</v>
      </c>
      <c r="C949" s="0" t="s">
        <v>84</v>
      </c>
      <c r="D949" s="0" t="n">
        <v>3</v>
      </c>
      <c r="E949" s="0" t="n">
        <v>2</v>
      </c>
      <c r="F949" s="0" t="n">
        <v>2</v>
      </c>
      <c r="G949" s="0" t="n">
        <v>5</v>
      </c>
      <c r="H949" s="0" t="n">
        <v>7</v>
      </c>
    </row>
    <row r="950" customFormat="false" ht="15" hidden="false" customHeight="false" outlineLevel="0" collapsed="false">
      <c r="A950" s="0" t="s">
        <v>207</v>
      </c>
      <c r="B950" s="0" t="s">
        <v>700</v>
      </c>
      <c r="C950" s="0" t="s">
        <v>102</v>
      </c>
      <c r="D950" s="0" t="n">
        <v>4</v>
      </c>
      <c r="E950" s="0" t="n">
        <v>3</v>
      </c>
      <c r="F950" s="0" t="n">
        <v>5</v>
      </c>
      <c r="G950" s="0" t="n">
        <v>7</v>
      </c>
      <c r="H950" s="0" t="n">
        <v>12</v>
      </c>
    </row>
    <row r="951" customFormat="false" ht="15" hidden="false" customHeight="false" outlineLevel="0" collapsed="false">
      <c r="A951" s="0" t="s">
        <v>207</v>
      </c>
      <c r="B951" s="0" t="s">
        <v>701</v>
      </c>
      <c r="C951" s="0" t="s">
        <v>84</v>
      </c>
      <c r="D951" s="0" t="n">
        <v>1</v>
      </c>
      <c r="E951" s="0" t="n">
        <v>2</v>
      </c>
      <c r="F951" s="0" t="n">
        <v>0</v>
      </c>
      <c r="G951" s="0" t="n">
        <v>3</v>
      </c>
      <c r="H951" s="0" t="n">
        <v>3</v>
      </c>
    </row>
    <row r="952" customFormat="false" ht="15" hidden="false" customHeight="false" outlineLevel="0" collapsed="false">
      <c r="A952" s="0" t="s">
        <v>207</v>
      </c>
      <c r="B952" s="0" t="s">
        <v>563</v>
      </c>
      <c r="C952" s="0" t="s">
        <v>565</v>
      </c>
      <c r="D952" s="0" t="n">
        <v>6</v>
      </c>
      <c r="E952" s="0" t="n">
        <v>0</v>
      </c>
      <c r="F952" s="0" t="n">
        <v>1</v>
      </c>
      <c r="G952" s="0" t="n">
        <v>6</v>
      </c>
      <c r="H952" s="0" t="n">
        <v>7</v>
      </c>
    </row>
    <row r="953" customFormat="false" ht="15" hidden="false" customHeight="false" outlineLevel="0" collapsed="false">
      <c r="A953" s="0" t="s">
        <v>207</v>
      </c>
      <c r="B953" s="0" t="s">
        <v>566</v>
      </c>
      <c r="C953" s="0" t="s">
        <v>84</v>
      </c>
      <c r="D953" s="0" t="n">
        <v>2</v>
      </c>
      <c r="E953" s="0" t="n">
        <v>1</v>
      </c>
      <c r="F953" s="0" t="n">
        <v>8</v>
      </c>
      <c r="G953" s="0" t="n">
        <v>3</v>
      </c>
      <c r="H953" s="0" t="n">
        <v>11</v>
      </c>
    </row>
    <row r="954" customFormat="false" ht="15" hidden="false" customHeight="false" outlineLevel="0" collapsed="false">
      <c r="A954" s="0" t="s">
        <v>207</v>
      </c>
      <c r="B954" s="0" t="s">
        <v>569</v>
      </c>
      <c r="C954" s="0" t="s">
        <v>85</v>
      </c>
      <c r="D954" s="0" t="n">
        <v>2</v>
      </c>
      <c r="E954" s="0" t="n">
        <v>1</v>
      </c>
      <c r="F954" s="0" t="n">
        <v>0</v>
      </c>
      <c r="G954" s="0" t="n">
        <v>3</v>
      </c>
      <c r="H954" s="0" t="n">
        <v>3</v>
      </c>
    </row>
    <row r="955" customFormat="false" ht="15" hidden="false" customHeight="false" outlineLevel="0" collapsed="false">
      <c r="A955" s="0" t="s">
        <v>207</v>
      </c>
      <c r="B955" s="0" t="s">
        <v>570</v>
      </c>
      <c r="C955" s="0" t="s">
        <v>568</v>
      </c>
      <c r="D955" s="0" t="n">
        <v>2</v>
      </c>
      <c r="E955" s="0" t="n">
        <v>3</v>
      </c>
      <c r="F955" s="0" t="n">
        <v>1</v>
      </c>
      <c r="G955" s="0" t="n">
        <v>5</v>
      </c>
      <c r="H955" s="0" t="n">
        <v>6</v>
      </c>
    </row>
    <row r="956" customFormat="false" ht="15" hidden="false" customHeight="false" outlineLevel="0" collapsed="false">
      <c r="A956" s="0" t="s">
        <v>207</v>
      </c>
      <c r="B956" s="0" t="s">
        <v>592</v>
      </c>
      <c r="C956" s="0" t="s">
        <v>594</v>
      </c>
      <c r="D956" s="0" t="n">
        <v>2</v>
      </c>
      <c r="E956" s="0" t="n">
        <v>5</v>
      </c>
      <c r="F956" s="0" t="n">
        <v>1</v>
      </c>
      <c r="G956" s="0" t="n">
        <v>7</v>
      </c>
      <c r="H956" s="0" t="n">
        <v>8</v>
      </c>
    </row>
    <row r="957" customFormat="false" ht="15" hidden="false" customHeight="false" outlineLevel="0" collapsed="false">
      <c r="A957" s="0" t="s">
        <v>207</v>
      </c>
      <c r="B957" s="0" t="s">
        <v>592</v>
      </c>
      <c r="C957" s="0" t="s">
        <v>84</v>
      </c>
      <c r="D957" s="0" t="n">
        <v>1</v>
      </c>
      <c r="E957" s="0" t="n">
        <v>2</v>
      </c>
      <c r="F957" s="0" t="n">
        <v>0</v>
      </c>
      <c r="G957" s="0" t="n">
        <v>3</v>
      </c>
      <c r="H957" s="0" t="n">
        <v>3</v>
      </c>
    </row>
    <row r="958" customFormat="false" ht="15" hidden="false" customHeight="false" outlineLevel="0" collapsed="false">
      <c r="A958" s="0" t="s">
        <v>207</v>
      </c>
      <c r="B958" s="0" t="s">
        <v>593</v>
      </c>
      <c r="C958" s="0" t="s">
        <v>78</v>
      </c>
      <c r="D958" s="0" t="n">
        <v>2</v>
      </c>
      <c r="E958" s="0" t="n">
        <v>4</v>
      </c>
      <c r="F958" s="0" t="n">
        <v>0</v>
      </c>
      <c r="G958" s="0" t="n">
        <v>6</v>
      </c>
      <c r="H958" s="0" t="n">
        <v>6</v>
      </c>
    </row>
    <row r="959" customFormat="false" ht="15" hidden="false" customHeight="false" outlineLevel="0" collapsed="false">
      <c r="A959" s="0" t="s">
        <v>207</v>
      </c>
      <c r="B959" s="0" t="s">
        <v>582</v>
      </c>
      <c r="C959" s="0" t="s">
        <v>594</v>
      </c>
      <c r="D959" s="0" t="n">
        <v>2</v>
      </c>
      <c r="E959" s="0" t="n">
        <v>3</v>
      </c>
      <c r="F959" s="0" t="n">
        <v>0</v>
      </c>
      <c r="G959" s="0" t="n">
        <v>5</v>
      </c>
      <c r="H959" s="0" t="n">
        <v>5</v>
      </c>
    </row>
    <row r="960" customFormat="false" ht="15" hidden="false" customHeight="false" outlineLevel="0" collapsed="false">
      <c r="A960" s="0" t="s">
        <v>207</v>
      </c>
      <c r="B960" s="0" t="s">
        <v>583</v>
      </c>
      <c r="C960" s="0" t="s">
        <v>615</v>
      </c>
      <c r="D960" s="0" t="n">
        <v>1</v>
      </c>
      <c r="E960" s="0" t="n">
        <v>2</v>
      </c>
      <c r="F960" s="0" t="n">
        <v>0</v>
      </c>
      <c r="G960" s="0" t="n">
        <v>3</v>
      </c>
      <c r="H960" s="0" t="n">
        <v>3</v>
      </c>
    </row>
    <row r="961" customFormat="false" ht="15" hidden="false" customHeight="false" outlineLevel="0" collapsed="false">
      <c r="A961" s="0" t="s">
        <v>207</v>
      </c>
      <c r="B961" s="0" t="s">
        <v>584</v>
      </c>
      <c r="C961" s="0" t="s">
        <v>598</v>
      </c>
      <c r="D961" s="0" t="n">
        <v>1</v>
      </c>
      <c r="E961" s="0" t="n">
        <v>7</v>
      </c>
      <c r="F961" s="0" t="n">
        <v>4</v>
      </c>
      <c r="G961" s="0" t="n">
        <v>8</v>
      </c>
      <c r="H961" s="0" t="n">
        <v>12</v>
      </c>
    </row>
    <row r="962" customFormat="false" ht="15" hidden="false" customHeight="false" outlineLevel="0" collapsed="false">
      <c r="A962" s="0" t="s">
        <v>209</v>
      </c>
      <c r="B962" s="0" t="s">
        <v>559</v>
      </c>
      <c r="C962" s="0" t="s">
        <v>103</v>
      </c>
      <c r="D962" s="0" t="n">
        <v>10</v>
      </c>
      <c r="E962" s="0" t="n">
        <v>11</v>
      </c>
      <c r="F962" s="0" t="n">
        <v>0</v>
      </c>
      <c r="G962" s="0" t="n">
        <v>21</v>
      </c>
      <c r="H962" s="0" t="n">
        <v>21</v>
      </c>
    </row>
    <row r="963" customFormat="false" ht="15" hidden="false" customHeight="false" outlineLevel="0" collapsed="false">
      <c r="A963" s="0" t="s">
        <v>209</v>
      </c>
      <c r="B963" s="0" t="s">
        <v>562</v>
      </c>
      <c r="C963" s="0" t="s">
        <v>588</v>
      </c>
      <c r="D963" s="0" t="n">
        <v>7</v>
      </c>
      <c r="E963" s="0" t="n">
        <v>17</v>
      </c>
      <c r="F963" s="0" t="n">
        <v>0</v>
      </c>
      <c r="G963" s="0" t="n">
        <v>24</v>
      </c>
      <c r="H963" s="0" t="n">
        <v>24</v>
      </c>
    </row>
    <row r="964" customFormat="false" ht="15" hidden="false" customHeight="false" outlineLevel="0" collapsed="false">
      <c r="A964" s="0" t="s">
        <v>209</v>
      </c>
      <c r="B964" s="0" t="s">
        <v>730</v>
      </c>
      <c r="C964" s="0" t="s">
        <v>731</v>
      </c>
      <c r="D964" s="0" t="n">
        <v>12</v>
      </c>
      <c r="E964" s="0" t="n">
        <v>0</v>
      </c>
      <c r="F964" s="0" t="n">
        <v>0</v>
      </c>
      <c r="G964" s="0" t="n">
        <v>12</v>
      </c>
      <c r="H964" s="0" t="n">
        <v>12</v>
      </c>
    </row>
    <row r="965" customFormat="false" ht="15" hidden="false" customHeight="false" outlineLevel="0" collapsed="false">
      <c r="A965" s="0" t="s">
        <v>209</v>
      </c>
      <c r="B965" s="0" t="s">
        <v>730</v>
      </c>
      <c r="C965" s="0" t="s">
        <v>727</v>
      </c>
      <c r="D965" s="0" t="n">
        <v>6</v>
      </c>
      <c r="E965" s="0" t="n">
        <v>1</v>
      </c>
      <c r="F965" s="0" t="n">
        <v>9</v>
      </c>
      <c r="G965" s="0" t="n">
        <v>7</v>
      </c>
      <c r="H965" s="0" t="n">
        <v>16</v>
      </c>
    </row>
    <row r="966" customFormat="false" ht="15" hidden="false" customHeight="false" outlineLevel="0" collapsed="false">
      <c r="A966" s="0" t="s">
        <v>209</v>
      </c>
      <c r="B966" s="0" t="s">
        <v>695</v>
      </c>
      <c r="C966" s="0" t="s">
        <v>631</v>
      </c>
      <c r="D966" s="0" t="n">
        <v>19</v>
      </c>
      <c r="E966" s="0" t="n">
        <v>7</v>
      </c>
      <c r="F966" s="0" t="n">
        <v>3</v>
      </c>
      <c r="G966" s="0" t="n">
        <v>26</v>
      </c>
      <c r="H966" s="0" t="n">
        <v>29</v>
      </c>
    </row>
    <row r="967" customFormat="false" ht="15" hidden="false" customHeight="false" outlineLevel="0" collapsed="false">
      <c r="A967" s="0" t="s">
        <v>209</v>
      </c>
      <c r="B967" s="0" t="s">
        <v>696</v>
      </c>
      <c r="C967" s="0" t="s">
        <v>631</v>
      </c>
      <c r="D967" s="0" t="n">
        <v>7</v>
      </c>
      <c r="E967" s="0" t="n">
        <v>2</v>
      </c>
      <c r="F967" s="0" t="n">
        <v>6</v>
      </c>
      <c r="G967" s="0" t="n">
        <v>9</v>
      </c>
      <c r="H967" s="0" t="n">
        <v>15</v>
      </c>
    </row>
    <row r="968" customFormat="false" ht="15" hidden="false" customHeight="false" outlineLevel="0" collapsed="false">
      <c r="A968" s="0" t="s">
        <v>209</v>
      </c>
      <c r="B968" s="0" t="s">
        <v>696</v>
      </c>
      <c r="C968" s="0" t="s">
        <v>727</v>
      </c>
      <c r="D968" s="0" t="n">
        <v>17</v>
      </c>
      <c r="E968" s="0" t="n">
        <v>20</v>
      </c>
      <c r="F968" s="0" t="n">
        <v>0</v>
      </c>
      <c r="G968" s="0" t="n">
        <v>37</v>
      </c>
      <c r="H968" s="0" t="n">
        <v>37</v>
      </c>
    </row>
    <row r="969" customFormat="false" ht="15" hidden="false" customHeight="false" outlineLevel="0" collapsed="false">
      <c r="A969" s="0" t="s">
        <v>209</v>
      </c>
      <c r="B969" s="0" t="s">
        <v>728</v>
      </c>
      <c r="C969" s="0" t="s">
        <v>729</v>
      </c>
      <c r="D969" s="0" t="n">
        <v>1</v>
      </c>
      <c r="E969" s="0" t="n">
        <v>4</v>
      </c>
      <c r="F969" s="0" t="n">
        <v>0</v>
      </c>
      <c r="G969" s="0" t="n">
        <v>5</v>
      </c>
      <c r="H969" s="0" t="n">
        <v>5</v>
      </c>
    </row>
    <row r="970" customFormat="false" ht="15" hidden="false" customHeight="false" outlineLevel="0" collapsed="false">
      <c r="A970" s="0" t="s">
        <v>209</v>
      </c>
      <c r="B970" s="0" t="s">
        <v>732</v>
      </c>
      <c r="C970" s="0" t="s">
        <v>729</v>
      </c>
      <c r="D970" s="0" t="n">
        <v>6</v>
      </c>
      <c r="E970" s="0" t="n">
        <v>2</v>
      </c>
      <c r="F970" s="0" t="n">
        <v>1</v>
      </c>
      <c r="G970" s="0" t="n">
        <v>8</v>
      </c>
      <c r="H970" s="0" t="n">
        <v>9</v>
      </c>
    </row>
    <row r="971" customFormat="false" ht="15" hidden="false" customHeight="false" outlineLevel="0" collapsed="false">
      <c r="A971" s="0" t="s">
        <v>209</v>
      </c>
      <c r="B971" s="0" t="s">
        <v>732</v>
      </c>
      <c r="C971" s="0" t="s">
        <v>727</v>
      </c>
      <c r="D971" s="0" t="n">
        <v>3</v>
      </c>
      <c r="E971" s="0" t="n">
        <v>6</v>
      </c>
      <c r="F971" s="0" t="n">
        <v>1</v>
      </c>
      <c r="G971" s="0" t="n">
        <v>9</v>
      </c>
      <c r="H971" s="0" t="n">
        <v>10</v>
      </c>
    </row>
    <row r="972" customFormat="false" ht="15" hidden="false" customHeight="false" outlineLevel="0" collapsed="false">
      <c r="A972" s="0" t="s">
        <v>209</v>
      </c>
      <c r="B972" s="0" t="s">
        <v>700</v>
      </c>
      <c r="C972" s="0" t="s">
        <v>84</v>
      </c>
      <c r="D972" s="0" t="n">
        <v>19</v>
      </c>
      <c r="E972" s="0" t="n">
        <v>7</v>
      </c>
      <c r="F972" s="0" t="n">
        <v>3</v>
      </c>
      <c r="G972" s="0" t="n">
        <v>26</v>
      </c>
      <c r="H972" s="0" t="n">
        <v>29</v>
      </c>
    </row>
    <row r="973" customFormat="false" ht="15" hidden="false" customHeight="false" outlineLevel="0" collapsed="false">
      <c r="A973" s="0" t="s">
        <v>209</v>
      </c>
      <c r="B973" s="0" t="s">
        <v>700</v>
      </c>
      <c r="C973" s="0" t="s">
        <v>102</v>
      </c>
      <c r="D973" s="0" t="n">
        <v>7</v>
      </c>
      <c r="E973" s="0" t="n">
        <v>11</v>
      </c>
      <c r="F973" s="0" t="n">
        <v>10</v>
      </c>
      <c r="G973" s="0" t="n">
        <v>18</v>
      </c>
      <c r="H973" s="0" t="n">
        <v>28</v>
      </c>
    </row>
    <row r="974" customFormat="false" ht="15" hidden="false" customHeight="false" outlineLevel="0" collapsed="false">
      <c r="A974" s="0" t="s">
        <v>209</v>
      </c>
      <c r="B974" s="0" t="s">
        <v>701</v>
      </c>
      <c r="C974" s="0" t="s">
        <v>84</v>
      </c>
      <c r="D974" s="0" t="n">
        <v>5</v>
      </c>
      <c r="E974" s="0" t="n">
        <v>1</v>
      </c>
      <c r="F974" s="0" t="n">
        <v>0</v>
      </c>
      <c r="G974" s="0" t="n">
        <v>6</v>
      </c>
      <c r="H974" s="0" t="n">
        <v>6</v>
      </c>
    </row>
    <row r="975" customFormat="false" ht="15" hidden="false" customHeight="false" outlineLevel="0" collapsed="false">
      <c r="A975" s="0" t="s">
        <v>209</v>
      </c>
      <c r="B975" s="0" t="s">
        <v>563</v>
      </c>
      <c r="C975" s="0" t="s">
        <v>565</v>
      </c>
      <c r="D975" s="0" t="n">
        <v>20</v>
      </c>
      <c r="E975" s="0" t="n">
        <v>6</v>
      </c>
      <c r="F975" s="0" t="n">
        <v>9</v>
      </c>
      <c r="G975" s="0" t="n">
        <v>26</v>
      </c>
      <c r="H975" s="0" t="n">
        <v>35</v>
      </c>
    </row>
    <row r="976" customFormat="false" ht="15" hidden="false" customHeight="false" outlineLevel="0" collapsed="false">
      <c r="A976" s="0" t="s">
        <v>209</v>
      </c>
      <c r="B976" s="0" t="s">
        <v>566</v>
      </c>
      <c r="C976" s="0" t="s">
        <v>84</v>
      </c>
      <c r="D976" s="0" t="n">
        <v>10</v>
      </c>
      <c r="E976" s="0" t="n">
        <v>11</v>
      </c>
      <c r="F976" s="0" t="n">
        <v>13</v>
      </c>
      <c r="G976" s="0" t="n">
        <v>21</v>
      </c>
      <c r="H976" s="0" t="n">
        <v>34</v>
      </c>
    </row>
    <row r="977" customFormat="false" ht="15" hidden="false" customHeight="false" outlineLevel="0" collapsed="false">
      <c r="A977" s="0" t="s">
        <v>224</v>
      </c>
      <c r="B977" s="0" t="s">
        <v>559</v>
      </c>
      <c r="C977" s="0" t="s">
        <v>733</v>
      </c>
      <c r="D977" s="0" t="n">
        <v>9</v>
      </c>
      <c r="E977" s="0" t="n">
        <v>12</v>
      </c>
      <c r="F977" s="0" t="n">
        <v>0</v>
      </c>
      <c r="G977" s="0" t="n">
        <v>21</v>
      </c>
      <c r="H977" s="0" t="n">
        <v>21</v>
      </c>
    </row>
    <row r="978" customFormat="false" ht="15" hidden="false" customHeight="false" outlineLevel="0" collapsed="false">
      <c r="A978" s="0" t="s">
        <v>224</v>
      </c>
      <c r="B978" s="0" t="s">
        <v>559</v>
      </c>
      <c r="C978" s="0" t="s">
        <v>79</v>
      </c>
      <c r="D978" s="0" t="n">
        <v>11</v>
      </c>
      <c r="E978" s="0" t="n">
        <v>18</v>
      </c>
      <c r="F978" s="0" t="n">
        <v>0</v>
      </c>
      <c r="G978" s="0" t="n">
        <v>29</v>
      </c>
      <c r="H978" s="0" t="n">
        <v>29</v>
      </c>
    </row>
    <row r="979" customFormat="false" ht="15" hidden="false" customHeight="false" outlineLevel="0" collapsed="false">
      <c r="A979" s="0" t="s">
        <v>224</v>
      </c>
      <c r="B979" s="0" t="s">
        <v>700</v>
      </c>
      <c r="C979" s="0" t="s">
        <v>90</v>
      </c>
      <c r="D979" s="0" t="n">
        <v>4</v>
      </c>
      <c r="E979" s="0" t="n">
        <v>20</v>
      </c>
      <c r="F979" s="0" t="n">
        <v>8</v>
      </c>
      <c r="G979" s="0" t="n">
        <v>24</v>
      </c>
      <c r="H979" s="0" t="n">
        <v>32</v>
      </c>
    </row>
    <row r="980" customFormat="false" ht="15" hidden="false" customHeight="false" outlineLevel="0" collapsed="false">
      <c r="A980" s="0" t="s">
        <v>224</v>
      </c>
      <c r="B980" s="0" t="s">
        <v>701</v>
      </c>
      <c r="C980" s="0" t="s">
        <v>90</v>
      </c>
      <c r="D980" s="0" t="n">
        <v>11</v>
      </c>
      <c r="E980" s="0" t="n">
        <v>15</v>
      </c>
      <c r="F980" s="0" t="n">
        <v>0</v>
      </c>
      <c r="G980" s="0" t="n">
        <v>26</v>
      </c>
      <c r="H980" s="0" t="n">
        <v>26</v>
      </c>
    </row>
    <row r="981" customFormat="false" ht="15" hidden="false" customHeight="false" outlineLevel="0" collapsed="false">
      <c r="A981" s="0" t="s">
        <v>224</v>
      </c>
      <c r="B981" s="0" t="s">
        <v>564</v>
      </c>
      <c r="C981" s="0" t="s">
        <v>102</v>
      </c>
      <c r="D981" s="0" t="n">
        <v>4</v>
      </c>
      <c r="E981" s="0" t="n">
        <v>6</v>
      </c>
      <c r="F981" s="0" t="n">
        <v>11</v>
      </c>
      <c r="G981" s="0" t="n">
        <v>10</v>
      </c>
      <c r="H981" s="0" t="n">
        <v>21</v>
      </c>
    </row>
    <row r="982" customFormat="false" ht="15" hidden="false" customHeight="false" outlineLevel="0" collapsed="false">
      <c r="A982" s="0" t="s">
        <v>224</v>
      </c>
      <c r="B982" s="0" t="s">
        <v>564</v>
      </c>
      <c r="C982" s="0" t="s">
        <v>596</v>
      </c>
      <c r="D982" s="0" t="n">
        <v>11</v>
      </c>
      <c r="E982" s="0" t="n">
        <v>2</v>
      </c>
      <c r="F982" s="0" t="n">
        <v>4</v>
      </c>
      <c r="G982" s="0" t="n">
        <v>13</v>
      </c>
      <c r="H982" s="0" t="n">
        <v>17</v>
      </c>
    </row>
    <row r="983" customFormat="false" ht="15" hidden="false" customHeight="false" outlineLevel="0" collapsed="false">
      <c r="A983" s="0" t="s">
        <v>224</v>
      </c>
      <c r="B983" s="0" t="s">
        <v>566</v>
      </c>
      <c r="C983" s="0" t="s">
        <v>90</v>
      </c>
      <c r="D983" s="0" t="n">
        <v>10</v>
      </c>
      <c r="E983" s="0" t="n">
        <v>5</v>
      </c>
      <c r="F983" s="0" t="n">
        <v>9</v>
      </c>
      <c r="G983" s="0" t="n">
        <v>15</v>
      </c>
      <c r="H983" s="0" t="n">
        <v>24</v>
      </c>
    </row>
    <row r="984" customFormat="false" ht="15" hidden="false" customHeight="false" outlineLevel="0" collapsed="false">
      <c r="A984" s="0" t="s">
        <v>224</v>
      </c>
      <c r="B984" s="0" t="s">
        <v>614</v>
      </c>
      <c r="C984" s="0" t="s">
        <v>103</v>
      </c>
      <c r="D984" s="0" t="n">
        <v>12</v>
      </c>
      <c r="E984" s="0" t="n">
        <v>11</v>
      </c>
      <c r="F984" s="0" t="n">
        <v>0</v>
      </c>
      <c r="G984" s="0" t="n">
        <v>23</v>
      </c>
      <c r="H984" s="0" t="n">
        <v>23</v>
      </c>
    </row>
    <row r="985" customFormat="false" ht="15" hidden="false" customHeight="false" outlineLevel="0" collapsed="false">
      <c r="A985" s="0" t="s">
        <v>224</v>
      </c>
      <c r="B985" s="0" t="s">
        <v>569</v>
      </c>
      <c r="C985" s="0" t="s">
        <v>623</v>
      </c>
      <c r="D985" s="0" t="n">
        <v>7</v>
      </c>
      <c r="E985" s="0" t="n">
        <v>6</v>
      </c>
      <c r="F985" s="0" t="n">
        <v>0</v>
      </c>
      <c r="G985" s="0" t="n">
        <v>13</v>
      </c>
      <c r="H985" s="0" t="n">
        <v>13</v>
      </c>
    </row>
    <row r="986" customFormat="false" ht="15" hidden="false" customHeight="false" outlineLevel="0" collapsed="false">
      <c r="A986" s="0" t="s">
        <v>224</v>
      </c>
      <c r="B986" s="0" t="s">
        <v>734</v>
      </c>
      <c r="C986" s="0" t="s">
        <v>571</v>
      </c>
      <c r="D986" s="0" t="n">
        <v>6</v>
      </c>
      <c r="E986" s="0" t="n">
        <v>10</v>
      </c>
      <c r="F986" s="0" t="n">
        <v>5</v>
      </c>
      <c r="G986" s="0" t="n">
        <v>16</v>
      </c>
      <c r="H986" s="0" t="n">
        <v>21</v>
      </c>
    </row>
    <row r="987" customFormat="false" ht="15" hidden="false" customHeight="false" outlineLevel="0" collapsed="false">
      <c r="A987" s="0" t="s">
        <v>224</v>
      </c>
      <c r="B987" s="0" t="s">
        <v>684</v>
      </c>
      <c r="C987" s="0" t="s">
        <v>596</v>
      </c>
      <c r="D987" s="0" t="n">
        <v>14</v>
      </c>
      <c r="E987" s="0" t="n">
        <v>16</v>
      </c>
      <c r="F987" s="0" t="n">
        <v>0</v>
      </c>
      <c r="G987" s="0" t="n">
        <v>30</v>
      </c>
      <c r="H987" s="0" t="n">
        <v>30</v>
      </c>
    </row>
    <row r="988" customFormat="false" ht="15" hidden="false" customHeight="false" outlineLevel="0" collapsed="false">
      <c r="A988" s="0" t="s">
        <v>224</v>
      </c>
      <c r="B988" s="0" t="s">
        <v>572</v>
      </c>
      <c r="C988" s="0" t="s">
        <v>565</v>
      </c>
      <c r="D988" s="0" t="n">
        <v>1</v>
      </c>
      <c r="E988" s="0" t="n">
        <v>9</v>
      </c>
      <c r="F988" s="0" t="n">
        <v>5</v>
      </c>
      <c r="G988" s="0" t="n">
        <v>10</v>
      </c>
      <c r="H988" s="0" t="n">
        <v>15</v>
      </c>
    </row>
    <row r="989" customFormat="false" ht="15" hidden="false" customHeight="false" outlineLevel="0" collapsed="false">
      <c r="A989" s="0" t="s">
        <v>224</v>
      </c>
      <c r="B989" s="0" t="s">
        <v>573</v>
      </c>
      <c r="C989" s="0" t="s">
        <v>85</v>
      </c>
      <c r="D989" s="0" t="n">
        <v>5</v>
      </c>
      <c r="E989" s="0" t="n">
        <v>13</v>
      </c>
      <c r="F989" s="0" t="n">
        <v>0</v>
      </c>
      <c r="G989" s="0" t="n">
        <v>18</v>
      </c>
      <c r="H989" s="0" t="n">
        <v>18</v>
      </c>
    </row>
    <row r="990" customFormat="false" ht="15" hidden="false" customHeight="false" outlineLevel="0" collapsed="false">
      <c r="A990" s="0" t="s">
        <v>224</v>
      </c>
      <c r="B990" s="0" t="s">
        <v>577</v>
      </c>
      <c r="C990" s="0" t="s">
        <v>571</v>
      </c>
      <c r="D990" s="0" t="n">
        <v>4</v>
      </c>
      <c r="E990" s="0" t="n">
        <v>9</v>
      </c>
      <c r="F990" s="0" t="n">
        <v>0</v>
      </c>
      <c r="G990" s="0" t="n">
        <v>13</v>
      </c>
      <c r="H990" s="0" t="n">
        <v>13</v>
      </c>
    </row>
    <row r="991" customFormat="false" ht="15" hidden="false" customHeight="false" outlineLevel="0" collapsed="false">
      <c r="A991" s="0" t="s">
        <v>224</v>
      </c>
      <c r="B991" s="0" t="s">
        <v>579</v>
      </c>
      <c r="C991" s="0" t="s">
        <v>568</v>
      </c>
      <c r="D991" s="0" t="n">
        <v>14</v>
      </c>
      <c r="E991" s="0" t="n">
        <v>9</v>
      </c>
      <c r="F991" s="0" t="n">
        <v>0</v>
      </c>
      <c r="G991" s="0" t="n">
        <v>23</v>
      </c>
      <c r="H991" s="0" t="n">
        <v>23</v>
      </c>
    </row>
    <row r="992" customFormat="false" ht="15" hidden="false" customHeight="false" outlineLevel="0" collapsed="false">
      <c r="A992" s="0" t="s">
        <v>227</v>
      </c>
      <c r="B992" s="0" t="s">
        <v>559</v>
      </c>
      <c r="C992" s="0" t="s">
        <v>79</v>
      </c>
      <c r="D992" s="0" t="n">
        <v>12</v>
      </c>
      <c r="E992" s="0" t="n">
        <v>16</v>
      </c>
      <c r="F992" s="0" t="n">
        <v>0</v>
      </c>
      <c r="G992" s="0" t="n">
        <v>28</v>
      </c>
      <c r="H992" s="0" t="n">
        <v>28</v>
      </c>
    </row>
    <row r="993" customFormat="false" ht="15" hidden="false" customHeight="false" outlineLevel="0" collapsed="false">
      <c r="A993" s="0" t="s">
        <v>227</v>
      </c>
      <c r="B993" s="0" t="s">
        <v>562</v>
      </c>
      <c r="C993" s="0" t="s">
        <v>560</v>
      </c>
      <c r="D993" s="0" t="n">
        <v>14</v>
      </c>
      <c r="E993" s="0" t="n">
        <v>9</v>
      </c>
      <c r="F993" s="0" t="n">
        <v>0</v>
      </c>
      <c r="G993" s="0" t="n">
        <v>23</v>
      </c>
      <c r="H993" s="0" t="n">
        <v>23</v>
      </c>
    </row>
    <row r="994" customFormat="false" ht="15" hidden="false" customHeight="false" outlineLevel="0" collapsed="false">
      <c r="A994" s="0" t="s">
        <v>227</v>
      </c>
      <c r="B994" s="0" t="s">
        <v>700</v>
      </c>
      <c r="C994" s="0" t="s">
        <v>90</v>
      </c>
      <c r="D994" s="0" t="n">
        <v>6</v>
      </c>
      <c r="E994" s="0" t="n">
        <v>7</v>
      </c>
      <c r="F994" s="0" t="n">
        <v>7</v>
      </c>
      <c r="G994" s="0" t="n">
        <v>13</v>
      </c>
      <c r="H994" s="0" t="n">
        <v>20</v>
      </c>
    </row>
    <row r="995" customFormat="false" ht="15" hidden="false" customHeight="false" outlineLevel="0" collapsed="false">
      <c r="A995" s="0" t="s">
        <v>227</v>
      </c>
      <c r="B995" s="0" t="s">
        <v>701</v>
      </c>
      <c r="C995" s="0" t="s">
        <v>90</v>
      </c>
      <c r="D995" s="0" t="n">
        <v>12</v>
      </c>
      <c r="E995" s="0" t="n">
        <v>6</v>
      </c>
      <c r="F995" s="0" t="n">
        <v>0</v>
      </c>
      <c r="G995" s="0" t="n">
        <v>18</v>
      </c>
      <c r="H995" s="0" t="n">
        <v>18</v>
      </c>
    </row>
    <row r="996" customFormat="false" ht="15" hidden="false" customHeight="false" outlineLevel="0" collapsed="false">
      <c r="A996" s="0" t="s">
        <v>227</v>
      </c>
      <c r="B996" s="0" t="s">
        <v>564</v>
      </c>
      <c r="C996" s="0" t="s">
        <v>102</v>
      </c>
      <c r="D996" s="0" t="n">
        <v>3</v>
      </c>
      <c r="E996" s="0" t="n">
        <v>8</v>
      </c>
      <c r="F996" s="0" t="n">
        <v>12</v>
      </c>
      <c r="G996" s="0" t="n">
        <v>11</v>
      </c>
      <c r="H996" s="0" t="n">
        <v>23</v>
      </c>
    </row>
    <row r="997" customFormat="false" ht="15" hidden="false" customHeight="false" outlineLevel="0" collapsed="false">
      <c r="A997" s="0" t="s">
        <v>227</v>
      </c>
      <c r="B997" s="0" t="s">
        <v>564</v>
      </c>
      <c r="C997" s="0" t="s">
        <v>596</v>
      </c>
      <c r="D997" s="0" t="n">
        <v>6</v>
      </c>
      <c r="E997" s="0" t="n">
        <v>8</v>
      </c>
      <c r="F997" s="0" t="n">
        <v>8</v>
      </c>
      <c r="G997" s="0" t="n">
        <v>14</v>
      </c>
      <c r="H997" s="0" t="n">
        <v>22</v>
      </c>
    </row>
    <row r="998" customFormat="false" ht="15" hidden="false" customHeight="false" outlineLevel="0" collapsed="false">
      <c r="A998" s="0" t="s">
        <v>227</v>
      </c>
      <c r="B998" s="0" t="s">
        <v>566</v>
      </c>
      <c r="C998" s="0" t="s">
        <v>90</v>
      </c>
      <c r="D998" s="0" t="n">
        <v>5</v>
      </c>
      <c r="E998" s="0" t="n">
        <v>0</v>
      </c>
      <c r="F998" s="0" t="n">
        <v>7</v>
      </c>
      <c r="G998" s="0" t="n">
        <v>5</v>
      </c>
      <c r="H998" s="0" t="n">
        <v>12</v>
      </c>
    </row>
    <row r="999" customFormat="false" ht="15" hidden="false" customHeight="false" outlineLevel="0" collapsed="false">
      <c r="A999" s="0" t="s">
        <v>227</v>
      </c>
      <c r="B999" s="0" t="s">
        <v>614</v>
      </c>
      <c r="C999" s="0" t="s">
        <v>103</v>
      </c>
      <c r="D999" s="0" t="n">
        <v>10</v>
      </c>
      <c r="E999" s="0" t="n">
        <v>10</v>
      </c>
      <c r="F999" s="0" t="n">
        <v>0</v>
      </c>
      <c r="G999" s="0" t="n">
        <v>20</v>
      </c>
      <c r="H999" s="0" t="n">
        <v>20</v>
      </c>
    </row>
    <row r="1000" customFormat="false" ht="15" hidden="false" customHeight="false" outlineLevel="0" collapsed="false">
      <c r="A1000" s="0" t="s">
        <v>227</v>
      </c>
      <c r="B1000" s="0" t="s">
        <v>569</v>
      </c>
      <c r="C1000" s="0" t="s">
        <v>623</v>
      </c>
      <c r="D1000" s="0" t="n">
        <v>6</v>
      </c>
      <c r="E1000" s="0" t="n">
        <v>8</v>
      </c>
      <c r="F1000" s="0" t="n">
        <v>0</v>
      </c>
      <c r="G1000" s="0" t="n">
        <v>14</v>
      </c>
      <c r="H1000" s="0" t="n">
        <v>14</v>
      </c>
    </row>
    <row r="1001" customFormat="false" ht="15" hidden="false" customHeight="false" outlineLevel="0" collapsed="false">
      <c r="A1001" s="0" t="s">
        <v>227</v>
      </c>
      <c r="B1001" s="0" t="s">
        <v>734</v>
      </c>
      <c r="C1001" s="0" t="s">
        <v>571</v>
      </c>
      <c r="D1001" s="0" t="n">
        <v>3</v>
      </c>
      <c r="E1001" s="0" t="n">
        <v>5</v>
      </c>
      <c r="F1001" s="0" t="n">
        <v>7</v>
      </c>
      <c r="G1001" s="0" t="n">
        <v>8</v>
      </c>
      <c r="H1001" s="0" t="n">
        <v>15</v>
      </c>
    </row>
    <row r="1002" customFormat="false" ht="15" hidden="false" customHeight="false" outlineLevel="0" collapsed="false">
      <c r="A1002" s="0" t="s">
        <v>227</v>
      </c>
      <c r="B1002" s="0" t="s">
        <v>684</v>
      </c>
      <c r="C1002" s="0" t="s">
        <v>596</v>
      </c>
      <c r="D1002" s="0" t="n">
        <v>6</v>
      </c>
      <c r="E1002" s="0" t="n">
        <v>13</v>
      </c>
      <c r="F1002" s="0" t="n">
        <v>0</v>
      </c>
      <c r="G1002" s="0" t="n">
        <v>19</v>
      </c>
      <c r="H1002" s="0" t="n">
        <v>19</v>
      </c>
    </row>
    <row r="1003" customFormat="false" ht="15" hidden="false" customHeight="false" outlineLevel="0" collapsed="false">
      <c r="A1003" s="0" t="s">
        <v>227</v>
      </c>
      <c r="B1003" s="0" t="s">
        <v>572</v>
      </c>
      <c r="C1003" s="0" t="s">
        <v>565</v>
      </c>
      <c r="D1003" s="0" t="n">
        <v>4</v>
      </c>
      <c r="E1003" s="0" t="n">
        <v>8</v>
      </c>
      <c r="F1003" s="0" t="n">
        <v>6</v>
      </c>
      <c r="G1003" s="0" t="n">
        <v>12</v>
      </c>
      <c r="H1003" s="0" t="n">
        <v>18</v>
      </c>
    </row>
    <row r="1004" customFormat="false" ht="15" hidden="false" customHeight="false" outlineLevel="0" collapsed="false">
      <c r="A1004" s="0" t="s">
        <v>227</v>
      </c>
      <c r="B1004" s="0" t="s">
        <v>573</v>
      </c>
      <c r="C1004" s="0" t="s">
        <v>85</v>
      </c>
      <c r="D1004" s="0" t="n">
        <v>10</v>
      </c>
      <c r="E1004" s="0" t="n">
        <v>12</v>
      </c>
      <c r="F1004" s="0" t="n">
        <v>0</v>
      </c>
      <c r="G1004" s="0" t="n">
        <v>22</v>
      </c>
      <c r="H1004" s="0" t="n">
        <v>22</v>
      </c>
    </row>
    <row r="1005" customFormat="false" ht="15" hidden="false" customHeight="false" outlineLevel="0" collapsed="false">
      <c r="A1005" s="0" t="s">
        <v>227</v>
      </c>
      <c r="B1005" s="0" t="s">
        <v>577</v>
      </c>
      <c r="C1005" s="0" t="s">
        <v>571</v>
      </c>
      <c r="D1005" s="0" t="n">
        <v>5</v>
      </c>
      <c r="E1005" s="0" t="n">
        <v>15</v>
      </c>
      <c r="F1005" s="0" t="n">
        <v>0</v>
      </c>
      <c r="G1005" s="0" t="n">
        <v>20</v>
      </c>
      <c r="H1005" s="0" t="n">
        <v>20</v>
      </c>
    </row>
    <row r="1006" customFormat="false" ht="15" hidden="false" customHeight="false" outlineLevel="0" collapsed="false">
      <c r="A1006" s="0" t="s">
        <v>227</v>
      </c>
      <c r="B1006" s="0" t="s">
        <v>579</v>
      </c>
      <c r="C1006" s="0" t="s">
        <v>568</v>
      </c>
      <c r="D1006" s="0" t="n">
        <v>8</v>
      </c>
      <c r="E1006" s="0" t="n">
        <v>14</v>
      </c>
      <c r="F1006" s="0" t="n">
        <v>0</v>
      </c>
      <c r="G1006" s="0" t="n">
        <v>22</v>
      </c>
      <c r="H1006" s="0" t="n">
        <v>22</v>
      </c>
    </row>
    <row r="1007" customFormat="false" ht="15" hidden="false" customHeight="false" outlineLevel="0" collapsed="false">
      <c r="A1007" s="0" t="s">
        <v>229</v>
      </c>
      <c r="B1007" s="0" t="s">
        <v>559</v>
      </c>
      <c r="C1007" s="0" t="s">
        <v>79</v>
      </c>
      <c r="D1007" s="0" t="n">
        <v>10</v>
      </c>
      <c r="E1007" s="0" t="n">
        <v>11</v>
      </c>
      <c r="F1007" s="0" t="n">
        <v>0</v>
      </c>
      <c r="G1007" s="0" t="n">
        <v>21</v>
      </c>
      <c r="H1007" s="0" t="n">
        <v>21</v>
      </c>
    </row>
    <row r="1008" customFormat="false" ht="15" hidden="false" customHeight="false" outlineLevel="0" collapsed="false">
      <c r="A1008" s="0" t="s">
        <v>229</v>
      </c>
      <c r="B1008" s="0" t="s">
        <v>562</v>
      </c>
      <c r="C1008" s="0" t="s">
        <v>560</v>
      </c>
      <c r="D1008" s="0" t="n">
        <v>3</v>
      </c>
      <c r="E1008" s="0" t="n">
        <v>5</v>
      </c>
      <c r="F1008" s="0" t="n">
        <v>0</v>
      </c>
      <c r="G1008" s="0" t="n">
        <v>8</v>
      </c>
      <c r="H1008" s="0" t="n">
        <v>8</v>
      </c>
    </row>
    <row r="1009" customFormat="false" ht="15" hidden="false" customHeight="false" outlineLevel="0" collapsed="false">
      <c r="A1009" s="0" t="s">
        <v>229</v>
      </c>
      <c r="B1009" s="0" t="s">
        <v>700</v>
      </c>
      <c r="C1009" s="0" t="s">
        <v>90</v>
      </c>
      <c r="D1009" s="0" t="n">
        <v>1</v>
      </c>
      <c r="E1009" s="0" t="n">
        <v>2</v>
      </c>
      <c r="F1009" s="0" t="n">
        <v>1</v>
      </c>
      <c r="G1009" s="0" t="n">
        <v>3</v>
      </c>
      <c r="H1009" s="0" t="n">
        <v>4</v>
      </c>
    </row>
    <row r="1010" customFormat="false" ht="15" hidden="false" customHeight="false" outlineLevel="0" collapsed="false">
      <c r="A1010" s="0" t="s">
        <v>229</v>
      </c>
      <c r="B1010" s="0" t="s">
        <v>701</v>
      </c>
      <c r="C1010" s="0" t="s">
        <v>90</v>
      </c>
      <c r="D1010" s="0" t="n">
        <v>3</v>
      </c>
      <c r="E1010" s="0" t="n">
        <v>2</v>
      </c>
      <c r="F1010" s="0" t="n">
        <v>0</v>
      </c>
      <c r="G1010" s="0" t="n">
        <v>5</v>
      </c>
      <c r="H1010" s="0" t="n">
        <v>5</v>
      </c>
    </row>
    <row r="1011" customFormat="false" ht="15" hidden="false" customHeight="false" outlineLevel="0" collapsed="false">
      <c r="A1011" s="0" t="s">
        <v>229</v>
      </c>
      <c r="B1011" s="0" t="s">
        <v>564</v>
      </c>
      <c r="C1011" s="0" t="s">
        <v>102</v>
      </c>
      <c r="D1011" s="0" t="n">
        <v>2</v>
      </c>
      <c r="E1011" s="0" t="n">
        <v>4</v>
      </c>
      <c r="F1011" s="0" t="n">
        <v>6</v>
      </c>
      <c r="G1011" s="0" t="n">
        <v>6</v>
      </c>
      <c r="H1011" s="0" t="n">
        <v>12</v>
      </c>
    </row>
    <row r="1012" customFormat="false" ht="15" hidden="false" customHeight="false" outlineLevel="0" collapsed="false">
      <c r="A1012" s="0" t="s">
        <v>229</v>
      </c>
      <c r="B1012" s="0" t="s">
        <v>564</v>
      </c>
      <c r="C1012" s="0" t="s">
        <v>596</v>
      </c>
      <c r="D1012" s="0" t="n">
        <v>6</v>
      </c>
      <c r="E1012" s="0" t="n">
        <v>0</v>
      </c>
      <c r="F1012" s="0" t="n">
        <v>4</v>
      </c>
      <c r="G1012" s="0" t="n">
        <v>6</v>
      </c>
      <c r="H1012" s="0" t="n">
        <v>10</v>
      </c>
    </row>
    <row r="1013" customFormat="false" ht="15" hidden="false" customHeight="false" outlineLevel="0" collapsed="false">
      <c r="A1013" s="0" t="s">
        <v>229</v>
      </c>
      <c r="B1013" s="0" t="s">
        <v>566</v>
      </c>
      <c r="C1013" s="0" t="s">
        <v>90</v>
      </c>
      <c r="D1013" s="0" t="n">
        <v>1</v>
      </c>
      <c r="E1013" s="0" t="n">
        <v>1</v>
      </c>
      <c r="F1013" s="0" t="n">
        <v>4</v>
      </c>
      <c r="G1013" s="0" t="n">
        <v>2</v>
      </c>
      <c r="H1013" s="0" t="n">
        <v>6</v>
      </c>
    </row>
    <row r="1014" customFormat="false" ht="15" hidden="false" customHeight="false" outlineLevel="0" collapsed="false">
      <c r="A1014" s="0" t="s">
        <v>229</v>
      </c>
      <c r="B1014" s="0" t="s">
        <v>614</v>
      </c>
      <c r="C1014" s="0" t="s">
        <v>103</v>
      </c>
      <c r="D1014" s="0" t="n">
        <v>2</v>
      </c>
      <c r="E1014" s="0" t="n">
        <v>3</v>
      </c>
      <c r="F1014" s="0" t="n">
        <v>0</v>
      </c>
      <c r="G1014" s="0" t="n">
        <v>5</v>
      </c>
      <c r="H1014" s="0" t="n">
        <v>5</v>
      </c>
    </row>
    <row r="1015" customFormat="false" ht="15" hidden="false" customHeight="false" outlineLevel="0" collapsed="false">
      <c r="A1015" s="0" t="s">
        <v>229</v>
      </c>
      <c r="B1015" s="0" t="s">
        <v>569</v>
      </c>
      <c r="C1015" s="0" t="s">
        <v>623</v>
      </c>
      <c r="D1015" s="0" t="n">
        <v>0</v>
      </c>
      <c r="E1015" s="0" t="n">
        <v>7</v>
      </c>
      <c r="F1015" s="0" t="n">
        <v>0</v>
      </c>
      <c r="G1015" s="0" t="n">
        <v>7</v>
      </c>
      <c r="H1015" s="0" t="n">
        <v>7</v>
      </c>
    </row>
    <row r="1016" customFormat="false" ht="15" hidden="false" customHeight="false" outlineLevel="0" collapsed="false">
      <c r="A1016" s="0" t="s">
        <v>229</v>
      </c>
      <c r="B1016" s="0" t="s">
        <v>734</v>
      </c>
      <c r="C1016" s="0" t="s">
        <v>571</v>
      </c>
      <c r="D1016" s="0" t="n">
        <v>4</v>
      </c>
      <c r="E1016" s="0" t="n">
        <v>4</v>
      </c>
      <c r="F1016" s="0" t="n">
        <v>2</v>
      </c>
      <c r="G1016" s="0" t="n">
        <v>8</v>
      </c>
      <c r="H1016" s="0" t="n">
        <v>10</v>
      </c>
    </row>
    <row r="1017" customFormat="false" ht="15" hidden="false" customHeight="false" outlineLevel="0" collapsed="false">
      <c r="A1017" s="0" t="s">
        <v>229</v>
      </c>
      <c r="B1017" s="0" t="s">
        <v>684</v>
      </c>
      <c r="C1017" s="0" t="s">
        <v>596</v>
      </c>
      <c r="D1017" s="0" t="n">
        <v>5</v>
      </c>
      <c r="E1017" s="0" t="n">
        <v>2</v>
      </c>
      <c r="F1017" s="0" t="n">
        <v>0</v>
      </c>
      <c r="G1017" s="0" t="n">
        <v>7</v>
      </c>
      <c r="H1017" s="0" t="n">
        <v>7</v>
      </c>
    </row>
    <row r="1018" customFormat="false" ht="15" hidden="false" customHeight="false" outlineLevel="0" collapsed="false">
      <c r="A1018" s="0" t="s">
        <v>229</v>
      </c>
      <c r="B1018" s="0" t="s">
        <v>572</v>
      </c>
      <c r="C1018" s="0" t="s">
        <v>565</v>
      </c>
      <c r="D1018" s="0" t="n">
        <v>6</v>
      </c>
      <c r="E1018" s="0" t="n">
        <v>7</v>
      </c>
      <c r="F1018" s="0" t="n">
        <v>2</v>
      </c>
      <c r="G1018" s="0" t="n">
        <v>13</v>
      </c>
      <c r="H1018" s="0" t="n">
        <v>15</v>
      </c>
    </row>
    <row r="1019" customFormat="false" ht="15" hidden="false" customHeight="false" outlineLevel="0" collapsed="false">
      <c r="A1019" s="0" t="s">
        <v>229</v>
      </c>
      <c r="B1019" s="0" t="s">
        <v>573</v>
      </c>
      <c r="C1019" s="0" t="s">
        <v>85</v>
      </c>
      <c r="D1019" s="0" t="n">
        <v>8</v>
      </c>
      <c r="E1019" s="0" t="n">
        <v>6</v>
      </c>
      <c r="F1019" s="0" t="n">
        <v>0</v>
      </c>
      <c r="G1019" s="0" t="n">
        <v>14</v>
      </c>
      <c r="H1019" s="0" t="n">
        <v>14</v>
      </c>
    </row>
    <row r="1020" customFormat="false" ht="15" hidden="false" customHeight="false" outlineLevel="0" collapsed="false">
      <c r="A1020" s="0" t="s">
        <v>229</v>
      </c>
      <c r="B1020" s="0" t="s">
        <v>577</v>
      </c>
      <c r="C1020" s="0" t="s">
        <v>571</v>
      </c>
      <c r="D1020" s="0" t="n">
        <v>3</v>
      </c>
      <c r="E1020" s="0" t="n">
        <v>5</v>
      </c>
      <c r="F1020" s="0" t="n">
        <v>0</v>
      </c>
      <c r="G1020" s="0" t="n">
        <v>8</v>
      </c>
      <c r="H1020" s="0" t="n">
        <v>8</v>
      </c>
    </row>
    <row r="1021" customFormat="false" ht="15" hidden="false" customHeight="false" outlineLevel="0" collapsed="false">
      <c r="A1021" s="0" t="s">
        <v>229</v>
      </c>
      <c r="B1021" s="0" t="s">
        <v>579</v>
      </c>
      <c r="C1021" s="0" t="s">
        <v>568</v>
      </c>
      <c r="D1021" s="0" t="n">
        <v>8</v>
      </c>
      <c r="E1021" s="0" t="n">
        <v>1</v>
      </c>
      <c r="F1021" s="0" t="n">
        <v>0</v>
      </c>
      <c r="G1021" s="0" t="n">
        <v>9</v>
      </c>
      <c r="H1021" s="0" t="n">
        <v>9</v>
      </c>
    </row>
    <row r="1022" customFormat="false" ht="15" hidden="false" customHeight="false" outlineLevel="0" collapsed="false">
      <c r="A1022" s="0" t="s">
        <v>231</v>
      </c>
      <c r="B1022" s="0" t="s">
        <v>559</v>
      </c>
      <c r="C1022" s="0" t="s">
        <v>79</v>
      </c>
      <c r="D1022" s="0" t="n">
        <v>2</v>
      </c>
      <c r="E1022" s="0" t="n">
        <v>4</v>
      </c>
      <c r="F1022" s="0" t="n">
        <v>0</v>
      </c>
      <c r="G1022" s="0" t="n">
        <v>6</v>
      </c>
      <c r="H1022" s="0" t="n">
        <v>6</v>
      </c>
    </row>
    <row r="1023" customFormat="false" ht="15" hidden="false" customHeight="false" outlineLevel="0" collapsed="false">
      <c r="A1023" s="0" t="s">
        <v>231</v>
      </c>
      <c r="B1023" s="0" t="s">
        <v>562</v>
      </c>
      <c r="C1023" s="0" t="s">
        <v>560</v>
      </c>
      <c r="D1023" s="0" t="n">
        <v>5</v>
      </c>
      <c r="E1023" s="0" t="n">
        <v>3</v>
      </c>
      <c r="F1023" s="0" t="n">
        <v>0</v>
      </c>
      <c r="G1023" s="0" t="n">
        <v>8</v>
      </c>
      <c r="H1023" s="0" t="n">
        <v>8</v>
      </c>
    </row>
    <row r="1024" customFormat="false" ht="15" hidden="false" customHeight="false" outlineLevel="0" collapsed="false">
      <c r="A1024" s="0" t="s">
        <v>231</v>
      </c>
      <c r="B1024" s="0" t="s">
        <v>700</v>
      </c>
      <c r="C1024" s="0" t="s">
        <v>90</v>
      </c>
      <c r="D1024" s="0" t="n">
        <v>1</v>
      </c>
      <c r="E1024" s="0" t="n">
        <v>4</v>
      </c>
      <c r="F1024" s="0" t="n">
        <v>3</v>
      </c>
      <c r="G1024" s="0" t="n">
        <v>5</v>
      </c>
      <c r="H1024" s="0" t="n">
        <v>8</v>
      </c>
    </row>
    <row r="1025" customFormat="false" ht="15" hidden="false" customHeight="false" outlineLevel="0" collapsed="false">
      <c r="A1025" s="0" t="s">
        <v>231</v>
      </c>
      <c r="B1025" s="0" t="s">
        <v>701</v>
      </c>
      <c r="C1025" s="0" t="s">
        <v>90</v>
      </c>
      <c r="D1025" s="0" t="n">
        <v>5</v>
      </c>
      <c r="E1025" s="0" t="n">
        <v>9</v>
      </c>
      <c r="F1025" s="0" t="n">
        <v>0</v>
      </c>
      <c r="G1025" s="0" t="n">
        <v>14</v>
      </c>
      <c r="H1025" s="0" t="n">
        <v>14</v>
      </c>
    </row>
    <row r="1026" customFormat="false" ht="15" hidden="false" customHeight="false" outlineLevel="0" collapsed="false">
      <c r="A1026" s="0" t="s">
        <v>231</v>
      </c>
      <c r="B1026" s="0" t="s">
        <v>564</v>
      </c>
      <c r="C1026" s="0" t="s">
        <v>102</v>
      </c>
      <c r="D1026" s="0" t="n">
        <v>6</v>
      </c>
      <c r="E1026" s="0" t="n">
        <v>6</v>
      </c>
      <c r="F1026" s="0" t="n">
        <v>3</v>
      </c>
      <c r="G1026" s="0" t="n">
        <v>12</v>
      </c>
      <c r="H1026" s="0" t="n">
        <v>15</v>
      </c>
    </row>
    <row r="1027" customFormat="false" ht="15" hidden="false" customHeight="false" outlineLevel="0" collapsed="false">
      <c r="A1027" s="0" t="s">
        <v>231</v>
      </c>
      <c r="B1027" s="0" t="s">
        <v>564</v>
      </c>
      <c r="C1027" s="0" t="s">
        <v>596</v>
      </c>
      <c r="D1027" s="0" t="n">
        <v>6</v>
      </c>
      <c r="E1027" s="0" t="n">
        <v>4</v>
      </c>
      <c r="F1027" s="0" t="n">
        <v>2</v>
      </c>
      <c r="G1027" s="0" t="n">
        <v>10</v>
      </c>
      <c r="H1027" s="0" t="n">
        <v>12</v>
      </c>
    </row>
    <row r="1028" customFormat="false" ht="15" hidden="false" customHeight="false" outlineLevel="0" collapsed="false">
      <c r="A1028" s="0" t="s">
        <v>231</v>
      </c>
      <c r="B1028" s="0" t="s">
        <v>566</v>
      </c>
      <c r="C1028" s="0" t="s">
        <v>90</v>
      </c>
      <c r="D1028" s="0" t="n">
        <v>3</v>
      </c>
      <c r="E1028" s="0" t="n">
        <v>5</v>
      </c>
      <c r="F1028" s="0" t="n">
        <v>1</v>
      </c>
      <c r="G1028" s="0" t="n">
        <v>8</v>
      </c>
      <c r="H1028" s="0" t="n">
        <v>9</v>
      </c>
    </row>
    <row r="1029" customFormat="false" ht="15" hidden="false" customHeight="false" outlineLevel="0" collapsed="false">
      <c r="A1029" s="0" t="s">
        <v>231</v>
      </c>
      <c r="B1029" s="0" t="s">
        <v>614</v>
      </c>
      <c r="C1029" s="0" t="s">
        <v>103</v>
      </c>
      <c r="D1029" s="0" t="n">
        <v>5</v>
      </c>
      <c r="E1029" s="0" t="n">
        <v>1</v>
      </c>
      <c r="F1029" s="0" t="n">
        <v>0</v>
      </c>
      <c r="G1029" s="0" t="n">
        <v>6</v>
      </c>
      <c r="H1029" s="0" t="n">
        <v>6</v>
      </c>
    </row>
    <row r="1030" customFormat="false" ht="15" hidden="false" customHeight="false" outlineLevel="0" collapsed="false">
      <c r="A1030" s="0" t="s">
        <v>231</v>
      </c>
      <c r="B1030" s="0" t="s">
        <v>569</v>
      </c>
      <c r="C1030" s="0" t="s">
        <v>623</v>
      </c>
      <c r="D1030" s="0" t="n">
        <v>4</v>
      </c>
      <c r="E1030" s="0" t="n">
        <v>5</v>
      </c>
      <c r="F1030" s="0" t="n">
        <v>0</v>
      </c>
      <c r="G1030" s="0" t="n">
        <v>9</v>
      </c>
      <c r="H1030" s="0" t="n">
        <v>9</v>
      </c>
    </row>
    <row r="1031" customFormat="false" ht="15" hidden="false" customHeight="false" outlineLevel="0" collapsed="false">
      <c r="A1031" s="0" t="s">
        <v>231</v>
      </c>
      <c r="B1031" s="0" t="s">
        <v>734</v>
      </c>
      <c r="C1031" s="0" t="s">
        <v>571</v>
      </c>
      <c r="D1031" s="0" t="n">
        <v>4</v>
      </c>
      <c r="E1031" s="0" t="n">
        <v>4</v>
      </c>
      <c r="F1031" s="0" t="n">
        <v>2</v>
      </c>
      <c r="G1031" s="0" t="n">
        <v>8</v>
      </c>
      <c r="H1031" s="0" t="n">
        <v>10</v>
      </c>
    </row>
    <row r="1032" customFormat="false" ht="15" hidden="false" customHeight="false" outlineLevel="0" collapsed="false">
      <c r="A1032" s="0" t="s">
        <v>231</v>
      </c>
      <c r="B1032" s="0" t="s">
        <v>684</v>
      </c>
      <c r="C1032" s="0" t="s">
        <v>596</v>
      </c>
      <c r="D1032" s="0" t="n">
        <v>2</v>
      </c>
      <c r="E1032" s="0" t="n">
        <v>5</v>
      </c>
      <c r="F1032" s="0" t="n">
        <v>0</v>
      </c>
      <c r="G1032" s="0" t="n">
        <v>7</v>
      </c>
      <c r="H1032" s="0" t="n">
        <v>7</v>
      </c>
    </row>
    <row r="1033" customFormat="false" ht="15" hidden="false" customHeight="false" outlineLevel="0" collapsed="false">
      <c r="A1033" s="0" t="s">
        <v>231</v>
      </c>
      <c r="B1033" s="0" t="s">
        <v>572</v>
      </c>
      <c r="C1033" s="0" t="s">
        <v>565</v>
      </c>
      <c r="D1033" s="0" t="n">
        <v>1</v>
      </c>
      <c r="E1033" s="0" t="n">
        <v>4</v>
      </c>
      <c r="F1033" s="0" t="n">
        <v>5</v>
      </c>
      <c r="G1033" s="0" t="n">
        <v>5</v>
      </c>
      <c r="H1033" s="0" t="n">
        <v>10</v>
      </c>
    </row>
    <row r="1034" customFormat="false" ht="15" hidden="false" customHeight="false" outlineLevel="0" collapsed="false">
      <c r="A1034" s="0" t="s">
        <v>231</v>
      </c>
      <c r="B1034" s="0" t="s">
        <v>573</v>
      </c>
      <c r="C1034" s="0" t="s">
        <v>85</v>
      </c>
      <c r="D1034" s="0" t="n">
        <v>3</v>
      </c>
      <c r="E1034" s="0" t="n">
        <v>2</v>
      </c>
      <c r="F1034" s="0" t="n">
        <v>0</v>
      </c>
      <c r="G1034" s="0" t="n">
        <v>5</v>
      </c>
      <c r="H1034" s="0" t="n">
        <v>5</v>
      </c>
    </row>
    <row r="1035" customFormat="false" ht="15" hidden="false" customHeight="false" outlineLevel="0" collapsed="false">
      <c r="A1035" s="0" t="s">
        <v>231</v>
      </c>
      <c r="B1035" s="0" t="s">
        <v>577</v>
      </c>
      <c r="C1035" s="0" t="s">
        <v>571</v>
      </c>
      <c r="D1035" s="0" t="n">
        <v>5</v>
      </c>
      <c r="E1035" s="0" t="n">
        <v>5</v>
      </c>
      <c r="F1035" s="0" t="n">
        <v>0</v>
      </c>
      <c r="G1035" s="0" t="n">
        <v>10</v>
      </c>
      <c r="H1035" s="0" t="n">
        <v>10</v>
      </c>
    </row>
    <row r="1036" customFormat="false" ht="15" hidden="false" customHeight="false" outlineLevel="0" collapsed="false">
      <c r="A1036" s="0" t="s">
        <v>231</v>
      </c>
      <c r="B1036" s="0" t="s">
        <v>579</v>
      </c>
      <c r="C1036" s="0" t="s">
        <v>568</v>
      </c>
      <c r="D1036" s="0" t="n">
        <v>6</v>
      </c>
      <c r="E1036" s="0" t="n">
        <v>3</v>
      </c>
      <c r="F1036" s="0" t="n">
        <v>0</v>
      </c>
      <c r="G1036" s="0" t="n">
        <v>9</v>
      </c>
      <c r="H1036" s="0" t="n">
        <v>9</v>
      </c>
    </row>
    <row r="1037" customFormat="false" ht="15" hidden="false" customHeight="false" outlineLevel="0" collapsed="false">
      <c r="A1037" s="0" t="s">
        <v>234</v>
      </c>
      <c r="B1037" s="0" t="s">
        <v>559</v>
      </c>
      <c r="C1037" s="0" t="s">
        <v>79</v>
      </c>
      <c r="D1037" s="0" t="n">
        <v>16</v>
      </c>
      <c r="E1037" s="0" t="n">
        <v>22</v>
      </c>
      <c r="F1037" s="0" t="n">
        <v>0</v>
      </c>
      <c r="G1037" s="0" t="n">
        <v>38</v>
      </c>
      <c r="H1037" s="0" t="n">
        <v>38</v>
      </c>
    </row>
    <row r="1038" customFormat="false" ht="15" hidden="false" customHeight="false" outlineLevel="0" collapsed="false">
      <c r="A1038" s="0" t="s">
        <v>234</v>
      </c>
      <c r="B1038" s="0" t="s">
        <v>562</v>
      </c>
      <c r="C1038" s="0" t="s">
        <v>560</v>
      </c>
      <c r="D1038" s="0" t="n">
        <v>6</v>
      </c>
      <c r="E1038" s="0" t="n">
        <v>13</v>
      </c>
      <c r="F1038" s="0" t="n">
        <v>0</v>
      </c>
      <c r="G1038" s="0" t="n">
        <v>19</v>
      </c>
      <c r="H1038" s="0" t="n">
        <v>19</v>
      </c>
    </row>
    <row r="1039" customFormat="false" ht="15" hidden="false" customHeight="false" outlineLevel="0" collapsed="false">
      <c r="A1039" s="0" t="s">
        <v>234</v>
      </c>
      <c r="B1039" s="0" t="s">
        <v>700</v>
      </c>
      <c r="C1039" s="0" t="s">
        <v>90</v>
      </c>
      <c r="D1039" s="0" t="n">
        <v>7</v>
      </c>
      <c r="E1039" s="0" t="n">
        <v>10</v>
      </c>
      <c r="F1039" s="0" t="n">
        <v>14</v>
      </c>
      <c r="G1039" s="0" t="n">
        <v>17</v>
      </c>
      <c r="H1039" s="0" t="n">
        <v>31</v>
      </c>
    </row>
    <row r="1040" customFormat="false" ht="15" hidden="false" customHeight="false" outlineLevel="0" collapsed="false">
      <c r="A1040" s="0" t="s">
        <v>234</v>
      </c>
      <c r="B1040" s="0" t="s">
        <v>701</v>
      </c>
      <c r="C1040" s="0" t="s">
        <v>90</v>
      </c>
      <c r="D1040" s="0" t="n">
        <v>19</v>
      </c>
      <c r="E1040" s="0" t="n">
        <v>17</v>
      </c>
      <c r="F1040" s="0" t="n">
        <v>0</v>
      </c>
      <c r="G1040" s="0" t="n">
        <v>36</v>
      </c>
      <c r="H1040" s="0" t="n">
        <v>36</v>
      </c>
    </row>
    <row r="1041" customFormat="false" ht="15" hidden="false" customHeight="false" outlineLevel="0" collapsed="false">
      <c r="A1041" s="0" t="s">
        <v>234</v>
      </c>
      <c r="B1041" s="0" t="s">
        <v>564</v>
      </c>
      <c r="C1041" s="0" t="s">
        <v>102</v>
      </c>
      <c r="D1041" s="0" t="n">
        <v>6</v>
      </c>
      <c r="E1041" s="0" t="n">
        <v>5</v>
      </c>
      <c r="F1041" s="0" t="n">
        <v>21</v>
      </c>
      <c r="G1041" s="0" t="n">
        <v>11</v>
      </c>
      <c r="H1041" s="0" t="n">
        <v>32</v>
      </c>
    </row>
    <row r="1042" customFormat="false" ht="15" hidden="false" customHeight="false" outlineLevel="0" collapsed="false">
      <c r="A1042" s="0" t="s">
        <v>234</v>
      </c>
      <c r="B1042" s="0" t="s">
        <v>564</v>
      </c>
      <c r="C1042" s="0" t="s">
        <v>596</v>
      </c>
      <c r="D1042" s="0" t="n">
        <v>10</v>
      </c>
      <c r="E1042" s="0" t="n">
        <v>9</v>
      </c>
      <c r="F1042" s="0" t="n">
        <v>10</v>
      </c>
      <c r="G1042" s="0" t="n">
        <v>19</v>
      </c>
      <c r="H1042" s="0" t="n">
        <v>29</v>
      </c>
    </row>
    <row r="1043" customFormat="false" ht="15" hidden="false" customHeight="false" outlineLevel="0" collapsed="false">
      <c r="A1043" s="0" t="s">
        <v>234</v>
      </c>
      <c r="B1043" s="0" t="s">
        <v>566</v>
      </c>
      <c r="C1043" s="0" t="s">
        <v>90</v>
      </c>
      <c r="D1043" s="0" t="n">
        <v>8</v>
      </c>
      <c r="E1043" s="0" t="n">
        <v>2</v>
      </c>
      <c r="F1043" s="0" t="n">
        <v>12</v>
      </c>
      <c r="G1043" s="0" t="n">
        <v>10</v>
      </c>
      <c r="H1043" s="0" t="n">
        <v>22</v>
      </c>
    </row>
    <row r="1044" customFormat="false" ht="15" hidden="false" customHeight="false" outlineLevel="0" collapsed="false">
      <c r="A1044" s="0" t="s">
        <v>234</v>
      </c>
      <c r="B1044" s="0" t="s">
        <v>614</v>
      </c>
      <c r="C1044" s="0" t="s">
        <v>103</v>
      </c>
      <c r="D1044" s="0" t="n">
        <v>12</v>
      </c>
      <c r="E1044" s="0" t="n">
        <v>9</v>
      </c>
      <c r="F1044" s="0" t="n">
        <v>0</v>
      </c>
      <c r="G1044" s="0" t="n">
        <v>21</v>
      </c>
      <c r="H1044" s="0" t="n">
        <v>21</v>
      </c>
    </row>
    <row r="1045" customFormat="false" ht="15" hidden="false" customHeight="false" outlineLevel="0" collapsed="false">
      <c r="A1045" s="0" t="s">
        <v>234</v>
      </c>
      <c r="B1045" s="0" t="s">
        <v>569</v>
      </c>
      <c r="C1045" s="0" t="s">
        <v>623</v>
      </c>
      <c r="D1045" s="0" t="n">
        <v>10</v>
      </c>
      <c r="E1045" s="0" t="n">
        <v>12</v>
      </c>
      <c r="F1045" s="0" t="n">
        <v>0</v>
      </c>
      <c r="G1045" s="0" t="n">
        <v>22</v>
      </c>
      <c r="H1045" s="0" t="n">
        <v>22</v>
      </c>
    </row>
    <row r="1046" customFormat="false" ht="15" hidden="false" customHeight="false" outlineLevel="0" collapsed="false">
      <c r="A1046" s="0" t="s">
        <v>234</v>
      </c>
      <c r="B1046" s="0" t="s">
        <v>734</v>
      </c>
      <c r="C1046" s="0" t="s">
        <v>571</v>
      </c>
      <c r="D1046" s="0" t="n">
        <v>10</v>
      </c>
      <c r="E1046" s="0" t="n">
        <v>12</v>
      </c>
      <c r="F1046" s="0" t="n">
        <v>8</v>
      </c>
      <c r="G1046" s="0" t="n">
        <v>22</v>
      </c>
      <c r="H1046" s="0" t="n">
        <v>30</v>
      </c>
    </row>
    <row r="1047" customFormat="false" ht="15" hidden="false" customHeight="false" outlineLevel="0" collapsed="false">
      <c r="A1047" s="0" t="s">
        <v>234</v>
      </c>
      <c r="B1047" s="0" t="s">
        <v>684</v>
      </c>
      <c r="C1047" s="0" t="s">
        <v>596</v>
      </c>
      <c r="D1047" s="0" t="n">
        <v>9</v>
      </c>
      <c r="E1047" s="0" t="n">
        <v>12</v>
      </c>
      <c r="F1047" s="0" t="n">
        <v>0</v>
      </c>
      <c r="G1047" s="0" t="n">
        <v>21</v>
      </c>
      <c r="H1047" s="0" t="n">
        <v>21</v>
      </c>
    </row>
    <row r="1048" customFormat="false" ht="15" hidden="false" customHeight="false" outlineLevel="0" collapsed="false">
      <c r="A1048" s="0" t="s">
        <v>234</v>
      </c>
      <c r="B1048" s="0" t="s">
        <v>572</v>
      </c>
      <c r="C1048" s="0" t="s">
        <v>565</v>
      </c>
      <c r="D1048" s="0" t="n">
        <v>4</v>
      </c>
      <c r="E1048" s="0" t="n">
        <v>4</v>
      </c>
      <c r="F1048" s="0" t="n">
        <v>8</v>
      </c>
      <c r="G1048" s="0" t="n">
        <v>8</v>
      </c>
      <c r="H1048" s="0" t="n">
        <v>16</v>
      </c>
    </row>
    <row r="1049" customFormat="false" ht="15" hidden="false" customHeight="false" outlineLevel="0" collapsed="false">
      <c r="A1049" s="0" t="s">
        <v>234</v>
      </c>
      <c r="B1049" s="0" t="s">
        <v>573</v>
      </c>
      <c r="C1049" s="0" t="s">
        <v>85</v>
      </c>
      <c r="D1049" s="0" t="n">
        <v>8</v>
      </c>
      <c r="E1049" s="0" t="n">
        <v>18</v>
      </c>
      <c r="F1049" s="0" t="n">
        <v>0</v>
      </c>
      <c r="G1049" s="0" t="n">
        <v>26</v>
      </c>
      <c r="H1049" s="0" t="n">
        <v>26</v>
      </c>
    </row>
    <row r="1050" customFormat="false" ht="15" hidden="false" customHeight="false" outlineLevel="0" collapsed="false">
      <c r="A1050" s="0" t="s">
        <v>234</v>
      </c>
      <c r="B1050" s="0" t="s">
        <v>577</v>
      </c>
      <c r="C1050" s="0" t="s">
        <v>571</v>
      </c>
      <c r="D1050" s="0" t="n">
        <v>12</v>
      </c>
      <c r="E1050" s="0" t="n">
        <v>3</v>
      </c>
      <c r="F1050" s="0" t="n">
        <v>0</v>
      </c>
      <c r="G1050" s="0" t="n">
        <v>15</v>
      </c>
      <c r="H1050" s="0" t="n">
        <v>15</v>
      </c>
    </row>
    <row r="1051" customFormat="false" ht="15" hidden="false" customHeight="false" outlineLevel="0" collapsed="false">
      <c r="A1051" s="0" t="s">
        <v>234</v>
      </c>
      <c r="B1051" s="0" t="s">
        <v>579</v>
      </c>
      <c r="C1051" s="0" t="s">
        <v>568</v>
      </c>
      <c r="D1051" s="0" t="n">
        <v>3</v>
      </c>
      <c r="E1051" s="0" t="n">
        <v>10</v>
      </c>
      <c r="F1051" s="0" t="n">
        <v>0</v>
      </c>
      <c r="G1051" s="0" t="n">
        <v>13</v>
      </c>
      <c r="H1051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28.35" hidden="false" customHeight="false" outlineLevel="0" collapsed="false">
      <c r="A1" s="9" t="s">
        <v>62</v>
      </c>
      <c r="B1" s="9" t="s">
        <v>735</v>
      </c>
      <c r="C1" s="9" t="s">
        <v>736</v>
      </c>
      <c r="D1" s="9" t="s">
        <v>737</v>
      </c>
      <c r="E1" s="9" t="s">
        <v>738</v>
      </c>
      <c r="F1" s="9" t="s">
        <v>739</v>
      </c>
      <c r="G1" s="9" t="s">
        <v>740</v>
      </c>
    </row>
    <row r="2" customFormat="false" ht="15" hidden="false" customHeight="false" outlineLevel="0" collapsed="false">
      <c r="A2" s="0" t="s">
        <v>27</v>
      </c>
      <c r="B2" s="0" t="s">
        <v>741</v>
      </c>
      <c r="C2" s="0" t="n">
        <v>2.67</v>
      </c>
      <c r="D2" s="0" t="n">
        <v>2.67</v>
      </c>
      <c r="F2" s="0" t="n">
        <v>2</v>
      </c>
    </row>
    <row r="3" customFormat="false" ht="15" hidden="false" customHeight="false" outlineLevel="0" collapsed="false">
      <c r="A3" s="0" t="s">
        <v>27</v>
      </c>
      <c r="B3" s="0" t="s">
        <v>742</v>
      </c>
      <c r="C3" s="0" t="n">
        <v>7.36</v>
      </c>
      <c r="D3" s="0" t="n">
        <v>7.36</v>
      </c>
      <c r="F3" s="0" t="n">
        <v>5</v>
      </c>
    </row>
    <row r="4" customFormat="false" ht="15" hidden="false" customHeight="false" outlineLevel="0" collapsed="false">
      <c r="A4" s="0" t="s">
        <v>27</v>
      </c>
      <c r="B4" s="0" t="s">
        <v>743</v>
      </c>
      <c r="C4" s="0" t="n">
        <v>7.06</v>
      </c>
      <c r="D4" s="0" t="n">
        <v>7.06</v>
      </c>
      <c r="F4" s="0" t="n">
        <v>4</v>
      </c>
    </row>
    <row r="5" customFormat="false" ht="15" hidden="false" customHeight="false" outlineLevel="0" collapsed="false">
      <c r="A5" s="0" t="s">
        <v>27</v>
      </c>
      <c r="B5" s="0" t="s">
        <v>744</v>
      </c>
      <c r="C5" s="0" t="n">
        <v>3.39</v>
      </c>
      <c r="D5" s="0" t="n">
        <v>3.39</v>
      </c>
      <c r="F5" s="0" t="n">
        <v>3</v>
      </c>
      <c r="G5" s="0" t="s">
        <v>348</v>
      </c>
    </row>
    <row r="6" customFormat="false" ht="15" hidden="false" customHeight="false" outlineLevel="0" collapsed="false">
      <c r="A6" s="0" t="s">
        <v>27</v>
      </c>
      <c r="B6" s="0" t="s">
        <v>745</v>
      </c>
      <c r="C6" s="0" t="n">
        <v>6.1</v>
      </c>
      <c r="D6" s="0" t="n">
        <v>6.1</v>
      </c>
      <c r="F6" s="0" t="n">
        <v>4</v>
      </c>
    </row>
    <row r="7" customFormat="false" ht="15" hidden="false" customHeight="false" outlineLevel="0" collapsed="false">
      <c r="A7" s="0" t="s">
        <v>27</v>
      </c>
      <c r="B7" s="0" t="s">
        <v>746</v>
      </c>
      <c r="C7" s="0" t="n">
        <v>2.87</v>
      </c>
      <c r="D7" s="0" t="n">
        <v>2.87</v>
      </c>
      <c r="F7" s="0" t="n">
        <v>2</v>
      </c>
      <c r="G7" s="0" t="s">
        <v>349</v>
      </c>
    </row>
    <row r="8" customFormat="false" ht="15" hidden="false" customHeight="false" outlineLevel="0" collapsed="false">
      <c r="A8" s="0" t="s">
        <v>27</v>
      </c>
      <c r="B8" s="0" t="s">
        <v>747</v>
      </c>
      <c r="C8" s="0" t="n">
        <v>3.66</v>
      </c>
      <c r="D8" s="0" t="n">
        <v>3.66</v>
      </c>
      <c r="F8" s="0" t="n">
        <v>3</v>
      </c>
    </row>
    <row r="9" customFormat="false" ht="15" hidden="false" customHeight="false" outlineLevel="0" collapsed="false">
      <c r="A9" s="0" t="s">
        <v>27</v>
      </c>
      <c r="B9" s="0" t="s">
        <v>748</v>
      </c>
      <c r="C9" s="0" t="n">
        <v>6.3</v>
      </c>
      <c r="D9" s="0" t="n">
        <v>6.3</v>
      </c>
      <c r="F9" s="0" t="n">
        <v>4</v>
      </c>
      <c r="G9" s="0" t="s">
        <v>350</v>
      </c>
    </row>
    <row r="10" customFormat="false" ht="15" hidden="false" customHeight="false" outlineLevel="0" collapsed="false">
      <c r="A10" s="0" t="s">
        <v>27</v>
      </c>
      <c r="B10" s="0" t="s">
        <v>749</v>
      </c>
      <c r="C10" s="0" t="n">
        <v>5.52</v>
      </c>
      <c r="D10" s="0" t="n">
        <v>5.52</v>
      </c>
      <c r="F10" s="0" t="n">
        <v>3</v>
      </c>
    </row>
    <row r="11" customFormat="false" ht="15" hidden="false" customHeight="false" outlineLevel="0" collapsed="false">
      <c r="A11" s="0" t="s">
        <v>27</v>
      </c>
      <c r="B11" s="0" t="s">
        <v>750</v>
      </c>
      <c r="C11" s="0" t="n">
        <v>6.03</v>
      </c>
      <c r="D11" s="0" t="n">
        <v>6.03</v>
      </c>
      <c r="F11" s="0" t="n">
        <v>4</v>
      </c>
    </row>
    <row r="12" customFormat="false" ht="15" hidden="false" customHeight="false" outlineLevel="0" collapsed="false">
      <c r="A12" s="0" t="s">
        <v>80</v>
      </c>
      <c r="B12" s="0" t="s">
        <v>211</v>
      </c>
      <c r="C12" s="0" t="n">
        <v>3.39</v>
      </c>
      <c r="D12" s="0" t="n">
        <v>3.39</v>
      </c>
      <c r="F12" s="0" t="n">
        <v>3</v>
      </c>
      <c r="G12" s="0" t="s">
        <v>370</v>
      </c>
    </row>
    <row r="13" customFormat="false" ht="15" hidden="false" customHeight="false" outlineLevel="0" collapsed="false">
      <c r="A13" s="0" t="s">
        <v>80</v>
      </c>
      <c r="B13" s="0" t="s">
        <v>751</v>
      </c>
      <c r="C13" s="0" t="n">
        <v>2.56</v>
      </c>
      <c r="D13" s="0" t="n">
        <v>2.56</v>
      </c>
      <c r="F13" s="0" t="n">
        <v>2</v>
      </c>
      <c r="G13" s="0" t="s">
        <v>371</v>
      </c>
    </row>
    <row r="14" customFormat="false" ht="15" hidden="false" customHeight="false" outlineLevel="0" collapsed="false">
      <c r="A14" s="0" t="s">
        <v>80</v>
      </c>
      <c r="B14" s="0" t="s">
        <v>752</v>
      </c>
      <c r="C14" s="0" t="n">
        <v>7.48</v>
      </c>
      <c r="D14" s="0" t="n">
        <v>7.48</v>
      </c>
      <c r="F14" s="0" t="n">
        <v>5</v>
      </c>
      <c r="G14" s="0" t="s">
        <v>375</v>
      </c>
    </row>
    <row r="15" customFormat="false" ht="15" hidden="false" customHeight="false" outlineLevel="0" collapsed="false">
      <c r="A15" s="0" t="s">
        <v>80</v>
      </c>
      <c r="B15" s="0" t="s">
        <v>217</v>
      </c>
      <c r="C15" s="0" t="n">
        <v>4.79</v>
      </c>
      <c r="D15" s="0" t="n">
        <v>4.79</v>
      </c>
      <c r="F15" s="0" t="n">
        <v>3</v>
      </c>
      <c r="G15" s="0" t="s">
        <v>372</v>
      </c>
    </row>
    <row r="16" customFormat="false" ht="15" hidden="false" customHeight="false" outlineLevel="0" collapsed="false">
      <c r="A16" s="0" t="s">
        <v>80</v>
      </c>
      <c r="B16" s="0" t="s">
        <v>753</v>
      </c>
      <c r="C16" s="0" t="n">
        <v>6.96</v>
      </c>
      <c r="D16" s="0" t="n">
        <v>6.96</v>
      </c>
      <c r="F16" s="0" t="n">
        <v>4</v>
      </c>
    </row>
    <row r="17" customFormat="false" ht="15" hidden="false" customHeight="false" outlineLevel="0" collapsed="false">
      <c r="A17" s="0" t="s">
        <v>80</v>
      </c>
      <c r="B17" s="0" t="s">
        <v>754</v>
      </c>
      <c r="C17" s="0" t="n">
        <v>2.93</v>
      </c>
      <c r="D17" s="0" t="n">
        <v>2.93</v>
      </c>
      <c r="F17" s="0" t="n">
        <v>2</v>
      </c>
      <c r="G17" s="0" t="s">
        <v>377</v>
      </c>
    </row>
    <row r="18" customFormat="false" ht="15" hidden="false" customHeight="false" outlineLevel="0" collapsed="false">
      <c r="A18" s="0" t="s">
        <v>80</v>
      </c>
      <c r="B18" s="0" t="s">
        <v>755</v>
      </c>
      <c r="C18" s="0" t="n">
        <v>5.86</v>
      </c>
      <c r="D18" s="0" t="n">
        <v>5.86</v>
      </c>
      <c r="F18" s="0" t="n">
        <v>4</v>
      </c>
      <c r="G18" s="0" t="s">
        <v>373</v>
      </c>
    </row>
    <row r="19" customFormat="false" ht="15" hidden="false" customHeight="false" outlineLevel="0" collapsed="false">
      <c r="A19" s="0" t="s">
        <v>80</v>
      </c>
      <c r="B19" s="0" t="s">
        <v>756</v>
      </c>
      <c r="C19" s="0" t="n">
        <v>3.45</v>
      </c>
      <c r="D19" s="0" t="n">
        <v>3.45</v>
      </c>
      <c r="F19" s="0" t="n">
        <v>3</v>
      </c>
      <c r="G19" s="0" t="s">
        <v>378</v>
      </c>
    </row>
    <row r="20" customFormat="false" ht="15" hidden="false" customHeight="false" outlineLevel="0" collapsed="false">
      <c r="A20" s="0" t="s">
        <v>80</v>
      </c>
      <c r="B20" s="0" t="s">
        <v>234</v>
      </c>
      <c r="C20" s="0" t="n">
        <v>8.72</v>
      </c>
      <c r="D20" s="0" t="n">
        <v>8.72</v>
      </c>
      <c r="F20" s="0" t="n">
        <v>5</v>
      </c>
      <c r="G20" s="0" t="s">
        <v>379</v>
      </c>
    </row>
    <row r="21" customFormat="false" ht="15" hidden="false" customHeight="false" outlineLevel="0" collapsed="false">
      <c r="A21" s="0" t="s">
        <v>80</v>
      </c>
      <c r="B21" s="0" t="s">
        <v>757</v>
      </c>
      <c r="F21" s="0" t="n">
        <v>2</v>
      </c>
      <c r="G21" s="0" t="s">
        <v>374</v>
      </c>
    </row>
    <row r="22" customFormat="false" ht="15" hidden="false" customHeight="false" outlineLevel="0" collapsed="false">
      <c r="A22" s="0" t="s">
        <v>86</v>
      </c>
      <c r="B22" s="0" t="s">
        <v>758</v>
      </c>
      <c r="C22" s="0" t="n">
        <v>5.16</v>
      </c>
      <c r="D22" s="0" t="n">
        <v>5.15</v>
      </c>
      <c r="F22" s="0" t="n">
        <v>3</v>
      </c>
    </row>
    <row r="23" customFormat="false" ht="15" hidden="false" customHeight="false" outlineLevel="0" collapsed="false">
      <c r="A23" s="0" t="s">
        <v>86</v>
      </c>
      <c r="B23" s="0" t="s">
        <v>759</v>
      </c>
      <c r="F23" s="0" t="n">
        <v>1</v>
      </c>
      <c r="G23" s="0" t="s">
        <v>362</v>
      </c>
    </row>
    <row r="24" customFormat="false" ht="15" hidden="false" customHeight="false" outlineLevel="0" collapsed="false">
      <c r="A24" s="0" t="s">
        <v>86</v>
      </c>
      <c r="B24" s="0" t="s">
        <v>760</v>
      </c>
      <c r="C24" s="0" t="n">
        <v>7.48</v>
      </c>
      <c r="D24" s="0" t="n">
        <v>7.46</v>
      </c>
      <c r="F24" s="0" t="n">
        <v>5</v>
      </c>
      <c r="G24" s="0" t="s">
        <v>366</v>
      </c>
    </row>
    <row r="25" customFormat="false" ht="15" hidden="false" customHeight="false" outlineLevel="0" collapsed="false">
      <c r="A25" s="0" t="s">
        <v>86</v>
      </c>
      <c r="B25" s="0" t="s">
        <v>193</v>
      </c>
      <c r="C25" s="0" t="n">
        <v>6.91</v>
      </c>
      <c r="D25" s="0" t="n">
        <v>6.91</v>
      </c>
      <c r="F25" s="0" t="n">
        <v>4</v>
      </c>
      <c r="G25" s="0" t="s">
        <v>363</v>
      </c>
    </row>
    <row r="26" customFormat="false" ht="15" hidden="false" customHeight="false" outlineLevel="0" collapsed="false">
      <c r="A26" s="0" t="s">
        <v>86</v>
      </c>
      <c r="B26" s="0" t="s">
        <v>761</v>
      </c>
      <c r="C26" s="0" t="n">
        <v>6.1</v>
      </c>
      <c r="D26" s="0" t="n">
        <v>6.08</v>
      </c>
      <c r="F26" s="0" t="n">
        <v>4</v>
      </c>
      <c r="G26" s="0" t="s">
        <v>364</v>
      </c>
    </row>
    <row r="27" customFormat="false" ht="15" hidden="false" customHeight="false" outlineLevel="0" collapsed="false">
      <c r="A27" s="0" t="s">
        <v>86</v>
      </c>
      <c r="B27" s="0" t="s">
        <v>205</v>
      </c>
      <c r="C27" s="0" t="n">
        <v>3.92</v>
      </c>
      <c r="D27" s="0" t="n">
        <v>3.92</v>
      </c>
      <c r="F27" s="0" t="n">
        <v>2</v>
      </c>
      <c r="G27" s="0" t="s">
        <v>367</v>
      </c>
    </row>
    <row r="28" customFormat="false" ht="15" hidden="false" customHeight="false" outlineLevel="0" collapsed="false">
      <c r="A28" s="0" t="s">
        <v>86</v>
      </c>
      <c r="B28" s="0" t="s">
        <v>762</v>
      </c>
      <c r="C28" s="0" t="n">
        <v>2.59</v>
      </c>
      <c r="D28" s="0" t="n">
        <v>2.59</v>
      </c>
      <c r="F28" s="0" t="n">
        <v>2</v>
      </c>
      <c r="G28" s="0" t="s">
        <v>365</v>
      </c>
    </row>
    <row r="29" customFormat="false" ht="15" hidden="false" customHeight="false" outlineLevel="0" collapsed="false">
      <c r="A29" s="0" t="s">
        <v>86</v>
      </c>
      <c r="B29" s="0" t="s">
        <v>207</v>
      </c>
      <c r="F29" s="0" t="n">
        <v>1</v>
      </c>
      <c r="G29" s="0" t="s">
        <v>368</v>
      </c>
    </row>
    <row r="30" customFormat="false" ht="15" hidden="false" customHeight="false" outlineLevel="0" collapsed="false">
      <c r="A30" s="0" t="s">
        <v>86</v>
      </c>
      <c r="B30" s="0" t="s">
        <v>763</v>
      </c>
      <c r="C30" s="0" t="n">
        <v>9.52</v>
      </c>
      <c r="D30" s="0" t="n">
        <v>9.52</v>
      </c>
      <c r="F30" s="0" t="n">
        <v>5</v>
      </c>
      <c r="G30" s="0" t="s">
        <v>369</v>
      </c>
    </row>
    <row r="31" customFormat="false" ht="15" hidden="false" customHeight="false" outlineLevel="0" collapsed="false">
      <c r="A31" s="0" t="s">
        <v>92</v>
      </c>
      <c r="B31" s="0" t="s">
        <v>764</v>
      </c>
      <c r="F31" s="0" t="n">
        <v>1</v>
      </c>
      <c r="G31" s="0" t="s">
        <v>398</v>
      </c>
    </row>
    <row r="32" customFormat="false" ht="15" hidden="false" customHeight="false" outlineLevel="0" collapsed="false">
      <c r="A32" s="0" t="s">
        <v>92</v>
      </c>
      <c r="B32" s="0" t="s">
        <v>765</v>
      </c>
      <c r="C32" s="0" t="n">
        <v>3.7</v>
      </c>
      <c r="F32" s="0" t="n">
        <v>3</v>
      </c>
      <c r="G32" s="0" t="s">
        <v>399</v>
      </c>
    </row>
    <row r="33" customFormat="false" ht="15" hidden="false" customHeight="false" outlineLevel="0" collapsed="false">
      <c r="A33" s="0" t="s">
        <v>92</v>
      </c>
      <c r="B33" s="0" t="s">
        <v>766</v>
      </c>
      <c r="C33" s="0" t="n">
        <v>2.78</v>
      </c>
      <c r="F33" s="0" t="n">
        <v>3</v>
      </c>
      <c r="G33" s="0" t="s">
        <v>403</v>
      </c>
    </row>
    <row r="34" customFormat="false" ht="15" hidden="false" customHeight="false" outlineLevel="0" collapsed="false">
      <c r="A34" s="0" t="s">
        <v>92</v>
      </c>
      <c r="B34" s="0" t="s">
        <v>767</v>
      </c>
      <c r="C34" s="0" t="n">
        <v>3.31</v>
      </c>
      <c r="F34" s="0" t="n">
        <v>3</v>
      </c>
      <c r="G34" s="0" t="s">
        <v>400</v>
      </c>
    </row>
    <row r="35" customFormat="false" ht="15" hidden="false" customHeight="false" outlineLevel="0" collapsed="false">
      <c r="A35" s="0" t="s">
        <v>92</v>
      </c>
      <c r="B35" s="0" t="s">
        <v>768</v>
      </c>
      <c r="F35" s="0" t="n">
        <v>1</v>
      </c>
    </row>
    <row r="36" customFormat="false" ht="15" hidden="false" customHeight="false" outlineLevel="0" collapsed="false">
      <c r="A36" s="0" t="s">
        <v>92</v>
      </c>
      <c r="B36" s="0" t="s">
        <v>769</v>
      </c>
      <c r="C36" s="0" t="n">
        <v>2.42</v>
      </c>
      <c r="F36" s="0" t="n">
        <v>3</v>
      </c>
      <c r="G36" s="0" t="s">
        <v>404</v>
      </c>
    </row>
    <row r="37" customFormat="false" ht="15" hidden="false" customHeight="false" outlineLevel="0" collapsed="false">
      <c r="A37" s="0" t="s">
        <v>92</v>
      </c>
      <c r="B37" s="0" t="s">
        <v>770</v>
      </c>
      <c r="C37" s="0" t="n">
        <v>1.27</v>
      </c>
      <c r="F37" s="0" t="n">
        <v>3</v>
      </c>
      <c r="G37" s="0" t="s">
        <v>405</v>
      </c>
    </row>
    <row r="38" customFormat="false" ht="15" hidden="false" customHeight="false" outlineLevel="0" collapsed="false">
      <c r="A38" s="0" t="s">
        <v>92</v>
      </c>
      <c r="B38" s="0" t="s">
        <v>771</v>
      </c>
      <c r="C38" s="0" t="n">
        <v>2.1</v>
      </c>
      <c r="F38" s="0" t="n">
        <v>3</v>
      </c>
      <c r="G38" s="0" t="s">
        <v>406</v>
      </c>
    </row>
    <row r="39" customFormat="false" ht="15" hidden="false" customHeight="false" outlineLevel="0" collapsed="false">
      <c r="A39" s="0" t="s">
        <v>92</v>
      </c>
      <c r="B39" s="0" t="s">
        <v>772</v>
      </c>
      <c r="C39" s="0" t="n">
        <v>4.5</v>
      </c>
      <c r="F39" s="0" t="n">
        <v>3</v>
      </c>
      <c r="G39" s="0" t="s">
        <v>401</v>
      </c>
    </row>
    <row r="40" customFormat="false" ht="15" hidden="false" customHeight="false" outlineLevel="0" collapsed="false">
      <c r="A40" s="0" t="s">
        <v>92</v>
      </c>
      <c r="B40" s="0" t="s">
        <v>773</v>
      </c>
      <c r="C40" s="0" t="n">
        <v>2.67</v>
      </c>
      <c r="F40" s="0" t="n">
        <v>3</v>
      </c>
      <c r="G40" s="0" t="s">
        <v>402</v>
      </c>
    </row>
    <row r="41" customFormat="false" ht="15" hidden="false" customHeight="false" outlineLevel="0" collapsed="false">
      <c r="A41" s="0" t="s">
        <v>99</v>
      </c>
      <c r="B41" s="0" t="s">
        <v>774</v>
      </c>
      <c r="C41" s="0" t="n">
        <v>3.77</v>
      </c>
      <c r="D41" s="0" t="n">
        <v>3.77</v>
      </c>
      <c r="F41" s="0" t="n">
        <v>2</v>
      </c>
      <c r="G41" s="0" t="s">
        <v>356</v>
      </c>
    </row>
    <row r="42" customFormat="false" ht="15" hidden="false" customHeight="false" outlineLevel="0" collapsed="false">
      <c r="A42" s="0" t="s">
        <v>99</v>
      </c>
      <c r="B42" s="0" t="s">
        <v>775</v>
      </c>
      <c r="F42" s="0" t="n">
        <v>2</v>
      </c>
      <c r="G42" s="0" t="s">
        <v>357</v>
      </c>
    </row>
    <row r="43" customFormat="false" ht="15" hidden="false" customHeight="false" outlineLevel="0" collapsed="false">
      <c r="A43" s="0" t="s">
        <v>99</v>
      </c>
      <c r="B43" s="0" t="s">
        <v>776</v>
      </c>
      <c r="F43" s="0" t="n">
        <v>1</v>
      </c>
      <c r="G43" s="0" t="s">
        <v>351</v>
      </c>
    </row>
    <row r="44" customFormat="false" ht="15" hidden="false" customHeight="false" outlineLevel="0" collapsed="false">
      <c r="A44" s="0" t="s">
        <v>99</v>
      </c>
      <c r="B44" s="0" t="s">
        <v>777</v>
      </c>
      <c r="C44" s="0" t="n">
        <v>5.63</v>
      </c>
      <c r="D44" s="0" t="n">
        <v>5.63</v>
      </c>
      <c r="F44" s="0" t="n">
        <v>3</v>
      </c>
    </row>
    <row r="45" customFormat="false" ht="15" hidden="false" customHeight="false" outlineLevel="0" collapsed="false">
      <c r="A45" s="0" t="s">
        <v>99</v>
      </c>
      <c r="B45" s="0" t="s">
        <v>778</v>
      </c>
      <c r="C45" s="0" t="n">
        <v>3.54</v>
      </c>
      <c r="D45" s="0" t="n">
        <v>3.54</v>
      </c>
      <c r="F45" s="0" t="n">
        <v>3</v>
      </c>
    </row>
    <row r="46" customFormat="false" ht="15" hidden="false" customHeight="false" outlineLevel="0" collapsed="false">
      <c r="A46" s="0" t="s">
        <v>99</v>
      </c>
      <c r="B46" s="0" t="s">
        <v>779</v>
      </c>
      <c r="C46" s="0" t="n">
        <v>7.71</v>
      </c>
      <c r="D46" s="0" t="n">
        <v>7.71</v>
      </c>
      <c r="F46" s="0" t="n">
        <v>4</v>
      </c>
    </row>
    <row r="47" customFormat="false" ht="15" hidden="false" customHeight="false" outlineLevel="0" collapsed="false">
      <c r="A47" s="0" t="s">
        <v>99</v>
      </c>
      <c r="B47" s="0" t="s">
        <v>780</v>
      </c>
      <c r="C47" s="0" t="n">
        <v>5.09</v>
      </c>
      <c r="D47" s="0" t="n">
        <v>5.09</v>
      </c>
      <c r="F47" s="0" t="n">
        <v>3</v>
      </c>
      <c r="G47" s="0" t="s">
        <v>359</v>
      </c>
    </row>
    <row r="48" customFormat="false" ht="15" hidden="false" customHeight="false" outlineLevel="0" collapsed="false">
      <c r="A48" s="0" t="s">
        <v>99</v>
      </c>
      <c r="B48" s="0" t="s">
        <v>781</v>
      </c>
      <c r="C48" s="0" t="n">
        <v>10.31</v>
      </c>
      <c r="D48" s="0" t="n">
        <v>10.31</v>
      </c>
      <c r="F48" s="0" t="n">
        <v>5</v>
      </c>
      <c r="G48" s="0" t="s">
        <v>360</v>
      </c>
    </row>
    <row r="49" customFormat="false" ht="15" hidden="false" customHeight="false" outlineLevel="0" collapsed="false">
      <c r="A49" s="0" t="s">
        <v>99</v>
      </c>
      <c r="B49" s="0" t="s">
        <v>782</v>
      </c>
      <c r="C49" s="0" t="n">
        <v>4.67</v>
      </c>
      <c r="D49" s="0" t="n">
        <v>4.67</v>
      </c>
      <c r="F49" s="0" t="n">
        <v>3</v>
      </c>
      <c r="G49" s="0" t="s">
        <v>354</v>
      </c>
    </row>
    <row r="50" customFormat="false" ht="15" hidden="false" customHeight="false" outlineLevel="0" collapsed="false">
      <c r="A50" s="0" t="s">
        <v>99</v>
      </c>
      <c r="B50" s="0" t="s">
        <v>169</v>
      </c>
      <c r="C50" s="0" t="n">
        <v>3.24</v>
      </c>
      <c r="D50" s="0" t="n">
        <v>3.24</v>
      </c>
      <c r="F50" s="0" t="n">
        <v>2</v>
      </c>
      <c r="G50" s="0" t="s">
        <v>355</v>
      </c>
    </row>
    <row r="51" customFormat="false" ht="15" hidden="false" customHeight="false" outlineLevel="0" collapsed="false">
      <c r="A51" s="0" t="s">
        <v>104</v>
      </c>
      <c r="B51" s="0" t="s">
        <v>308</v>
      </c>
      <c r="C51" s="0" t="n">
        <v>1.82</v>
      </c>
      <c r="F51" s="0" t="n">
        <v>3</v>
      </c>
      <c r="G51" s="0" t="s">
        <v>412</v>
      </c>
    </row>
    <row r="52" customFormat="false" ht="15" hidden="false" customHeight="false" outlineLevel="0" collapsed="false">
      <c r="A52" s="0" t="s">
        <v>104</v>
      </c>
      <c r="B52" s="0" t="s">
        <v>783</v>
      </c>
      <c r="C52" s="0" t="n">
        <v>2.18</v>
      </c>
      <c r="F52" s="0" t="n">
        <v>3</v>
      </c>
      <c r="G52" s="0" t="s">
        <v>407</v>
      </c>
    </row>
    <row r="53" customFormat="false" ht="15" hidden="false" customHeight="false" outlineLevel="0" collapsed="false">
      <c r="A53" s="0" t="s">
        <v>104</v>
      </c>
      <c r="B53" s="0" t="s">
        <v>784</v>
      </c>
      <c r="C53" s="0" t="n">
        <v>3.4</v>
      </c>
      <c r="F53" s="0" t="n">
        <v>3</v>
      </c>
      <c r="G53" s="0" t="s">
        <v>408</v>
      </c>
    </row>
    <row r="54" customFormat="false" ht="15" hidden="false" customHeight="false" outlineLevel="0" collapsed="false">
      <c r="A54" s="0" t="s">
        <v>104</v>
      </c>
      <c r="B54" s="0" t="s">
        <v>785</v>
      </c>
      <c r="C54" s="0" t="n">
        <v>3.22</v>
      </c>
      <c r="F54" s="0" t="n">
        <v>3</v>
      </c>
      <c r="G54" s="0" t="s">
        <v>413</v>
      </c>
    </row>
    <row r="55" customFormat="false" ht="15" hidden="false" customHeight="false" outlineLevel="0" collapsed="false">
      <c r="A55" s="0" t="s">
        <v>104</v>
      </c>
      <c r="B55" s="0" t="s">
        <v>786</v>
      </c>
      <c r="C55" s="0" t="n">
        <v>3.81</v>
      </c>
      <c r="F55" s="0" t="n">
        <v>3</v>
      </c>
      <c r="G55" s="0" t="s">
        <v>409</v>
      </c>
    </row>
    <row r="56" customFormat="false" ht="15" hidden="false" customHeight="false" outlineLevel="0" collapsed="false">
      <c r="A56" s="0" t="s">
        <v>104</v>
      </c>
      <c r="B56" s="0" t="s">
        <v>787</v>
      </c>
      <c r="C56" s="0" t="n">
        <v>3.57</v>
      </c>
      <c r="F56" s="0" t="n">
        <v>3</v>
      </c>
      <c r="G56" s="0" t="s">
        <v>414</v>
      </c>
    </row>
    <row r="57" customFormat="false" ht="15" hidden="false" customHeight="false" outlineLevel="0" collapsed="false">
      <c r="A57" s="0" t="s">
        <v>104</v>
      </c>
      <c r="B57" s="0" t="s">
        <v>788</v>
      </c>
      <c r="F57" s="0" t="n">
        <v>1</v>
      </c>
      <c r="G57" s="0" t="s">
        <v>410</v>
      </c>
    </row>
    <row r="58" customFormat="false" ht="15" hidden="false" customHeight="false" outlineLevel="0" collapsed="false">
      <c r="A58" s="0" t="s">
        <v>104</v>
      </c>
      <c r="B58" s="0" t="s">
        <v>789</v>
      </c>
      <c r="C58" s="0" t="n">
        <v>3.22</v>
      </c>
      <c r="F58" s="0" t="n">
        <v>3</v>
      </c>
      <c r="G58" s="0" t="s">
        <v>411</v>
      </c>
    </row>
    <row r="59" customFormat="false" ht="15" hidden="false" customHeight="false" outlineLevel="0" collapsed="false">
      <c r="A59" s="0" t="s">
        <v>104</v>
      </c>
      <c r="B59" s="0" t="s">
        <v>790</v>
      </c>
      <c r="C59" s="0" t="n">
        <v>3</v>
      </c>
      <c r="F59" s="0" t="n">
        <v>3</v>
      </c>
      <c r="G59" s="0" t="s">
        <v>415</v>
      </c>
    </row>
    <row r="60" customFormat="false" ht="15" hidden="false" customHeight="false" outlineLevel="0" collapsed="false">
      <c r="A60" s="0" t="s">
        <v>104</v>
      </c>
      <c r="B60" s="0" t="s">
        <v>791</v>
      </c>
      <c r="F60" s="0" t="n">
        <v>1</v>
      </c>
      <c r="G60" s="0" t="s">
        <v>416</v>
      </c>
    </row>
    <row r="61" customFormat="false" ht="15" hidden="false" customHeight="false" outlineLevel="0" collapsed="false">
      <c r="A61" s="0" t="s">
        <v>110</v>
      </c>
      <c r="B61" s="0" t="s">
        <v>792</v>
      </c>
      <c r="F61" s="0" t="n">
        <v>1</v>
      </c>
    </row>
    <row r="62" customFormat="false" ht="15" hidden="false" customHeight="false" outlineLevel="0" collapsed="false">
      <c r="A62" s="0" t="s">
        <v>110</v>
      </c>
      <c r="B62" s="0" t="s">
        <v>793</v>
      </c>
      <c r="F62" s="0" t="n">
        <v>1</v>
      </c>
      <c r="G62" s="0" t="s">
        <v>380</v>
      </c>
    </row>
    <row r="63" customFormat="false" ht="15" hidden="false" customHeight="false" outlineLevel="0" collapsed="false">
      <c r="A63" s="0" t="s">
        <v>110</v>
      </c>
      <c r="B63" s="0" t="s">
        <v>794</v>
      </c>
      <c r="C63" s="0" t="n">
        <v>1.88</v>
      </c>
      <c r="F63" s="0" t="n">
        <v>3</v>
      </c>
      <c r="G63" s="0" t="s">
        <v>385</v>
      </c>
    </row>
    <row r="64" customFormat="false" ht="15" hidden="false" customHeight="false" outlineLevel="0" collapsed="false">
      <c r="A64" s="0" t="s">
        <v>110</v>
      </c>
      <c r="B64" s="0" t="s">
        <v>795</v>
      </c>
      <c r="C64" s="0" t="n">
        <v>2.27</v>
      </c>
      <c r="F64" s="0" t="n">
        <v>3</v>
      </c>
      <c r="G64" s="0" t="s">
        <v>386</v>
      </c>
    </row>
    <row r="65" customFormat="false" ht="15" hidden="false" customHeight="false" outlineLevel="0" collapsed="false">
      <c r="A65" s="0" t="s">
        <v>110</v>
      </c>
      <c r="B65" s="0" t="s">
        <v>796</v>
      </c>
      <c r="C65" s="0" t="n">
        <v>3.12</v>
      </c>
      <c r="F65" s="0" t="n">
        <v>3</v>
      </c>
      <c r="G65" s="0" t="s">
        <v>381</v>
      </c>
    </row>
    <row r="66" customFormat="false" ht="15" hidden="false" customHeight="false" outlineLevel="0" collapsed="false">
      <c r="A66" s="0" t="s">
        <v>110</v>
      </c>
      <c r="B66" s="0" t="s">
        <v>797</v>
      </c>
      <c r="C66" s="0" t="n">
        <v>1.27</v>
      </c>
      <c r="F66" s="0" t="n">
        <v>3</v>
      </c>
      <c r="G66" s="0" t="s">
        <v>387</v>
      </c>
    </row>
    <row r="67" customFormat="false" ht="15" hidden="false" customHeight="false" outlineLevel="0" collapsed="false">
      <c r="A67" s="0" t="s">
        <v>110</v>
      </c>
      <c r="B67" s="0" t="s">
        <v>798</v>
      </c>
      <c r="C67" s="0" t="n">
        <v>3.81</v>
      </c>
      <c r="F67" s="0" t="n">
        <v>3</v>
      </c>
      <c r="G67" s="0" t="s">
        <v>382</v>
      </c>
    </row>
    <row r="68" customFormat="false" ht="15" hidden="false" customHeight="false" outlineLevel="0" collapsed="false">
      <c r="A68" s="0" t="s">
        <v>110</v>
      </c>
      <c r="B68" s="0" t="s">
        <v>799</v>
      </c>
      <c r="C68" s="0" t="n">
        <v>2.43</v>
      </c>
      <c r="F68" s="0" t="n">
        <v>3</v>
      </c>
      <c r="G68" s="0" t="s">
        <v>383</v>
      </c>
    </row>
    <row r="69" customFormat="false" ht="15" hidden="false" customHeight="false" outlineLevel="0" collapsed="false">
      <c r="A69" s="0" t="s">
        <v>110</v>
      </c>
      <c r="B69" s="0" t="s">
        <v>800</v>
      </c>
      <c r="C69" s="0" t="n">
        <v>4.85</v>
      </c>
      <c r="F69" s="0" t="n">
        <v>3</v>
      </c>
      <c r="G69" s="0" t="s">
        <v>384</v>
      </c>
    </row>
    <row r="70" customFormat="false" ht="15" hidden="false" customHeight="false" outlineLevel="0" collapsed="false">
      <c r="A70" s="0" t="s">
        <v>110</v>
      </c>
      <c r="B70" s="0" t="s">
        <v>801</v>
      </c>
      <c r="C70" s="0" t="n">
        <v>2.96</v>
      </c>
      <c r="F70" s="0" t="n">
        <v>3</v>
      </c>
      <c r="G70" s="0" t="s">
        <v>388</v>
      </c>
    </row>
    <row r="71" customFormat="false" ht="15" hidden="false" customHeight="false" outlineLevel="0" collapsed="false">
      <c r="A71" s="0" t="s">
        <v>116</v>
      </c>
      <c r="B71" s="0" t="s">
        <v>802</v>
      </c>
      <c r="C71" s="0" t="n">
        <v>2.6</v>
      </c>
      <c r="F71" s="0" t="n">
        <v>3</v>
      </c>
      <c r="G71" s="0" t="s">
        <v>394</v>
      </c>
    </row>
    <row r="72" customFormat="false" ht="15" hidden="false" customHeight="false" outlineLevel="0" collapsed="false">
      <c r="A72" s="0" t="s">
        <v>116</v>
      </c>
      <c r="B72" s="0" t="s">
        <v>803</v>
      </c>
      <c r="C72" s="0" t="n">
        <v>3.5</v>
      </c>
      <c r="F72" s="0" t="n">
        <v>3</v>
      </c>
      <c r="G72" s="0" t="s">
        <v>389</v>
      </c>
    </row>
    <row r="73" customFormat="false" ht="15" hidden="false" customHeight="false" outlineLevel="0" collapsed="false">
      <c r="A73" s="0" t="s">
        <v>116</v>
      </c>
      <c r="B73" s="0" t="s">
        <v>804</v>
      </c>
      <c r="C73" s="0" t="n">
        <v>1.27</v>
      </c>
      <c r="F73" s="0" t="n">
        <v>3</v>
      </c>
      <c r="G73" s="0" t="s">
        <v>395</v>
      </c>
    </row>
    <row r="74" customFormat="false" ht="15" hidden="false" customHeight="false" outlineLevel="0" collapsed="false">
      <c r="A74" s="0" t="s">
        <v>116</v>
      </c>
      <c r="B74" s="0" t="s">
        <v>805</v>
      </c>
      <c r="F74" s="0" t="n">
        <v>1</v>
      </c>
      <c r="G74" s="0" t="s">
        <v>391</v>
      </c>
    </row>
    <row r="75" customFormat="false" ht="15" hidden="false" customHeight="false" outlineLevel="0" collapsed="false">
      <c r="A75" s="0" t="s">
        <v>116</v>
      </c>
      <c r="B75" s="0" t="s">
        <v>806</v>
      </c>
      <c r="C75" s="0" t="n">
        <v>1.78</v>
      </c>
      <c r="F75" s="0" t="n">
        <v>3</v>
      </c>
      <c r="G75" s="0" t="s">
        <v>396</v>
      </c>
    </row>
    <row r="76" customFormat="false" ht="15" hidden="false" customHeight="false" outlineLevel="0" collapsed="false">
      <c r="A76" s="0" t="s">
        <v>116</v>
      </c>
      <c r="B76" s="0" t="s">
        <v>807</v>
      </c>
      <c r="F76" s="0" t="n">
        <v>1</v>
      </c>
    </row>
    <row r="77" customFormat="false" ht="15" hidden="false" customHeight="false" outlineLevel="0" collapsed="false">
      <c r="A77" s="0" t="s">
        <v>116</v>
      </c>
      <c r="B77" s="0" t="s">
        <v>808</v>
      </c>
      <c r="C77" s="0" t="n">
        <v>3.5</v>
      </c>
      <c r="F77" s="0" t="n">
        <v>3</v>
      </c>
      <c r="G77" s="0" t="s">
        <v>392</v>
      </c>
    </row>
    <row r="78" customFormat="false" ht="15" hidden="false" customHeight="false" outlineLevel="0" collapsed="false">
      <c r="A78" s="0" t="s">
        <v>116</v>
      </c>
      <c r="B78" s="0" t="s">
        <v>809</v>
      </c>
      <c r="C78" s="0" t="n">
        <v>4.81</v>
      </c>
      <c r="F78" s="0" t="n">
        <v>3</v>
      </c>
      <c r="G78" s="0" t="s">
        <v>393</v>
      </c>
    </row>
    <row r="79" customFormat="false" ht="15" hidden="false" customHeight="false" outlineLevel="0" collapsed="false">
      <c r="A79" s="0" t="s">
        <v>116</v>
      </c>
      <c r="B79" s="0" t="s">
        <v>810</v>
      </c>
      <c r="C79" s="0" t="n">
        <v>2.5</v>
      </c>
      <c r="F79" s="0" t="n">
        <v>3</v>
      </c>
      <c r="G79" s="0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6" min="16" style="0" width="8"/>
  </cols>
  <sheetData>
    <row r="1" customFormat="false" ht="28.35" hidden="false" customHeight="false" outlineLevel="0" collapsed="false">
      <c r="A1" s="9" t="s">
        <v>811</v>
      </c>
      <c r="B1" s="9" t="s">
        <v>812</v>
      </c>
      <c r="C1" s="9" t="s">
        <v>62</v>
      </c>
      <c r="D1" s="9" t="s">
        <v>41</v>
      </c>
      <c r="E1" s="9" t="s">
        <v>122</v>
      </c>
      <c r="F1" s="9" t="s">
        <v>123</v>
      </c>
      <c r="G1" s="9" t="s">
        <v>124</v>
      </c>
      <c r="H1" s="9" t="s">
        <v>126</v>
      </c>
      <c r="I1" s="9" t="s">
        <v>130</v>
      </c>
      <c r="J1" s="9" t="s">
        <v>131</v>
      </c>
      <c r="K1" s="9" t="s">
        <v>46</v>
      </c>
      <c r="L1" s="9" t="s">
        <v>42</v>
      </c>
      <c r="M1" s="9" t="s">
        <v>132</v>
      </c>
      <c r="N1" s="9" t="s">
        <v>55</v>
      </c>
      <c r="O1" s="9" t="s">
        <v>813</v>
      </c>
      <c r="P1" s="9" t="s">
        <v>814</v>
      </c>
    </row>
    <row r="2" customFormat="false" ht="15" hidden="false" customHeight="false" outlineLevel="0" collapsed="false">
      <c r="A2" s="0" t="s">
        <v>436</v>
      </c>
      <c r="B2" s="0" t="s">
        <v>434</v>
      </c>
      <c r="C2" s="0" t="s">
        <v>27</v>
      </c>
      <c r="D2" s="0" t="s">
        <v>143</v>
      </c>
      <c r="E2" s="0" t="s">
        <v>144</v>
      </c>
      <c r="F2" s="0" t="n">
        <v>14.5</v>
      </c>
      <c r="G2" s="0" t="n">
        <v>14.18</v>
      </c>
      <c r="H2" s="7" t="n">
        <v>0.4783</v>
      </c>
      <c r="I2" s="0" t="n">
        <v>15</v>
      </c>
      <c r="J2" s="7" t="n">
        <v>0.5332</v>
      </c>
      <c r="K2" s="7" t="n">
        <v>0.4681</v>
      </c>
      <c r="L2" s="7" t="n">
        <v>0.57</v>
      </c>
      <c r="N2" s="7" t="n">
        <v>0.4</v>
      </c>
      <c r="O2" s="11"/>
      <c r="P2" s="0" t="str">
        <f aca="false">IF(O2="","",IF(O2&gt;F2,"OVER",IF(O2&lt;F2,"UNDER","PUSH")))</f>
        <v/>
      </c>
    </row>
    <row r="3" customFormat="false" ht="15" hidden="false" customHeight="false" outlineLevel="0" collapsed="false">
      <c r="A3" s="0" t="s">
        <v>436</v>
      </c>
      <c r="B3" s="0" t="s">
        <v>434</v>
      </c>
      <c r="C3" s="0" t="s">
        <v>27</v>
      </c>
      <c r="D3" s="0" t="s">
        <v>148</v>
      </c>
      <c r="E3" s="0" t="s">
        <v>144</v>
      </c>
      <c r="F3" s="0" t="n">
        <v>6.5</v>
      </c>
      <c r="G3" s="0" t="n">
        <v>7.37</v>
      </c>
      <c r="H3" s="7" t="n">
        <v>0.5873</v>
      </c>
      <c r="I3" s="0" t="n">
        <v>7.8</v>
      </c>
      <c r="J3" s="7" t="n">
        <v>0.625</v>
      </c>
      <c r="K3" s="7" t="n">
        <v>0.4681</v>
      </c>
      <c r="L3" s="7" t="n">
        <v>0.57</v>
      </c>
      <c r="M3" s="0" t="n">
        <v>6.78</v>
      </c>
      <c r="N3" s="7" t="n">
        <v>0.4</v>
      </c>
      <c r="O3" s="11"/>
      <c r="P3" s="0" t="str">
        <f aca="false">IF(O3="","",IF(O3&gt;F3,"OVER",IF(O3&lt;F3,"UNDER","PUSH")))</f>
        <v/>
      </c>
    </row>
    <row r="4" customFormat="false" ht="15" hidden="false" customHeight="false" outlineLevel="0" collapsed="false">
      <c r="A4" s="0" t="s">
        <v>436</v>
      </c>
      <c r="B4" s="0" t="s">
        <v>434</v>
      </c>
      <c r="C4" s="0" t="s">
        <v>27</v>
      </c>
      <c r="D4" s="0" t="s">
        <v>151</v>
      </c>
      <c r="E4" s="0" t="s">
        <v>144</v>
      </c>
      <c r="F4" s="0" t="n">
        <v>5</v>
      </c>
      <c r="G4" s="0" t="n">
        <v>6.7</v>
      </c>
      <c r="H4" s="7" t="n">
        <v>0.6253</v>
      </c>
      <c r="I4" s="0" t="n">
        <v>7.2</v>
      </c>
      <c r="J4" s="7" t="n">
        <v>0.6687</v>
      </c>
      <c r="K4" s="7" t="n">
        <v>0.4681</v>
      </c>
      <c r="L4" s="7" t="n">
        <v>0.6</v>
      </c>
      <c r="M4" s="0" t="n">
        <v>5.75</v>
      </c>
      <c r="N4" s="7" t="n">
        <v>0.5</v>
      </c>
      <c r="O4" s="11"/>
      <c r="P4" s="0" t="str">
        <f aca="false">IF(O4="","",IF(O4&gt;F4,"OVER",IF(O4&lt;F4,"UNDER","PUSH")))</f>
        <v/>
      </c>
    </row>
    <row r="5" customFormat="false" ht="15" hidden="false" customHeight="false" outlineLevel="0" collapsed="false">
      <c r="A5" s="0" t="s">
        <v>436</v>
      </c>
      <c r="B5" s="0" t="s">
        <v>434</v>
      </c>
      <c r="C5" s="0" t="s">
        <v>27</v>
      </c>
      <c r="D5" s="0" t="s">
        <v>154</v>
      </c>
      <c r="E5" s="0" t="s">
        <v>144</v>
      </c>
      <c r="F5" s="0" t="n">
        <v>13.5</v>
      </c>
      <c r="G5" s="0" t="n">
        <v>13.37</v>
      </c>
      <c r="H5" s="7" t="n">
        <v>0.4911</v>
      </c>
      <c r="I5" s="0" t="n">
        <v>14.6</v>
      </c>
      <c r="J5" s="7" t="n">
        <v>0.5741</v>
      </c>
      <c r="K5" s="7" t="n">
        <v>0.4681</v>
      </c>
      <c r="L5" s="7" t="n">
        <v>0.63</v>
      </c>
      <c r="M5" s="0" t="n">
        <v>12.6</v>
      </c>
      <c r="N5" s="7" t="n">
        <v>0.6</v>
      </c>
      <c r="O5" s="11"/>
      <c r="P5" s="0" t="str">
        <f aca="false">IF(O5="","",IF(O5&gt;F5,"OVER",IF(O5&lt;F5,"UNDER","PUSH")))</f>
        <v/>
      </c>
    </row>
    <row r="6" customFormat="false" ht="15" hidden="false" customHeight="false" outlineLevel="0" collapsed="false">
      <c r="A6" s="0" t="s">
        <v>436</v>
      </c>
      <c r="B6" s="0" t="s">
        <v>434</v>
      </c>
      <c r="C6" s="0" t="s">
        <v>99</v>
      </c>
      <c r="D6" s="0" t="s">
        <v>157</v>
      </c>
      <c r="E6" s="0" t="s">
        <v>144</v>
      </c>
      <c r="F6" s="0" t="n">
        <v>5</v>
      </c>
      <c r="G6" s="0" t="n">
        <v>4.01</v>
      </c>
      <c r="H6" s="7" t="n">
        <v>0.2985</v>
      </c>
      <c r="I6" s="0" t="n">
        <v>4.4</v>
      </c>
      <c r="J6" s="7" t="n">
        <v>0.355</v>
      </c>
      <c r="K6" s="7" t="n">
        <v>0.221</v>
      </c>
      <c r="L6" s="7" t="n">
        <v>0.37</v>
      </c>
      <c r="N6" s="7" t="n">
        <v>0.6</v>
      </c>
      <c r="O6" s="11"/>
      <c r="P6" s="0" t="str">
        <f aca="false">IF(O6="","",IF(O6&gt;F6,"OVER",IF(O6&lt;F6,"UNDER","PUSH")))</f>
        <v/>
      </c>
    </row>
    <row r="7" customFormat="false" ht="15" hidden="false" customHeight="false" outlineLevel="0" collapsed="false">
      <c r="A7" s="0" t="s">
        <v>436</v>
      </c>
      <c r="B7" s="0" t="s">
        <v>434</v>
      </c>
      <c r="C7" s="0" t="s">
        <v>99</v>
      </c>
      <c r="D7" s="0" t="s">
        <v>160</v>
      </c>
      <c r="E7" s="0" t="s">
        <v>144</v>
      </c>
      <c r="F7" s="0" t="n">
        <v>13.5</v>
      </c>
      <c r="G7" s="0" t="n">
        <v>12.39</v>
      </c>
      <c r="H7" s="7" t="n">
        <v>0.4173</v>
      </c>
      <c r="I7" s="0" t="n">
        <v>13.6</v>
      </c>
      <c r="J7" s="7" t="n">
        <v>0.5071</v>
      </c>
      <c r="K7" s="7" t="n">
        <v>0.221</v>
      </c>
      <c r="L7" s="7" t="n">
        <v>0.37</v>
      </c>
      <c r="N7" s="7" t="n">
        <v>0.4</v>
      </c>
      <c r="O7" s="11"/>
      <c r="P7" s="0" t="str">
        <f aca="false">IF(O7="","",IF(O7&gt;F7,"OVER",IF(O7&lt;F7,"UNDER","PUSH")))</f>
        <v/>
      </c>
    </row>
    <row r="8" customFormat="false" ht="15" hidden="false" customHeight="false" outlineLevel="0" collapsed="false">
      <c r="A8" s="0" t="s">
        <v>436</v>
      </c>
      <c r="B8" s="0" t="s">
        <v>434</v>
      </c>
      <c r="C8" s="0" t="s">
        <v>99</v>
      </c>
      <c r="D8" s="0" t="s">
        <v>163</v>
      </c>
      <c r="E8" s="0" t="s">
        <v>144</v>
      </c>
      <c r="F8" s="0" t="n">
        <v>7.5</v>
      </c>
      <c r="G8" s="0" t="n">
        <v>7.83</v>
      </c>
      <c r="H8" s="7" t="n">
        <v>0.5324</v>
      </c>
      <c r="I8" s="0" t="n">
        <v>8.6</v>
      </c>
      <c r="J8" s="7" t="n">
        <v>0.6014</v>
      </c>
      <c r="K8" s="7" t="n">
        <v>0.221</v>
      </c>
      <c r="L8" s="7" t="n">
        <v>0.37</v>
      </c>
      <c r="N8" s="7" t="n">
        <v>0.6</v>
      </c>
      <c r="O8" s="11"/>
      <c r="P8" s="0" t="str">
        <f aca="false">IF(O8="","",IF(O8&gt;F8,"OVER",IF(O8&lt;F8,"UNDER","PUSH")))</f>
        <v/>
      </c>
    </row>
    <row r="9" customFormat="false" ht="15" hidden="false" customHeight="false" outlineLevel="0" collapsed="false">
      <c r="A9" s="0" t="s">
        <v>436</v>
      </c>
      <c r="B9" s="0" t="s">
        <v>434</v>
      </c>
      <c r="C9" s="0" t="s">
        <v>99</v>
      </c>
      <c r="D9" s="0" t="s">
        <v>166</v>
      </c>
      <c r="E9" s="0" t="s">
        <v>144</v>
      </c>
      <c r="F9" s="0" t="n">
        <v>9.5</v>
      </c>
      <c r="G9" s="0" t="n">
        <v>6.92</v>
      </c>
      <c r="H9" s="7" t="n">
        <v>0.2493</v>
      </c>
      <c r="I9" s="0" t="n">
        <v>7.6</v>
      </c>
      <c r="J9" s="7" t="n">
        <v>0.3171</v>
      </c>
      <c r="K9" s="7" t="n">
        <v>0.221</v>
      </c>
      <c r="L9" s="7" t="n">
        <v>0.37</v>
      </c>
      <c r="M9" s="0" t="n">
        <v>9.34</v>
      </c>
      <c r="N9" s="7" t="n">
        <v>0.4</v>
      </c>
      <c r="O9" s="11"/>
      <c r="P9" s="0" t="str">
        <f aca="false">IF(O9="","",IF(O9&gt;F9,"OVER",IF(O9&lt;F9,"UNDER","PUSH")))</f>
        <v/>
      </c>
    </row>
    <row r="10" customFormat="false" ht="15" hidden="false" customHeight="false" outlineLevel="0" collapsed="false">
      <c r="A10" s="0" t="s">
        <v>436</v>
      </c>
      <c r="B10" s="0" t="s">
        <v>434</v>
      </c>
      <c r="C10" s="0" t="s">
        <v>99</v>
      </c>
      <c r="D10" s="0" t="s">
        <v>169</v>
      </c>
      <c r="E10" s="0" t="s">
        <v>144</v>
      </c>
      <c r="F10" s="0" t="n">
        <v>5.5</v>
      </c>
      <c r="G10" s="0" t="n">
        <v>4.47</v>
      </c>
      <c r="H10" s="7" t="n">
        <v>0.3659</v>
      </c>
      <c r="I10" s="0" t="n">
        <v>5</v>
      </c>
      <c r="J10" s="7" t="n">
        <v>0.4373</v>
      </c>
      <c r="K10" s="7" t="n">
        <v>0.221</v>
      </c>
      <c r="L10" s="7" t="n">
        <v>0.4</v>
      </c>
      <c r="M10" s="0" t="n">
        <v>6.49</v>
      </c>
      <c r="N10" s="7" t="n">
        <v>0.3</v>
      </c>
      <c r="O10" s="11"/>
      <c r="P10" s="0" t="str">
        <f aca="false">IF(O10="","",IF(O10&gt;F10,"OVER",IF(O10&lt;F10,"UNDER","PUSH")))</f>
        <v/>
      </c>
    </row>
    <row r="11" customFormat="false" ht="15" hidden="false" customHeight="false" outlineLevel="0" collapsed="false">
      <c r="A11" s="0" t="s">
        <v>436</v>
      </c>
      <c r="B11" s="0" t="s">
        <v>434</v>
      </c>
      <c r="C11" s="0" t="s">
        <v>99</v>
      </c>
      <c r="D11" s="0" t="s">
        <v>172</v>
      </c>
      <c r="E11" s="0" t="s">
        <v>144</v>
      </c>
      <c r="F11" s="0" t="n">
        <v>8</v>
      </c>
      <c r="G11" s="0" t="n">
        <v>9.77</v>
      </c>
      <c r="H11" s="7" t="n">
        <v>0.6122</v>
      </c>
      <c r="I11" s="0" t="n">
        <v>9.4</v>
      </c>
      <c r="J11" s="7" t="n">
        <v>0.5815</v>
      </c>
      <c r="K11" s="7" t="n">
        <v>0.779</v>
      </c>
      <c r="L11" s="7" t="n">
        <v>0.7</v>
      </c>
      <c r="M11" s="0" t="n">
        <v>7.54</v>
      </c>
      <c r="N11" s="7" t="n">
        <v>0.6</v>
      </c>
      <c r="O11" s="11"/>
      <c r="P11" s="0" t="str">
        <f aca="false">IF(O11="","",IF(O11&gt;F11,"OVER",IF(O11&lt;F11,"UNDER","PUSH")))</f>
        <v/>
      </c>
    </row>
    <row r="12" customFormat="false" ht="15" hidden="false" customHeight="false" outlineLevel="0" collapsed="false">
      <c r="A12" s="0" t="s">
        <v>436</v>
      </c>
      <c r="B12" s="0" t="s">
        <v>434</v>
      </c>
      <c r="C12" s="0" t="s">
        <v>99</v>
      </c>
      <c r="D12" s="0" t="s">
        <v>175</v>
      </c>
      <c r="E12" s="0" t="s">
        <v>144</v>
      </c>
      <c r="F12" s="0" t="n">
        <v>6</v>
      </c>
      <c r="G12" s="0" t="n">
        <v>7.48</v>
      </c>
      <c r="H12" s="7" t="n">
        <v>0.6007</v>
      </c>
      <c r="I12" s="0" t="n">
        <v>7.2</v>
      </c>
      <c r="J12" s="7" t="n">
        <v>0.5734</v>
      </c>
      <c r="K12" s="7" t="n">
        <v>0.779</v>
      </c>
      <c r="L12" s="7" t="n">
        <v>0.7</v>
      </c>
      <c r="N12" s="7" t="n">
        <v>0.6</v>
      </c>
      <c r="O12" s="11"/>
      <c r="P12" s="0" t="str">
        <f aca="false">IF(O12="","",IF(O12&gt;F12,"OVER",IF(O12&lt;F12,"UNDER","PUSH")))</f>
        <v/>
      </c>
    </row>
    <row r="13" customFormat="false" ht="15" hidden="false" customHeight="false" outlineLevel="0" collapsed="false">
      <c r="A13" s="0" t="s">
        <v>436</v>
      </c>
      <c r="B13" s="0" t="s">
        <v>434</v>
      </c>
      <c r="C13" s="0" t="s">
        <v>99</v>
      </c>
      <c r="D13" s="0" t="s">
        <v>178</v>
      </c>
      <c r="E13" s="0" t="s">
        <v>144</v>
      </c>
      <c r="F13" s="0" t="n">
        <v>17.5</v>
      </c>
      <c r="G13" s="0" t="n">
        <v>16.01</v>
      </c>
      <c r="H13" s="7" t="n">
        <v>0.3999</v>
      </c>
      <c r="I13" s="0" t="n">
        <v>15.4</v>
      </c>
      <c r="J13" s="7" t="n">
        <v>0.3579</v>
      </c>
      <c r="K13" s="7" t="n">
        <v>0.779</v>
      </c>
      <c r="L13" s="7" t="n">
        <v>0.7</v>
      </c>
      <c r="N13" s="7" t="n">
        <v>0.6</v>
      </c>
      <c r="O13" s="11"/>
      <c r="P13" s="0" t="str">
        <f aca="false">IF(O13="","",IF(O13&gt;F13,"OVER",IF(O13&lt;F13,"UNDER","PUSH")))</f>
        <v/>
      </c>
    </row>
    <row r="14" customFormat="false" ht="15" hidden="false" customHeight="false" outlineLevel="0" collapsed="false">
      <c r="A14" s="0" t="s">
        <v>436</v>
      </c>
      <c r="B14" s="0" t="s">
        <v>434</v>
      </c>
      <c r="C14" s="0" t="s">
        <v>99</v>
      </c>
      <c r="D14" s="0" t="s">
        <v>181</v>
      </c>
      <c r="E14" s="0" t="s">
        <v>144</v>
      </c>
      <c r="F14" s="0" t="n">
        <v>12.5</v>
      </c>
      <c r="G14" s="0" t="n">
        <v>13.36</v>
      </c>
      <c r="H14" s="7" t="n">
        <v>0.5642</v>
      </c>
      <c r="I14" s="0" t="n">
        <v>12.4</v>
      </c>
      <c r="J14" s="7" t="n">
        <v>0.4922</v>
      </c>
      <c r="K14" s="7" t="n">
        <v>0.779</v>
      </c>
      <c r="L14" s="7" t="n">
        <v>0.63</v>
      </c>
      <c r="M14" s="0" t="n">
        <v>10.18</v>
      </c>
      <c r="N14" s="7" t="n">
        <v>0.5</v>
      </c>
      <c r="O14" s="11"/>
      <c r="P14" s="0" t="str">
        <f aca="false">IF(O14="","",IF(O14&gt;F14,"OVER",IF(O14&lt;F14,"UNDER","PUSH")))</f>
        <v/>
      </c>
    </row>
    <row r="15" customFormat="false" ht="15" hidden="false" customHeight="false" outlineLevel="0" collapsed="false">
      <c r="A15" s="0" t="s">
        <v>436</v>
      </c>
      <c r="B15" s="0" t="s">
        <v>434</v>
      </c>
      <c r="C15" s="0" t="s">
        <v>99</v>
      </c>
      <c r="D15" s="0" t="s">
        <v>184</v>
      </c>
      <c r="E15" s="0" t="s">
        <v>144</v>
      </c>
      <c r="F15" s="0" t="n">
        <v>21.5</v>
      </c>
      <c r="G15" s="0" t="n">
        <v>23.48</v>
      </c>
      <c r="H15" s="7" t="n">
        <v>0.6062</v>
      </c>
      <c r="I15" s="0" t="n">
        <v>21.8</v>
      </c>
      <c r="J15" s="7" t="n">
        <v>0.5169</v>
      </c>
      <c r="K15" s="7" t="n">
        <v>0.779</v>
      </c>
      <c r="L15" s="7" t="n">
        <v>0.63</v>
      </c>
      <c r="M15" s="0" t="n">
        <v>20.62</v>
      </c>
      <c r="N15" s="7" t="n">
        <v>0.5</v>
      </c>
      <c r="O15" s="11"/>
      <c r="P15" s="0" t="str">
        <f aca="false">IF(O15="","",IF(O15&gt;F15,"OVER",IF(O15&lt;F15,"UNDER","PUSH")))</f>
        <v/>
      </c>
    </row>
    <row r="16" customFormat="false" ht="15" hidden="false" customHeight="false" outlineLevel="0" collapsed="false">
      <c r="A16" s="0" t="s">
        <v>436</v>
      </c>
      <c r="B16" s="0" t="s">
        <v>434</v>
      </c>
      <c r="C16" s="0" t="s">
        <v>86</v>
      </c>
      <c r="D16" s="0" t="s">
        <v>187</v>
      </c>
      <c r="E16" s="0" t="s">
        <v>144</v>
      </c>
      <c r="F16" s="0" t="n">
        <v>8.5</v>
      </c>
      <c r="G16" s="0" t="n">
        <v>9.39</v>
      </c>
      <c r="H16" s="7" t="n">
        <v>0.5768</v>
      </c>
      <c r="I16" s="0" t="n">
        <v>10.4</v>
      </c>
      <c r="J16" s="7" t="n">
        <v>0.6536</v>
      </c>
      <c r="K16" s="7" t="n">
        <v>0.2975</v>
      </c>
      <c r="L16" s="7" t="n">
        <v>0.47</v>
      </c>
      <c r="N16" s="7" t="n">
        <v>0.5</v>
      </c>
      <c r="O16" s="11"/>
      <c r="P16" s="0" t="str">
        <f aca="false">IF(O16="","",IF(O16&gt;F16,"OVER",IF(O16&lt;F16,"UNDER","PUSH")))</f>
        <v/>
      </c>
    </row>
    <row r="17" customFormat="false" ht="15" hidden="false" customHeight="false" outlineLevel="0" collapsed="false">
      <c r="A17" s="0" t="s">
        <v>436</v>
      </c>
      <c r="B17" s="0" t="s">
        <v>434</v>
      </c>
      <c r="C17" s="0" t="s">
        <v>86</v>
      </c>
      <c r="D17" s="0" t="s">
        <v>190</v>
      </c>
      <c r="E17" s="0" t="s">
        <v>144</v>
      </c>
      <c r="F17" s="0" t="n">
        <v>4.5</v>
      </c>
      <c r="G17" s="0" t="n">
        <v>3.14</v>
      </c>
      <c r="H17" s="7" t="n">
        <v>0.2926</v>
      </c>
      <c r="I17" s="0" t="n">
        <v>3.6</v>
      </c>
      <c r="J17" s="7" t="n">
        <v>0.3677</v>
      </c>
      <c r="K17" s="7" t="n">
        <v>0.2975</v>
      </c>
      <c r="L17" s="7" t="n">
        <v>0.53</v>
      </c>
      <c r="N17" s="7" t="n">
        <v>0.3</v>
      </c>
      <c r="O17" s="11"/>
      <c r="P17" s="0" t="str">
        <f aca="false">IF(O17="","",IF(O17&gt;F17,"OVER",IF(O17&lt;F17,"UNDER","PUSH")))</f>
        <v/>
      </c>
    </row>
    <row r="18" customFormat="false" ht="15" hidden="false" customHeight="false" outlineLevel="0" collapsed="false">
      <c r="A18" s="0" t="s">
        <v>436</v>
      </c>
      <c r="B18" s="0" t="s">
        <v>434</v>
      </c>
      <c r="C18" s="0" t="s">
        <v>86</v>
      </c>
      <c r="D18" s="0" t="s">
        <v>193</v>
      </c>
      <c r="E18" s="0" t="s">
        <v>144</v>
      </c>
      <c r="F18" s="0" t="n">
        <v>14.5</v>
      </c>
      <c r="G18" s="0" t="n">
        <v>16.06</v>
      </c>
      <c r="H18" s="7" t="n">
        <v>0.5975</v>
      </c>
      <c r="I18" s="0" t="n">
        <v>17.8</v>
      </c>
      <c r="J18" s="7" t="n">
        <v>0.6896</v>
      </c>
      <c r="K18" s="7" t="n">
        <v>0.2975</v>
      </c>
      <c r="L18" s="7" t="n">
        <v>0.47</v>
      </c>
      <c r="M18" s="0" t="n">
        <v>13.82</v>
      </c>
      <c r="N18" s="7" t="n">
        <v>0.8</v>
      </c>
      <c r="O18" s="11"/>
      <c r="P18" s="0" t="str">
        <f aca="false">IF(O18="","",IF(O18&gt;F18,"OVER",IF(O18&lt;F18,"UNDER","PUSH")))</f>
        <v/>
      </c>
    </row>
    <row r="19" customFormat="false" ht="15" hidden="false" customHeight="false" outlineLevel="0" collapsed="false">
      <c r="A19" s="0" t="s">
        <v>436</v>
      </c>
      <c r="B19" s="0" t="s">
        <v>434</v>
      </c>
      <c r="C19" s="0" t="s">
        <v>86</v>
      </c>
      <c r="D19" s="0" t="s">
        <v>196</v>
      </c>
      <c r="E19" s="0" t="s">
        <v>144</v>
      </c>
      <c r="F19" s="0" t="n">
        <v>13.5</v>
      </c>
      <c r="G19" s="0" t="n">
        <v>12.78</v>
      </c>
      <c r="H19" s="7" t="n">
        <v>0.4478</v>
      </c>
      <c r="I19" s="0" t="n">
        <v>14.4</v>
      </c>
      <c r="J19" s="7" t="n">
        <v>0.5613</v>
      </c>
      <c r="K19" s="7" t="n">
        <v>0.2975</v>
      </c>
      <c r="L19" s="7" t="n">
        <v>0.5</v>
      </c>
      <c r="M19" s="0" t="n">
        <v>12.18</v>
      </c>
      <c r="N19" s="7" t="n">
        <v>0.6</v>
      </c>
      <c r="O19" s="11"/>
      <c r="P19" s="0" t="str">
        <f aca="false">IF(O19="","",IF(O19&gt;F19,"OVER",IF(O19&lt;F19,"UNDER","PUSH")))</f>
        <v/>
      </c>
    </row>
    <row r="20" customFormat="false" ht="15" hidden="false" customHeight="false" outlineLevel="0" collapsed="false">
      <c r="A20" s="0" t="s">
        <v>436</v>
      </c>
      <c r="B20" s="0" t="s">
        <v>434</v>
      </c>
      <c r="C20" s="0" t="s">
        <v>86</v>
      </c>
      <c r="D20" s="0" t="s">
        <v>199</v>
      </c>
      <c r="E20" s="0" t="s">
        <v>144</v>
      </c>
      <c r="F20" s="0" t="n">
        <v>5.5</v>
      </c>
      <c r="G20" s="0" t="n">
        <v>6.32</v>
      </c>
      <c r="H20" s="7" t="n">
        <v>0.5888</v>
      </c>
      <c r="I20" s="0" t="n">
        <v>7</v>
      </c>
      <c r="J20" s="7" t="n">
        <v>0.6522</v>
      </c>
      <c r="K20" s="7" t="n">
        <v>0.2975</v>
      </c>
      <c r="L20" s="7" t="n">
        <v>0.47</v>
      </c>
      <c r="M20" s="0" t="n">
        <v>5.18</v>
      </c>
      <c r="N20" s="7" t="n">
        <v>0.9</v>
      </c>
      <c r="O20" s="11"/>
      <c r="P20" s="0" t="str">
        <f aca="false">IF(O20="","",IF(O20&gt;F20,"OVER",IF(O20&lt;F20,"UNDER","PUSH")))</f>
        <v/>
      </c>
    </row>
    <row r="21" customFormat="false" ht="15" hidden="false" customHeight="false" outlineLevel="0" collapsed="false">
      <c r="A21" s="0" t="s">
        <v>436</v>
      </c>
      <c r="B21" s="0" t="s">
        <v>434</v>
      </c>
      <c r="C21" s="0" t="s">
        <v>86</v>
      </c>
      <c r="D21" s="0" t="s">
        <v>202</v>
      </c>
      <c r="E21" s="0" t="s">
        <v>144</v>
      </c>
      <c r="F21" s="0" t="n">
        <v>17.5</v>
      </c>
      <c r="G21" s="0" t="n">
        <v>17.64</v>
      </c>
      <c r="H21" s="7" t="n">
        <v>0.5087</v>
      </c>
      <c r="I21" s="0" t="n">
        <v>17</v>
      </c>
      <c r="J21" s="7" t="n">
        <v>0.4681</v>
      </c>
      <c r="K21" s="7" t="n">
        <v>0.7025</v>
      </c>
      <c r="L21" s="7" t="n">
        <v>0.63</v>
      </c>
      <c r="M21" s="0" t="n">
        <v>14.94</v>
      </c>
      <c r="N21" s="7" t="n">
        <v>0.4</v>
      </c>
      <c r="O21" s="11"/>
      <c r="P21" s="0" t="str">
        <f aca="false">IF(O21="","",IF(O21&gt;F21,"OVER",IF(O21&lt;F21,"UNDER","PUSH")))</f>
        <v/>
      </c>
    </row>
    <row r="22" customFormat="false" ht="15" hidden="false" customHeight="false" outlineLevel="0" collapsed="false">
      <c r="A22" s="0" t="s">
        <v>436</v>
      </c>
      <c r="B22" s="0" t="s">
        <v>434</v>
      </c>
      <c r="C22" s="0" t="s">
        <v>86</v>
      </c>
      <c r="D22" s="0" t="s">
        <v>205</v>
      </c>
      <c r="E22" s="0" t="s">
        <v>144</v>
      </c>
      <c r="F22" s="0" t="n">
        <v>8.5</v>
      </c>
      <c r="G22" s="0" t="n">
        <v>11.99</v>
      </c>
      <c r="H22" s="7" t="n">
        <v>0.7541</v>
      </c>
      <c r="I22" s="0" t="n">
        <v>11.2</v>
      </c>
      <c r="J22" s="7" t="n">
        <v>0.7088</v>
      </c>
      <c r="K22" s="7" t="n">
        <v>0.7025</v>
      </c>
      <c r="L22" s="7" t="n">
        <v>0.57</v>
      </c>
      <c r="M22" s="0" t="n">
        <v>7.84</v>
      </c>
      <c r="N22" s="7" t="n">
        <v>0.6</v>
      </c>
      <c r="O22" s="11"/>
      <c r="P22" s="0" t="str">
        <f aca="false">IF(O22="","",IF(O22&gt;F22,"OVER",IF(O22&lt;F22,"UNDER","PUSH")))</f>
        <v/>
      </c>
    </row>
    <row r="23" customFormat="false" ht="15" hidden="false" customHeight="false" outlineLevel="0" collapsed="false">
      <c r="A23" s="0" t="s">
        <v>436</v>
      </c>
      <c r="B23" s="0" t="s">
        <v>434</v>
      </c>
      <c r="C23" s="0" t="s">
        <v>86</v>
      </c>
      <c r="D23" s="0" t="s">
        <v>207</v>
      </c>
      <c r="E23" s="0" t="s">
        <v>144</v>
      </c>
      <c r="F23" s="0" t="n">
        <v>6</v>
      </c>
      <c r="G23" s="0" t="n">
        <v>6.02</v>
      </c>
      <c r="H23" s="7" t="n">
        <v>0.4447</v>
      </c>
      <c r="I23" s="0" t="n">
        <v>5.8</v>
      </c>
      <c r="J23" s="7" t="n">
        <v>0.4185</v>
      </c>
      <c r="K23" s="7" t="n">
        <v>0.7025</v>
      </c>
      <c r="L23" s="7" t="n">
        <v>0.63</v>
      </c>
      <c r="N23" s="7" t="n">
        <v>0.5</v>
      </c>
      <c r="O23" s="11"/>
      <c r="P23" s="0" t="str">
        <f aca="false">IF(O23="","",IF(O23&gt;F23,"OVER",IF(O23&lt;F23,"UNDER","PUSH")))</f>
        <v/>
      </c>
    </row>
    <row r="24" customFormat="false" ht="15" hidden="false" customHeight="false" outlineLevel="0" collapsed="false">
      <c r="A24" s="0" t="s">
        <v>436</v>
      </c>
      <c r="B24" s="0" t="s">
        <v>434</v>
      </c>
      <c r="C24" s="0" t="s">
        <v>86</v>
      </c>
      <c r="D24" s="0" t="s">
        <v>209</v>
      </c>
      <c r="E24" s="0" t="s">
        <v>144</v>
      </c>
      <c r="F24" s="0" t="n">
        <v>21.5</v>
      </c>
      <c r="G24" s="0" t="n">
        <v>17.99</v>
      </c>
      <c r="H24" s="7" t="n">
        <v>0.2931</v>
      </c>
      <c r="I24" s="0" t="n">
        <v>16.8</v>
      </c>
      <c r="J24" s="7" t="n">
        <v>0.2253</v>
      </c>
      <c r="K24" s="7" t="n">
        <v>0.7025</v>
      </c>
      <c r="L24" s="7" t="n">
        <v>0.57</v>
      </c>
      <c r="M24" s="0" t="n">
        <v>19.04</v>
      </c>
      <c r="N24" s="7" t="n">
        <v>0.4</v>
      </c>
      <c r="O24" s="11"/>
      <c r="P24" s="0" t="str">
        <f aca="false">IF(O24="","",IF(O24&gt;F24,"OVER",IF(O24&lt;F24,"UNDER","PUSH")))</f>
        <v/>
      </c>
    </row>
    <row r="25" customFormat="false" ht="15" hidden="false" customHeight="false" outlineLevel="0" collapsed="false">
      <c r="A25" s="0" t="s">
        <v>436</v>
      </c>
      <c r="B25" s="0" t="s">
        <v>434</v>
      </c>
      <c r="C25" s="0" t="s">
        <v>80</v>
      </c>
      <c r="D25" s="0" t="s">
        <v>211</v>
      </c>
      <c r="E25" s="0" t="s">
        <v>144</v>
      </c>
      <c r="F25" s="0" t="n">
        <v>7.5</v>
      </c>
      <c r="G25" s="0" t="n">
        <v>8.94</v>
      </c>
      <c r="H25" s="7" t="n">
        <v>0.629</v>
      </c>
      <c r="I25" s="0" t="n">
        <v>9.8</v>
      </c>
      <c r="J25" s="7" t="n">
        <v>0.6919</v>
      </c>
      <c r="K25" s="7" t="n">
        <v>0.1876</v>
      </c>
      <c r="L25" s="7" t="n">
        <v>0.33</v>
      </c>
      <c r="M25" s="0" t="n">
        <v>6.78</v>
      </c>
      <c r="N25" s="7" t="n">
        <v>0.8</v>
      </c>
      <c r="O25" s="11"/>
      <c r="P25" s="0" t="str">
        <f aca="false">IF(O25="","",IF(O25&gt;F25,"OVER",IF(O25&lt;F25,"UNDER","PUSH")))</f>
        <v/>
      </c>
    </row>
    <row r="26" customFormat="false" ht="15" hidden="false" customHeight="false" outlineLevel="0" collapsed="false">
      <c r="A26" s="0" t="s">
        <v>436</v>
      </c>
      <c r="B26" s="0" t="s">
        <v>434</v>
      </c>
      <c r="C26" s="0" t="s">
        <v>80</v>
      </c>
      <c r="D26" s="0" t="s">
        <v>214</v>
      </c>
      <c r="E26" s="0" t="s">
        <v>144</v>
      </c>
      <c r="F26" s="0" t="n">
        <v>5.5</v>
      </c>
      <c r="G26" s="0" t="n">
        <v>5.84</v>
      </c>
      <c r="H26" s="7" t="n">
        <v>0.5393</v>
      </c>
      <c r="I26" s="0" t="n">
        <v>6.4</v>
      </c>
      <c r="J26" s="7" t="n">
        <v>0.5983</v>
      </c>
      <c r="K26" s="7" t="n">
        <v>0.1876</v>
      </c>
      <c r="L26" s="7" t="n">
        <v>0.33</v>
      </c>
      <c r="M26" s="0" t="n">
        <v>5.13</v>
      </c>
      <c r="N26" s="7" t="n">
        <v>0.6</v>
      </c>
      <c r="O26" s="11"/>
      <c r="P26" s="0" t="str">
        <f aca="false">IF(O26="","",IF(O26&gt;F26,"OVER",IF(O26&lt;F26,"UNDER","PUSH")))</f>
        <v/>
      </c>
    </row>
    <row r="27" customFormat="false" ht="15" hidden="false" customHeight="false" outlineLevel="0" collapsed="false">
      <c r="A27" s="0" t="s">
        <v>436</v>
      </c>
      <c r="B27" s="0" t="s">
        <v>434</v>
      </c>
      <c r="C27" s="0" t="s">
        <v>80</v>
      </c>
      <c r="D27" s="0" t="s">
        <v>217</v>
      </c>
      <c r="E27" s="0" t="s">
        <v>144</v>
      </c>
      <c r="F27" s="0" t="n">
        <v>11.5</v>
      </c>
      <c r="G27" s="0" t="n">
        <v>12.95</v>
      </c>
      <c r="H27" s="7" t="n">
        <v>0.605</v>
      </c>
      <c r="I27" s="0" t="n">
        <v>14.8</v>
      </c>
      <c r="J27" s="7" t="n">
        <v>0.7147</v>
      </c>
      <c r="K27" s="7" t="n">
        <v>0.1876</v>
      </c>
      <c r="L27" s="7" t="n">
        <v>0.4</v>
      </c>
      <c r="M27" s="0" t="n">
        <v>9.58</v>
      </c>
      <c r="N27" s="7" t="n">
        <v>0.5</v>
      </c>
      <c r="O27" s="11"/>
      <c r="P27" s="0" t="str">
        <f aca="false">IF(O27="","",IF(O27&gt;F27,"OVER",IF(O27&lt;F27,"UNDER","PUSH")))</f>
        <v/>
      </c>
    </row>
    <row r="28" customFormat="false" ht="15" hidden="false" customHeight="false" outlineLevel="0" collapsed="false">
      <c r="A28" s="0" t="s">
        <v>436</v>
      </c>
      <c r="B28" s="0" t="s">
        <v>434</v>
      </c>
      <c r="C28" s="0" t="s">
        <v>80</v>
      </c>
      <c r="D28" s="0" t="s">
        <v>219</v>
      </c>
      <c r="E28" s="0" t="s">
        <v>144</v>
      </c>
      <c r="F28" s="0" t="n">
        <v>12.5</v>
      </c>
      <c r="G28" s="0" t="n">
        <v>13.18</v>
      </c>
      <c r="H28" s="7" t="n">
        <v>0.5494</v>
      </c>
      <c r="I28" s="0" t="n">
        <v>14.8</v>
      </c>
      <c r="J28" s="7" t="n">
        <v>0.6535</v>
      </c>
      <c r="K28" s="7" t="n">
        <v>0.1876</v>
      </c>
      <c r="L28" s="7" t="n">
        <v>0.37</v>
      </c>
      <c r="M28" s="0" t="n">
        <v>11.73</v>
      </c>
      <c r="N28" s="7" t="n">
        <v>0.5</v>
      </c>
      <c r="O28" s="11"/>
      <c r="P28" s="0" t="str">
        <f aca="false">IF(O28="","",IF(O28&gt;F28,"OVER",IF(O28&lt;F28,"UNDER","PUSH")))</f>
        <v/>
      </c>
    </row>
    <row r="29" customFormat="false" ht="15" hidden="false" customHeight="false" outlineLevel="0" collapsed="false">
      <c r="A29" s="0" t="s">
        <v>436</v>
      </c>
      <c r="B29" s="0" t="s">
        <v>434</v>
      </c>
      <c r="C29" s="0" t="s">
        <v>80</v>
      </c>
      <c r="D29" s="0" t="s">
        <v>222</v>
      </c>
      <c r="E29" s="0" t="s">
        <v>144</v>
      </c>
      <c r="F29" s="0" t="n">
        <v>5.5</v>
      </c>
      <c r="G29" s="0" t="n">
        <v>5.84</v>
      </c>
      <c r="H29" s="7" t="n">
        <v>0.5393</v>
      </c>
      <c r="I29" s="0" t="n">
        <v>6.4</v>
      </c>
      <c r="J29" s="7" t="n">
        <v>0.5983</v>
      </c>
      <c r="K29" s="7" t="n">
        <v>0.1876</v>
      </c>
      <c r="L29" s="7" t="n">
        <v>0.33</v>
      </c>
      <c r="N29" s="7" t="n">
        <v>0.4</v>
      </c>
      <c r="O29" s="11"/>
      <c r="P29" s="0" t="str">
        <f aca="false">IF(O29="","",IF(O29&gt;F29,"OVER",IF(O29&lt;F29,"UNDER","PUSH")))</f>
        <v/>
      </c>
    </row>
    <row r="30" customFormat="false" ht="15" hidden="false" customHeight="false" outlineLevel="0" collapsed="false">
      <c r="A30" s="0" t="s">
        <v>436</v>
      </c>
      <c r="B30" s="0" t="s">
        <v>434</v>
      </c>
      <c r="C30" s="0" t="s">
        <v>80</v>
      </c>
      <c r="D30" s="0" t="s">
        <v>224</v>
      </c>
      <c r="E30" s="0" t="s">
        <v>144</v>
      </c>
      <c r="F30" s="0" t="n">
        <v>16.5</v>
      </c>
      <c r="G30" s="0" t="n">
        <v>18.84</v>
      </c>
      <c r="H30" s="7" t="n">
        <v>0.6432</v>
      </c>
      <c r="I30" s="0" t="n">
        <v>19</v>
      </c>
      <c r="J30" s="7" t="n">
        <v>0.6517</v>
      </c>
      <c r="K30" s="7" t="n">
        <v>0.8124</v>
      </c>
      <c r="L30" s="7" t="n">
        <v>0.83</v>
      </c>
      <c r="M30" s="0" t="n">
        <v>14.96</v>
      </c>
      <c r="N30" s="7" t="n">
        <v>0.5</v>
      </c>
      <c r="O30" s="11"/>
      <c r="P30" s="0" t="str">
        <f aca="false">IF(O30="","",IF(O30&gt;F30,"OVER",IF(O30&lt;F30,"UNDER","PUSH")))</f>
        <v/>
      </c>
    </row>
    <row r="31" customFormat="false" ht="15" hidden="false" customHeight="false" outlineLevel="0" collapsed="false">
      <c r="A31" s="0" t="s">
        <v>436</v>
      </c>
      <c r="B31" s="0" t="s">
        <v>434</v>
      </c>
      <c r="C31" s="0" t="s">
        <v>80</v>
      </c>
      <c r="D31" s="0" t="s">
        <v>227</v>
      </c>
      <c r="E31" s="0" t="s">
        <v>144</v>
      </c>
      <c r="F31" s="0" t="n">
        <v>16.5</v>
      </c>
      <c r="G31" s="0" t="n">
        <v>15.67</v>
      </c>
      <c r="H31" s="7" t="n">
        <v>0.4425</v>
      </c>
      <c r="I31" s="0" t="n">
        <v>15.8</v>
      </c>
      <c r="J31" s="7" t="n">
        <v>0.4517</v>
      </c>
      <c r="K31" s="7" t="n">
        <v>0.8124</v>
      </c>
      <c r="L31" s="7" t="n">
        <v>0.83</v>
      </c>
      <c r="N31" s="7" t="n">
        <v>0.4</v>
      </c>
      <c r="O31" s="11"/>
      <c r="P31" s="0" t="str">
        <f aca="false">IF(O31="","",IF(O31&gt;F31,"OVER",IF(O31&lt;F31,"UNDER","PUSH")))</f>
        <v/>
      </c>
    </row>
    <row r="32" customFormat="false" ht="15" hidden="false" customHeight="false" outlineLevel="0" collapsed="false">
      <c r="A32" s="0" t="s">
        <v>436</v>
      </c>
      <c r="B32" s="0" t="s">
        <v>434</v>
      </c>
      <c r="C32" s="0" t="s">
        <v>80</v>
      </c>
      <c r="D32" s="0" t="s">
        <v>229</v>
      </c>
      <c r="E32" s="0" t="s">
        <v>144</v>
      </c>
      <c r="F32" s="0" t="n">
        <v>6.5</v>
      </c>
      <c r="G32" s="0" t="n">
        <v>7.34</v>
      </c>
      <c r="H32" s="7" t="n">
        <v>0.5874</v>
      </c>
      <c r="I32" s="0" t="n">
        <v>7.4</v>
      </c>
      <c r="J32" s="7" t="n">
        <v>0.5933</v>
      </c>
      <c r="K32" s="7" t="n">
        <v>0.8124</v>
      </c>
      <c r="L32" s="7" t="n">
        <v>0.83</v>
      </c>
      <c r="M32" s="0" t="n">
        <v>5.85</v>
      </c>
      <c r="N32" s="7" t="n">
        <v>0.4</v>
      </c>
      <c r="O32" s="11"/>
      <c r="P32" s="0" t="str">
        <f aca="false">IF(O32="","",IF(O32&gt;F32,"OVER",IF(O32&lt;F32,"UNDER","PUSH")))</f>
        <v/>
      </c>
    </row>
    <row r="33" customFormat="false" ht="15" hidden="false" customHeight="false" outlineLevel="0" collapsed="false">
      <c r="A33" s="0" t="s">
        <v>436</v>
      </c>
      <c r="B33" s="0" t="s">
        <v>434</v>
      </c>
      <c r="C33" s="0" t="s">
        <v>80</v>
      </c>
      <c r="D33" s="0" t="s">
        <v>231</v>
      </c>
      <c r="E33" s="0" t="s">
        <v>144</v>
      </c>
      <c r="F33" s="0" t="n">
        <v>7.5</v>
      </c>
      <c r="G33" s="0" t="n">
        <v>7.74</v>
      </c>
      <c r="H33" s="7" t="n">
        <v>0.524</v>
      </c>
      <c r="I33" s="0" t="n">
        <v>7.8</v>
      </c>
      <c r="J33" s="7" t="n">
        <v>0.5305</v>
      </c>
      <c r="K33" s="7" t="n">
        <v>0.8124</v>
      </c>
      <c r="L33" s="7" t="n">
        <v>0.83</v>
      </c>
      <c r="M33" s="0" t="n">
        <v>6.9</v>
      </c>
      <c r="N33" s="7" t="n">
        <v>0.7</v>
      </c>
      <c r="O33" s="11"/>
      <c r="P33" s="0" t="str">
        <f aca="false">IF(O33="","",IF(O33&gt;F33,"OVER",IF(O33&lt;F33,"UNDER","PUSH")))</f>
        <v/>
      </c>
    </row>
    <row r="34" customFormat="false" ht="15" hidden="false" customHeight="false" outlineLevel="0" collapsed="false">
      <c r="A34" s="0" t="s">
        <v>436</v>
      </c>
      <c r="B34" s="0" t="s">
        <v>434</v>
      </c>
      <c r="C34" s="0" t="s">
        <v>80</v>
      </c>
      <c r="D34" s="0" t="s">
        <v>234</v>
      </c>
      <c r="E34" s="0" t="s">
        <v>144</v>
      </c>
      <c r="F34" s="0" t="n">
        <v>20</v>
      </c>
      <c r="G34" s="0" t="n">
        <v>22.02</v>
      </c>
      <c r="H34" s="7" t="n">
        <v>0.5859</v>
      </c>
      <c r="I34" s="0" t="n">
        <v>22.2</v>
      </c>
      <c r="J34" s="7" t="n">
        <v>0.5957</v>
      </c>
      <c r="K34" s="7" t="n">
        <v>0.8124</v>
      </c>
      <c r="L34" s="7" t="n">
        <v>0.83</v>
      </c>
      <c r="M34" s="0" t="n">
        <v>17.44</v>
      </c>
      <c r="N34" s="7" t="n">
        <v>0.5</v>
      </c>
      <c r="O34" s="11"/>
      <c r="P34" s="0" t="str">
        <f aca="false">IF(O34="","",IF(O34&gt;F34,"OVER",IF(O34&lt;F34,"UNDER","PUSH")))</f>
        <v/>
      </c>
    </row>
    <row r="35" customFormat="false" ht="15" hidden="false" customHeight="false" outlineLevel="0" collapsed="false">
      <c r="A35" s="0" t="s">
        <v>436</v>
      </c>
      <c r="B35" s="0" t="s">
        <v>434</v>
      </c>
      <c r="C35" s="0" t="s">
        <v>110</v>
      </c>
      <c r="D35" s="0" t="s">
        <v>237</v>
      </c>
      <c r="E35" s="0" t="s">
        <v>144</v>
      </c>
      <c r="F35" s="0" t="n">
        <v>1.5</v>
      </c>
      <c r="G35" s="0" t="n">
        <v>1.5</v>
      </c>
      <c r="H35" s="7" t="n">
        <v>0.5</v>
      </c>
      <c r="I35" s="0" t="n">
        <v>1.4</v>
      </c>
      <c r="J35" s="7" t="n">
        <v>0.4713</v>
      </c>
      <c r="K35" s="7" t="n">
        <v>0.6699</v>
      </c>
      <c r="L35" s="7" t="n">
        <v>0.57</v>
      </c>
      <c r="N35" s="7" t="n">
        <v>0.1</v>
      </c>
      <c r="O35" s="11"/>
      <c r="P35" s="0" t="str">
        <f aca="false">IF(O35="","",IF(O35&gt;F35,"OVER",IF(O35&lt;F35,"UNDER","PUSH")))</f>
        <v/>
      </c>
    </row>
    <row r="36" customFormat="false" ht="15" hidden="false" customHeight="false" outlineLevel="0" collapsed="false">
      <c r="A36" s="0" t="s">
        <v>436</v>
      </c>
      <c r="B36" s="0" t="s">
        <v>434</v>
      </c>
      <c r="C36" s="0" t="s">
        <v>110</v>
      </c>
      <c r="D36" s="0" t="s">
        <v>239</v>
      </c>
      <c r="E36" s="0" t="s">
        <v>144</v>
      </c>
      <c r="F36" s="0" t="n">
        <v>6.5</v>
      </c>
      <c r="G36" s="0" t="n">
        <v>5.79</v>
      </c>
      <c r="H36" s="7" t="n">
        <v>0.4069</v>
      </c>
      <c r="I36" s="0" t="n">
        <v>5.4</v>
      </c>
      <c r="J36" s="7" t="n">
        <v>0.3535</v>
      </c>
      <c r="K36" s="7" t="n">
        <v>0.6699</v>
      </c>
      <c r="L36" s="7" t="n">
        <v>0.57</v>
      </c>
      <c r="N36" s="7" t="n">
        <v>0.2</v>
      </c>
      <c r="O36" s="11"/>
      <c r="P36" s="0" t="str">
        <f aca="false">IF(O36="","",IF(O36&gt;F36,"OVER",IF(O36&lt;F36,"UNDER","PUSH")))</f>
        <v/>
      </c>
    </row>
    <row r="37" customFormat="false" ht="15" hidden="false" customHeight="false" outlineLevel="0" collapsed="false">
      <c r="A37" s="0" t="s">
        <v>436</v>
      </c>
      <c r="B37" s="0" t="s">
        <v>434</v>
      </c>
      <c r="C37" s="0" t="s">
        <v>110</v>
      </c>
      <c r="D37" s="0" t="s">
        <v>241</v>
      </c>
      <c r="E37" s="0" t="s">
        <v>144</v>
      </c>
      <c r="F37" s="0" t="n">
        <v>7.5</v>
      </c>
      <c r="G37" s="0" t="n">
        <v>7.93</v>
      </c>
      <c r="H37" s="7" t="n">
        <v>0.5467</v>
      </c>
      <c r="I37" s="0" t="n">
        <v>7.4</v>
      </c>
      <c r="J37" s="7" t="n">
        <v>0.4887</v>
      </c>
      <c r="K37" s="7" t="n">
        <v>0.6699</v>
      </c>
      <c r="L37" s="7" t="n">
        <v>0.57</v>
      </c>
      <c r="N37" s="7" t="n">
        <v>0.2</v>
      </c>
      <c r="O37" s="11"/>
      <c r="P37" s="0" t="str">
        <f aca="false">IF(O37="","",IF(O37&gt;F37,"OVER",IF(O37&lt;F37,"UNDER","PUSH")))</f>
        <v/>
      </c>
    </row>
    <row r="38" customFormat="false" ht="15" hidden="false" customHeight="false" outlineLevel="0" collapsed="false">
      <c r="A38" s="0" t="s">
        <v>436</v>
      </c>
      <c r="B38" s="0" t="s">
        <v>434</v>
      </c>
      <c r="C38" s="0" t="s">
        <v>110</v>
      </c>
      <c r="D38" s="0" t="s">
        <v>243</v>
      </c>
      <c r="E38" s="0" t="s">
        <v>144</v>
      </c>
      <c r="F38" s="0" t="n">
        <v>5.5</v>
      </c>
      <c r="G38" s="0" t="n">
        <v>5.07</v>
      </c>
      <c r="H38" s="7" t="n">
        <v>0.4397</v>
      </c>
      <c r="I38" s="0" t="n">
        <v>4.6</v>
      </c>
      <c r="J38" s="7" t="n">
        <v>0.3681</v>
      </c>
      <c r="K38" s="7" t="n">
        <v>0.6699</v>
      </c>
      <c r="L38" s="7" t="n">
        <v>0.53</v>
      </c>
      <c r="N38" s="7" t="n">
        <v>0.3</v>
      </c>
      <c r="O38" s="11"/>
      <c r="P38" s="0" t="str">
        <f aca="false">IF(O38="","",IF(O38&gt;F38,"OVER",IF(O38&lt;F38,"UNDER","PUSH")))</f>
        <v/>
      </c>
    </row>
    <row r="39" customFormat="false" ht="15" hidden="false" customHeight="false" outlineLevel="0" collapsed="false">
      <c r="A39" s="0" t="s">
        <v>436</v>
      </c>
      <c r="B39" s="0" t="s">
        <v>434</v>
      </c>
      <c r="C39" s="0" t="s">
        <v>110</v>
      </c>
      <c r="D39" s="0" t="s">
        <v>245</v>
      </c>
      <c r="E39" s="0" t="s">
        <v>144</v>
      </c>
      <c r="F39" s="0" t="n">
        <v>9</v>
      </c>
      <c r="G39" s="0" t="n">
        <v>9.93</v>
      </c>
      <c r="H39" s="7" t="n">
        <v>0.5405</v>
      </c>
      <c r="I39" s="0" t="n">
        <v>9</v>
      </c>
      <c r="J39" s="7" t="n">
        <v>0.4504</v>
      </c>
      <c r="K39" s="7" t="n">
        <v>0.6699</v>
      </c>
      <c r="L39" s="7" t="n">
        <v>0.53</v>
      </c>
      <c r="N39" s="7" t="n">
        <v>0.3</v>
      </c>
      <c r="O39" s="11"/>
      <c r="P39" s="0" t="str">
        <f aca="false">IF(O39="","",IF(O39&gt;F39,"OVER",IF(O39&lt;F39,"UNDER","PUSH")))</f>
        <v/>
      </c>
    </row>
    <row r="40" customFormat="false" ht="15" hidden="false" customHeight="false" outlineLevel="0" collapsed="false">
      <c r="A40" s="0" t="s">
        <v>436</v>
      </c>
      <c r="B40" s="0" t="s">
        <v>434</v>
      </c>
      <c r="C40" s="0" t="s">
        <v>110</v>
      </c>
      <c r="D40" s="0" t="s">
        <v>247</v>
      </c>
      <c r="E40" s="0" t="s">
        <v>144</v>
      </c>
      <c r="F40" s="0" t="n">
        <v>5</v>
      </c>
      <c r="G40" s="0" t="n">
        <v>4.76</v>
      </c>
      <c r="H40" s="7" t="n">
        <v>0.3979</v>
      </c>
      <c r="I40" s="0" t="n">
        <v>6</v>
      </c>
      <c r="J40" s="7" t="n">
        <v>0.5623</v>
      </c>
      <c r="K40" s="7" t="n">
        <v>0.3301</v>
      </c>
      <c r="L40" s="7" t="n">
        <v>0.63</v>
      </c>
      <c r="N40" s="7" t="n">
        <v>0.5</v>
      </c>
      <c r="O40" s="11"/>
      <c r="P40" s="0" t="str">
        <f aca="false">IF(O40="","",IF(O40&gt;F40,"OVER",IF(O40&lt;F40,"UNDER","PUSH")))</f>
        <v/>
      </c>
    </row>
    <row r="41" customFormat="false" ht="15" hidden="false" customHeight="false" outlineLevel="0" collapsed="false">
      <c r="A41" s="0" t="s">
        <v>436</v>
      </c>
      <c r="B41" s="0" t="s">
        <v>434</v>
      </c>
      <c r="C41" s="0" t="s">
        <v>110</v>
      </c>
      <c r="D41" s="0" t="s">
        <v>249</v>
      </c>
      <c r="E41" s="0" t="s">
        <v>144</v>
      </c>
      <c r="F41" s="0" t="n">
        <v>6</v>
      </c>
      <c r="G41" s="0" t="n">
        <v>6.51</v>
      </c>
      <c r="H41" s="7" t="n">
        <v>0.5013</v>
      </c>
      <c r="I41" s="0" t="n">
        <v>8.2</v>
      </c>
      <c r="J41" s="7" t="n">
        <v>0.6693</v>
      </c>
      <c r="K41" s="7" t="n">
        <v>0.3301</v>
      </c>
      <c r="L41" s="7" t="n">
        <v>0.63</v>
      </c>
      <c r="N41" s="7" t="n">
        <v>0.8</v>
      </c>
      <c r="O41" s="11"/>
      <c r="P41" s="0" t="str">
        <f aca="false">IF(O41="","",IF(O41&gt;F41,"OVER",IF(O41&lt;F41,"UNDER","PUSH")))</f>
        <v/>
      </c>
    </row>
    <row r="42" customFormat="false" ht="15" hidden="false" customHeight="false" outlineLevel="0" collapsed="false">
      <c r="A42" s="0" t="s">
        <v>436</v>
      </c>
      <c r="B42" s="0" t="s">
        <v>434</v>
      </c>
      <c r="C42" s="0" t="s">
        <v>110</v>
      </c>
      <c r="D42" s="0" t="s">
        <v>251</v>
      </c>
      <c r="E42" s="0" t="s">
        <v>144</v>
      </c>
      <c r="F42" s="0" t="n">
        <v>3.5</v>
      </c>
      <c r="G42" s="0" t="n">
        <v>4.45</v>
      </c>
      <c r="H42" s="7" t="n">
        <v>0.636</v>
      </c>
      <c r="I42" s="0" t="n">
        <v>5.6</v>
      </c>
      <c r="J42" s="7" t="n">
        <v>0.754</v>
      </c>
      <c r="K42" s="7" t="n">
        <v>0.3301</v>
      </c>
      <c r="L42" s="7" t="n">
        <v>0.63</v>
      </c>
      <c r="N42" s="7" t="n">
        <v>0.9</v>
      </c>
      <c r="O42" s="11"/>
      <c r="P42" s="0" t="str">
        <f aca="false">IF(O42="","",IF(O42&gt;F42,"OVER",IF(O42&lt;F42,"UNDER","PUSH")))</f>
        <v/>
      </c>
    </row>
    <row r="43" customFormat="false" ht="15" hidden="false" customHeight="false" outlineLevel="0" collapsed="false">
      <c r="A43" s="0" t="s">
        <v>436</v>
      </c>
      <c r="B43" s="0" t="s">
        <v>434</v>
      </c>
      <c r="C43" s="0" t="s">
        <v>110</v>
      </c>
      <c r="D43" s="0" t="s">
        <v>253</v>
      </c>
      <c r="E43" s="0" t="s">
        <v>144</v>
      </c>
      <c r="F43" s="0" t="n">
        <v>7</v>
      </c>
      <c r="G43" s="0" t="n">
        <v>8.43</v>
      </c>
      <c r="H43" s="7" t="n">
        <v>0.5899</v>
      </c>
      <c r="I43" s="0" t="n">
        <v>10.4</v>
      </c>
      <c r="J43" s="7" t="n">
        <v>0.7377</v>
      </c>
      <c r="K43" s="7" t="n">
        <v>0.3301</v>
      </c>
      <c r="L43" s="7" t="n">
        <v>0.6</v>
      </c>
      <c r="N43" s="7" t="n">
        <v>0.7</v>
      </c>
      <c r="O43" s="11"/>
      <c r="P43" s="0" t="str">
        <f aca="false">IF(O43="","",IF(O43&gt;F43,"OVER",IF(O43&lt;F43,"UNDER","PUSH")))</f>
        <v/>
      </c>
    </row>
    <row r="44" customFormat="false" ht="15" hidden="false" customHeight="false" outlineLevel="0" collapsed="false">
      <c r="A44" s="0" t="s">
        <v>436</v>
      </c>
      <c r="B44" s="0" t="s">
        <v>434</v>
      </c>
      <c r="C44" s="0" t="s">
        <v>116</v>
      </c>
      <c r="D44" s="0" t="s">
        <v>255</v>
      </c>
      <c r="E44" s="0" t="s">
        <v>144</v>
      </c>
      <c r="F44" s="0" t="n">
        <v>8.5</v>
      </c>
      <c r="G44" s="0" t="n">
        <v>6.83</v>
      </c>
      <c r="H44" s="7" t="n">
        <v>0.302</v>
      </c>
      <c r="I44" s="0" t="n">
        <v>7</v>
      </c>
      <c r="J44" s="7" t="n">
        <v>0.3226</v>
      </c>
      <c r="K44" s="7" t="n">
        <v>0.7899</v>
      </c>
      <c r="L44" s="7" t="n">
        <v>0.83</v>
      </c>
      <c r="N44" s="7" t="n">
        <v>0.3</v>
      </c>
      <c r="O44" s="11"/>
      <c r="P44" s="0" t="str">
        <f aca="false">IF(O44="","",IF(O44&gt;F44,"OVER",IF(O44&lt;F44,"UNDER","PUSH")))</f>
        <v/>
      </c>
    </row>
    <row r="45" customFormat="false" ht="15" hidden="false" customHeight="false" outlineLevel="0" collapsed="false">
      <c r="A45" s="0" t="s">
        <v>436</v>
      </c>
      <c r="B45" s="0" t="s">
        <v>434</v>
      </c>
      <c r="C45" s="0" t="s">
        <v>116</v>
      </c>
      <c r="D45" s="0" t="s">
        <v>258</v>
      </c>
      <c r="E45" s="0" t="s">
        <v>144</v>
      </c>
      <c r="F45" s="0" t="n">
        <v>10</v>
      </c>
      <c r="G45" s="0" t="n">
        <v>8.05</v>
      </c>
      <c r="H45" s="7" t="n">
        <v>0.2441</v>
      </c>
      <c r="I45" s="0" t="n">
        <v>7.6</v>
      </c>
      <c r="J45" s="7" t="n">
        <v>0.1995</v>
      </c>
      <c r="K45" s="7" t="n">
        <v>0.7899</v>
      </c>
      <c r="L45" s="7" t="n">
        <v>0.7</v>
      </c>
      <c r="N45" s="7" t="n">
        <v>0.2</v>
      </c>
      <c r="O45" s="11"/>
      <c r="P45" s="0" t="str">
        <f aca="false">IF(O45="","",IF(O45&gt;F45,"OVER",IF(O45&lt;F45,"UNDER","PUSH")))</f>
        <v/>
      </c>
    </row>
    <row r="46" customFormat="false" ht="15" hidden="false" customHeight="false" outlineLevel="0" collapsed="false">
      <c r="A46" s="0" t="s">
        <v>436</v>
      </c>
      <c r="B46" s="0" t="s">
        <v>434</v>
      </c>
      <c r="C46" s="0" t="s">
        <v>116</v>
      </c>
      <c r="D46" s="0" t="s">
        <v>260</v>
      </c>
      <c r="E46" s="0" t="s">
        <v>144</v>
      </c>
      <c r="F46" s="0" t="n">
        <v>1.5</v>
      </c>
      <c r="G46" s="0" t="n">
        <v>1.48</v>
      </c>
      <c r="H46" s="7" t="n">
        <v>0.495</v>
      </c>
      <c r="I46" s="0" t="n">
        <v>1.4</v>
      </c>
      <c r="J46" s="7" t="n">
        <v>0.471</v>
      </c>
      <c r="K46" s="7" t="n">
        <v>0.7899</v>
      </c>
      <c r="L46" s="7" t="n">
        <v>0.7</v>
      </c>
      <c r="N46" s="7" t="n">
        <v>0.5</v>
      </c>
      <c r="O46" s="11"/>
      <c r="P46" s="0" t="str">
        <f aca="false">IF(O46="","",IF(O46&gt;F46,"OVER",IF(O46&lt;F46,"UNDER","PUSH")))</f>
        <v/>
      </c>
    </row>
    <row r="47" customFormat="false" ht="15" hidden="false" customHeight="false" outlineLevel="0" collapsed="false">
      <c r="A47" s="0" t="s">
        <v>436</v>
      </c>
      <c r="B47" s="0" t="s">
        <v>434</v>
      </c>
      <c r="C47" s="0" t="s">
        <v>116</v>
      </c>
      <c r="D47" s="0" t="s">
        <v>263</v>
      </c>
      <c r="E47" s="0" t="s">
        <v>144</v>
      </c>
      <c r="F47" s="0" t="n">
        <v>7.5</v>
      </c>
      <c r="G47" s="0" t="n">
        <v>7.62</v>
      </c>
      <c r="H47" s="7" t="n">
        <v>0.5144</v>
      </c>
      <c r="I47" s="0" t="n">
        <v>7.2</v>
      </c>
      <c r="J47" s="7" t="n">
        <v>0.4641</v>
      </c>
      <c r="K47" s="7" t="n">
        <v>0.7899</v>
      </c>
      <c r="L47" s="7" t="n">
        <v>0.7</v>
      </c>
      <c r="N47" s="7" t="n">
        <v>0.4</v>
      </c>
      <c r="O47" s="11"/>
      <c r="P47" s="0" t="str">
        <f aca="false">IF(O47="","",IF(O47&gt;F47,"OVER",IF(O47&lt;F47,"UNDER","PUSH")))</f>
        <v/>
      </c>
    </row>
    <row r="48" customFormat="false" ht="15" hidden="false" customHeight="false" outlineLevel="0" collapsed="false">
      <c r="A48" s="0" t="s">
        <v>436</v>
      </c>
      <c r="B48" s="0" t="s">
        <v>434</v>
      </c>
      <c r="C48" s="0" t="s">
        <v>116</v>
      </c>
      <c r="D48" s="0" t="s">
        <v>265</v>
      </c>
      <c r="E48" s="0" t="s">
        <v>144</v>
      </c>
      <c r="F48" s="0" t="n">
        <v>12</v>
      </c>
      <c r="G48" s="0" t="n">
        <v>10.17</v>
      </c>
      <c r="H48" s="7" t="n">
        <v>0.2827</v>
      </c>
      <c r="I48" s="0" t="n">
        <v>9.6</v>
      </c>
      <c r="J48" s="7" t="n">
        <v>0.2313</v>
      </c>
      <c r="K48" s="7" t="n">
        <v>0.7899</v>
      </c>
      <c r="L48" s="7" t="n">
        <v>0.7</v>
      </c>
      <c r="N48" s="7" t="n">
        <v>0.2</v>
      </c>
      <c r="O48" s="11"/>
      <c r="P48" s="0" t="str">
        <f aca="false">IF(O48="","",IF(O48&gt;F48,"OVER",IF(O48&lt;F48,"UNDER","PUSH")))</f>
        <v/>
      </c>
    </row>
    <row r="49" customFormat="false" ht="15" hidden="false" customHeight="false" outlineLevel="0" collapsed="false">
      <c r="A49" s="0" t="s">
        <v>436</v>
      </c>
      <c r="B49" s="0" t="s">
        <v>434</v>
      </c>
      <c r="C49" s="0" t="s">
        <v>116</v>
      </c>
      <c r="D49" s="0" t="s">
        <v>267</v>
      </c>
      <c r="E49" s="0" t="s">
        <v>144</v>
      </c>
      <c r="F49" s="0" t="n">
        <v>5.5</v>
      </c>
      <c r="G49" s="0" t="n">
        <v>6.79</v>
      </c>
      <c r="H49" s="7" t="n">
        <v>0.6428</v>
      </c>
      <c r="I49" s="0" t="n">
        <v>9.8</v>
      </c>
      <c r="J49" s="7" t="n">
        <v>0.8454</v>
      </c>
      <c r="K49" s="7" t="n">
        <v>0.2101</v>
      </c>
      <c r="L49" s="7" t="n">
        <v>0.67</v>
      </c>
      <c r="N49" s="7" t="n">
        <v>0.9</v>
      </c>
      <c r="O49" s="11"/>
      <c r="P49" s="0" t="str">
        <f aca="false">IF(O49="","",IF(O49&gt;F49,"OVER",IF(O49&lt;F49,"UNDER","PUSH")))</f>
        <v/>
      </c>
    </row>
    <row r="50" customFormat="false" ht="15" hidden="false" customHeight="false" outlineLevel="0" collapsed="false">
      <c r="A50" s="0" t="s">
        <v>436</v>
      </c>
      <c r="B50" s="0" t="s">
        <v>434</v>
      </c>
      <c r="C50" s="0" t="s">
        <v>116</v>
      </c>
      <c r="D50" s="0" t="s">
        <v>270</v>
      </c>
      <c r="E50" s="0" t="s">
        <v>144</v>
      </c>
      <c r="F50" s="0" t="n">
        <v>3</v>
      </c>
      <c r="G50" s="0" t="n">
        <v>2.91</v>
      </c>
      <c r="H50" s="7" t="n">
        <v>0.3895</v>
      </c>
      <c r="I50" s="0" t="n">
        <v>4.2</v>
      </c>
      <c r="J50" s="7" t="n">
        <v>0.609</v>
      </c>
      <c r="K50" s="7" t="n">
        <v>0.2101</v>
      </c>
      <c r="L50" s="7" t="n">
        <v>0.67</v>
      </c>
      <c r="N50" s="7" t="n">
        <v>0.7</v>
      </c>
      <c r="O50" s="11"/>
      <c r="P50" s="0" t="str">
        <f aca="false">IF(O50="","",IF(O50&gt;F50,"OVER",IF(O50&lt;F50,"UNDER","PUSH")))</f>
        <v/>
      </c>
    </row>
    <row r="51" customFormat="false" ht="15" hidden="false" customHeight="false" outlineLevel="0" collapsed="false">
      <c r="A51" s="0" t="s">
        <v>436</v>
      </c>
      <c r="B51" s="0" t="s">
        <v>434</v>
      </c>
      <c r="C51" s="0" t="s">
        <v>116</v>
      </c>
      <c r="D51" s="0" t="s">
        <v>272</v>
      </c>
      <c r="E51" s="0" t="s">
        <v>144</v>
      </c>
      <c r="F51" s="0" t="n">
        <v>4.5</v>
      </c>
      <c r="G51" s="0" t="n">
        <v>3.86</v>
      </c>
      <c r="H51" s="7" t="n">
        <v>0.3983</v>
      </c>
      <c r="I51" s="0" t="n">
        <v>5.2</v>
      </c>
      <c r="J51" s="7" t="n">
        <v>0.5959</v>
      </c>
      <c r="K51" s="7" t="n">
        <v>0.2101</v>
      </c>
      <c r="L51" s="7" t="n">
        <v>0.57</v>
      </c>
      <c r="N51" s="7" t="n">
        <v>0.7</v>
      </c>
      <c r="O51" s="11"/>
      <c r="P51" s="0" t="str">
        <f aca="false">IF(O51="","",IF(O51&gt;F51,"OVER",IF(O51&lt;F51,"UNDER","PUSH")))</f>
        <v/>
      </c>
    </row>
    <row r="52" customFormat="false" ht="15" hidden="false" customHeight="false" outlineLevel="0" collapsed="false">
      <c r="A52" s="0" t="s">
        <v>436</v>
      </c>
      <c r="B52" s="0" t="s">
        <v>434</v>
      </c>
      <c r="C52" s="0" t="s">
        <v>116</v>
      </c>
      <c r="D52" s="0" t="s">
        <v>275</v>
      </c>
      <c r="E52" s="0" t="s">
        <v>144</v>
      </c>
      <c r="F52" s="0" t="n">
        <v>5</v>
      </c>
      <c r="G52" s="0" t="n">
        <v>6.23</v>
      </c>
      <c r="H52" s="7" t="n">
        <v>0.5872</v>
      </c>
      <c r="I52" s="0" t="n">
        <v>9</v>
      </c>
      <c r="J52" s="7" t="n">
        <v>0.809</v>
      </c>
      <c r="K52" s="7" t="n">
        <v>0.2101</v>
      </c>
      <c r="L52" s="7" t="n">
        <v>0.67</v>
      </c>
      <c r="N52" s="7" t="n">
        <v>1</v>
      </c>
      <c r="O52" s="11"/>
      <c r="P52" s="0" t="str">
        <f aca="false">IF(O52="","",IF(O52&gt;F52,"OVER",IF(O52&lt;F52,"UNDER","PUSH")))</f>
        <v/>
      </c>
    </row>
    <row r="53" customFormat="false" ht="15" hidden="false" customHeight="false" outlineLevel="0" collapsed="false">
      <c r="A53" s="0" t="s">
        <v>436</v>
      </c>
      <c r="B53" s="0" t="s">
        <v>434</v>
      </c>
      <c r="C53" s="0" t="s">
        <v>92</v>
      </c>
      <c r="D53" s="0" t="s">
        <v>277</v>
      </c>
      <c r="E53" s="0" t="s">
        <v>278</v>
      </c>
      <c r="F53" s="0" t="n">
        <v>0.5</v>
      </c>
      <c r="G53" s="0" t="n">
        <v>0.66</v>
      </c>
      <c r="H53" s="7" t="n">
        <v>0.5673</v>
      </c>
      <c r="I53" s="0" t="n">
        <v>0.6</v>
      </c>
      <c r="J53" s="7" t="n">
        <v>0.5441</v>
      </c>
      <c r="K53" s="7" t="n">
        <v>0.7111</v>
      </c>
      <c r="L53" s="7" t="n">
        <v>0.57</v>
      </c>
      <c r="N53" s="7" t="n">
        <v>0.4</v>
      </c>
      <c r="O53" s="11"/>
      <c r="P53" s="0" t="str">
        <f aca="false">IF(O53="","",IF(O53&gt;F53,"OVER",IF(O53&lt;F53,"UNDER","PUSH")))</f>
        <v/>
      </c>
    </row>
    <row r="54" customFormat="false" ht="15" hidden="false" customHeight="false" outlineLevel="0" collapsed="false">
      <c r="A54" s="0" t="s">
        <v>436</v>
      </c>
      <c r="B54" s="0" t="s">
        <v>434</v>
      </c>
      <c r="C54" s="0" t="s">
        <v>92</v>
      </c>
      <c r="D54" s="0" t="s">
        <v>281</v>
      </c>
      <c r="E54" s="0" t="s">
        <v>278</v>
      </c>
      <c r="F54" s="0" t="n">
        <v>5.5</v>
      </c>
      <c r="G54" s="0" t="n">
        <v>4.52</v>
      </c>
      <c r="H54" s="7" t="n">
        <v>0.3617</v>
      </c>
      <c r="I54" s="0" t="n">
        <v>4.4</v>
      </c>
      <c r="J54" s="7" t="n">
        <v>0.3435</v>
      </c>
      <c r="K54" s="7" t="n">
        <v>0.7111</v>
      </c>
      <c r="L54" s="7" t="n">
        <v>0.67</v>
      </c>
      <c r="M54" s="0" t="n">
        <v>3.7</v>
      </c>
      <c r="N54" s="7" t="n">
        <v>0.1</v>
      </c>
      <c r="O54" s="11"/>
      <c r="P54" s="0" t="str">
        <f aca="false">IF(O54="","",IF(O54&gt;F54,"OVER",IF(O54&lt;F54,"UNDER","PUSH")))</f>
        <v/>
      </c>
    </row>
    <row r="55" customFormat="false" ht="15" hidden="false" customHeight="false" outlineLevel="0" collapsed="false">
      <c r="A55" s="0" t="s">
        <v>436</v>
      </c>
      <c r="B55" s="0" t="s">
        <v>434</v>
      </c>
      <c r="C55" s="0" t="s">
        <v>92</v>
      </c>
      <c r="D55" s="0" t="s">
        <v>283</v>
      </c>
      <c r="E55" s="0" t="s">
        <v>278</v>
      </c>
      <c r="F55" s="0" t="n">
        <v>4</v>
      </c>
      <c r="G55" s="0" t="n">
        <v>3.52</v>
      </c>
      <c r="H55" s="7" t="n">
        <v>0.3407</v>
      </c>
      <c r="I55" s="0" t="n">
        <v>3.2</v>
      </c>
      <c r="J55" s="7" t="n">
        <v>0.2832</v>
      </c>
      <c r="K55" s="7" t="n">
        <v>0.7111</v>
      </c>
      <c r="L55" s="7" t="n">
        <v>0.57</v>
      </c>
      <c r="M55" s="0" t="n">
        <v>3.31</v>
      </c>
      <c r="N55" s="7" t="n">
        <v>0.4</v>
      </c>
      <c r="O55" s="11"/>
      <c r="P55" s="0" t="str">
        <f aca="false">IF(O55="","",IF(O55&gt;F55,"OVER",IF(O55&lt;F55,"UNDER","PUSH")))</f>
        <v/>
      </c>
    </row>
    <row r="56" customFormat="false" ht="15" hidden="false" customHeight="false" outlineLevel="0" collapsed="false">
      <c r="A56" s="0" t="s">
        <v>436</v>
      </c>
      <c r="B56" s="0" t="s">
        <v>434</v>
      </c>
      <c r="C56" s="0" t="s">
        <v>92</v>
      </c>
      <c r="D56" s="0" t="s">
        <v>285</v>
      </c>
      <c r="E56" s="0" t="s">
        <v>278</v>
      </c>
      <c r="F56" s="0" t="n">
        <v>5.5</v>
      </c>
      <c r="G56" s="0" t="n">
        <v>5.24</v>
      </c>
      <c r="H56" s="7" t="n">
        <v>0.4655</v>
      </c>
      <c r="I56" s="0" t="n">
        <v>5.2</v>
      </c>
      <c r="J56" s="7" t="n">
        <v>0.4604</v>
      </c>
      <c r="K56" s="7" t="n">
        <v>0.7111</v>
      </c>
      <c r="L56" s="7" t="n">
        <v>0.7</v>
      </c>
      <c r="M56" s="0" t="n">
        <v>4.5</v>
      </c>
      <c r="N56" s="7" t="n">
        <v>0.3</v>
      </c>
      <c r="O56" s="11"/>
      <c r="P56" s="0" t="str">
        <f aca="false">IF(O56="","",IF(O56&gt;F56,"OVER",IF(O56&lt;F56,"UNDER","PUSH")))</f>
        <v/>
      </c>
    </row>
    <row r="57" customFormat="false" ht="15" hidden="false" customHeight="false" outlineLevel="0" collapsed="false">
      <c r="A57" s="0" t="s">
        <v>436</v>
      </c>
      <c r="B57" s="0" t="s">
        <v>434</v>
      </c>
      <c r="C57" s="0" t="s">
        <v>92</v>
      </c>
      <c r="D57" s="0" t="s">
        <v>287</v>
      </c>
      <c r="E57" s="0" t="s">
        <v>278</v>
      </c>
      <c r="F57" s="0" t="n">
        <v>3.5</v>
      </c>
      <c r="G57" s="0" t="n">
        <v>3.12</v>
      </c>
      <c r="H57" s="7" t="n">
        <v>0.4323</v>
      </c>
      <c r="I57" s="0" t="n">
        <v>3.1</v>
      </c>
      <c r="J57" s="7" t="n">
        <v>0.4281</v>
      </c>
      <c r="K57" s="7" t="n">
        <v>0.7111</v>
      </c>
      <c r="L57" s="7" t="n">
        <v>0.7</v>
      </c>
      <c r="M57" s="0" t="n">
        <v>2.67</v>
      </c>
      <c r="N57" s="7" t="n">
        <v>0.3</v>
      </c>
      <c r="O57" s="11"/>
      <c r="P57" s="0" t="str">
        <f aca="false">IF(O57="","",IF(O57&gt;F57,"OVER",IF(O57&lt;F57,"UNDER","PUSH")))</f>
        <v/>
      </c>
    </row>
    <row r="58" customFormat="false" ht="15" hidden="false" customHeight="false" outlineLevel="0" collapsed="false">
      <c r="A58" s="0" t="s">
        <v>436</v>
      </c>
      <c r="B58" s="0" t="s">
        <v>434</v>
      </c>
      <c r="C58" s="0" t="s">
        <v>92</v>
      </c>
      <c r="D58" s="0" t="s">
        <v>289</v>
      </c>
      <c r="E58" s="0" t="s">
        <v>278</v>
      </c>
      <c r="F58" s="0" t="n">
        <v>3.5</v>
      </c>
      <c r="G58" s="0" t="n">
        <v>4.14</v>
      </c>
      <c r="H58" s="7" t="n">
        <v>0.5889</v>
      </c>
      <c r="I58" s="0" t="n">
        <v>5.3</v>
      </c>
      <c r="J58" s="7" t="n">
        <v>0.7106</v>
      </c>
      <c r="K58" s="7" t="n">
        <v>0.2889</v>
      </c>
      <c r="L58" s="7" t="n">
        <v>0.6</v>
      </c>
      <c r="M58" s="0" t="n">
        <v>2.78</v>
      </c>
      <c r="N58" s="7" t="n">
        <v>0.9</v>
      </c>
      <c r="O58" s="11"/>
      <c r="P58" s="0" t="str">
        <f aca="false">IF(O58="","",IF(O58&gt;F58,"OVER",IF(O58&lt;F58,"UNDER","PUSH")))</f>
        <v/>
      </c>
    </row>
    <row r="59" customFormat="false" ht="15" hidden="false" customHeight="false" outlineLevel="0" collapsed="false">
      <c r="A59" s="0" t="s">
        <v>436</v>
      </c>
      <c r="B59" s="0" t="s">
        <v>434</v>
      </c>
      <c r="C59" s="0" t="s">
        <v>92</v>
      </c>
      <c r="D59" s="0" t="s">
        <v>291</v>
      </c>
      <c r="E59" s="0" t="s">
        <v>278</v>
      </c>
      <c r="F59" s="0" t="n">
        <v>3</v>
      </c>
      <c r="G59" s="0" t="n">
        <v>3.13</v>
      </c>
      <c r="H59" s="7" t="n">
        <v>0.4379</v>
      </c>
      <c r="I59" s="0" t="n">
        <v>4</v>
      </c>
      <c r="J59" s="7" t="n">
        <v>0.5736</v>
      </c>
      <c r="K59" s="7" t="n">
        <v>0.2889</v>
      </c>
      <c r="L59" s="7" t="n">
        <v>0.6</v>
      </c>
      <c r="M59" s="0" t="n">
        <v>2.42</v>
      </c>
      <c r="N59" s="7" t="n">
        <v>1</v>
      </c>
      <c r="O59" s="11"/>
      <c r="P59" s="0" t="str">
        <f aca="false">IF(O59="","",IF(O59&gt;F59,"OVER",IF(O59&lt;F59,"UNDER","PUSH")))</f>
        <v/>
      </c>
    </row>
    <row r="60" customFormat="false" ht="15" hidden="false" customHeight="false" outlineLevel="0" collapsed="false">
      <c r="A60" s="0" t="s">
        <v>436</v>
      </c>
      <c r="B60" s="0" t="s">
        <v>434</v>
      </c>
      <c r="C60" s="0" t="s">
        <v>92</v>
      </c>
      <c r="D60" s="0" t="s">
        <v>293</v>
      </c>
      <c r="E60" s="0" t="s">
        <v>278</v>
      </c>
      <c r="F60" s="0" t="n">
        <v>2</v>
      </c>
      <c r="G60" s="0" t="n">
        <v>1.84</v>
      </c>
      <c r="H60" s="7" t="n">
        <v>0.3499</v>
      </c>
      <c r="I60" s="0" t="n">
        <v>2.4</v>
      </c>
      <c r="J60" s="7" t="n">
        <v>0.4797</v>
      </c>
      <c r="K60" s="7" t="n">
        <v>0.2889</v>
      </c>
      <c r="L60" s="7" t="n">
        <v>0.63</v>
      </c>
      <c r="M60" s="0" t="n">
        <v>1.27</v>
      </c>
      <c r="N60" s="7" t="n">
        <v>0.6</v>
      </c>
      <c r="O60" s="11"/>
      <c r="P60" s="0" t="str">
        <f aca="false">IF(O60="","",IF(O60&gt;F60,"OVER",IF(O60&lt;F60,"UNDER","PUSH")))</f>
        <v/>
      </c>
    </row>
    <row r="61" customFormat="false" ht="15" hidden="false" customHeight="false" outlineLevel="0" collapsed="false">
      <c r="A61" s="0" t="s">
        <v>436</v>
      </c>
      <c r="B61" s="0" t="s">
        <v>434</v>
      </c>
      <c r="C61" s="0" t="s">
        <v>92</v>
      </c>
      <c r="D61" s="0" t="s">
        <v>295</v>
      </c>
      <c r="E61" s="0" t="s">
        <v>278</v>
      </c>
      <c r="F61" s="0" t="n">
        <v>2</v>
      </c>
      <c r="G61" s="0" t="n">
        <v>2.58</v>
      </c>
      <c r="H61" s="7" t="n">
        <v>0.5152</v>
      </c>
      <c r="I61" s="0" t="n">
        <v>3.3</v>
      </c>
      <c r="J61" s="7" t="n">
        <v>0.6313</v>
      </c>
      <c r="K61" s="7" t="n">
        <v>0.2889</v>
      </c>
      <c r="L61" s="7" t="n">
        <v>0.6</v>
      </c>
      <c r="M61" s="0" t="n">
        <v>2.1</v>
      </c>
      <c r="N61" s="7" t="n">
        <v>0.7</v>
      </c>
      <c r="O61" s="11"/>
      <c r="P61" s="0" t="str">
        <f aca="false">IF(O61="","",IF(O61&gt;F61,"OVER",IF(O61&lt;F61,"UNDER","PUSH")))</f>
        <v/>
      </c>
    </row>
    <row r="62" customFormat="false" ht="15" hidden="false" customHeight="false" outlineLevel="0" collapsed="false">
      <c r="A62" s="0" t="s">
        <v>436</v>
      </c>
      <c r="B62" s="0" t="s">
        <v>434</v>
      </c>
      <c r="C62" s="0" t="s">
        <v>104</v>
      </c>
      <c r="D62" s="0" t="s">
        <v>297</v>
      </c>
      <c r="E62" s="0" t="s">
        <v>278</v>
      </c>
      <c r="F62" s="0" t="n">
        <v>2.5</v>
      </c>
      <c r="G62" s="0" t="n">
        <v>2.87</v>
      </c>
      <c r="H62" s="7" t="n">
        <v>0.5666</v>
      </c>
      <c r="I62" s="0" t="n">
        <v>3.3</v>
      </c>
      <c r="J62" s="7" t="n">
        <v>0.6326</v>
      </c>
      <c r="K62" s="7" t="n">
        <v>0.527</v>
      </c>
      <c r="L62" s="7" t="n">
        <v>0.73</v>
      </c>
      <c r="M62" s="0" t="n">
        <v>2.18</v>
      </c>
      <c r="N62" s="7" t="n">
        <v>0.7</v>
      </c>
      <c r="O62" s="11"/>
      <c r="P62" s="0" t="str">
        <f aca="false">IF(O62="","",IF(O62&gt;F62,"OVER",IF(O62&lt;F62,"UNDER","PUSH")))</f>
        <v/>
      </c>
    </row>
    <row r="63" customFormat="false" ht="15" hidden="false" customHeight="false" outlineLevel="0" collapsed="false">
      <c r="A63" s="0" t="s">
        <v>436</v>
      </c>
      <c r="B63" s="0" t="s">
        <v>434</v>
      </c>
      <c r="C63" s="0" t="s">
        <v>104</v>
      </c>
      <c r="D63" s="0" t="s">
        <v>299</v>
      </c>
      <c r="E63" s="0" t="s">
        <v>278</v>
      </c>
      <c r="F63" s="0" t="n">
        <v>3.5</v>
      </c>
      <c r="G63" s="0" t="n">
        <v>3.48</v>
      </c>
      <c r="H63" s="7" t="n">
        <v>0.4965</v>
      </c>
      <c r="I63" s="0" t="n">
        <v>4</v>
      </c>
      <c r="J63" s="7" t="n">
        <v>0.5745</v>
      </c>
      <c r="K63" s="7" t="n">
        <v>0.527</v>
      </c>
      <c r="L63" s="7" t="n">
        <v>0.73</v>
      </c>
      <c r="M63" s="0" t="n">
        <v>3.4</v>
      </c>
      <c r="N63" s="7" t="n">
        <v>0.6</v>
      </c>
      <c r="O63" s="11"/>
      <c r="P63" s="0" t="str">
        <f aca="false">IF(O63="","",IF(O63&gt;F63,"OVER",IF(O63&lt;F63,"UNDER","PUSH")))</f>
        <v/>
      </c>
    </row>
    <row r="64" customFormat="false" ht="15" hidden="false" customHeight="false" outlineLevel="0" collapsed="false">
      <c r="A64" s="0" t="s">
        <v>436</v>
      </c>
      <c r="B64" s="0" t="s">
        <v>434</v>
      </c>
      <c r="C64" s="0" t="s">
        <v>104</v>
      </c>
      <c r="D64" s="0" t="s">
        <v>302</v>
      </c>
      <c r="E64" s="0" t="s">
        <v>278</v>
      </c>
      <c r="F64" s="0" t="n">
        <v>3.5</v>
      </c>
      <c r="G64" s="0" t="n">
        <v>4</v>
      </c>
      <c r="H64" s="7" t="n">
        <v>0.573</v>
      </c>
      <c r="I64" s="0" t="n">
        <v>4.6</v>
      </c>
      <c r="J64" s="7" t="n">
        <v>0.6472</v>
      </c>
      <c r="K64" s="7" t="n">
        <v>0.527</v>
      </c>
      <c r="L64" s="7" t="n">
        <v>0.73</v>
      </c>
      <c r="M64" s="0" t="n">
        <v>3.81</v>
      </c>
      <c r="N64" s="7" t="n">
        <v>0.4</v>
      </c>
      <c r="O64" s="11"/>
      <c r="P64" s="0" t="str">
        <f aca="false">IF(O64="","",IF(O64&gt;F64,"OVER",IF(O64&lt;F64,"UNDER","PUSH")))</f>
        <v/>
      </c>
    </row>
    <row r="65" customFormat="false" ht="15" hidden="false" customHeight="false" outlineLevel="0" collapsed="false">
      <c r="A65" s="0" t="s">
        <v>436</v>
      </c>
      <c r="B65" s="0" t="s">
        <v>434</v>
      </c>
      <c r="C65" s="0" t="s">
        <v>104</v>
      </c>
      <c r="D65" s="0" t="s">
        <v>304</v>
      </c>
      <c r="E65" s="0" t="s">
        <v>278</v>
      </c>
      <c r="F65" s="0" t="n">
        <v>0.5</v>
      </c>
      <c r="G65" s="0" t="n">
        <v>0.7</v>
      </c>
      <c r="H65" s="7" t="n">
        <v>0.5787</v>
      </c>
      <c r="I65" s="0" t="n">
        <v>0.8</v>
      </c>
      <c r="J65" s="7" t="n">
        <v>0.6118</v>
      </c>
      <c r="K65" s="7" t="n">
        <v>0.527</v>
      </c>
      <c r="L65" s="7" t="n">
        <v>0.73</v>
      </c>
      <c r="N65" s="7" t="n">
        <v>0.4</v>
      </c>
      <c r="O65" s="11"/>
      <c r="P65" s="0" t="str">
        <f aca="false">IF(O65="","",IF(O65&gt;F65,"OVER",IF(O65&lt;F65,"UNDER","PUSH")))</f>
        <v/>
      </c>
    </row>
    <row r="66" customFormat="false" ht="15" hidden="false" customHeight="false" outlineLevel="0" collapsed="false">
      <c r="A66" s="0" t="s">
        <v>436</v>
      </c>
      <c r="B66" s="0" t="s">
        <v>434</v>
      </c>
      <c r="C66" s="0" t="s">
        <v>104</v>
      </c>
      <c r="D66" s="0" t="s">
        <v>306</v>
      </c>
      <c r="E66" s="0" t="s">
        <v>278</v>
      </c>
      <c r="F66" s="0" t="n">
        <v>3.5</v>
      </c>
      <c r="G66" s="0" t="n">
        <v>3.13</v>
      </c>
      <c r="H66" s="7" t="n">
        <v>0.4368</v>
      </c>
      <c r="I66" s="0" t="n">
        <v>3.6</v>
      </c>
      <c r="J66" s="7" t="n">
        <v>0.516</v>
      </c>
      <c r="K66" s="7" t="n">
        <v>0.527</v>
      </c>
      <c r="L66" s="7" t="n">
        <v>0.73</v>
      </c>
      <c r="M66" s="0" t="n">
        <v>3.22</v>
      </c>
      <c r="N66" s="7" t="n">
        <v>0.3</v>
      </c>
      <c r="O66" s="11"/>
      <c r="P66" s="0" t="str">
        <f aca="false">IF(O66="","",IF(O66&gt;F66,"OVER",IF(O66&lt;F66,"UNDER","PUSH")))</f>
        <v/>
      </c>
    </row>
    <row r="67" customFormat="false" ht="15" hidden="false" customHeight="false" outlineLevel="0" collapsed="false">
      <c r="A67" s="0" t="s">
        <v>436</v>
      </c>
      <c r="B67" s="0" t="s">
        <v>434</v>
      </c>
      <c r="C67" s="0" t="s">
        <v>104</v>
      </c>
      <c r="D67" s="0" t="s">
        <v>308</v>
      </c>
      <c r="E67" s="0" t="s">
        <v>278</v>
      </c>
      <c r="F67" s="0" t="n">
        <v>2.5</v>
      </c>
      <c r="G67" s="0" t="n">
        <v>2.39</v>
      </c>
      <c r="H67" s="7" t="n">
        <v>0.4789</v>
      </c>
      <c r="I67" s="0" t="n">
        <v>2.5</v>
      </c>
      <c r="J67" s="7" t="n">
        <v>0.5</v>
      </c>
      <c r="K67" s="7" t="n">
        <v>0.473</v>
      </c>
      <c r="L67" s="7" t="n">
        <v>0.53</v>
      </c>
      <c r="M67" s="0" t="n">
        <v>1.82</v>
      </c>
      <c r="N67" s="7" t="n">
        <v>0.3</v>
      </c>
      <c r="O67" s="11"/>
      <c r="P67" s="0" t="str">
        <f aca="false">IF(O67="","",IF(O67&gt;F67,"OVER",IF(O67&lt;F67,"UNDER","PUSH")))</f>
        <v/>
      </c>
    </row>
    <row r="68" customFormat="false" ht="15" hidden="false" customHeight="false" outlineLevel="0" collapsed="false">
      <c r="A68" s="0" t="s">
        <v>436</v>
      </c>
      <c r="B68" s="0" t="s">
        <v>434</v>
      </c>
      <c r="C68" s="0" t="s">
        <v>104</v>
      </c>
      <c r="D68" s="0" t="s">
        <v>310</v>
      </c>
      <c r="E68" s="0" t="s">
        <v>278</v>
      </c>
      <c r="F68" s="0" t="n">
        <v>3.5</v>
      </c>
      <c r="G68" s="0" t="n">
        <v>4.03</v>
      </c>
      <c r="H68" s="7" t="n">
        <v>0.5765</v>
      </c>
      <c r="I68" s="0" t="n">
        <v>3.9</v>
      </c>
      <c r="J68" s="7" t="n">
        <v>0.5585</v>
      </c>
      <c r="K68" s="7" t="n">
        <v>0.473</v>
      </c>
      <c r="L68" s="7" t="n">
        <v>0.43</v>
      </c>
      <c r="M68" s="0" t="n">
        <v>3.22</v>
      </c>
      <c r="N68" s="7" t="n">
        <v>0.5</v>
      </c>
      <c r="O68" s="11"/>
      <c r="P68" s="0" t="str">
        <f aca="false">IF(O68="","",IF(O68&gt;F68,"OVER",IF(O68&lt;F68,"UNDER","PUSH")))</f>
        <v/>
      </c>
    </row>
    <row r="69" customFormat="false" ht="15" hidden="false" customHeight="false" outlineLevel="0" collapsed="false">
      <c r="A69" s="0" t="s">
        <v>436</v>
      </c>
      <c r="B69" s="0" t="s">
        <v>434</v>
      </c>
      <c r="C69" s="0" t="s">
        <v>104</v>
      </c>
      <c r="D69" s="0" t="s">
        <v>312</v>
      </c>
      <c r="E69" s="0" t="s">
        <v>278</v>
      </c>
      <c r="F69" s="0" t="n">
        <v>4.5</v>
      </c>
      <c r="G69" s="0" t="n">
        <v>3.83</v>
      </c>
      <c r="H69" s="7" t="n">
        <v>0.4005</v>
      </c>
      <c r="I69" s="0" t="n">
        <v>3.7</v>
      </c>
      <c r="J69" s="7" t="n">
        <v>0.3804</v>
      </c>
      <c r="K69" s="7" t="n">
        <v>0.473</v>
      </c>
      <c r="L69" s="7" t="n">
        <v>0.43</v>
      </c>
      <c r="M69" s="0" t="n">
        <v>3.57</v>
      </c>
      <c r="N69" s="7" t="n">
        <v>0.4</v>
      </c>
      <c r="O69" s="11"/>
      <c r="P69" s="0" t="str">
        <f aca="false">IF(O69="","",IF(O69&gt;F69,"OVER",IF(O69&lt;F69,"UNDER","PUSH")))</f>
        <v/>
      </c>
    </row>
    <row r="70" customFormat="false" ht="15" hidden="false" customHeight="false" outlineLevel="0" collapsed="false">
      <c r="A70" s="0" t="s">
        <v>436</v>
      </c>
      <c r="B70" s="0" t="s">
        <v>434</v>
      </c>
      <c r="C70" s="0" t="s">
        <v>104</v>
      </c>
      <c r="D70" s="0" t="s">
        <v>314</v>
      </c>
      <c r="E70" s="0" t="s">
        <v>278</v>
      </c>
      <c r="F70" s="0" t="n">
        <v>3</v>
      </c>
      <c r="G70" s="0" t="n">
        <v>3.52</v>
      </c>
      <c r="H70" s="7" t="n">
        <v>0.5026</v>
      </c>
      <c r="I70" s="0" t="n">
        <v>3.4</v>
      </c>
      <c r="J70" s="7" t="n">
        <v>0.484</v>
      </c>
      <c r="K70" s="7" t="n">
        <v>0.473</v>
      </c>
      <c r="L70" s="7" t="n">
        <v>0.43</v>
      </c>
      <c r="M70" s="0" t="n">
        <v>3</v>
      </c>
      <c r="N70" s="7" t="n">
        <v>0.6</v>
      </c>
      <c r="O70" s="11"/>
      <c r="P70" s="0" t="str">
        <f aca="false">IF(O70="","",IF(O70&gt;F70,"OVER",IF(O70&lt;F70,"UNDER","PUSH")))</f>
        <v/>
      </c>
    </row>
    <row r="71" customFormat="false" ht="15" hidden="false" customHeight="false" outlineLevel="0" collapsed="false">
      <c r="A71" s="0" t="s">
        <v>436</v>
      </c>
      <c r="B71" s="0" t="s">
        <v>434</v>
      </c>
      <c r="C71" s="0" t="s">
        <v>104</v>
      </c>
      <c r="D71" s="0" t="s">
        <v>317</v>
      </c>
      <c r="E71" s="0" t="s">
        <v>278</v>
      </c>
      <c r="F71" s="0" t="n">
        <v>0.5</v>
      </c>
      <c r="G71" s="0" t="n">
        <v>0.72</v>
      </c>
      <c r="H71" s="7" t="n">
        <v>0.5878</v>
      </c>
      <c r="I71" s="0" t="n">
        <v>0.7</v>
      </c>
      <c r="J71" s="7" t="n">
        <v>0.5799</v>
      </c>
      <c r="K71" s="7" t="n">
        <v>0.473</v>
      </c>
      <c r="L71" s="7" t="n">
        <v>0.43</v>
      </c>
      <c r="N71" s="7" t="n">
        <v>0.5</v>
      </c>
      <c r="O71" s="11"/>
      <c r="P71" s="0" t="str">
        <f aca="false">IF(O71="","",IF(O71&gt;F71,"OVER",IF(O71&lt;F71,"UNDER","PUSH")))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9" t="s">
        <v>815</v>
      </c>
      <c r="B1" s="9" t="s">
        <v>814</v>
      </c>
    </row>
    <row r="2" customFormat="false" ht="15" hidden="false" customHeight="false" outlineLevel="0" collapsed="false">
      <c r="A2" s="0" t="s">
        <v>816</v>
      </c>
      <c r="B2" s="0" t="n">
        <v>70</v>
      </c>
    </row>
    <row r="3" customFormat="false" ht="15" hidden="false" customHeight="false" outlineLevel="0" collapsed="false">
      <c r="A3" s="0" t="s">
        <v>817</v>
      </c>
      <c r="B3" s="0" t="n">
        <v>70</v>
      </c>
    </row>
    <row r="4" customFormat="false" ht="15" hidden="false" customHeight="false" outlineLevel="0" collapsed="false">
      <c r="A4" s="0" t="s">
        <v>818</v>
      </c>
      <c r="B4" s="0" t="s">
        <v>819</v>
      </c>
    </row>
    <row r="5" customFormat="false" ht="15" hidden="false" customHeight="false" outlineLevel="0" collapsed="false">
      <c r="A5" s="0" t="s">
        <v>820</v>
      </c>
      <c r="B5" s="0" t="s">
        <v>821</v>
      </c>
    </row>
    <row r="6" customFormat="false" ht="15" hidden="false" customHeight="false" outlineLevel="0" collapsed="false">
      <c r="A6" s="0" t="s">
        <v>822</v>
      </c>
      <c r="B6" s="0" t="n">
        <v>63</v>
      </c>
    </row>
    <row r="7" customFormat="false" ht="15" hidden="false" customHeight="false" outlineLevel="0" collapsed="false">
      <c r="A7" s="0" t="s">
        <v>823</v>
      </c>
      <c r="B7" s="0" t="n">
        <f aca="false">SUMPRODUCT(--ISERROR(Projections!F2:M71))</f>
        <v>0</v>
      </c>
    </row>
    <row r="8" customFormat="false" ht="15" hidden="false" customHeight="false" outlineLevel="0" collapsed="false">
      <c r="A8" s="0" t="s">
        <v>824</v>
      </c>
      <c r="B8" s="0" t="n">
        <f aca="false">COUNTBLANK(Projections!F2:F71)</f>
        <v>0</v>
      </c>
    </row>
    <row r="9" customFormat="false" ht="15" hidden="false" customHeight="false" outlineLevel="0" collapsed="false">
      <c r="A9" s="0" t="s">
        <v>825</v>
      </c>
      <c r="B9" s="0" t="n">
        <f aca="false">SUMPRODUCT(MAX(ABS(N(+Projections!F2:F71)-N(+Log!G2:G71))))</f>
        <v>0.00494607932736235</v>
      </c>
    </row>
    <row r="10" customFormat="false" ht="15" hidden="false" customHeight="false" outlineLevel="0" collapsed="false">
      <c r="A10" s="0" t="s">
        <v>826</v>
      </c>
      <c r="B10" s="0" t="n">
        <f aca="false">SUMPRODUCT((ABS(N(+Projections!O2:O71)-N(+Projections!P2:P71))&lt;0.00001)*(ABS(N(+Projections!F2:F71)-N(+Projections!L2:L71))&gt;0.001)*(Projections!D2:D71="Map 1 Kills"))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2026-10-25T03:09:45Z</dcterms:created>
  <dc:creator>openpyxl</dc:creator>
  <dc:description/>
  <dc:language>en-US</dc:language>
  <cp:lastModifiedBy/>
  <dcterms:modified xsi:type="dcterms:W3CDTF">2026-10-25T03:09:45Z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